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'men Khalid\Downloads\"/>
    </mc:Choice>
  </mc:AlternateContent>
  <xr:revisionPtr revIDLastSave="0" documentId="13_ncr:1_{ECA1D4B3-FA66-4462-A066-7E4E1687FB3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1" sheetId="1" r:id="rId1"/>
    <sheet name="Sheet2" sheetId="2" r:id="rId2"/>
    <sheet name="Sheet3" sheetId="3" r:id="rId3"/>
    <sheet name="تحديث الجدول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2" i="4"/>
  <c r="F253" i="2"/>
  <c r="H253" i="2"/>
  <c r="F254" i="2"/>
  <c r="H254" i="2"/>
  <c r="F255" i="2"/>
  <c r="H255" i="2"/>
  <c r="F256" i="2"/>
  <c r="H256" i="2"/>
  <c r="F257" i="2"/>
  <c r="H257" i="2"/>
  <c r="F258" i="2"/>
  <c r="H258" i="2"/>
  <c r="F259" i="2"/>
  <c r="H259" i="2"/>
  <c r="F260" i="2"/>
  <c r="H260" i="2"/>
  <c r="F261" i="2"/>
  <c r="H261" i="2"/>
  <c r="F262" i="2"/>
  <c r="H262" i="2"/>
  <c r="F263" i="2"/>
  <c r="H263" i="2"/>
  <c r="F264" i="2"/>
  <c r="H264" i="2"/>
  <c r="F265" i="2"/>
  <c r="H265" i="2"/>
  <c r="F266" i="2"/>
  <c r="H266" i="2"/>
  <c r="F267" i="2"/>
  <c r="H267" i="2"/>
  <c r="F139" i="2"/>
  <c r="H139" i="2"/>
  <c r="F66" i="2"/>
  <c r="H66" i="2"/>
  <c r="F18" i="2"/>
  <c r="H18" i="2"/>
  <c r="F19" i="2"/>
  <c r="H19" i="2"/>
  <c r="H2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178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81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J2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K1" i="1" s="1"/>
  <c r="I4" i="1"/>
  <c r="J3" i="1"/>
  <c r="I3" i="1"/>
  <c r="I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6FF777-18F0-4105-AF97-4AA50483F823}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<sst xmlns="http://schemas.openxmlformats.org/spreadsheetml/2006/main" count="5718" uniqueCount="1232">
  <si>
    <t>كود</t>
  </si>
  <si>
    <t>بيان</t>
  </si>
  <si>
    <t>السعر</t>
  </si>
  <si>
    <t>العدد</t>
  </si>
  <si>
    <t>البيـــــــــــــــــــــــــــــــــــــــــــــــــــــــــــــــــــــــــــــــــان</t>
  </si>
  <si>
    <t>الاجمالي</t>
  </si>
  <si>
    <t>المجموع</t>
  </si>
  <si>
    <t xml:space="preserve"> مواسير 20 مم (BR BR PN20) - كيسيل</t>
  </si>
  <si>
    <t xml:space="preserve"> مواسير 25 مم (BR BR PN20) - كيسيل</t>
  </si>
  <si>
    <t xml:space="preserve"> مواسير 32 مم (BR BR PN20) - كيسيل</t>
  </si>
  <si>
    <t xml:space="preserve"> مواسير 40 مم (BR BR PN20) - كيسيل</t>
  </si>
  <si>
    <t xml:space="preserve"> مواسير 50 مم (BR BR PN20) - كيسيل</t>
  </si>
  <si>
    <t xml:space="preserve"> مواسير 63 مم (BR BR PN20) - كيسيل</t>
  </si>
  <si>
    <t xml:space="preserve"> مواسير 75 مم (BR BR PN20) - كيسيل</t>
  </si>
  <si>
    <t xml:space="preserve"> مواسير 90 مم (BR BR PN20) - كيسيل</t>
  </si>
  <si>
    <t xml:space="preserve"> مواسير 110 مم (BR BR PN20) - كيسيل</t>
  </si>
  <si>
    <t xml:space="preserve"> مواسير 20 مم (PN25) - كيسيل</t>
  </si>
  <si>
    <t xml:space="preserve"> مواسير 25 مم (PN25) - كيسيل</t>
  </si>
  <si>
    <t xml:space="preserve"> مواسير 32 مم (PN25) - كيسيل</t>
  </si>
  <si>
    <t xml:space="preserve"> مواسير 40 مم (PN25) - كيسيل</t>
  </si>
  <si>
    <t xml:space="preserve"> مواسير 50 مم (PN25) - كيسيل</t>
  </si>
  <si>
    <t xml:space="preserve"> مواسير 63 مم (PN25) - كيسيل</t>
  </si>
  <si>
    <t xml:space="preserve"> مواسير 75 مم (PN25) - كيسيل</t>
  </si>
  <si>
    <t xml:space="preserve"> مواسير 90 مم (PN25) - كيسيل</t>
  </si>
  <si>
    <t xml:space="preserve"> مواسير 110 مم (PN25) - كيسيل</t>
  </si>
  <si>
    <t xml:space="preserve"> كوع 90 درجة 20 مم BR </t>
  </si>
  <si>
    <t xml:space="preserve"> كوع 90 درجة 25 مم BR </t>
  </si>
  <si>
    <t xml:space="preserve"> كوع 90 درجة 32 مم BR </t>
  </si>
  <si>
    <t xml:space="preserve"> كوع 45 درجة 20 مم BR </t>
  </si>
  <si>
    <t xml:space="preserve"> كوع 45 درجة 25 مم BR </t>
  </si>
  <si>
    <t xml:space="preserve"> تييه 20 مم BR </t>
  </si>
  <si>
    <t xml:space="preserve"> تييه 25 مم BR </t>
  </si>
  <si>
    <t xml:space="preserve"> تييه 32 مم BR </t>
  </si>
  <si>
    <t xml:space="preserve"> جلبة 20 مم BR </t>
  </si>
  <si>
    <t xml:space="preserve"> جلبة 25 مم BR </t>
  </si>
  <si>
    <t xml:space="preserve"> جلبة 32 مم BR </t>
  </si>
  <si>
    <t xml:space="preserve"> وش ستانلس 304 سمارت هوم 15*15 </t>
  </si>
  <si>
    <t xml:space="preserve"> وش ستانلس 304 سمارت هوم 20*20 </t>
  </si>
  <si>
    <t xml:space="preserve"> وش ستانلس 304 سمارت هوم 10*10 </t>
  </si>
  <si>
    <t xml:space="preserve"> علاية بيبة 15*15 ستانلس كاملة </t>
  </si>
  <si>
    <t xml:space="preserve"> علاية بيبة 20*20 ستانلس كاملة </t>
  </si>
  <si>
    <t xml:space="preserve"> بيبة لوكس 15*15 مخرج 75 مم كاملة </t>
  </si>
  <si>
    <t xml:space="preserve"> بيبة لوكس 20*20 مخرج 110 مم كاملة </t>
  </si>
  <si>
    <t xml:space="preserve"> جلبة كيسيل 3/4 بوصة</t>
  </si>
  <si>
    <t xml:space="preserve"> جلبة كيسيل 1 بوصة</t>
  </si>
  <si>
    <t xml:space="preserve"> جلبة كيسيل 32 مم</t>
  </si>
  <si>
    <t xml:space="preserve"> كوع 45 درجة كيسيل 50 مم</t>
  </si>
  <si>
    <t xml:space="preserve"> كوع 45 درجة كيسيل 75 مم</t>
  </si>
  <si>
    <t xml:space="preserve"> كوع 45 درجة كيسيل 110 مم</t>
  </si>
  <si>
    <t xml:space="preserve"> كوع 90 درجة كيسيل 50 مم</t>
  </si>
  <si>
    <t xml:space="preserve"> كوع 90 درجة كيسيل 75 مم</t>
  </si>
  <si>
    <t xml:space="preserve"> كوع 90 درجة كيسيل 110 مم</t>
  </si>
  <si>
    <t xml:space="preserve"> ماكينة لحام بولي 20-32 مم سمارت هوم </t>
  </si>
  <si>
    <t xml:space="preserve"> ماكينة لحام بولي 20-63 مم سمارت هوم </t>
  </si>
  <si>
    <t xml:space="preserve"> منظف مواسير سمارت هوم 125 مل </t>
  </si>
  <si>
    <t xml:space="preserve"> منظف مواسير سمارت هوم 500 مل </t>
  </si>
  <si>
    <t xml:space="preserve"> شريط عزل (تيفلون) سمارت هوم </t>
  </si>
  <si>
    <t xml:space="preserve"> شريط لحام (شكرتون) سمارت هوم </t>
  </si>
  <si>
    <t xml:space="preserve"> جلبة 20 مم</t>
  </si>
  <si>
    <t xml:space="preserve"> جلبة 25 مم</t>
  </si>
  <si>
    <t xml:space="preserve"> جلبة 32 مم</t>
  </si>
  <si>
    <t xml:space="preserve"> جلبة 40 مم</t>
  </si>
  <si>
    <t xml:space="preserve"> جلبة 50 مم</t>
  </si>
  <si>
    <t xml:space="preserve"> جلبة 63 مم</t>
  </si>
  <si>
    <t xml:space="preserve"> جلبة 75 مم</t>
  </si>
  <si>
    <t xml:space="preserve"> جلبة 90 مم</t>
  </si>
  <si>
    <t xml:space="preserve"> جلبة 110 مم</t>
  </si>
  <si>
    <t xml:space="preserve"> كرسي مواسير فردي 20 مم</t>
  </si>
  <si>
    <t xml:space="preserve"> كرسي مواسير فردي 25 مم</t>
  </si>
  <si>
    <t xml:space="preserve"> كرسي مواسير فردي 32 مم</t>
  </si>
  <si>
    <t xml:space="preserve"> كرسي مواسير مزدوج 20 مم</t>
  </si>
  <si>
    <t xml:space="preserve"> كرسي مواسير مزدوج 25 مم</t>
  </si>
  <si>
    <t xml:space="preserve"> كرسي مواسير مزدوج 32 مم</t>
  </si>
  <si>
    <t xml:space="preserve"> كوع 90 درجة 20 مم</t>
  </si>
  <si>
    <t xml:space="preserve"> كوع 90 درجة 25 مم</t>
  </si>
  <si>
    <t xml:space="preserve"> كوع 90 درجة 32 مم</t>
  </si>
  <si>
    <t xml:space="preserve"> كوع 90 درجة 40 مم</t>
  </si>
  <si>
    <t xml:space="preserve"> كوع 90 درجة 50 مم</t>
  </si>
  <si>
    <t xml:space="preserve"> كوع 90 درجة 63 مم</t>
  </si>
  <si>
    <t xml:space="preserve"> كوع 90 درجة 75 مم</t>
  </si>
  <si>
    <t xml:space="preserve"> كوع 90 درجة 90 مم</t>
  </si>
  <si>
    <t xml:space="preserve"> كوع 90 درجة 110 مم</t>
  </si>
  <si>
    <t xml:space="preserve"> كوع 45 درجة 20 مم</t>
  </si>
  <si>
    <t xml:space="preserve"> كوع 45 درجة 25 مم</t>
  </si>
  <si>
    <t xml:space="preserve"> كوع 45 درجة 32 مم</t>
  </si>
  <si>
    <t xml:space="preserve"> كوع 45 درجة 40 مم</t>
  </si>
  <si>
    <t xml:space="preserve"> كوع 45 درجة 50 مم</t>
  </si>
  <si>
    <t xml:space="preserve"> كوع 45 درجة 63 مم</t>
  </si>
  <si>
    <t xml:space="preserve"> كوع 45 درجة 75 مم</t>
  </si>
  <si>
    <t xml:space="preserve"> كوع 45 درجة 90 مم</t>
  </si>
  <si>
    <t xml:space="preserve"> طبة نهاية (سدادة) 20 مم</t>
  </si>
  <si>
    <t xml:space="preserve"> طبة نهاية (سدادة) 25 مم</t>
  </si>
  <si>
    <t xml:space="preserve"> طبة نهاية (سدادة) 32 مم</t>
  </si>
  <si>
    <t xml:space="preserve"> طبة نهاية (سدادة) 40 مم</t>
  </si>
  <si>
    <t xml:space="preserve"> طبة نهاية (سدادة) 50 مم</t>
  </si>
  <si>
    <t xml:space="preserve"> طبة نهاية (سدادة) 63 مم</t>
  </si>
  <si>
    <t xml:space="preserve"> قنطرة (مقصوصة) 20 مم</t>
  </si>
  <si>
    <t xml:space="preserve"> قنطرة (مقصوصة) 25 مم</t>
  </si>
  <si>
    <t xml:space="preserve"> طبة اختبار ذكر 1/2 بوصة (أزرق) </t>
  </si>
  <si>
    <t xml:space="preserve"> طبة اختبار ذكر 1/2 بوصة (أحمر) </t>
  </si>
  <si>
    <t xml:space="preserve"> طبة اختبار ذكر طويلة بالارز 1/2 بوصة (أزرق) </t>
  </si>
  <si>
    <t xml:space="preserve"> طبة اختبار ذكر طويلة بالارز 1/2 بوصة (أحمر) </t>
  </si>
  <si>
    <t xml:space="preserve"> مواسير 20 مم (BR BR PN20) BR </t>
  </si>
  <si>
    <t xml:space="preserve"> مواسير 25 مم (BR BR PN20) BR </t>
  </si>
  <si>
    <t xml:space="preserve"> مواسير 32 مم (BR BR PN20) BR </t>
  </si>
  <si>
    <t xml:space="preserve"> مواسير 40 مم (BR BR PN20) BR </t>
  </si>
  <si>
    <t xml:space="preserve"> مواسير 50 مم (BR BR PN20) BR </t>
  </si>
  <si>
    <t xml:space="preserve"> مواسير 63 مم (BR BR PN20) BR </t>
  </si>
  <si>
    <t xml:space="preserve"> مواسير 75 مم (BR BR PN20) BR </t>
  </si>
  <si>
    <t xml:space="preserve"> مواسير 90 مم (BR BR PN20) BR </t>
  </si>
  <si>
    <t xml:space="preserve"> مواسير 110 مم (BR BR PN20) BR </t>
  </si>
  <si>
    <t xml:space="preserve"> مواسير 20 مم (PN25) BR </t>
  </si>
  <si>
    <t xml:space="preserve"> مواسير 25 مم (PN25) BR </t>
  </si>
  <si>
    <t xml:space="preserve"> مواسير 32 مم (PN25) BR </t>
  </si>
  <si>
    <t xml:space="preserve"> مواسير 40 مم (PN25) BR </t>
  </si>
  <si>
    <t xml:space="preserve"> مواسير 50 مم (PN25) BR </t>
  </si>
  <si>
    <t xml:space="preserve"> مواسير 63 مم (PN25) BR </t>
  </si>
  <si>
    <t xml:space="preserve"> مواسير 75 مم (PN25) BR </t>
  </si>
  <si>
    <t xml:space="preserve"> مواسير 90 مم (PN25) BR </t>
  </si>
  <si>
    <t xml:space="preserve"> مواسير 110 مم (PN25) BR </t>
  </si>
  <si>
    <t xml:space="preserve"> وصلة مرنة سمارت هوم 30 سم </t>
  </si>
  <si>
    <t xml:space="preserve"> وصلة مرنة سمارت هوم 40 سم </t>
  </si>
  <si>
    <t xml:space="preserve"> وصلة مرنة سمارت هوم 50 سم </t>
  </si>
  <si>
    <t xml:space="preserve"> وصلة مرنة سمارت هوم 60 سم </t>
  </si>
  <si>
    <t xml:space="preserve"> وصلة مرنة سمارت هوم 80 سم </t>
  </si>
  <si>
    <t xml:space="preserve"> وصلة مرنة سمارت هوم 100 سم </t>
  </si>
  <si>
    <t xml:space="preserve"> وصلة مرنة سمارت هوم 40 سم بسن خلاط </t>
  </si>
  <si>
    <t xml:space="preserve"> وصلة مرنة سمارت هوم 50 سم بسن خلاط </t>
  </si>
  <si>
    <t xml:space="preserve"> وصلة مرنة سمارت هوم 60 سم بسن خلاط </t>
  </si>
  <si>
    <t xml:space="preserve"> وصلة مرنة سمارت هوم 80 سم بسن خلاط </t>
  </si>
  <si>
    <t xml:space="preserve"> وصلة مرنة سمارت هوم 100 سم بسن خلاط </t>
  </si>
  <si>
    <t xml:space="preserve"> وصلة مرنة 1/2*1/2-40سم SH </t>
  </si>
  <si>
    <t xml:space="preserve"> وصلة مرنة 1/2*1/2-50سم SH </t>
  </si>
  <si>
    <t xml:space="preserve"> وصلة مرنة 1/2*1/2-60سم SH </t>
  </si>
  <si>
    <t xml:space="preserve"> كوع بسن داخلي 1/2 * 20 مم</t>
  </si>
  <si>
    <t xml:space="preserve"> كوع بسن داخلي 1/2 * 25 مم</t>
  </si>
  <si>
    <t xml:space="preserve"> كوع بسن داخلي 3/4 * 25 مم</t>
  </si>
  <si>
    <t xml:space="preserve"> كوع بسن داخلي 3/4 * 32 مم</t>
  </si>
  <si>
    <t xml:space="preserve"> كوع بسن داخلي 1 * 32 مم</t>
  </si>
  <si>
    <t xml:space="preserve"> كوع بسن خارجي 1/2 * 20 مم</t>
  </si>
  <si>
    <t xml:space="preserve"> كوع بسن خارجي 1/2 * 25 مم</t>
  </si>
  <si>
    <t xml:space="preserve"> كوع بسن خارجي 3/4 * 25 مم</t>
  </si>
  <si>
    <t xml:space="preserve"> كوع بسن خارجي 3/4 * 32 مم</t>
  </si>
  <si>
    <t xml:space="preserve"> كوع بسن خارجي 1 * 32 مم</t>
  </si>
  <si>
    <t xml:space="preserve"> مشترك بسن داخلي 1/2 * 20 مم</t>
  </si>
  <si>
    <t xml:space="preserve"> مشترك بسن داخلي 1/2 * 25 مم</t>
  </si>
  <si>
    <t xml:space="preserve"> مشترك بسن داخلي 3/4 * 25 مم</t>
  </si>
  <si>
    <t xml:space="preserve"> مشترك بسن داخلي 3/4 * 32 مم</t>
  </si>
  <si>
    <t xml:space="preserve"> مشترك بسن داخلي 1 * 32 مم</t>
  </si>
  <si>
    <t xml:space="preserve"> مشترك بسن خارجي 1/2 * 20 مم</t>
  </si>
  <si>
    <t xml:space="preserve"> مشترك بسن خارجي 1/2 * 25 مم</t>
  </si>
  <si>
    <t xml:space="preserve"> مشترك بسن خارجي 3/4 * 25 مم</t>
  </si>
  <si>
    <t xml:space="preserve"> مشترك بسن خارجي 3/4 * 32 مم</t>
  </si>
  <si>
    <t xml:space="preserve"> مشترك بسن خارجي 1 * 32 مم</t>
  </si>
  <si>
    <t xml:space="preserve"> جلبة بسن داخلي 1/2 * 20 مم</t>
  </si>
  <si>
    <t xml:space="preserve"> جلبة بسن داخلي 1/2 * 25 مم</t>
  </si>
  <si>
    <t xml:space="preserve"> جلبة بسن داخلي 3/4 * 25 مم</t>
  </si>
  <si>
    <t xml:space="preserve"> جلبة بسن داخلي 3/4 * 32 مم</t>
  </si>
  <si>
    <t xml:space="preserve"> جلبة بسن داخلي 1 * 32 مم</t>
  </si>
  <si>
    <t xml:space="preserve"> جلبة بسن داخلي 1 1/4 * 40 مم</t>
  </si>
  <si>
    <t xml:space="preserve"> جلبة بسن داخلي 1 1/2 * 50 مم</t>
  </si>
  <si>
    <t xml:space="preserve"> جلبة بسن داخلي 2 * 63 مم</t>
  </si>
  <si>
    <t xml:space="preserve"> جلبة بسن خارجي 1/2 * 20 مم</t>
  </si>
  <si>
    <t xml:space="preserve"> جلبة بسن خارجي 1/2 * 25 مم</t>
  </si>
  <si>
    <t xml:space="preserve"> جلبة بسن خارجي 3/4 * 25 مم</t>
  </si>
  <si>
    <t xml:space="preserve"> جلبة بسن خارجي 3/4 * 32 مم</t>
  </si>
  <si>
    <t xml:space="preserve"> جلبة بسن خارجي 1 * 32 مم</t>
  </si>
  <si>
    <t xml:space="preserve"> جلبة بسن خارجي 1 1/4 * 40 مم</t>
  </si>
  <si>
    <t xml:space="preserve"> جلبة بسن خارجي 1 1/2 * 50 مم</t>
  </si>
  <si>
    <t xml:space="preserve"> جلبة بسن خارجي 2 * 63 مم</t>
  </si>
  <si>
    <t xml:space="preserve"> محبس دفن 20 مم</t>
  </si>
  <si>
    <t xml:space="preserve"> محبس دفن 25 مم</t>
  </si>
  <si>
    <t xml:space="preserve"> محبس دفن 32 مم</t>
  </si>
  <si>
    <t xml:space="preserve"> رقبة محبس دفن كروم </t>
  </si>
  <si>
    <t xml:space="preserve"> محبس شيك بالف بمصفاة 1/2 بوصة </t>
  </si>
  <si>
    <t xml:space="preserve"> محبس شيك بالف بمصفاة 3/4 بوصة </t>
  </si>
  <si>
    <t xml:space="preserve"> محبس شيك بالف بمصفاة 1 بوصة </t>
  </si>
  <si>
    <t xml:space="preserve"> جلبة اصلاح 20 مم</t>
  </si>
  <si>
    <t xml:space="preserve"> جلبة اصلاح 25 مم</t>
  </si>
  <si>
    <t xml:space="preserve"> جلبة اصلاح 32 مم</t>
  </si>
  <si>
    <t xml:space="preserve"> قنطرة (مقصوصة) 32 مم</t>
  </si>
  <si>
    <t xml:space="preserve"> مسلوب 25/20 مم</t>
  </si>
  <si>
    <t xml:space="preserve"> مسلوب 32/20 مم</t>
  </si>
  <si>
    <t xml:space="preserve"> مسلوب 32/25 مم</t>
  </si>
  <si>
    <t xml:space="preserve"> مسلوب 40/20 مم</t>
  </si>
  <si>
    <t xml:space="preserve"> مسلوب 40/25 مم</t>
  </si>
  <si>
    <t xml:space="preserve"> مسلوب 40/32 مم</t>
  </si>
  <si>
    <t xml:space="preserve"> مسلوب 50/20 مم</t>
  </si>
  <si>
    <t xml:space="preserve"> مسلوب 50/25 مم</t>
  </si>
  <si>
    <t xml:space="preserve"> مسلوب 50/32 مم</t>
  </si>
  <si>
    <t xml:space="preserve"> مسلوب 50/40 مم</t>
  </si>
  <si>
    <t xml:space="preserve"> تييه 20 مم</t>
  </si>
  <si>
    <t xml:space="preserve"> تييه 25 مم</t>
  </si>
  <si>
    <t xml:space="preserve"> تييه 32 مم</t>
  </si>
  <si>
    <t xml:space="preserve"> تييه 40 مم</t>
  </si>
  <si>
    <t xml:space="preserve"> تييه 50 مم</t>
  </si>
  <si>
    <t xml:space="preserve"> مشترك قصير 160 مم 87.5 درجة S </t>
  </si>
  <si>
    <t xml:space="preserve"> مشترك 45 درجة 3/4 بوصة</t>
  </si>
  <si>
    <t xml:space="preserve"> مشترك 45 درجة 1 بوصة</t>
  </si>
  <si>
    <t xml:space="preserve"> مشترك 45 درجة 32 مم</t>
  </si>
  <si>
    <t xml:space="preserve"> مشترك 45 درجة 40 مم</t>
  </si>
  <si>
    <t xml:space="preserve"> مشترك 45 درجة 50 مم</t>
  </si>
  <si>
    <t xml:space="preserve"> مشترك 45 درجة 75 مم</t>
  </si>
  <si>
    <t xml:space="preserve"> مشترك 45 درجة 110 مم</t>
  </si>
  <si>
    <t xml:space="preserve"> مشترك 45 درجة 160 مم</t>
  </si>
  <si>
    <t xml:space="preserve"> مشترك 45 درجة مسلوب 50/75 مم</t>
  </si>
  <si>
    <t xml:space="preserve"> مشترك 45 درجة مسلوب 50/110 مم</t>
  </si>
  <si>
    <t xml:space="preserve"> مشترك 45 درجة مسلوب 75/110 مم</t>
  </si>
  <si>
    <t xml:space="preserve"> مشترك 45 درجة مسلوب 110/160 مم</t>
  </si>
  <si>
    <t xml:space="preserve"> مشترك 87.5 درجة 3/4 بوصة</t>
  </si>
  <si>
    <t xml:space="preserve"> مشترك 87.5 درجة 1 بوصة</t>
  </si>
  <si>
    <t xml:space="preserve"> مشترك 87.5 درجة 32 مم</t>
  </si>
  <si>
    <t xml:space="preserve"> مشترك 87.5 درجة 40 مم</t>
  </si>
  <si>
    <t xml:space="preserve"> مشترك 87.5 درجة 50 مم</t>
  </si>
  <si>
    <t xml:space="preserve"> مشترك 87.5 درجة 75 مم</t>
  </si>
  <si>
    <t xml:space="preserve"> مشترك 87.5 درجة 110 مم</t>
  </si>
  <si>
    <t xml:space="preserve"> مشترك 87.5 درجة 160 مم</t>
  </si>
  <si>
    <t xml:space="preserve"> مشترك بباب كشف 45 درجة 75 مم</t>
  </si>
  <si>
    <t xml:space="preserve"> مشترك بباب كشف 45 درجة 110 مم</t>
  </si>
  <si>
    <t xml:space="preserve"> مشترك بباب كشف 87.5 درجة 75 مم</t>
  </si>
  <si>
    <t xml:space="preserve"> مشترك بباب كشف 87.5 درجة 110 مم</t>
  </si>
  <si>
    <t xml:space="preserve"> خلاط دفن مربع كروم 1 مخرج </t>
  </si>
  <si>
    <t xml:space="preserve"> خلاط دفن مربع كروم 2 مخرج </t>
  </si>
  <si>
    <t xml:space="preserve"> خلاط دفن دائري كروم 1 مخرج </t>
  </si>
  <si>
    <t xml:space="preserve"> خلاط دفن دائري كروم 2 مخرج </t>
  </si>
  <si>
    <t xml:space="preserve"> خلاط دفن دائري أسود 1 مخرج </t>
  </si>
  <si>
    <t xml:space="preserve"> خلاط دفن دائري أسود 2 مخرج </t>
  </si>
  <si>
    <t xml:space="preserve"> خلاط دفن مربع أسود 1 مخرج </t>
  </si>
  <si>
    <t xml:space="preserve"> خلاط دفن مربع أسود 2 مخرج </t>
  </si>
  <si>
    <t xml:space="preserve"> خلاط دفن دائري أسود ذهبي 2 مخرج </t>
  </si>
  <si>
    <t xml:space="preserve"> طقم تطويل خلاط دفن 1 مخرج بدون روينة </t>
  </si>
  <si>
    <t xml:space="preserve"> طقم تطويل خلاط دفن 2 مخرج بدون روينة </t>
  </si>
  <si>
    <t xml:space="preserve"> قلب خلاط دفن 1 مخرج </t>
  </si>
  <si>
    <t xml:space="preserve"> قلب خلاط دفن 2 مخرج </t>
  </si>
  <si>
    <t xml:space="preserve"> وش خلاط دفن مربع كروم 1 مخرج </t>
  </si>
  <si>
    <t xml:space="preserve"> وش خلاط دفن مربع كروم 2 مخرج </t>
  </si>
  <si>
    <t xml:space="preserve"> وش خلاط دفن دائري كروم 1 مخرج </t>
  </si>
  <si>
    <t xml:space="preserve"> وش خلاط دفن دائري كروم 2 مخرج </t>
  </si>
  <si>
    <t xml:space="preserve"> كوع 45 درجة 3/4 بوصة</t>
  </si>
  <si>
    <t xml:space="preserve"> كوع 45 درجة 1 بوصة</t>
  </si>
  <si>
    <t xml:space="preserve"> كوع 45 درجة 110 مم</t>
  </si>
  <si>
    <t xml:space="preserve"> كوع 45 درجة 160 مم</t>
  </si>
  <si>
    <t xml:space="preserve"> كوع 90 درجة 3/4 بوصة</t>
  </si>
  <si>
    <t xml:space="preserve"> كوع 90 درجة 1 بوصة</t>
  </si>
  <si>
    <t xml:space="preserve"> كوع 90 درجة 48 مم</t>
  </si>
  <si>
    <t xml:space="preserve"> كوع بباب كشف 50 مم</t>
  </si>
  <si>
    <t xml:space="preserve"> كوع بباب كشف 75 مم</t>
  </si>
  <si>
    <t xml:space="preserve"> كوع بباب كشف 110 مم</t>
  </si>
  <si>
    <t xml:space="preserve"> مواسير 3/4 بوصة - 2.9 مم - كيسيل</t>
  </si>
  <si>
    <t xml:space="preserve"> مواسير 1 بوصة</t>
  </si>
  <si>
    <t xml:space="preserve"> مواسير 1.5 بوصة</t>
  </si>
  <si>
    <t xml:space="preserve"> مواسير 2 بوصة</t>
  </si>
  <si>
    <t xml:space="preserve"> مواسير 32 مم</t>
  </si>
  <si>
    <t xml:space="preserve"> مواسير 40 مم</t>
  </si>
  <si>
    <t xml:space="preserve"> مواسير 50 مم</t>
  </si>
  <si>
    <t xml:space="preserve"> مواسير 3/3 مم</t>
  </si>
  <si>
    <t xml:space="preserve"> مواسير 75 مم</t>
  </si>
  <si>
    <t xml:space="preserve"> مواسير 3/90 مم</t>
  </si>
  <si>
    <t xml:space="preserve"> مواسير 110 مم</t>
  </si>
  <si>
    <t xml:space="preserve"> مواسير 4/110 مم</t>
  </si>
  <si>
    <t xml:space="preserve"> مواسير 3*75 مم ML </t>
  </si>
  <si>
    <t xml:space="preserve"> مواسير 4*75 مم ML </t>
  </si>
  <si>
    <t xml:space="preserve"> مواسير 4*110 مم ML </t>
  </si>
  <si>
    <t xml:space="preserve"> مواسير 5*110 مم ML </t>
  </si>
  <si>
    <t xml:space="preserve"> مواسير 4*160 مم ML </t>
  </si>
  <si>
    <t xml:space="preserve"> مواسير 5*160 مم ML </t>
  </si>
  <si>
    <t xml:space="preserve"> مواسير 3/4 بوصة - كيسيل</t>
  </si>
  <si>
    <t xml:space="preserve"> مواسير 1 بوصة - كيسيل</t>
  </si>
  <si>
    <t xml:space="preserve"> مواسير 32 مم - كيسيل</t>
  </si>
  <si>
    <t xml:space="preserve"> مواسير 40 مم - كيسيل</t>
  </si>
  <si>
    <t xml:space="preserve"> مواسير 50 مم - كيسيل</t>
  </si>
  <si>
    <t xml:space="preserve"> مواسير 75 مم - كيسيل</t>
  </si>
  <si>
    <t xml:space="preserve"> مواسير 110 مم - كيسيل</t>
  </si>
  <si>
    <t xml:space="preserve"> عازل بيتوكوت بستلة 3 كيلو </t>
  </si>
  <si>
    <t xml:space="preserve"> عازل بيتوكوت بستلة 12 كيلو </t>
  </si>
  <si>
    <t xml:space="preserve"> عازل أسمنتي SH </t>
  </si>
  <si>
    <t xml:space="preserve"> سائل إذابة عازل أسمنتي SH </t>
  </si>
  <si>
    <t xml:space="preserve"> خزان دفن 10 سم </t>
  </si>
  <si>
    <t xml:space="preserve"> غطاء خزان دفن كروم مربع </t>
  </si>
  <si>
    <t xml:space="preserve"> غطاء خزان دفن كروم دائري </t>
  </si>
  <si>
    <t xml:space="preserve"> غطاء خزان دفن اسود مربع </t>
  </si>
  <si>
    <t xml:space="preserve"> غطاء خزان دفن نحاسي مربع </t>
  </si>
  <si>
    <t xml:space="preserve"> غطاء خزان دفن شامبين مربع </t>
  </si>
  <si>
    <t xml:space="preserve"> طلمبة مياه 1 حصان SH EG100 </t>
  </si>
  <si>
    <t xml:space="preserve"> طلمبة مياه 2 حصان SH EG200 </t>
  </si>
  <si>
    <t xml:space="preserve"> طلمبة مياه 3 حصان SH EG300 </t>
  </si>
  <si>
    <t xml:space="preserve"> شحم مواسير سمارت هوم 150مل </t>
  </si>
  <si>
    <t xml:space="preserve"> شحم مواسير سمارت هوم 250مل </t>
  </si>
  <si>
    <t xml:space="preserve"> شحم مواسير سمارت هوم 500مل </t>
  </si>
  <si>
    <t xml:space="preserve"> بيبه 48/60 مم مفتوحة ارتفاع 7 سم S </t>
  </si>
  <si>
    <t xml:space="preserve"> بيبه 50/63 مم مفتوحة ارتفاع 7 سم S </t>
  </si>
  <si>
    <t xml:space="preserve"> بيبه 60/75 مم مفتوحة ارتفاع 8.8 سم S </t>
  </si>
  <si>
    <t xml:space="preserve"> بيبه 48/60/75 مم مفتوحة المخارج S </t>
  </si>
  <si>
    <t xml:space="preserve"> علاية بيبه مدرجة 48/60/75 مم</t>
  </si>
  <si>
    <t xml:space="preserve"> غطاء بيبه مغلق باليد 20*20 S </t>
  </si>
  <si>
    <t xml:space="preserve"> غطاء بيبه مفتوح باليد 20*20 S </t>
  </si>
  <si>
    <t xml:space="preserve"> صفاية 48 مم</t>
  </si>
  <si>
    <t xml:space="preserve"> غرفة تفتيش 50*50 سم S </t>
  </si>
  <si>
    <t xml:space="preserve"> رقبة تطويل غرفة تفتيش S </t>
  </si>
  <si>
    <t xml:space="preserve"> غطاء غرفة تفتيش بقاعدة الغطاء S </t>
  </si>
  <si>
    <t xml:space="preserve"> جسم غرفة تفتيش بالطبات والجوانات S </t>
  </si>
  <si>
    <t xml:space="preserve"> غطاء بالفريم 50 سم * 50 سم S </t>
  </si>
  <si>
    <t xml:space="preserve"> غطاء 60*60 سم بالفريم S </t>
  </si>
  <si>
    <t xml:space="preserve"> غرفة تفتيش 60*60 سم S </t>
  </si>
  <si>
    <t xml:space="preserve"> علاية مصمتة لغرفة تفتيش 60*60 سم S </t>
  </si>
  <si>
    <t xml:space="preserve"> علاية بمدخلين 110 مم لغرفة تفتيش 60*60 سم S </t>
  </si>
  <si>
    <t xml:space="preserve"> بيبه رمادي 75/50 </t>
  </si>
  <si>
    <t xml:space="preserve"> علاية بيبه رمادي بغطاء ستانلس ستيل 107 مم</t>
  </si>
  <si>
    <t xml:space="preserve"> علاية بيبه رمادي بغطاء ستانلس ستيل 150 مم</t>
  </si>
  <si>
    <t xml:space="preserve"> غطاء بالفريم 60 سم * 60 سم اخضر S </t>
  </si>
  <si>
    <t xml:space="preserve"> غطاء 6060 سم + قاعدة غرفة تفتيش 6060 سم S </t>
  </si>
  <si>
    <t xml:space="preserve"> غرفة تفتيش 60*60 بدون علاية </t>
  </si>
  <si>
    <t xml:space="preserve"> غرفة رفع 60*60 سم سمارت هوم تشمل طلمبة </t>
  </si>
  <si>
    <t xml:space="preserve"> غرفة رفع 60*60 سم سمارت هوم كاملة بدون طلمبة </t>
  </si>
  <si>
    <t xml:space="preserve"> مانع ارتداد 110 مم - S </t>
  </si>
  <si>
    <t xml:space="preserve"> مانع ارتداد 160 مم - S </t>
  </si>
  <si>
    <t xml:space="preserve"> مجرى بطول 1 متر بالغطاء S </t>
  </si>
  <si>
    <t xml:space="preserve"> مجرى بطول 1 متر بغطاء ستانلس ستيل 304 S </t>
  </si>
  <si>
    <t xml:space="preserve"> كيسيل بداية ونهاية + مخرج S </t>
  </si>
  <si>
    <t xml:space="preserve"> غطاء مجرى مائي 50 سم S </t>
  </si>
  <si>
    <t xml:space="preserve"> كيسيل بداية ونهاية ومخرج مجرى 1متر * 20سم S </t>
  </si>
  <si>
    <t xml:space="preserve"> مخرج جانبي 75 مم للمجرى المائي S </t>
  </si>
  <si>
    <t xml:space="preserve"> مخرج جانبي 110 مم للمجرى المائي S </t>
  </si>
  <si>
    <t xml:space="preserve"> مشترك مجرى مائي S </t>
  </si>
  <si>
    <t xml:space="preserve"> مجرى مائي 1متر * 20 سم S </t>
  </si>
  <si>
    <t xml:space="preserve"> مجرى مائي 1متر * 20 سم بدون غطاء S </t>
  </si>
  <si>
    <t xml:space="preserve"> مجرى مائي 1متر * 20 سم بغطاء زهر S </t>
  </si>
  <si>
    <t xml:space="preserve"> مجرى مائي متعدد 12 سم * 1 متر S </t>
  </si>
  <si>
    <t xml:space="preserve"> مجرى مائي متعدد بغطاء ستانلس 12 سم * 1 متر S </t>
  </si>
  <si>
    <t xml:space="preserve"> مخرج انثى 75 مم مجرى مائي متعدد + بداية ونهاية S </t>
  </si>
  <si>
    <t xml:space="preserve"> مخرج ذكر 75 مم مجرى مائي متعدد + بداية ونهاية S </t>
  </si>
  <si>
    <t xml:space="preserve"> مسلوب لمركز تصريف 75/110 جوان + بداية ونهاية S </t>
  </si>
  <si>
    <t xml:space="preserve"> وصلة زاوية 22.5 درجة لمجرى مائي متعدد S </t>
  </si>
  <si>
    <t xml:space="preserve"> مسلوب 4/3" / 32 مم</t>
  </si>
  <si>
    <t xml:space="preserve"> مسلوب 4/3" / 1" S </t>
  </si>
  <si>
    <t xml:space="preserve"> مسلوب 48/50 مم</t>
  </si>
  <si>
    <t xml:space="preserve"> مسلوب 1 بوصة / 48 مم</t>
  </si>
  <si>
    <t xml:space="preserve"> مسلوب 3 بوصة / 75 مم</t>
  </si>
  <si>
    <t xml:space="preserve"> مسلوب 3 بوصة / 90 مم</t>
  </si>
  <si>
    <t xml:space="preserve"> مسلوب 32/48 مم</t>
  </si>
  <si>
    <t xml:space="preserve"> مسلوب 48/60 مم</t>
  </si>
  <si>
    <t xml:space="preserve"> مسلوب 48/75 مم</t>
  </si>
  <si>
    <t xml:space="preserve"> مسلوب مركزي 60/63 مم</t>
  </si>
  <si>
    <t xml:space="preserve"> مسلوب 75/60 مم</t>
  </si>
  <si>
    <t xml:space="preserve"> مسلوب مركزي 75/90 مم</t>
  </si>
  <si>
    <t xml:space="preserve"> مسلوب مركزي 110/48 مم</t>
  </si>
  <si>
    <t xml:space="preserve"> مسلوب 60/110 مم</t>
  </si>
  <si>
    <t xml:space="preserve"> مسلوب 110/75 مم</t>
  </si>
  <si>
    <t xml:space="preserve"> مسلوب مركزي 110/90 مم</t>
  </si>
  <si>
    <t xml:space="preserve"> مسلوب 110/160 مم</t>
  </si>
  <si>
    <t xml:space="preserve"> بوش 110/114 مم</t>
  </si>
  <si>
    <t xml:space="preserve"> مجمع 110/48 مم مفتوح المخارج S </t>
  </si>
  <si>
    <t xml:space="preserve"> مجمع 110/60 مم مفتوح المخارج S </t>
  </si>
  <si>
    <t xml:space="preserve"> مجمع بيبة 75/110 مم مفتوحة المخارج S </t>
  </si>
  <si>
    <t xml:space="preserve"> جرجوري مطر 75 مم</t>
  </si>
  <si>
    <t xml:space="preserve"> جرجوري مطر 110 مم</t>
  </si>
  <si>
    <t xml:space="preserve"> وصلة تمدد 75 مم</t>
  </si>
  <si>
    <t xml:space="preserve"> وصلة تمدد 110 مم</t>
  </si>
  <si>
    <t xml:space="preserve"> وصلة تمدد 160 مم</t>
  </si>
  <si>
    <t xml:space="preserve"> جلبة اصلاح بوصلة تمدد 75 مم</t>
  </si>
  <si>
    <t xml:space="preserve"> جلبة اصلاح بوصلة تمدد 110 مم</t>
  </si>
  <si>
    <t xml:space="preserve"> جلبة اصلاح بوصلة تمدد 160 مم</t>
  </si>
  <si>
    <t xml:space="preserve"> جلبة إصلاح 160 مم بدون وصلة تمدد S </t>
  </si>
  <si>
    <t xml:space="preserve"> جلبة إصلاح 110 مم بدون وصلة تمدد S </t>
  </si>
  <si>
    <t xml:space="preserve"> رقبة بيبة 110 مم 15*15 S </t>
  </si>
  <si>
    <t xml:space="preserve"> رقبة بيبة 125 مم 20*20 S </t>
  </si>
  <si>
    <t xml:space="preserve"> بيبه بالبرقع 48/60 مفتوحة المخارج S </t>
  </si>
  <si>
    <t xml:space="preserve"> بيبه بالبرقع 75/48 مفتوحة المخارج S </t>
  </si>
  <si>
    <t xml:space="preserve"> بيبه بالبرقع 60/60 مفتوحة المخارج S </t>
  </si>
  <si>
    <t xml:space="preserve"> بيبه بالبرقع 75/60 مفتوحة المخارج S </t>
  </si>
  <si>
    <t xml:space="preserve"> طبة تسليك صرف 60 مم</t>
  </si>
  <si>
    <t xml:space="preserve"> طبة تسليك 63 مم</t>
  </si>
  <si>
    <t xml:space="preserve"> طبة تسليك صرف 75 مم</t>
  </si>
  <si>
    <t xml:space="preserve"> طبة تسليك 90 مم</t>
  </si>
  <si>
    <t xml:space="preserve"> طبة تسليك صرف 110 مم</t>
  </si>
  <si>
    <t xml:space="preserve"> طبة تسليك صرف 160 مم</t>
  </si>
  <si>
    <t xml:space="preserve"> طبة قطع الصرف 48 مم</t>
  </si>
  <si>
    <t xml:space="preserve"> طبة قطع الصرف 60 مم</t>
  </si>
  <si>
    <t xml:space="preserve"> طبة قطع الصرف 63 مم</t>
  </si>
  <si>
    <t xml:space="preserve"> طبة قطع الصرف 75 مم</t>
  </si>
  <si>
    <t xml:space="preserve"> طبة قطع الصرف 160 مم</t>
  </si>
  <si>
    <t xml:space="preserve"> طبة مواسير 4/3 بوصة</t>
  </si>
  <si>
    <t xml:space="preserve"> طبة مواسير 1 بوصة</t>
  </si>
  <si>
    <t xml:space="preserve"> طبة مواسير 32 مم</t>
  </si>
  <si>
    <t xml:space="preserve"> طبة مواسير 48 مم</t>
  </si>
  <si>
    <t xml:space="preserve"> طبة مواسير 60 مم</t>
  </si>
  <si>
    <t xml:space="preserve"> طبة مواسير 75 مم</t>
  </si>
  <si>
    <t xml:space="preserve"> طبة مواسير 90 مم</t>
  </si>
  <si>
    <t xml:space="preserve"> طبة ماسورة 110 مم</t>
  </si>
  <si>
    <t xml:space="preserve"> طبة مواسير 160 مم</t>
  </si>
  <si>
    <t xml:space="preserve"> جاليتراپ 110/75/75 مخرج 110 مفتوح S </t>
  </si>
  <si>
    <t xml:space="preserve"> جاليتراپ 110/75/75 مخرج 110 مغلق S </t>
  </si>
  <si>
    <t xml:space="preserve"> جاليتراپ 110/110 مفتوح S </t>
  </si>
  <si>
    <t xml:space="preserve"> جاليتراپ 110/110 مغلق S </t>
  </si>
  <si>
    <t xml:space="preserve"> علاية إضافية للجاليتراپ بطول 20 سم S </t>
  </si>
  <si>
    <t xml:space="preserve"> قفيز حديد مجلفن 60 مم + مسمار وفيشر </t>
  </si>
  <si>
    <t xml:space="preserve"> قفيز حديد مجلفن 75 مم + مسمار وفيشر </t>
  </si>
  <si>
    <t xml:space="preserve"> قفيز حديد مجلفن 110 مم + مسمار وفيشر </t>
  </si>
  <si>
    <t xml:space="preserve"> قفيز حديد مجلفن 160 مم + مسمار وفيشر </t>
  </si>
  <si>
    <t xml:space="preserve"> قفيز حديد مجلفن 50 مم + مسمار وفيشر </t>
  </si>
  <si>
    <t xml:space="preserve"> قفيز حديد مجلفن 32 مم + مسمار وفيشر </t>
  </si>
  <si>
    <t xml:space="preserve"> قفيز حديد مجلفن 25 مم + مسمار وفيشر </t>
  </si>
  <si>
    <t xml:space="preserve"> سيفون 63 S </t>
  </si>
  <si>
    <t xml:space="preserve"> سيفون 75 مم</t>
  </si>
  <si>
    <t xml:space="preserve"> سيفون 110 مم</t>
  </si>
  <si>
    <t xml:space="preserve"> سيفون 110 / 114 مم</t>
  </si>
  <si>
    <t xml:space="preserve"> سيفون 75 بباب كشف S </t>
  </si>
  <si>
    <t xml:space="preserve"> سيفون 110/114 بباب كشف S </t>
  </si>
  <si>
    <t xml:space="preserve"> هواية 60 مم</t>
  </si>
  <si>
    <t xml:space="preserve"> هواية 75 مم</t>
  </si>
  <si>
    <t xml:space="preserve"> هواية 110 مم</t>
  </si>
  <si>
    <t xml:space="preserve"> جلبة 4/3 بوصة</t>
  </si>
  <si>
    <t xml:space="preserve"> جلبة صرف 1 بوصة</t>
  </si>
  <si>
    <t xml:space="preserve"> جلبة صرف 32 مم</t>
  </si>
  <si>
    <t xml:space="preserve"> جلبة صرف 48 مم</t>
  </si>
  <si>
    <t xml:space="preserve"> جلبة صرف 50 مم</t>
  </si>
  <si>
    <t xml:space="preserve"> جلبة صرف 63 مم</t>
  </si>
  <si>
    <t xml:space="preserve"> جلبة صرف 90 مم</t>
  </si>
  <si>
    <t xml:space="preserve"> جلبة صرف 75 مم</t>
  </si>
  <si>
    <t xml:space="preserve"> جلبة صرف 110 مم</t>
  </si>
  <si>
    <t xml:space="preserve"> جلبة صرف 160 مم</t>
  </si>
  <si>
    <t xml:space="preserve"> مسلوب لا مركزي 60/90 مم</t>
  </si>
  <si>
    <t xml:space="preserve"> مسلوب لا مركزي 63/90 مم</t>
  </si>
  <si>
    <t xml:space="preserve"> مسلوب لا مركزي 75/90 مم</t>
  </si>
  <si>
    <t xml:space="preserve"> مسلوب لا مركزي 60/110 مم</t>
  </si>
  <si>
    <t xml:space="preserve"> مسلوب لا مركزي 63/110 مم</t>
  </si>
  <si>
    <t xml:space="preserve"> مسلوب لا مركزي 75/110 مم</t>
  </si>
  <si>
    <t xml:space="preserve"> مسلوب لا مركزي 90/110 مم</t>
  </si>
  <si>
    <t xml:space="preserve"> مسلوب لا مركزي 48/110 مم</t>
  </si>
  <si>
    <t xml:space="preserve"> مسلوب لا مركزي 110/160 مم</t>
  </si>
  <si>
    <t xml:space="preserve"> مسلوب لا مركزي بجوان 50/60 مم</t>
  </si>
  <si>
    <t xml:space="preserve"> مسلوب لا مركزي بجوان 50/63 مم</t>
  </si>
  <si>
    <t xml:space="preserve"> مسلوب لا مركزي بجوان 60/63 مم</t>
  </si>
  <si>
    <t xml:space="preserve"> مشترك صليبة قصير 60/60 مم 87.5 درجة S </t>
  </si>
  <si>
    <t xml:space="preserve"> مشترك صليبة قصير 63/63 مم 87.5 درجة S </t>
  </si>
  <si>
    <t xml:space="preserve"> مشترك صليبة قصير 63/90 مم 87.5 درجة S </t>
  </si>
  <si>
    <t xml:space="preserve"> مشترك صليبة قصير 90/90 مم 87.5 درجة S </t>
  </si>
  <si>
    <t xml:space="preserve"> مشترك صليبة قصير 110/110 مم 87.5 درجة S </t>
  </si>
  <si>
    <t xml:space="preserve"> مشترك صليبة قصير 160/160 مم 87.5 درجة S </t>
  </si>
  <si>
    <t xml:space="preserve"> مشترك صليبة قصير 48/110 مم 87.5 درجة S </t>
  </si>
  <si>
    <t xml:space="preserve"> مشترك صليبة قصير 60/110 مم 87.5 درجة S </t>
  </si>
  <si>
    <t xml:space="preserve"> مشترك صليبة قصير 63/110 مم 87.5 درجة S </t>
  </si>
  <si>
    <t xml:space="preserve"> مشترك صليبة قصير 75/110 مم 87.5 درجة S </t>
  </si>
  <si>
    <t xml:space="preserve"> مشترك صليبة قصير 90/110 مم 87.5 درجة S </t>
  </si>
  <si>
    <t xml:space="preserve"> مشترك قصير 48/110 مم 87.5 درجة S </t>
  </si>
  <si>
    <t xml:space="preserve"> مشترك قصير 60/110 مم 87.5 درجة S </t>
  </si>
  <si>
    <t xml:space="preserve"> مشترك قصير 63/110 مم 87.5 درجة S </t>
  </si>
  <si>
    <t xml:space="preserve"> مشترك قصير 75/110 مم 87.5 درجة S </t>
  </si>
  <si>
    <t xml:space="preserve"> مشترك قصير 90/110 مم 87.5 درجة S </t>
  </si>
  <si>
    <t>مواسير لحام 32مم 4م BR PN10</t>
  </si>
  <si>
    <t>مواسير لحام 50مم 4م BR PN10</t>
  </si>
  <si>
    <t>مواسير لحام 63مم 4م BR PN10</t>
  </si>
  <si>
    <t>مواسير لحام 75مم 4م BR PN10</t>
  </si>
  <si>
    <t>مواسير لحام 90مم 4م BR PN10</t>
  </si>
  <si>
    <t>مواسير لحام 110مم 4م BR PN10</t>
  </si>
  <si>
    <t>مواسير لحام 160مم 4م BR PN10</t>
  </si>
  <si>
    <t>مواسير لحام 20مم 4م BR BR PN20</t>
  </si>
  <si>
    <t>مواسير لحام 25مم 4م BR BR PN20</t>
  </si>
  <si>
    <t>مواسير لحام 32مم 4م BR BR PN20</t>
  </si>
  <si>
    <t>مواسير لحام 40مم 4م BR BR PN20</t>
  </si>
  <si>
    <t>مواسير لحام 50مم 4م BR BR PN20</t>
  </si>
  <si>
    <t>مواسير لحام 63مم 4م BR BR PN20</t>
  </si>
  <si>
    <t>مواسير لحام 75مم 4م BR BR PN20</t>
  </si>
  <si>
    <t>مواسير لحام 90مم 4م BR BR PN20</t>
  </si>
  <si>
    <t>مواسير لحام 110مم 4م BR BR PN20</t>
  </si>
  <si>
    <t>مواسير لحام 160مم 4م BR BR PN20</t>
  </si>
  <si>
    <t>مواسير لحام 20مم 4م BR PN16</t>
  </si>
  <si>
    <t>مواسير لحام 25مم 4م BR PN16</t>
  </si>
  <si>
    <t>مواسير لحام 32مم 4م BR PN16</t>
  </si>
  <si>
    <t>مواسير لحام 40مم 4م BR PN16</t>
  </si>
  <si>
    <t>مواسير لحام 50مم 4م BR PN16</t>
  </si>
  <si>
    <t>مواسير لحام 63مم 4م BR PN16</t>
  </si>
  <si>
    <t>مواسير لحام 75مم 4م BR PN16</t>
  </si>
  <si>
    <t>مواسير لحام 90مم 4م BR PN16</t>
  </si>
  <si>
    <t>مواسير لحام 110مم 4م BR PN16</t>
  </si>
  <si>
    <t>مواسير لحام 160مم 4م BR PN16</t>
  </si>
  <si>
    <t>مواسير لحام فايبر 20مم 4م BR BR PN20</t>
  </si>
  <si>
    <t>مواسير لحام فايبر 25 مم 4م BR BR PN20</t>
  </si>
  <si>
    <t>مواسير لحام فايبر 32مم 4م BR BR PN20</t>
  </si>
  <si>
    <t>مواسير لحام فايبر 40مم 4م BR BR PN20</t>
  </si>
  <si>
    <t>مواسير لحام فايبر 50مم 4م BR BR PN20</t>
  </si>
  <si>
    <t>مواسير لحام فايبر 63مم 4م BR BR PN20</t>
  </si>
  <si>
    <t>مواسير لحام فايبر 75مم 4م BR BR PN20</t>
  </si>
  <si>
    <t>مواسير لحام فايبر 90مم 4م BR BR PN20</t>
  </si>
  <si>
    <t>مواسير لحام فايبر 110مم 4م BR BR PN20</t>
  </si>
  <si>
    <t>مواسير لحام فايبر 20مم 4م BR PN16</t>
  </si>
  <si>
    <t>مواسير لحام فايبر 25 مم 4م BR PN16</t>
  </si>
  <si>
    <t>مواسير لحام فايبر 32مم 4م BR PN16</t>
  </si>
  <si>
    <t>مواسير لحام فايبر 40مم 4م BR PN16</t>
  </si>
  <si>
    <t>مواسير لحام فايبر 50مم 4م BR PN16</t>
  </si>
  <si>
    <t>مواسير لحام فايبر 63مم 4م BR PN16</t>
  </si>
  <si>
    <t>مواسير لحام فايبر 75مم 4م BR PN16</t>
  </si>
  <si>
    <t>مواسير لحام فايبر 90مم 4م BR PN16</t>
  </si>
  <si>
    <t>مواسير لحام فايبر 110مم 4م BR PN16</t>
  </si>
  <si>
    <t xml:space="preserve">مواسير الومنيوم أسود 20 مم BR PN20 </t>
  </si>
  <si>
    <t>مواسير الومنيوم أسود 25 مم BR PN20</t>
  </si>
  <si>
    <t>BR PN20 مواسير الومنيوم أسود 32 مم</t>
  </si>
  <si>
    <t>مواسير الومنيوم أسود 50 مم BR PN 20</t>
  </si>
  <si>
    <t>مواسير الومنيوم أسود 63 مم BR PN20</t>
  </si>
  <si>
    <t>كوع لحام 45 درجة 20 مم BR</t>
  </si>
  <si>
    <t>كوع لحام 45 درجة 25 مم BR</t>
  </si>
  <si>
    <t>كوع لحام 45 درجة 32 مم BR</t>
  </si>
  <si>
    <t>كوع لحام 45 درجة 40 مم BR</t>
  </si>
  <si>
    <t>كوع لحام 45 درجة 50 مم BR</t>
  </si>
  <si>
    <t>كوع لحام 45 درجة 63 مم BR</t>
  </si>
  <si>
    <t>كوع لحام 45 درجة 75 مم BR</t>
  </si>
  <si>
    <t>كوع لحام 45 درجة 90 مم BR</t>
  </si>
  <si>
    <t>كوع لحام 45 درجة 110 مم BR</t>
  </si>
  <si>
    <t>كوع لحام 45 درجة 160 مم BR</t>
  </si>
  <si>
    <t>كوع لحام 20 مم 90</t>
  </si>
  <si>
    <t>كوع لحام 25 مم 90</t>
  </si>
  <si>
    <t>كوع لحام 32 مم 90</t>
  </si>
  <si>
    <t>كوع لحام 40 مم 90</t>
  </si>
  <si>
    <t>كوع لحام 50 مم 90</t>
  </si>
  <si>
    <t>كوع لحام 63 مم 90</t>
  </si>
  <si>
    <t>كوع لحام 75 مم 90</t>
  </si>
  <si>
    <t>كوع لحام 90 مم 90</t>
  </si>
  <si>
    <t>كوع لحام 110 مم 90</t>
  </si>
  <si>
    <t>كوع لحام 160 مم 90</t>
  </si>
  <si>
    <t>الكود</t>
  </si>
  <si>
    <t>البيان</t>
  </si>
  <si>
    <t>وصله استانلس كروم ۲۰ سم دوت بلس</t>
  </si>
  <si>
    <t>كيسيل</t>
  </si>
  <si>
    <t>سمارت هوم</t>
  </si>
  <si>
    <t>1831 75</t>
  </si>
  <si>
    <t>كوع 50 مم 45 كيسيل</t>
  </si>
  <si>
    <t>كوع 63 مم 45 كيسيل</t>
  </si>
  <si>
    <t>كوع 75 مم 45 كيسيل</t>
  </si>
  <si>
    <t>كوع 110 مم 45 كيسيل</t>
  </si>
  <si>
    <t>كوع 160 مم 45 كيسيل</t>
  </si>
  <si>
    <t>كوع 32 مم 87.5 كيسيل</t>
  </si>
  <si>
    <t>كوع 63 مم 87.5 كيسيل</t>
  </si>
  <si>
    <t>مسلوب لا مركزي 50/32 مم كيسيل</t>
  </si>
  <si>
    <t>32 25</t>
  </si>
  <si>
    <t>241 75</t>
  </si>
  <si>
    <t>كوع 4*3 45 سمارت هوم</t>
  </si>
  <si>
    <t>كوع 4*3 87.5 سمارت هوم</t>
  </si>
  <si>
    <t>مشترك 4/3" 45 سمارت هوم</t>
  </si>
  <si>
    <t>مشترك 4/387.5 سمارت هوم</t>
  </si>
  <si>
    <t>مسلوب 4/3 * 1 سمارت هوم</t>
  </si>
  <si>
    <t>مسلوب مرکز 60/63 سمارت هوم</t>
  </si>
  <si>
    <t>كوع نزل نحاس بلازا</t>
  </si>
  <si>
    <t>حنفيه بليه ايطالي ١/٢</t>
  </si>
  <si>
    <t>حنفيه بليه ايطالى ٣/٤</t>
  </si>
  <si>
    <t>حنفيه بليه ايطالي كبيره لوكس ١</t>
  </si>
  <si>
    <t>مشترك نيكل مدور ۱/۲ شيلد</t>
  </si>
  <si>
    <t>بوش ۱/۲*۳/٤ استانلس</t>
  </si>
  <si>
    <t>بوش 3/4*١ انفت مجلفن</t>
  </si>
  <si>
    <t>بوش نيكل ١/٢*٣/٨</t>
  </si>
  <si>
    <t>نبل نيكل شجره لوكس ١/٢</t>
  </si>
  <si>
    <t>مانيجا سوسته ايطالي</t>
  </si>
  <si>
    <t>سيفون مفرد حله مصري بلاستيك 3"</t>
  </si>
  <si>
    <t>سيفون حله بلاستيك ايطالى 3"</t>
  </si>
  <si>
    <t>قلب خلاط هاند میکسر عاده ۳۲ مم</t>
  </si>
  <si>
    <t>قلب خلاط هاند میکسر عاده ٥٠ مم</t>
  </si>
  <si>
    <t>قلب خلاط هاند ميكسر بكعب ٥٠ مم تركي</t>
  </si>
  <si>
    <t>طقم سنترك مفتاح وجه دائري بلازا</t>
  </si>
  <si>
    <t>قلب خلاط مشرشر ٣ لنيه ايطالي</t>
  </si>
  <si>
    <t>قلب خلاط مشرشر ٣٠٥ لنيه ايطالي</t>
  </si>
  <si>
    <t>قلب خلاط مشرشر ۱/۲ موديل ايطالي صناعه صيني</t>
  </si>
  <si>
    <t>قلب خلاط سيراميك ١/٢</t>
  </si>
  <si>
    <t>قلب خلاط مشرشر ۱/۲ موديل الماني صناعه صيني</t>
  </si>
  <si>
    <t>قلب خلاط مشرشر ۱/۲ موديل الماني صناعه ايطالي</t>
  </si>
  <si>
    <t>ماكينه فونتانا ضغط هواء خضراء تقليد كليوباترا حنفيه عمودي ۲</t>
  </si>
  <si>
    <t>عوامه ضاغط دیورافیت</t>
  </si>
  <si>
    <t>ماكينه طرد ديورافيت</t>
  </si>
  <si>
    <t>ضاغط ماكينه ديورافيت</t>
  </si>
  <si>
    <t>كاوتشه سيلكون ديورافيت</t>
  </si>
  <si>
    <t>كاوتشه خزان دیورافیت</t>
  </si>
  <si>
    <t>عوامه ضاغط نيو اكوافليكس GV40105NU ايديال</t>
  </si>
  <si>
    <t>غطاء بيبه ۱۰*۱۰ سم قابل للتبليط ليزر</t>
  </si>
  <si>
    <t>غراء G4 - حار ٨/ك</t>
  </si>
  <si>
    <t>غراء G4 - حار ١/٤ك</t>
  </si>
  <si>
    <t>علبه شحم نباتي كبيره</t>
  </si>
  <si>
    <t>مسمار سخان توب</t>
  </si>
  <si>
    <t>جلبه تطويل ۱/۲*۱/۲ ۱۰ سم</t>
  </si>
  <si>
    <t>محبس زاويه جلاكسى ذهبي ترکی</t>
  </si>
  <si>
    <t>محبس زاویه جلاكسى اسود ترکی</t>
  </si>
  <si>
    <t>محبس زاویه مجوز ۲ کره شیلد</t>
  </si>
  <si>
    <t>شيك بلف سخان ايطالي ۱/۲</t>
  </si>
  <si>
    <t>وش مدور اسود</t>
  </si>
  <si>
    <t>وش مدور ذهبي</t>
  </si>
  <si>
    <t>مسمار قاعده کارت</t>
  </si>
  <si>
    <t>مسمار قاعده كليوباترا جنب بلاستيك</t>
  </si>
  <si>
    <t>بكره عازل تايواني</t>
  </si>
  <si>
    <t>غطاء بيبه ۱۰*۱۰ بشيك بلف</t>
  </si>
  <si>
    <t>كابولي حديد لحوض ۱۰۰ سم</t>
  </si>
  <si>
    <t>كاوتشه مسلوبه ٥٠*٣٢</t>
  </si>
  <si>
    <t>کارتشه مسلوبه ٤٠*٦٣</t>
  </si>
  <si>
    <t>کارتشه مسلوبه ٣٢*٦٣</t>
  </si>
  <si>
    <t>مشترك فلتر</t>
  </si>
  <si>
    <t>مشترك نيكل ١/٢ PG</t>
  </si>
  <si>
    <t>لاكور فلتر وصله سريعه</t>
  </si>
  <si>
    <t>كوع فلتر</t>
  </si>
  <si>
    <t>محبس فلتر ١/٤</t>
  </si>
  <si>
    <t>جلبه فلتر ١/٤*١/٢</t>
  </si>
  <si>
    <t>حنفیه فلتر هاند میکسر رخامي لوكس</t>
  </si>
  <si>
    <t>حنفيه فلتر صغير بكاوتشه الفلتر</t>
  </si>
  <si>
    <t>طقم شمع تانك ٤ قطع</t>
  </si>
  <si>
    <t>شمع فلتر مرحله اولي تانك</t>
  </si>
  <si>
    <t>طقم اكسسوار ٦ قطع كود EC150 اسود انفنتي</t>
  </si>
  <si>
    <t>قنطره خلاط شجره هاند میکسر طويله</t>
  </si>
  <si>
    <t>قنطره خلاط شجره هاند میکسر قصيره</t>
  </si>
  <si>
    <t>فلتر قنطره سن خارجي كارت</t>
  </si>
  <si>
    <t>خزان دفن جروهي كامل ۳۸۷۷۲۰۰۱ وش مربع</t>
  </si>
  <si>
    <t>مجموعه صرف خزان دفن</t>
  </si>
  <si>
    <t>كوع نيكل ذكر بسن مدور ۱/۲*۱/۲ شيلد</t>
  </si>
  <si>
    <t>قله ماكينه ضاغط يونيفرسال GV40201AA ايديال</t>
  </si>
  <si>
    <t>هد شطاف ابيض ايطالي</t>
  </si>
  <si>
    <t>هد شطاف ابيض تركي</t>
  </si>
  <si>
    <t>هد شطاف نيكل تركي</t>
  </si>
  <si>
    <t>هاندل شطاف اسود 963104NU أيديال</t>
  </si>
  <si>
    <t>كاوتشه قله ايديال</t>
  </si>
  <si>
    <t>سماعه قلم کروم فييرا تركي</t>
  </si>
  <si>
    <t>سماعه شنطه رمادي فييرا تركي</t>
  </si>
  <si>
    <t>سماعه شنطه اسود فييرا تركي</t>
  </si>
  <si>
    <t>سماعه دش صفوه هد صغير جولد</t>
  </si>
  <si>
    <t>سماعه لوكس ايطالي</t>
  </si>
  <si>
    <t>شطاف اتوماتيك كروم فييرا تركي</t>
  </si>
  <si>
    <t>شطاف اوتوماتيك هد بلاستيك ذهبي لا فيتا ايطالي</t>
  </si>
  <si>
    <t>خرطوم دش صيني ١٥٠ سم</t>
  </si>
  <si>
    <t>حوض 1 عين 1 صفايه 50*۱۰۰ سم ثقيل المنار</t>
  </si>
  <si>
    <t>كوع نيكل ۱/۲ مدور شیلد</t>
  </si>
  <si>
    <t>طابق حوض تاتش ١١/٤ ايطالي</t>
  </si>
  <si>
    <t>سیفون مجوز ميجا فلکس 3" توتونجي</t>
  </si>
  <si>
    <t>طابق حوض تاتش ١١/٤ الياسمين</t>
  </si>
  <si>
    <t>طابق حوض تاتش ١١/٤ روكا</t>
  </si>
  <si>
    <t>كوع شاور طاسه دفن مربع ۳۰ سم</t>
  </si>
  <si>
    <t>كوع شاور طاسه دفن مربع ٤٠ سم</t>
  </si>
  <si>
    <t>طاسه دش مربعه ثقيله استانلس ۲۰* ۲۰ لوكس</t>
  </si>
  <si>
    <t>طاسه دش مربعه ثقيله استانلس ٢٥* ٢٥ لوكس</t>
  </si>
  <si>
    <t>اکره خلاط ثقيله</t>
  </si>
  <si>
    <t>متر خرطوم فلتر</t>
  </si>
  <si>
    <t>خرطوم صرف غساله ١,٥م موديل تركي</t>
  </si>
  <si>
    <t>غطاء بلاستيك ٥٠ سم * 50 سم</t>
  </si>
  <si>
    <t>غطاء بلاستيك ٦٠سم* ٦٠سم مجوز</t>
  </si>
  <si>
    <t>غطاء جي ار بي ٦٠*٦٠ سم حموله ٤ طن اسود</t>
  </si>
  <si>
    <t>غراء ويلد اون ۷۱۷ بارد ۸/1ك</t>
  </si>
  <si>
    <t>غراء ويلد اون ۷۱۷ بارد ١/٤ك</t>
  </si>
  <si>
    <t>غراء فيكس بوند حار ميني ( عبوة التوفير)</t>
  </si>
  <si>
    <t>نبل نيكل ٣/٤ * ١/٢</t>
  </si>
  <si>
    <t>محول مسطره نحاس ۱/۲*۱/۲</t>
  </si>
  <si>
    <t>حنفیه عمودی ۱/۲ اسانسير SIAMP</t>
  </si>
  <si>
    <t>وش + جسم الدفن بمحول لخلاط بانیو ۲۹۰۳۹۰۰۰ باوايدج جروهي</t>
  </si>
  <si>
    <t>عوامه زهران بلاستيك ١*٣/٤</t>
  </si>
  <si>
    <t>مدخنه سخان ٤</t>
  </si>
  <si>
    <t>مدخنه سخان 5</t>
  </si>
  <si>
    <t>اکره خلاط هاند میکسر</t>
  </si>
  <si>
    <t>مسمار سديلي الشناوي</t>
  </si>
  <si>
    <t>مسمار سديلي تقليد ايديال وديورافيت</t>
  </si>
  <si>
    <t>افيز دوبل ٣/٤ بولي منوع</t>
  </si>
  <si>
    <t>جاليتراب زيركو ۳۰ سم* ۳۰ سم</t>
  </si>
  <si>
    <t>جاليتراب زيركو ٤٠ سم *٤٠ سم</t>
  </si>
  <si>
    <t>قشره لصق ۳۲ مم* ۱</t>
  </si>
  <si>
    <t>قشره لصق ٥٠ مم* ١١/٢</t>
  </si>
  <si>
    <t>قشره لصق ٦٣مم* ٢ "</t>
  </si>
  <si>
    <t>قشره بسن داخلي ٢*٦٣</t>
  </si>
  <si>
    <t>قشره بسن داخلي ٥٠ مم* ١١/٢</t>
  </si>
  <si>
    <t>سوسته تسليك ۱,5 متر اسود</t>
  </si>
  <si>
    <t>مانيجا سوسته ترکی</t>
  </si>
  <si>
    <t>سيفون مفرد بصاموله بلاستيك نيك دانيللو ايطالي ١١/٢</t>
  </si>
  <si>
    <t>حنفيه عمودی اسانسیر صینی با بلاستيك ١/٢</t>
  </si>
  <si>
    <t>نبل نحاس خفيف ٣/٤</t>
  </si>
  <si>
    <t>جلبه نيكل عاده ٣/٤ * ١/٢</t>
  </si>
  <si>
    <t>فايظ حله ۱۱/۲ مشترك فايظ خرطوم</t>
  </si>
  <si>
    <t>مسمار حوض لوكس طويل توب</t>
  </si>
  <si>
    <t>لاكور حنفيه ١/٢</t>
  </si>
  <si>
    <t>لاكور حنفيه ٣/٤</t>
  </si>
  <si>
    <t>فلتر مياه 5 مراحل تانك</t>
  </si>
  <si>
    <t>فلتر ٦ مرحله برو تانك</t>
  </si>
  <si>
    <t>عازل سيكا ۱۰۷</t>
  </si>
  <si>
    <t>فلتر خلاط سوسته جامبو</t>
  </si>
  <si>
    <t>قنطره كوافير سوسته متحركه الوان</t>
  </si>
  <si>
    <t>طبه حوض نيكل</t>
  </si>
  <si>
    <t>صاموله قنطره هاند میکسر مبططه</t>
  </si>
  <si>
    <t>صامولة زنق نحاس ١/٢</t>
  </si>
  <si>
    <t>صاموله زنق نحاس 1"</t>
  </si>
  <si>
    <t>صاموله قلب هاند میکسر ٥٠ مم نحاس لوكس</t>
  </si>
  <si>
    <t>صاموله قلب هاند میکسر ۳۲ مم نحاس لوكس</t>
  </si>
  <si>
    <t>حنفيه بليه صينى ۱/۲</t>
  </si>
  <si>
    <t>کوع نزل نحاس بلازا</t>
  </si>
  <si>
    <t>حنفیه بلیه ايطالي ٣/٤</t>
  </si>
  <si>
    <t>سيفون كوبايه بلاستيك ١١/٤ توتونجي</t>
  </si>
  <si>
    <t>سيفون رالي بلس ۱۱/۲ توتونجي</t>
  </si>
  <si>
    <t>طقم سنترك خلاط متحرك</t>
  </si>
  <si>
    <t>غراء G4 حار ميني</t>
  </si>
  <si>
    <t>شمع فلتر كربون عاده</t>
  </si>
  <si>
    <t>شمع فلتر كربون شبك</t>
  </si>
  <si>
    <t>مجري شاور ۳۰ سم استانلس ٣٠٤ ليزر تبليط دوت بلس</t>
  </si>
  <si>
    <t>افيز فيشر ٤/ دوت بلس</t>
  </si>
  <si>
    <t>افيز فیشر ۱ دوت بلس</t>
  </si>
  <si>
    <t>افيز فیشر ۱۱/۲ دوت بلس</t>
  </si>
  <si>
    <t>افيز فيشر ۲ دوت بلس</t>
  </si>
  <si>
    <t>افيز فیشر ۲۱/۲ دوت بلس</t>
  </si>
  <si>
    <t>افيز فيشر 4" دوت بلس</t>
  </si>
  <si>
    <t>افيز فيشر ٦ دوت بلس</t>
  </si>
  <si>
    <t>نبل نيكل ۱/۲ دوت بلس</t>
  </si>
  <si>
    <t>بكرة تيفلون ٢٥ متر دوت بلس</t>
  </si>
  <si>
    <t>بكرة تيفلون ٥٠ متر جامبو دوت بلس</t>
  </si>
  <si>
    <t>وصله استانلس 3/8*3/8 40سم دوت بلس</t>
  </si>
  <si>
    <t>وصله استانلس ١/٢*٣/٨ 45سم دوت بلس</t>
  </si>
  <si>
    <t>جلبه تطويل نيكل ۱/۲*۱/۲ دوت بلس</t>
  </si>
  <si>
    <t>طبه نيكل نحاس ۱/۲ دوت بلس</t>
  </si>
  <si>
    <t>غطاء بيبه تاتش ١٥*١٥سم لوکس دوت بلس</t>
  </si>
  <si>
    <t>غطاء بيبه تانش ۲۰*۲۰ سم لوکس دوت بلس</t>
  </si>
  <si>
    <t>وش نيكل مدور عاده دوت بلس</t>
  </si>
  <si>
    <t>طقم مسمار حوض لوكس دوت بلس</t>
  </si>
  <si>
    <t>حنفيه بليه ۱/۲ دوت بلس</t>
  </si>
  <si>
    <t>سيفون 3" بالطابق دوت بلس</t>
  </si>
  <si>
    <t>جلبه نيكل ۱/۲*۳/۸ دوت بلس</t>
  </si>
  <si>
    <t>سیفون مفرد بصاموله بلاستيك 11/4 دوت بلس</t>
  </si>
  <si>
    <t>سيفون مفرد بصاموله بلاستيك ۱۱/۲ دوت بلس</t>
  </si>
  <si>
    <t>ماكينه كومبينيشن ضغط 2" دوت بلس</t>
  </si>
  <si>
    <t>شطاف اوتوماتيك ابيض دوت بلس</t>
  </si>
  <si>
    <t>غطاء بيبه ١٥*١٥ سم ليزر قابل للتبليط دوت بلس</t>
  </si>
  <si>
    <t>غطاء بيبه ۲۰*۲۰ سم قابل للتبليط ليزر دوت بلس</t>
  </si>
  <si>
    <t>طقم مسمار سخان لوکس دوت بلس</t>
  </si>
  <si>
    <t>خرطوم تغذیه غساله ١,٥م دوت بلس</t>
  </si>
  <si>
    <t>خلاط شطاف هاند میکسر ESS690 دوت ايفوك</t>
  </si>
  <si>
    <t>مشتمل محبس دفن دوت ثيرم</t>
  </si>
  <si>
    <t>جلبه تطويل محبس دفن دوت ثيرم</t>
  </si>
  <si>
    <t>محبس زاویه ۱/۲*۱/۲ بعلامه صغير دوت بلس</t>
  </si>
  <si>
    <t>مانيجا سوسته ٤ دوت بلس</t>
  </si>
  <si>
    <t>سيفون مجوز بصاموله بلاستيك ۲ دوت بلس</t>
  </si>
  <si>
    <t>محبس زاویه ۱/۲*۱/۲ مروحه دوت بلس</t>
  </si>
  <si>
    <t>خلاط بانيو هاند میکسر ESS400T دوت ايفوك</t>
  </si>
  <si>
    <t>خلاط حوض هاند میکسر قنطره قصيره ESS400B دوت ايفوك</t>
  </si>
  <si>
    <t>خلاط حوض هاند میکسر قنطره عاليه ESS400 دوت ايفوك</t>
  </si>
  <si>
    <t>خلاط حوض مسبك هاند ميكسر ESS400 دوت ايفوك</t>
  </si>
  <si>
    <t>خلاط حوض مسبك هاند ميكسر ESS300M دوت ايفوك</t>
  </si>
  <si>
    <t>خلاط حوض مسبك هاند ميكسر ESS110 دوت ايفوك</t>
  </si>
  <si>
    <t>مجري شاور ٥٠سم استانلس ٣٠٤ ليزر تبليط دوت بلس</t>
  </si>
  <si>
    <t>مجري شاور ٤٠ سم استانلس ٣٠٤ ليزر تبليط دوت بلس</t>
  </si>
  <si>
    <t>أحدث سعر</t>
  </si>
  <si>
    <t>السعر معدل</t>
  </si>
  <si>
    <t>النوع</t>
  </si>
  <si>
    <t>نواكل</t>
  </si>
  <si>
    <t>مجموعه عازل سمارت هوم</t>
  </si>
  <si>
    <t>ماسوره 32 مم كيسيل</t>
  </si>
  <si>
    <t>ماسوره 50 مم كيسيل</t>
  </si>
  <si>
    <t>ماسوره 75 مم كيسيل</t>
  </si>
  <si>
    <t>ماسوره 110 مم كيسيل</t>
  </si>
  <si>
    <t>ماسوره 160 مم طول 6 متر كيسيل</t>
  </si>
  <si>
    <t>ماسوره 63 مم كيسيل</t>
  </si>
  <si>
    <t>غطاء ماسوره 32 مم كيسيل</t>
  </si>
  <si>
    <t>ماسوره 32 مم 1.8 سمارت هوم</t>
  </si>
  <si>
    <t>ماسوره 48 مم 3.7 سمارت هوم</t>
  </si>
  <si>
    <t>ماسوره 60 /3.9 سمارت هوم</t>
  </si>
  <si>
    <t>شحم ماسوره 500 مل سمارت هوم</t>
  </si>
  <si>
    <t>باننجر</t>
  </si>
  <si>
    <t>كرنك لحام 25 مم باننجر</t>
  </si>
  <si>
    <t>كرنك قصير 25 مم باننجر</t>
  </si>
  <si>
    <t>مسلوب لحام 25/20 مم باننجر</t>
  </si>
  <si>
    <t>مسلوب لحام 32/20 مم باننجر</t>
  </si>
  <si>
    <t>مسلوب لحام 32/25 مم باننجر</t>
  </si>
  <si>
    <t>تى لحام 20 مم باننجر</t>
  </si>
  <si>
    <t>تي لحام 25 مم باننجر</t>
  </si>
  <si>
    <t>تى لحام 32 مم باننجر</t>
  </si>
  <si>
    <t>تى لحام 50 مم باننجر</t>
  </si>
  <si>
    <t>تى لحام مسلوب 25/20 باننجر</t>
  </si>
  <si>
    <t>تى لحام مسلوب 32/25 باننجر</t>
  </si>
  <si>
    <t>جلبه لحام 20 مم باننجر</t>
  </si>
  <si>
    <t>جلبه لحام 25 مم باننجر</t>
  </si>
  <si>
    <t>طبه لحام 20 مم باننجر</t>
  </si>
  <si>
    <t>طبه لحام 25 مم باننجر</t>
  </si>
  <si>
    <t>قفيز 20 مم باننجر</t>
  </si>
  <si>
    <t>قفيز 25 مم باننجر</t>
  </si>
  <si>
    <t>قفيز 32 مم باننجر</t>
  </si>
  <si>
    <t>کوع بسن خارجی 1/2*25 باننجر</t>
  </si>
  <si>
    <t>کوع بسن خارجی 3/4*25 باننجر</t>
  </si>
  <si>
    <t>كوع بسن خارجی 1*32 باننجر</t>
  </si>
  <si>
    <t>کوع بسن داخلی 2/1*25 باننجر</t>
  </si>
  <si>
    <t>كوع بسن داخلی 3/4*25 باننجر</t>
  </si>
  <si>
    <t>کوع بسن داخلی 3/4*32 باننجر</t>
  </si>
  <si>
    <t>کوع بسن داخلی 1*32 باننجر</t>
  </si>
  <si>
    <t>كوع مزدوج بسن داخلی 2/1*25 باننجر</t>
  </si>
  <si>
    <t>کوع 32 مم 45 كيسيل</t>
  </si>
  <si>
    <t>كوع بباب كشف 75 مم 87.5 كيسيل</t>
  </si>
  <si>
    <t>مشترك 32 مم 45 كيسيل</t>
  </si>
  <si>
    <t>مشترك 63 مم 45 كيسيل</t>
  </si>
  <si>
    <t>مشترك 160/160 45 كيسيل</t>
  </si>
  <si>
    <t>مشترك 32 مم 87.5 كيسيل</t>
  </si>
  <si>
    <t>مشترك 63م 87.5 كيسيل</t>
  </si>
  <si>
    <t>مشترك بباب كشف 75/75 مم 87.5 كيسيل</t>
  </si>
  <si>
    <t>مشترك بباب كشف 110/75 مم 87.5 كيسيل</t>
  </si>
  <si>
    <t>غطاء ماسوره 110 مم كيسيل</t>
  </si>
  <si>
    <t>غطاء ماسوره 160 مم كيسيل</t>
  </si>
  <si>
    <t>مسلوب 63/50 كيسيل</t>
  </si>
  <si>
    <t>مسلوب 160/110 كيسيل</t>
  </si>
  <si>
    <t>سيفون 110 مم كيسيل</t>
  </si>
  <si>
    <t>ماسوره 110 مم/ 4 سمارت هوم</t>
  </si>
  <si>
    <t>کوع بباب كشف 60 مم سمارت هوم</t>
  </si>
  <si>
    <t>كوع بباب كشف 75 مم سمارت هوم</t>
  </si>
  <si>
    <t>كوع بباب كشف 110 مم سمارت هوم</t>
  </si>
  <si>
    <t>48/50 مسلوب سمارت هوم</t>
  </si>
  <si>
    <t>مخرج جانبی 110 مم للمجرى المائي سمارت هوم</t>
  </si>
  <si>
    <t>شحم ماسوره 150 مل سمارت هوم</t>
  </si>
  <si>
    <t>شحم ماسوره 250 مل سمارت هوم</t>
  </si>
  <si>
    <t xml:space="preserve">ماسوره لحام 20مم باننجر </t>
  </si>
  <si>
    <t xml:space="preserve">ماسوره لحام 25مم باننجر </t>
  </si>
  <si>
    <t xml:space="preserve">ماسوره لحام 32مم باننجر </t>
  </si>
  <si>
    <t xml:space="preserve">ماسوره لحام 50مم باننجر </t>
  </si>
  <si>
    <t>مشترك 50/50 45كيسيل</t>
  </si>
  <si>
    <t>مشترك 75/50 45كيسيل</t>
  </si>
  <si>
    <t>مشترك 75/75 45كيسيل</t>
  </si>
  <si>
    <t>مشترك 110/50 45كيسيل</t>
  </si>
  <si>
    <t>مشترك 110/75 45كيسيل</t>
  </si>
  <si>
    <t>مشترك 160/110 45كيسيل</t>
  </si>
  <si>
    <t>غطاء ماسوره 50 ممكيسيل</t>
  </si>
  <si>
    <t>غطاء ماسوره 63 ممكيسيل</t>
  </si>
  <si>
    <t>غطاء ماسوره 75 ممكيسيل</t>
  </si>
  <si>
    <t>مسلوب 40/50كيسيل</t>
  </si>
  <si>
    <t>مسلوب 75/50كيسيل</t>
  </si>
  <si>
    <t>مسلوب 63/75كيسيل</t>
  </si>
  <si>
    <t>مسلوب 110/50كيسيل</t>
  </si>
  <si>
    <t>مسلوب 110/75كيسيل</t>
  </si>
  <si>
    <t>مسلوب 4/3 * 32 سمارت هوم</t>
  </si>
  <si>
    <t>مسلوب 32/48سمارت هوم</t>
  </si>
  <si>
    <t>مسلوب 48/60 سمارت هوم</t>
  </si>
  <si>
    <t>مسلوب 48/75 سمارت هوم</t>
  </si>
  <si>
    <t>مسلوب 75/60 سمارت هوم</t>
  </si>
  <si>
    <t>مسلوب مرکزی 110/48 سمارت هوم</t>
  </si>
  <si>
    <t>مسلوب 60/110سمارت هوم</t>
  </si>
  <si>
    <t>مسلوب 110/75سمارت هوم</t>
  </si>
  <si>
    <t>مجرى بطول 1 متر بالغطاء سمارت هوم</t>
  </si>
  <si>
    <t>مخرج جانبی 75 مم للمجرى المائي سمارت هوم</t>
  </si>
  <si>
    <t xml:space="preserve">ماسوره لحام فايبر اسود 25 مم باننجر </t>
  </si>
  <si>
    <t xml:space="preserve">ماسوره لحام فايبر اسود 32مم باننجر </t>
  </si>
  <si>
    <t>كوع لحام 45 درجه 20 مم باننجر</t>
  </si>
  <si>
    <t>كوع لحام 45 درجه 25 مم باننجر</t>
  </si>
  <si>
    <t>كوع لحام 45 درجه 32 مم باننجر</t>
  </si>
  <si>
    <t>كوع لحام 45 درجه 50 مم باننجر</t>
  </si>
  <si>
    <t>جلبه لحام 32 مم باننجر</t>
  </si>
  <si>
    <t>جلبه لحام 50 مم باننجر</t>
  </si>
  <si>
    <t>طبه لحام 32 مم باننجر</t>
  </si>
  <si>
    <t>طبه اختبار 2/1 بوصه باننجر</t>
  </si>
  <si>
    <t>برده لحام محبس بليه 25 مم باننجر</t>
  </si>
  <si>
    <t>برده لحام محبس بليه 32 مم باننجر</t>
  </si>
  <si>
    <t>يارده 63 مم 100 سم كيسيل</t>
  </si>
  <si>
    <t>يارده 75 مم 100 سم كيسيل</t>
  </si>
  <si>
    <t>يارده 110 مم 100 سم كيسيل</t>
  </si>
  <si>
    <t>يارده 110 مم 50 سم كيسيل</t>
  </si>
  <si>
    <t>مشترك 45 درجه 110/110 كيسيل</t>
  </si>
  <si>
    <t>جلبه 32 مم كيسيل</t>
  </si>
  <si>
    <t>جلبه 50 مم كيسيل</t>
  </si>
  <si>
    <t>جلبه 63 مم كيسيل</t>
  </si>
  <si>
    <t>جلبه 75 مم كيسيل</t>
  </si>
  <si>
    <t>جلبه 110 مم كيسيل</t>
  </si>
  <si>
    <t>جلبه 160 مم كيسيل</t>
  </si>
  <si>
    <t>جلبه اصلاح 110م طول 20 سم كيسيل</t>
  </si>
  <si>
    <t>جلبه اصلاح 160 مم طول 20 سم كيسيل</t>
  </si>
  <si>
    <t>طبه 32 مم كيسيل</t>
  </si>
  <si>
    <t>طبه 50 مم كيسيل</t>
  </si>
  <si>
    <t>طبه بيبه 63 مم كيسيل</t>
  </si>
  <si>
    <t>طبه 75 مم كيسيل</t>
  </si>
  <si>
    <t>طبه 110 مم كيسيل</t>
  </si>
  <si>
    <t>طبه بيبه 160 مم كيسيل</t>
  </si>
  <si>
    <t>مسلوب لا مركزي 50 مم / 1 بوصهكيسيل</t>
  </si>
  <si>
    <t>هوايه 50 ممكيسيل</t>
  </si>
  <si>
    <t>هوايه 75 ممكيسيل</t>
  </si>
  <si>
    <t>هوايه 110 مم كيسيل</t>
  </si>
  <si>
    <t>طبه تسليك 75 ممكيسيل</t>
  </si>
  <si>
    <t>طبه تسليك 110 مم كيسيل</t>
  </si>
  <si>
    <t>طبه تسليك 160 مكيسيل</t>
  </si>
  <si>
    <t>صفايه طوليه 300 كيسيل</t>
  </si>
  <si>
    <t>صفايه طوليه 650 كيسيل</t>
  </si>
  <si>
    <t>صفايه مربعه بلاطه 107*107 كيسيل</t>
  </si>
  <si>
    <t>بيبه 3 مدخل 50 مم ومخرج 75 مم بجوان علوى كيسيل</t>
  </si>
  <si>
    <t>بيبه 3 مدخل 63 مخرج 75 مم كيسيل</t>
  </si>
  <si>
    <t>ماسوره 4/3 بوصه 2.9 مم 6 متر سمارت هوم</t>
  </si>
  <si>
    <t>ماسوره 1 بوصه / 1.8 سمارت هوم</t>
  </si>
  <si>
    <t>كوع 45 درجه 1 بوصه سمارت هوم</t>
  </si>
  <si>
    <t>كوع 45 درجه 32 مم سمارت هوم</t>
  </si>
  <si>
    <t>كوع 45 درجه 48 مم سمارت هوم</t>
  </si>
  <si>
    <t>كوع 45 درجه 60 مم سمارت هوم</t>
  </si>
  <si>
    <t>كوع 45 درجه 63 مم سمارت هوم</t>
  </si>
  <si>
    <t>كوع 45 درجه 75 مم سمارت هوم</t>
  </si>
  <si>
    <t>كوع 45 درجه 110 مم سمارت هوم</t>
  </si>
  <si>
    <t>كوع 45 درجه 160 مم سمارت هوم</t>
  </si>
  <si>
    <t>مشترك 45 درجه 1 بوصه سمارت هوم</t>
  </si>
  <si>
    <t>مشترك 45 درجه 32 مم سمارت هوم</t>
  </si>
  <si>
    <t>مشترك 45 درجه 48 مم سمارت هوم</t>
  </si>
  <si>
    <t>مشترك 45 درجه 60 مم سمارت هوم</t>
  </si>
  <si>
    <t>مشترك 63 مم زاويه 45 سمارت هوم</t>
  </si>
  <si>
    <t>مشترك 45 درجه 75 مم سمارت هوم</t>
  </si>
  <si>
    <t>مشترك 45 درجه 110 مم سمارت هوم</t>
  </si>
  <si>
    <t>مشترك 45 درجه 160 مم سمارت هوم</t>
  </si>
  <si>
    <t>مشترك 63 مم زاويه 87.5 سمارت هوم</t>
  </si>
  <si>
    <t>جلبه صرف 48 مم بسن 1.5سمارت هوم</t>
  </si>
  <si>
    <t>جلبه صرف 60 مم بسن 1.5 سمارت هوم</t>
  </si>
  <si>
    <t>حنفيه غساله 3/4*1/2 بالاكره بدون روزيته سمارت هوم</t>
  </si>
  <si>
    <t>محبس زاويه 1/2 * 1/2 بدون روزيته سمارت هوم</t>
  </si>
  <si>
    <t>وصله مرنه 30 سم سمارت هوم</t>
  </si>
  <si>
    <t>وصله مرنه 40 سم سمارت هوم</t>
  </si>
  <si>
    <t>وصله مرنه 50 سم سمارت هوم</t>
  </si>
  <si>
    <t>وصله مرنه 60 سم سمارت هوم</t>
  </si>
  <si>
    <t>وصله مرنه 80 سم سمارت هوم</t>
  </si>
  <si>
    <t>وصله مرنه 100 سم سمارت هوم</t>
  </si>
  <si>
    <t>وصله شجره مرنه 40 سم سمارت هوم</t>
  </si>
  <si>
    <t>وصله شجره مرنه 50 سم سمارت هوم</t>
  </si>
  <si>
    <t>وصله شجره مرنه 60 سم سمارت هوم</t>
  </si>
  <si>
    <t>وصله مرنه 40 سم بسن خلاط سمارت هوم</t>
  </si>
  <si>
    <t>وصله مرنه 50 سم بسن خلاط سمارت هوم</t>
  </si>
  <si>
    <t>وصله مرنه 60 سم بسن خلاط سمارت هوم</t>
  </si>
  <si>
    <t>جلبه 4/3 سمارت هوم</t>
  </si>
  <si>
    <t>جلبه صرف 1 بوصه سمارت هوم</t>
  </si>
  <si>
    <t>جلبه صرف 32 مم سمارت هوم</t>
  </si>
  <si>
    <t>جلبه صرف 48 مم سمارت هوم</t>
  </si>
  <si>
    <t>جلبه صرف 60 مم سمارت هوم</t>
  </si>
  <si>
    <t>جلبه صرف 63 مم سمارت هوم</t>
  </si>
  <si>
    <t>جلبه صرف 75 مم سمارت هوم</t>
  </si>
  <si>
    <t>جلبه صرف 110 مم سمارت هوم</t>
  </si>
  <si>
    <t>جلبه صرف 160 مم سمارت هوم</t>
  </si>
  <si>
    <t>طبه تسليك 60 مم سمارت هوم</t>
  </si>
  <si>
    <t>طبه تسليك 63 مم سمارت هوم</t>
  </si>
  <si>
    <t>طبه تسليك 75 ممسمارت هوم</t>
  </si>
  <si>
    <t>طبه تسليك 90 مم سمارت هوم</t>
  </si>
  <si>
    <t>طبه ماسوره 4/3 بوصهسمارت هوم</t>
  </si>
  <si>
    <t>طبه ماسوره 1 بوصه سمارت هوم</t>
  </si>
  <si>
    <t>طبه ماسوره 32 ممسمارت هوم</t>
  </si>
  <si>
    <t>طبه ماسوره 48 مم سمارت هوم</t>
  </si>
  <si>
    <t>طبه ماسوره 60 مم سمارت هوم</t>
  </si>
  <si>
    <t>طبه ماسوره 75 ممسمارت هوم</t>
  </si>
  <si>
    <t>طبه ماسوره 110 مم سمارت هوم</t>
  </si>
  <si>
    <t>طبه ماسوره 160 مم سمارت هوم</t>
  </si>
  <si>
    <t>هوايه 60 مم سمارت هوم</t>
  </si>
  <si>
    <t>هوايه 75 مم سمارت هوم</t>
  </si>
  <si>
    <t>هوايه 110 مم سمارت هوم</t>
  </si>
  <si>
    <t>طبه تسليك صرف 60 مم سمارت هوم</t>
  </si>
  <si>
    <t>طبه تسليك صرف 75 مم سمارت هوم</t>
  </si>
  <si>
    <t>طبه ماسوره 4/3 بوصه سمارت هوم</t>
  </si>
  <si>
    <t>طبه ماسوره 32 مم سمارت هوم</t>
  </si>
  <si>
    <t>طبه ماسوره 75 مم سمارت هوم</t>
  </si>
  <si>
    <t>48 * مسلوب 1 بوصه سمارت هوم</t>
  </si>
  <si>
    <t>مسلوب 3 بوصه * 75 سمارت هوم</t>
  </si>
  <si>
    <t>كيس بدايه ونهايه + مخرج سمارت هوم</t>
  </si>
  <si>
    <t>عازل بيتوكوت بستله 3 كيلو سمارت هوم</t>
  </si>
  <si>
    <t>عازل بيتوكوت بستله 12 كيلو سمارت هوم</t>
  </si>
  <si>
    <t>طلمبه مياه 1 حصان EG100 سمارت هوم</t>
  </si>
  <si>
    <t>طلمبه مياه 2 حصان EG200 سمارت هوم</t>
  </si>
  <si>
    <t>طلمبه مياه 3 حصان EG300 سمارت هوم</t>
  </si>
  <si>
    <t>غراء فيكس بوند حار ميني ( عبوه التوفير)</t>
  </si>
  <si>
    <t>صاموله زنق نحاس ١/٢</t>
  </si>
  <si>
    <t>بكره تيفلون ٢٥ متر دوت بلس</t>
  </si>
  <si>
    <t>بكره تيفلون ٥٠ متر جامبو دوت بلس</t>
  </si>
  <si>
    <t>احدث سعر</t>
  </si>
  <si>
    <t>جلبه اصلاح 50 مم كيسيل</t>
  </si>
  <si>
    <t>جلبه اصلاح 63 مم كيسيل</t>
  </si>
  <si>
    <t>جلبه اصلاح 75 مم كيسيل</t>
  </si>
  <si>
    <t>تي لحام 25 مم اسود باننجر</t>
  </si>
  <si>
    <t>تي لحام 32 مم اسود باننجر</t>
  </si>
  <si>
    <t>جلبه لحام 25 مم اسود باننجر</t>
  </si>
  <si>
    <t>جلبه لحام 32 مم اسود باننجر</t>
  </si>
  <si>
    <t>طبه لحام 25 مم اسود باننجر</t>
  </si>
  <si>
    <t>طبه لحام 32 مم اسود باننجر</t>
  </si>
  <si>
    <t>كوع لحام 20 مم 90درجه  باننجر</t>
  </si>
  <si>
    <t>كوع لحام 25 مم 90درجه  باننجر</t>
  </si>
  <si>
    <t>كوع لحام 32 مم 90درجه  باننجر</t>
  </si>
  <si>
    <t>كوع لحام 50 مم 90درجه  باننجر</t>
  </si>
  <si>
    <t>كوع 50 مم 90درجه  كيسيل</t>
  </si>
  <si>
    <t>كوع 75 مم 90درجه  كيسيل</t>
  </si>
  <si>
    <t>كوع 110 مم 90درجه  كيسيل</t>
  </si>
  <si>
    <t>كوع 160 مم 90درجه  كيسيل</t>
  </si>
  <si>
    <t>كوع بباب 110 مم 90درجه  كيسيل</t>
  </si>
  <si>
    <t>كوع بباب 160 مم 90درجه  كيسيل</t>
  </si>
  <si>
    <t>مشترك 50/50 90درجه كيسيل</t>
  </si>
  <si>
    <t>مشترك 75/50 90درجه كيسيل</t>
  </si>
  <si>
    <t>مشترك 75/63 90درجه كيسيل</t>
  </si>
  <si>
    <t>مشترك 75/75 90درجه كيسيل</t>
  </si>
  <si>
    <t>مشترك 110/50 90درجه كيسيل</t>
  </si>
  <si>
    <t>مشترك 110/63 90درجه  كيسيل</t>
  </si>
  <si>
    <t>مشترك 110/75 90درجه  كيسيل</t>
  </si>
  <si>
    <t>مشترك 90درجه  درجه 110/110 كيسيل</t>
  </si>
  <si>
    <t>مشترك 160/110 90درجه كيسيل</t>
  </si>
  <si>
    <t>مشترك 160/160 90درجه  كيسيل</t>
  </si>
  <si>
    <t xml:space="preserve"> مشترك بباب 50/110 90درجه  كيسيل</t>
  </si>
  <si>
    <t>مشترك بباب 110/110 90درجه كيسيل</t>
  </si>
  <si>
    <t>مشترك بباب 110/160 90درجه كيسيل</t>
  </si>
  <si>
    <t>مشترك بباب 160/160 90درجه  كيسيل</t>
  </si>
  <si>
    <t>كوع 45 درجه 90درجه  مم سمارت هوم</t>
  </si>
  <si>
    <t>كوع 90درجه  درجه 32 مم سمارت هوم</t>
  </si>
  <si>
    <t>كوع 90درجه  درجه 1 بوصه سمارت هوم</t>
  </si>
  <si>
    <t>كوع 90درجه  درجه 48 مم سمارت هوم</t>
  </si>
  <si>
    <t>كوع 90درجه  درجه 60 مم سمارت هوم</t>
  </si>
  <si>
    <t>كوع 90درجه  درجه 75 مم سمارت هوم</t>
  </si>
  <si>
    <t>كوع 90درجه  درجه 110 مم سمارت هوم</t>
  </si>
  <si>
    <t>كوع 90درجه  درجه 160 مم سمارت هوم</t>
  </si>
  <si>
    <t>مشترك 90درجه  مم زاويه 45 سمارت هوم</t>
  </si>
  <si>
    <t>مشترك 90درجه  درجه 1 بوصه سمارت هوم</t>
  </si>
  <si>
    <t>مشترك 90درجه  درجه 32 مم سمارت هوم</t>
  </si>
  <si>
    <t>مشترك 90درجه  درجه 48 مم سمارت هوم</t>
  </si>
  <si>
    <t>مشترك 90درجه  درجه 60 مم سمارت هوم</t>
  </si>
  <si>
    <t>مشترك 90درجه  درجه 75 مم سمارت هوم</t>
  </si>
  <si>
    <t>مشترك 90درجه  درجه 110 مم سمارت هوم</t>
  </si>
  <si>
    <t>مشترك 90درجه  درجه 160 مم سمارت هوم</t>
  </si>
  <si>
    <t>مشترك بباب كشف 90درجه  درجه 60 مم سمارت هوم</t>
  </si>
  <si>
    <t>مشترك بباب كشف 90درجه  درجه 75 مم سمارت هوم</t>
  </si>
  <si>
    <t>مشترك بباب كشف 90درجه  درجه 110 مم سمارت هوم</t>
  </si>
  <si>
    <t>جلبه صرف 90درجه  مم سمارت هوم</t>
  </si>
  <si>
    <t>طبه ماسوره 90درجه  ممسمارت هوم</t>
  </si>
  <si>
    <t>طبه ماسوره 90درجه  مم سمارت هوم</t>
  </si>
  <si>
    <t>90درجه  * مسلوب 3 بوصه سمارت هوم</t>
  </si>
  <si>
    <t>مسلوب مرکزی 75/90درجه سمارت هوم</t>
  </si>
  <si>
    <t>خلاط شطاف هاند میکسر ESS690درجه  دوت ايفوك</t>
  </si>
  <si>
    <t>تی بسن داخلی 2/1*25 باننجر</t>
  </si>
  <si>
    <t>تی بسن داخلی 4/3*25 باننجر</t>
  </si>
  <si>
    <t>تی بسن داخلی 4/3*32 باننجر</t>
  </si>
  <si>
    <t>تی بسن داخلی 1*32 باننجر</t>
  </si>
  <si>
    <t>وصله بسن خارجی 2/1*25 باننجر</t>
  </si>
  <si>
    <t>وصله بسن خارجی 4/3*25 باننجر</t>
  </si>
  <si>
    <t>وصله بسن خارجی 3/4*32 باننجر</t>
  </si>
  <si>
    <t>وصله بسن خارجی 1*32 باننجر</t>
  </si>
  <si>
    <t>وصله بسن داخلی 2/1*25 باننجر</t>
  </si>
  <si>
    <t>وصله بسن داخلی 3/4*25 باننجر</t>
  </si>
  <si>
    <t>وصله بسن داخلی 4/3*32 باننجر</t>
  </si>
  <si>
    <t>وصله بسن داخلی 1*32 باننجر</t>
  </si>
  <si>
    <t>لاكور لحام 25 مم باننجر</t>
  </si>
  <si>
    <t>لاكور لحام 32 مم باننجر</t>
  </si>
  <si>
    <t>لاكور تجميع بسن داخلی طويل 4/3*25 باننجر</t>
  </si>
  <si>
    <t>لاكور تجميع بسن داخلی طويل 32 * 1 باننجر</t>
  </si>
  <si>
    <t>مانع ارتداد بلاكور 25 مم باننجر</t>
  </si>
  <si>
    <t>مانع ارتداد بلاكور 32 مم باننجر</t>
  </si>
  <si>
    <t>مانع ارتداد بلاكور 50 مم باننجر</t>
  </si>
  <si>
    <t>جلبه تطويل نحاس باننجر</t>
  </si>
  <si>
    <t>محبس دفن كامل ( شامل تي ) 25 مم باننجر</t>
  </si>
  <si>
    <t>محبس بليه 2 لاكور 20 مم باننجر</t>
  </si>
  <si>
    <t>محبس بليه 2 لاكور 25 مم باننجر</t>
  </si>
  <si>
    <t>محبس بليه 2 لاكور 32 مم باننجر</t>
  </si>
  <si>
    <t>محبس بليه 2 لاكور 40 مم باننجر</t>
  </si>
  <si>
    <t>محبس بليه 2 لاكور 50 مم باننجر</t>
  </si>
  <si>
    <t>محبس بليه 2 لاكور 63 مم باننجر</t>
  </si>
  <si>
    <t>تعديل</t>
  </si>
  <si>
    <t>ماسوره لحام 20مم باننجر</t>
  </si>
  <si>
    <t>ماسوره لحام 25مم باننجر</t>
  </si>
  <si>
    <t>ماسوره لحام 32مم باننجر</t>
  </si>
  <si>
    <t>ماسوره لحام 50مم باننجر</t>
  </si>
  <si>
    <t>ماسوره لحام فايبر اسود 25 مم باننجر</t>
  </si>
  <si>
    <t>ماسوره لحام فايبر اسود 32مم باننجر</t>
  </si>
  <si>
    <t>كوع لحام 20 مم 90درجه باننجر</t>
  </si>
  <si>
    <t>كوع لحام 25 مم 90درجه باننجر</t>
  </si>
  <si>
    <t>كوع لحام 32 مم 90درجه باننجر</t>
  </si>
  <si>
    <t>كوع لحام 50 مم 90درجه باننجر</t>
  </si>
  <si>
    <t>كوع 50 مم 90درجه كيسيل</t>
  </si>
  <si>
    <t>كوع 75 مم 90درجه كيسيل</t>
  </si>
  <si>
    <t>كوع 110 مم 90درجه كيسيل</t>
  </si>
  <si>
    <t>كوع 160 مم 90درجه كيسيل</t>
  </si>
  <si>
    <t>كوع بباب 110 مم 90درجه كيسيل</t>
  </si>
  <si>
    <t>كوع بباب 160 مم 90درجه كيسيل</t>
  </si>
  <si>
    <t>مشترك 50/50 45 كيسيل</t>
  </si>
  <si>
    <t>مشترك 75/50 45 كيسيل</t>
  </si>
  <si>
    <t>مشترك 75/75 45 كيسيل</t>
  </si>
  <si>
    <t>مشترك 110/50 45 كيسيل</t>
  </si>
  <si>
    <t>مشترك 110/75 45 كيسيل</t>
  </si>
  <si>
    <t>مشترك 160/110 45 كيسيل</t>
  </si>
  <si>
    <t>مشترك 110/63 90درجه كيسيل</t>
  </si>
  <si>
    <t>مشترك 110/75 90درجه كيسيل</t>
  </si>
  <si>
    <t>مشترك 90درجه درجه 110/110 كيسيل</t>
  </si>
  <si>
    <t>مشترك 160/160 90درجه كيسيل</t>
  </si>
  <si>
    <t>مشترك بباب 50/110 90درجه كيسيل</t>
  </si>
  <si>
    <t>مشترك بباب 160/160 90درجه كيسيل</t>
  </si>
  <si>
    <t>غطاء ماسوره 50 مم كيسيل</t>
  </si>
  <si>
    <t>غطاء ماسوره 63 مم كيسيل</t>
  </si>
  <si>
    <t>غطاء ماسوره 75 مم كيسيل</t>
  </si>
  <si>
    <t>مسلوب لا مركزي 50 مم / 1 بوصه كيسيل</t>
  </si>
  <si>
    <t>مسلوب 40/50 كيسيل</t>
  </si>
  <si>
    <t>مسلوب 75/50 كيسيل</t>
  </si>
  <si>
    <t>مسلوب 63/75 كيسيل</t>
  </si>
  <si>
    <t>مسلوب 110/50 كيسيل</t>
  </si>
  <si>
    <t>مسلوب 110/75 كيسيل</t>
  </si>
  <si>
    <t>هوايه 50 مم كيسيل</t>
  </si>
  <si>
    <t>هوايه 75 مم كيسيل</t>
  </si>
  <si>
    <t>طبه تسليك 75 مم كيسيل</t>
  </si>
  <si>
    <t>طبه تسليك 160 م كيسيل</t>
  </si>
  <si>
    <t>كوع 45 درجه 90درجه مم سمارت هوم</t>
  </si>
  <si>
    <t>كوع 90درجه درجه 32 مم سمارت هوم</t>
  </si>
  <si>
    <t>كوع 90درجه درجه 1 بوصه سمارت هوم</t>
  </si>
  <si>
    <t>كوع 90درجه درجه 48 مم سمارت هوم</t>
  </si>
  <si>
    <t>كوع 90درجه درجه 60 مم سمارت هوم</t>
  </si>
  <si>
    <t>كوع 90درجه درجه 75 مم سمارت هوم</t>
  </si>
  <si>
    <t>كوع 90درجه درجه 110 مم سمارت هوم</t>
  </si>
  <si>
    <t>كوع 90درجه درجه 160 مم سمارت هوم</t>
  </si>
  <si>
    <t>مشترك 90درجه مم زاويه 45 سمارت هوم</t>
  </si>
  <si>
    <t>مشترك 90درجه درجه 1 بوصه سمارت هوم</t>
  </si>
  <si>
    <t>مشترك 90درجه درجه 32 مم سمارت هوم</t>
  </si>
  <si>
    <t>مشترك 90درجه درجه 48 مم سمارت هوم</t>
  </si>
  <si>
    <t>مشترك 90درجه درجه 60 مم سمارت هوم</t>
  </si>
  <si>
    <t>مشترك 90درجه درجه 75 مم سمارت هوم</t>
  </si>
  <si>
    <t>مشترك 90درجه درجه 110 مم سمارت هوم</t>
  </si>
  <si>
    <t>مشترك 90درجه درجه 160 مم سمارت هوم</t>
  </si>
  <si>
    <t>مشترك بباب كشف 90درجه درجه 60 مم سمارت هوم</t>
  </si>
  <si>
    <t>مشترك بباب كشف 90درجه درجه 75 مم سمارت هوم</t>
  </si>
  <si>
    <t>مشترك بباب كشف 90درجه درجه 110 مم سمارت هوم</t>
  </si>
  <si>
    <t>جلبه صرف 48 مم بسن 1.5 سمارت هوم</t>
  </si>
  <si>
    <t>جلبه صرف 90درجه مم سمارت هوم</t>
  </si>
  <si>
    <t>طبه تسليك 75 مم سمارت هوم</t>
  </si>
  <si>
    <t>طبه تسليك 90درجه مم سمارت هوم</t>
  </si>
  <si>
    <t>طبه ماسوره 90درجه مم سمارت هوم</t>
  </si>
  <si>
    <t>جيتراب 110/75/75 مخرج 110 مفتوح سمارت هوم</t>
  </si>
  <si>
    <t>جيتراب 110/75/75 مخرج 110 مغلق سمارت هوم</t>
  </si>
  <si>
    <t>90درجه * مسلوب 3 بوصه سمارت هوم</t>
  </si>
  <si>
    <t>مسلوب 32/48 سمارت هوم</t>
  </si>
  <si>
    <t>مسلوب 60/110 سمارت هوم</t>
  </si>
  <si>
    <t>مسلوب 110/75 سمارت هوم</t>
  </si>
  <si>
    <t>مجمع 110/48 مفتوح المخارج سمارت هوم</t>
  </si>
  <si>
    <t>مجمع 110/60 مفتوح المخارج سمارت هوم</t>
  </si>
  <si>
    <t>مجمع بيبه 75/110 مفتوحه المخارج سمارت هوم</t>
  </si>
  <si>
    <t>بيبه بالبرقع 48/60 مفتوحه المخارج سمارت هوم</t>
  </si>
  <si>
    <t>بيبه بالبرقع 75/48 مفتوحه المخارج سمارت هوم</t>
  </si>
  <si>
    <t>بيبه بالبرقع 60/60 مفتوحه المخارج سمارت هوم</t>
  </si>
  <si>
    <t>بيبه بالبرقع 75/60 مفتوحه المخارج سمارت هوم</t>
  </si>
  <si>
    <t>بيبه 48/60 مم مفتوحه ارتفاع 7 سم سمارت هوم</t>
  </si>
  <si>
    <t>بيبه 50/63 مم مفتوحه ارتفاع 7 سم سمارت هوم</t>
  </si>
  <si>
    <t>بيبه 60/75 مم مفتوحه ارتفاع 8.8 سم سمارت هوم</t>
  </si>
  <si>
    <t>بيبه 125 * 48/60/75 مم مفتوحه المخارج سمارت هوم</t>
  </si>
  <si>
    <t>صفايه 48 مم سمارت هوم</t>
  </si>
  <si>
    <t>غرفه تفتيش 50*50 سم سمارت هوم</t>
  </si>
  <si>
    <t>غطاء مجرى مائی 50 سم سمارت هوم</t>
  </si>
  <si>
    <t>كيس بدايه ونهايه ومخرج مجری 1متر 20 سم سمارت هوم</t>
  </si>
  <si>
    <t>3</t>
  </si>
  <si>
    <t>Column1</t>
  </si>
  <si>
    <t>1</t>
  </si>
  <si>
    <t>2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</si>
  <si>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</si>
  <si>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</si>
  <si>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</si>
  <si>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</si>
  <si>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</si>
  <si>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</si>
  <si>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</si>
  <si>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</si>
  <si>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</si>
  <si>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</si>
  <si>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</si>
  <si>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</si>
  <si>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</si>
  <si>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</si>
  <si>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</si>
  <si>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</si>
  <si>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</si>
  <si>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</si>
  <si>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</si>
  <si>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</si>
  <si>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</si>
  <si>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</si>
  <si>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</si>
  <si>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</si>
  <si>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</si>
  <si>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</si>
  <si>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</si>
  <si>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</si>
  <si>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</si>
  <si>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</si>
  <si>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</si>
  <si>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</si>
  <si>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</si>
  <si>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</si>
  <si>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</si>
  <si>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</si>
  <si>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</si>
  <si>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</si>
  <si>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</si>
  <si>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</si>
  <si>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</si>
  <si>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</si>
  <si>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</si>
  <si>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</si>
  <si>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</si>
  <si>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</si>
  <si>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</si>
  <si>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</si>
  <si>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</si>
  <si>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</si>
  <si>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</si>
  <si>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</si>
  <si>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</si>
  <si>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</si>
  <si>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</si>
  <si>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</si>
  <si>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</si>
  <si>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</si>
  <si>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</si>
  <si>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</si>
  <si>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</si>
  <si>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</si>
  <si>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</si>
  <si>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</si>
  <si>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</si>
  <si>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</si>
  <si>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</si>
  <si>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</si>
  <si>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</si>
  <si>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</si>
  <si>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</si>
  <si>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</si>
  <si>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</si>
  <si>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</si>
  <si>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</si>
  <si>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</si>
  <si>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الصنف</t>
  </si>
  <si>
    <t>ماسوره 160 مم كيسيل</t>
  </si>
  <si>
    <t>بوش ۱/۲*۳/٤ استانلس نيكل</t>
  </si>
  <si>
    <t>بوش 3/4*١ انفت حديد مجلفن</t>
  </si>
  <si>
    <t>دوت بلس</t>
  </si>
  <si>
    <t>طقم مسمار حوض</t>
  </si>
  <si>
    <t>الباركود</t>
  </si>
  <si>
    <t>اسم الصنف</t>
  </si>
  <si>
    <t>الشركة</t>
  </si>
  <si>
    <t>الوحدة</t>
  </si>
  <si>
    <t>سعر البيع</t>
  </si>
  <si>
    <t>الحد الأدني</t>
  </si>
  <si>
    <t>ملاحظات</t>
  </si>
  <si>
    <t>سعر الجملة</t>
  </si>
  <si>
    <t>الحد الأقصى</t>
  </si>
  <si>
    <t>الكمية</t>
  </si>
  <si>
    <t>سعر الشراء</t>
  </si>
  <si>
    <t>اسم المخزن</t>
  </si>
  <si>
    <t>المقاس</t>
  </si>
  <si>
    <t>اللون</t>
  </si>
  <si>
    <t>نصف الجملة</t>
  </si>
  <si>
    <t>سعر جمله 1</t>
  </si>
  <si>
    <t>سعر جمله 2</t>
  </si>
  <si>
    <t>أقصى نسبة خصم</t>
  </si>
  <si>
    <t>أقصى كمية بيع</t>
  </si>
  <si>
    <t>الكود المخزني</t>
  </si>
  <si>
    <t>نسبة الضريبة</t>
  </si>
  <si>
    <t>حالة التكرار</t>
  </si>
  <si>
    <t>قطعة</t>
  </si>
  <si>
    <t>فرع الخمائل مول ت13</t>
  </si>
  <si>
    <t>عام</t>
  </si>
  <si>
    <t>غير مكرر</t>
  </si>
  <si>
    <t>ادوات صحيه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</si>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</sst>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</font>
    <font>
      <b/>
      <sz val="12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b/>
      <sz val="14"/>
      <color theme="1"/>
      <name val="Calibri"/>
      <family val="2"/>
    </font>
    <font>
      <b/>
      <sz val="14"/>
      <color theme="0"/>
      <name val="Calibri"/>
      <family val="2"/>
    </font>
    <font>
      <b/>
      <sz val="12"/>
      <color theme="0"/>
      <name val="Calibri"/>
      <family val="2"/>
    </font>
    <font>
      <sz val="8"/>
      <name val="Calibri"/>
      <family val="2"/>
    </font>
    <font>
      <b/>
      <sz val="14"/>
      <color rgb="FF000000"/>
      <name val="Calibri"/>
      <family val="2"/>
    </font>
    <font>
      <sz val="14"/>
      <color theme="1"/>
      <name val="Calibri"/>
      <family val="2"/>
    </font>
    <font>
      <b/>
      <sz val="14"/>
      <name val="Calibri"/>
      <family val="2"/>
    </font>
    <font>
      <b/>
      <sz val="1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</font>
    <font>
      <b/>
      <sz val="16"/>
      <name val="Calibri"/>
      <family val="2"/>
      <scheme val="minor"/>
    </font>
    <font>
      <b/>
      <sz val="1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4" tint="0.79995117038483843"/>
        <bgColor indexed="65"/>
      </patternFill>
    </fill>
    <fill>
      <patternFill patternType="solid">
        <fgColor theme="4" tint="-0.249977111117893"/>
        <bgColor indexed="65"/>
      </patternFill>
    </fill>
    <fill>
      <patternFill patternType="solid">
        <fgColor theme="0"/>
      </patternFill>
    </fill>
    <fill>
      <patternFill patternType="solid">
        <fgColor theme="1"/>
      </patternFill>
    </fill>
    <fill>
      <patternFill patternType="solid">
        <fgColor theme="0"/>
      </patternFill>
    </fill>
    <fill>
      <patternFill patternType="solid">
        <fgColor rgb="FF5B9BD5"/>
      </patternFill>
    </fill>
    <fill>
      <patternFill patternType="solid">
        <fgColor rgb="FFFFFFFF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 tint="0.79998168889431442"/>
      </patternFill>
    </fill>
    <fill>
      <patternFill patternType="solid">
        <fgColor theme="4"/>
        <bgColor indexed="64"/>
      </patternFill>
    </fill>
  </fills>
  <borders count="1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/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0" fillId="5" borderId="3" xfId="0" applyFill="1" applyBorder="1"/>
    <xf numFmtId="0" fontId="3" fillId="3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11" borderId="13" xfId="0" applyFont="1" applyFill="1" applyBorder="1" applyAlignment="1">
      <alignment horizontal="center" vertical="center"/>
    </xf>
    <xf numFmtId="0" fontId="10" fillId="11" borderId="14" xfId="0" applyFont="1" applyFill="1" applyBorder="1" applyAlignment="1">
      <alignment horizontal="center" vertical="center"/>
    </xf>
    <xf numFmtId="0" fontId="10" fillId="7" borderId="15" xfId="0" applyFont="1" applyFill="1" applyBorder="1" applyAlignment="1">
      <alignment horizontal="center" vertical="center"/>
    </xf>
    <xf numFmtId="1" fontId="4" fillId="2" borderId="13" xfId="0" applyNumberFormat="1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12" borderId="13" xfId="0" applyFont="1" applyFill="1" applyBorder="1" applyAlignment="1">
      <alignment horizontal="center" vertical="center"/>
    </xf>
    <xf numFmtId="0" fontId="4" fillId="12" borderId="14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8" fillId="9" borderId="16" xfId="0" applyFont="1" applyFill="1" applyBorder="1" applyAlignment="1">
      <alignment horizontal="center" vertical="center"/>
    </xf>
    <xf numFmtId="0" fontId="4" fillId="0" borderId="13" xfId="0" applyFont="1" applyBorder="1"/>
    <xf numFmtId="0" fontId="4" fillId="12" borderId="13" xfId="0" applyFont="1" applyFill="1" applyBorder="1"/>
    <xf numFmtId="0" fontId="4" fillId="10" borderId="14" xfId="0" applyFont="1" applyFill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/>
    </xf>
    <xf numFmtId="0" fontId="4" fillId="13" borderId="14" xfId="0" applyFont="1" applyFill="1" applyBorder="1" applyAlignment="1">
      <alignment horizontal="center" vertical="center"/>
    </xf>
    <xf numFmtId="4" fontId="4" fillId="12" borderId="14" xfId="0" applyNumberFormat="1" applyFont="1" applyFill="1" applyBorder="1" applyAlignment="1">
      <alignment horizontal="center" vertical="center"/>
    </xf>
    <xf numFmtId="0" fontId="9" fillId="12" borderId="14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0" borderId="1" xfId="0" applyFont="1" applyBorder="1"/>
    <xf numFmtId="0" fontId="9" fillId="0" borderId="2" xfId="0" applyFont="1" applyBorder="1" applyAlignment="1">
      <alignment horizontal="center" vertical="center"/>
    </xf>
    <xf numFmtId="0" fontId="8" fillId="9" borderId="12" xfId="0" applyFont="1" applyFill="1" applyBorder="1" applyAlignment="1">
      <alignment horizontal="center" vertical="center"/>
    </xf>
    <xf numFmtId="1" fontId="4" fillId="12" borderId="13" xfId="0" applyNumberFormat="1" applyFont="1" applyFill="1" applyBorder="1" applyAlignment="1">
      <alignment horizontal="center" vertical="center"/>
    </xf>
    <xf numFmtId="1" fontId="10" fillId="14" borderId="13" xfId="0" applyNumberFormat="1" applyFont="1" applyFill="1" applyBorder="1" applyAlignment="1">
      <alignment horizontal="center" vertical="center"/>
    </xf>
    <xf numFmtId="1" fontId="4" fillId="15" borderId="13" xfId="0" applyNumberFormat="1" applyFont="1" applyFill="1" applyBorder="1" applyAlignment="1">
      <alignment horizontal="center" vertical="center"/>
    </xf>
    <xf numFmtId="0" fontId="4" fillId="14" borderId="13" xfId="0" applyFont="1" applyFill="1" applyBorder="1" applyAlignment="1">
      <alignment horizontal="center" vertical="center"/>
    </xf>
    <xf numFmtId="0" fontId="4" fillId="15" borderId="13" xfId="0" applyFont="1" applyFill="1" applyBorder="1" applyAlignment="1">
      <alignment horizontal="center" vertical="center"/>
    </xf>
    <xf numFmtId="1" fontId="4" fillId="16" borderId="13" xfId="0" applyNumberFormat="1" applyFont="1" applyFill="1" applyBorder="1" applyAlignment="1">
      <alignment horizontal="center" vertical="center"/>
    </xf>
    <xf numFmtId="0" fontId="4" fillId="17" borderId="13" xfId="0" applyFont="1" applyFill="1" applyBorder="1" applyAlignment="1">
      <alignment horizontal="center" vertical="center"/>
    </xf>
    <xf numFmtId="0" fontId="4" fillId="16" borderId="13" xfId="0" applyFont="1" applyFill="1" applyBorder="1" applyAlignment="1">
      <alignment horizontal="center" vertical="center"/>
    </xf>
    <xf numFmtId="0" fontId="4" fillId="17" borderId="14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8" fillId="8" borderId="17" xfId="0" applyFont="1" applyFill="1" applyBorder="1" applyAlignment="1">
      <alignment horizontal="center" vertical="center"/>
    </xf>
    <xf numFmtId="0" fontId="11" fillId="11" borderId="1" xfId="0" applyFont="1" applyFill="1" applyBorder="1"/>
    <xf numFmtId="49" fontId="11" fillId="11" borderId="2" xfId="0" applyNumberFormat="1" applyFont="1" applyFill="1" applyBorder="1"/>
    <xf numFmtId="0" fontId="11" fillId="11" borderId="2" xfId="0" applyFont="1" applyFill="1" applyBorder="1"/>
    <xf numFmtId="0" fontId="12" fillId="0" borderId="1" xfId="0" applyFont="1" applyBorder="1"/>
    <xf numFmtId="49" fontId="12" fillId="0" borderId="2" xfId="0" applyNumberFormat="1" applyFont="1" applyBorder="1"/>
    <xf numFmtId="0" fontId="12" fillId="0" borderId="2" xfId="0" applyFont="1" applyBorder="1"/>
    <xf numFmtId="0" fontId="14" fillId="11" borderId="1" xfId="0" applyFont="1" applyFill="1" applyBorder="1" applyAlignment="1">
      <alignment horizontal="center" vertical="center"/>
    </xf>
    <xf numFmtId="49" fontId="14" fillId="11" borderId="2" xfId="0" applyNumberFormat="1" applyFont="1" applyFill="1" applyBorder="1" applyAlignment="1">
      <alignment horizontal="center" vertical="center"/>
    </xf>
    <xf numFmtId="0" fontId="14" fillId="11" borderId="2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18" borderId="2" xfId="0" applyFont="1" applyFill="1" applyBorder="1" applyAlignment="1">
      <alignment horizontal="center" vertical="center"/>
    </xf>
    <xf numFmtId="0" fontId="15" fillId="18" borderId="0" xfId="0" applyFont="1" applyFill="1" applyAlignment="1">
      <alignment horizontal="center" vertical="center"/>
    </xf>
  </cellXfs>
  <cellStyles count="1">
    <cellStyle name="Normal" xfId="0" builtinId="0"/>
  </cellStyles>
  <dxfs count="13">
    <dxf>
      <font>
        <b/>
        <u val="none"/>
        <sz val="16"/>
        <color theme="1"/>
        <name val="Calibri"/>
        <scheme val="minor"/>
      </font>
      <numFmt numFmtId="0" formatCode="General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u val="none"/>
        <sz val="16"/>
        <color theme="1"/>
        <name val="Calibri"/>
        <scheme val="minor"/>
      </font>
      <numFmt numFmtId="0" formatCode="General"/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u val="none"/>
        <sz val="16"/>
        <color theme="1"/>
        <name val="Calibri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u val="none"/>
        <sz val="16"/>
        <color theme="1"/>
        <name val="Calibri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u val="none"/>
        <sz val="16"/>
        <color theme="1"/>
        <name val="Calibri"/>
        <scheme val="minor"/>
      </font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u val="none"/>
        <sz val="16"/>
        <color theme="1"/>
        <name val="Calibri"/>
        <scheme val="minor"/>
      </font>
    </dxf>
    <dxf>
      <border>
        <bottom style="thin">
          <color indexed="64"/>
        </bottom>
      </border>
    </dxf>
    <dxf>
      <font>
        <b/>
        <u val="none"/>
        <sz val="12"/>
        <color theme="1"/>
        <name val="Calibri"/>
        <scheme val="minor"/>
      </font>
    </dxf>
    <dxf>
      <font>
        <b/>
        <u val="none"/>
        <sz val="12"/>
        <color theme="1"/>
        <name val="Calibri"/>
        <scheme val="minor"/>
      </font>
    </dxf>
    <dxf>
      <font>
        <b/>
        <u val="none"/>
        <sz val="12"/>
        <color theme="1"/>
        <name val="Calibri"/>
        <scheme val="minor"/>
      </font>
      <numFmt numFmtId="1" formatCode="0"/>
    </dxf>
    <dxf>
      <font>
        <b/>
        <u val="none"/>
        <sz val="12"/>
        <color theme="1"/>
        <name val="Calibri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543" totalsRowShown="0" dataDxfId="10">
  <autoFilter ref="A1:C543" xr:uid="{00000000-0009-0000-0100-000001000000}"/>
  <tableColumns count="3">
    <tableColumn id="1" xr3:uid="{00000000-0010-0000-0000-000001000000}" name="كود" dataDxfId="9"/>
    <tableColumn id="2" xr3:uid="{00000000-0010-0000-0000-000002000000}" name="بيان" dataDxfId="8"/>
    <tableColumn id="3" xr3:uid="{00000000-0010-0000-0000-000003000000}" name="السعر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F1:J105" totalsRowShown="0" dataDxfId="5" headerRowBorderDxfId="6">
  <autoFilter ref="F1:J105" xr:uid="{00000000-0009-0000-0100-000004000000}"/>
  <tableColumns count="5">
    <tableColumn id="1" xr3:uid="{00000000-0010-0000-0100-000001000000}" name="العدد" dataDxfId="4"/>
    <tableColumn id="2" xr3:uid="{00000000-0010-0000-0100-000002000000}" name="البيـــــــــــــــــــــــــــــــــــــــــــــــــــــــــــــــــــــــــــــــــان" dataDxfId="3"/>
    <tableColumn id="3" xr3:uid="{00000000-0010-0000-0100-000003000000}" name="السعر" dataDxfId="2"/>
    <tableColumn id="4" xr3:uid="{00000000-0010-0000-0100-000004000000}" name="الاجمالي" dataDxfId="1">
      <calculatedColumnFormula>Table4[[#This Row],[السعر]]*Table4[[#This Row],[العدد]]</calculatedColumnFormula>
    </tableColumn>
    <tableColumn id="5" xr3:uid="{00000000-0010-0000-0100-000005000000}" name="المجموع" dataDxfId="0">
      <calculatedColumnFormula>SUM(Table4[[#This Row],[الاجمالي]]+J1)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2" displayName="Table2" ref="H1:J497" totalsRowShown="0">
  <autoFilter ref="H1:J497" xr:uid="{00000000-0009-0000-0100-000002000000}"/>
  <tableColumns count="3">
    <tableColumn id="1" xr3:uid="{00000000-0010-0000-0200-000001000000}" name="تعديل" dataDxfId="12">
      <calculatedColumnFormula>TRIM(SUBSTITUTE(C2, "باننجر", "")) &amp; " " &amp; "باننجر"</calculatedColumnFormula>
    </tableColumn>
    <tableColumn id="2" xr3:uid="{00000000-0010-0000-0200-000002000000}" name="3" dataDxfId="11"/>
    <tableColumn id="3" xr3:uid="{153852A7-0ACA-4E88-9455-597F0EA65B15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12"/>
  <sheetViews>
    <sheetView workbookViewId="0">
      <selection activeCell="B3" sqref="B3"/>
    </sheetView>
  </sheetViews>
  <sheetFormatPr defaultRowHeight="14.4" x14ac:dyDescent="0.3"/>
  <cols>
    <col min="1" max="1" width="13.6640625" style="16" customWidth="1"/>
    <col min="2" max="2" width="55.21875" customWidth="1"/>
    <col min="3" max="3" width="21.44140625" customWidth="1"/>
    <col min="4" max="4" width="5.33203125" customWidth="1"/>
    <col min="5" max="5" width="10.109375" customWidth="1"/>
    <col min="6" max="6" width="11.6640625" customWidth="1"/>
    <col min="7" max="7" width="54.6640625" customWidth="1"/>
    <col min="8" max="8" width="14.109375" customWidth="1"/>
    <col min="9" max="9" width="12.77734375" customWidth="1"/>
    <col min="10" max="10" width="24.77734375" customWidth="1"/>
    <col min="11" max="11" width="18.44140625" customWidth="1"/>
  </cols>
  <sheetData>
    <row r="1" spans="1:13" ht="34.799999999999997" customHeight="1" x14ac:dyDescent="0.3">
      <c r="A1" s="14" t="s">
        <v>0</v>
      </c>
      <c r="B1" s="2" t="s">
        <v>1</v>
      </c>
      <c r="C1" s="2" t="s">
        <v>2</v>
      </c>
      <c r="F1" s="4" t="s">
        <v>3</v>
      </c>
      <c r="G1" s="5" t="s">
        <v>4</v>
      </c>
      <c r="H1" s="5" t="s">
        <v>2</v>
      </c>
      <c r="I1" s="6" t="s">
        <v>5</v>
      </c>
      <c r="J1" s="9" t="s">
        <v>6</v>
      </c>
      <c r="K1" s="21">
        <f>J105</f>
        <v>385.5</v>
      </c>
    </row>
    <row r="2" spans="1:13" ht="34.799999999999997" customHeight="1" x14ac:dyDescent="0.3">
      <c r="A2" s="15">
        <v>313060010</v>
      </c>
      <c r="B2" s="1" t="s">
        <v>7</v>
      </c>
      <c r="C2" s="1">
        <v>48.75</v>
      </c>
      <c r="F2" s="7"/>
      <c r="G2" s="5"/>
      <c r="H2" s="5"/>
      <c r="I2" s="8">
        <f>Table4[[#This Row],[السعر]]*Table4[[#This Row],[العدد]]</f>
        <v>0</v>
      </c>
      <c r="J2" s="9" t="e">
        <f>Sheet2!#REF!=SUM(Table4[[#This Row],[الاجمالي]]+J1)</f>
        <v>#REF!</v>
      </c>
      <c r="K2" s="3"/>
      <c r="L2" s="3"/>
      <c r="M2" s="3"/>
    </row>
    <row r="3" spans="1:13" ht="34.799999999999997" customHeight="1" x14ac:dyDescent="0.3">
      <c r="A3" s="15">
        <v>313060011</v>
      </c>
      <c r="B3" s="1" t="s">
        <v>8</v>
      </c>
      <c r="C3" s="1">
        <v>80</v>
      </c>
      <c r="F3" s="7"/>
      <c r="G3" s="9"/>
      <c r="H3" s="9"/>
      <c r="I3" s="8">
        <f>Table4[[#This Row],[السعر]]*Table4[[#This Row],[العدد]]</f>
        <v>0</v>
      </c>
      <c r="J3" s="9">
        <f>SUM(Table4[[#This Row],[الاجمالي]])</f>
        <v>0</v>
      </c>
      <c r="K3" s="3"/>
      <c r="L3" s="3"/>
      <c r="M3" s="3"/>
    </row>
    <row r="4" spans="1:13" ht="34.799999999999997" customHeight="1" x14ac:dyDescent="0.3">
      <c r="A4" s="15">
        <v>313060012</v>
      </c>
      <c r="B4" s="1" t="s">
        <v>9</v>
      </c>
      <c r="C4" s="1">
        <v>124.5</v>
      </c>
      <c r="F4" s="7"/>
      <c r="G4" s="9"/>
      <c r="H4" s="9"/>
      <c r="I4" s="8">
        <f>Table4[[#This Row],[السعر]]*Table4[[#This Row],[العدد]]</f>
        <v>0</v>
      </c>
      <c r="J4" s="9">
        <f>SUM(Table4[[#This Row],[الاجمالي]]+J3)</f>
        <v>0</v>
      </c>
      <c r="K4" s="3"/>
      <c r="L4" s="3"/>
      <c r="M4" s="3"/>
    </row>
    <row r="5" spans="1:13" ht="34.799999999999997" customHeight="1" x14ac:dyDescent="0.3">
      <c r="A5" s="15">
        <v>313060013</v>
      </c>
      <c r="B5" s="1" t="s">
        <v>10</v>
      </c>
      <c r="C5" s="1">
        <v>185</v>
      </c>
      <c r="F5" s="7"/>
      <c r="G5" s="9"/>
      <c r="H5" s="9"/>
      <c r="I5" s="8">
        <f>Table4[[#This Row],[السعر]]*Table4[[#This Row],[العدد]]</f>
        <v>0</v>
      </c>
      <c r="J5" s="9">
        <f>SUM(Table4[[#This Row],[الاجمالي]]+J4)</f>
        <v>0</v>
      </c>
      <c r="K5" s="3"/>
      <c r="L5" s="3"/>
      <c r="M5" s="3"/>
    </row>
    <row r="6" spans="1:13" ht="34.799999999999997" customHeight="1" x14ac:dyDescent="0.3">
      <c r="A6" s="15">
        <v>313060014</v>
      </c>
      <c r="B6" s="1" t="s">
        <v>11</v>
      </c>
      <c r="C6" s="1">
        <v>290</v>
      </c>
      <c r="F6" s="7"/>
      <c r="G6" s="9"/>
      <c r="H6" s="9"/>
      <c r="I6" s="8">
        <f>Table4[[#This Row],[السعر]]*Table4[[#This Row],[العدد]]</f>
        <v>0</v>
      </c>
      <c r="J6" s="9">
        <f>SUM(Table4[[#This Row],[الاجمالي]]+J5)</f>
        <v>0</v>
      </c>
      <c r="K6" s="3"/>
      <c r="L6" s="3"/>
      <c r="M6" s="3"/>
    </row>
    <row r="7" spans="1:13" ht="34.799999999999997" customHeight="1" x14ac:dyDescent="0.3">
      <c r="A7" s="15">
        <v>313060015</v>
      </c>
      <c r="B7" s="1" t="s">
        <v>12</v>
      </c>
      <c r="C7" s="1">
        <v>443</v>
      </c>
      <c r="F7" s="7"/>
      <c r="G7" s="9"/>
      <c r="H7" s="9"/>
      <c r="I7" s="8">
        <f>Table4[[#This Row],[السعر]]*Table4[[#This Row],[العدد]]</f>
        <v>0</v>
      </c>
      <c r="J7" s="9">
        <f>SUM(Table4[[#This Row],[الاجمالي]]+J6)</f>
        <v>0</v>
      </c>
      <c r="K7" s="3"/>
      <c r="L7" s="3"/>
      <c r="M7" s="3"/>
    </row>
    <row r="8" spans="1:13" ht="34.799999999999997" customHeight="1" x14ac:dyDescent="0.3">
      <c r="A8" s="15">
        <v>313060016</v>
      </c>
      <c r="B8" s="1" t="s">
        <v>13</v>
      </c>
      <c r="C8" s="1">
        <v>635.5</v>
      </c>
      <c r="F8" s="7"/>
      <c r="G8" s="9"/>
      <c r="H8" s="9"/>
      <c r="I8" s="8">
        <f>Table4[[#This Row],[السعر]]*Table4[[#This Row],[العدد]]</f>
        <v>0</v>
      </c>
      <c r="J8" s="9">
        <f>SUM(Table4[[#This Row],[الاجمالي]]+J7)</f>
        <v>0</v>
      </c>
      <c r="K8" s="3"/>
      <c r="L8" s="3"/>
      <c r="M8" s="3"/>
    </row>
    <row r="9" spans="1:13" ht="34.799999999999997" customHeight="1" x14ac:dyDescent="0.3">
      <c r="A9" s="15">
        <v>313060017</v>
      </c>
      <c r="B9" s="1" t="s">
        <v>14</v>
      </c>
      <c r="C9" s="1">
        <v>915</v>
      </c>
      <c r="F9" s="7"/>
      <c r="G9" s="9"/>
      <c r="H9" s="9"/>
      <c r="I9" s="8">
        <f>Table4[[#This Row],[السعر]]*Table4[[#This Row],[العدد]]</f>
        <v>0</v>
      </c>
      <c r="J9" s="9">
        <f>SUM(Table4[[#This Row],[الاجمالي]]+J8)</f>
        <v>0</v>
      </c>
      <c r="K9" s="3"/>
      <c r="L9" s="3"/>
      <c r="M9" s="3"/>
    </row>
    <row r="10" spans="1:13" ht="34.799999999999997" customHeight="1" x14ac:dyDescent="0.3">
      <c r="A10" s="15">
        <v>313060018</v>
      </c>
      <c r="B10" s="1" t="s">
        <v>15</v>
      </c>
      <c r="C10" s="1">
        <v>1375</v>
      </c>
      <c r="F10" s="7"/>
      <c r="G10" s="9"/>
      <c r="H10" s="9"/>
      <c r="I10" s="8">
        <f>Table4[[#This Row],[السعر]]*Table4[[#This Row],[العدد]]</f>
        <v>0</v>
      </c>
      <c r="J10" s="9">
        <f>SUM(Table4[[#This Row],[الاجمالي]]+J9)</f>
        <v>0</v>
      </c>
      <c r="K10" s="3"/>
      <c r="L10" s="3"/>
      <c r="M10" s="3"/>
    </row>
    <row r="11" spans="1:13" ht="34.799999999999997" customHeight="1" x14ac:dyDescent="0.3">
      <c r="A11" s="15">
        <v>313070010</v>
      </c>
      <c r="B11" s="1" t="s">
        <v>16</v>
      </c>
      <c r="C11" s="1">
        <v>56.75</v>
      </c>
      <c r="F11" s="10"/>
      <c r="G11" s="11"/>
      <c r="H11" s="11"/>
      <c r="I11" s="12">
        <f>Table4[[#This Row],[السعر]]*Table4[[#This Row],[العدد]]</f>
        <v>0</v>
      </c>
      <c r="J11" s="9">
        <f>SUM(Table4[[#This Row],[الاجمالي]]+J10)</f>
        <v>0</v>
      </c>
      <c r="K11" s="3"/>
      <c r="L11" s="3"/>
      <c r="M11" s="3"/>
    </row>
    <row r="12" spans="1:13" ht="34.799999999999997" customHeight="1" x14ac:dyDescent="0.3">
      <c r="A12" s="15">
        <v>313070011</v>
      </c>
      <c r="B12" s="1" t="s">
        <v>17</v>
      </c>
      <c r="C12" s="1">
        <v>93.25</v>
      </c>
      <c r="F12" s="10"/>
      <c r="G12" s="11"/>
      <c r="H12" s="11"/>
      <c r="I12" s="12">
        <f>Table4[[#This Row],[السعر]]*Table4[[#This Row],[العدد]]</f>
        <v>0</v>
      </c>
      <c r="J12" s="9">
        <f>SUM(Table4[[#This Row],[الاجمالي]]+J11)</f>
        <v>0</v>
      </c>
    </row>
    <row r="13" spans="1:13" ht="34.799999999999997" customHeight="1" x14ac:dyDescent="0.3">
      <c r="A13" s="15">
        <v>313070012</v>
      </c>
      <c r="B13" s="1" t="s">
        <v>18</v>
      </c>
      <c r="C13" s="1">
        <v>145.5</v>
      </c>
      <c r="F13" s="7"/>
      <c r="G13" s="9"/>
      <c r="H13" s="9"/>
      <c r="I13" s="8">
        <f>Table4[[#This Row],[السعر]]*Table4[[#This Row],[العدد]]</f>
        <v>0</v>
      </c>
      <c r="J13" s="9">
        <f>SUM(Table4[[#This Row],[الاجمالي]]+J12)</f>
        <v>0</v>
      </c>
    </row>
    <row r="14" spans="1:13" ht="34.799999999999997" customHeight="1" x14ac:dyDescent="0.3">
      <c r="A14" s="15">
        <v>313070013</v>
      </c>
      <c r="B14" s="1" t="s">
        <v>19</v>
      </c>
      <c r="C14" s="1">
        <v>215.75</v>
      </c>
      <c r="F14" s="7"/>
      <c r="G14" s="9"/>
      <c r="H14" s="9"/>
      <c r="I14" s="8">
        <f>Table4[[#This Row],[السعر]]*Table4[[#This Row],[العدد]]</f>
        <v>0</v>
      </c>
      <c r="J14" s="9">
        <f>SUM(Table4[[#This Row],[الاجمالي]]+J13)</f>
        <v>0</v>
      </c>
    </row>
    <row r="15" spans="1:13" ht="34.799999999999997" customHeight="1" x14ac:dyDescent="0.3">
      <c r="A15" s="15">
        <v>313070014</v>
      </c>
      <c r="B15" s="1" t="s">
        <v>20</v>
      </c>
      <c r="C15" s="1">
        <v>338</v>
      </c>
      <c r="F15" s="7"/>
      <c r="G15" s="9"/>
      <c r="H15" s="9"/>
      <c r="I15" s="8">
        <f>Table4[[#This Row],[السعر]]*Table4[[#This Row],[العدد]]</f>
        <v>0</v>
      </c>
      <c r="J15" s="9">
        <f>SUM(Table4[[#This Row],[الاجمالي]]+J14)</f>
        <v>0</v>
      </c>
    </row>
    <row r="16" spans="1:13" ht="34.799999999999997" customHeight="1" x14ac:dyDescent="0.3">
      <c r="A16" s="15">
        <v>313070015</v>
      </c>
      <c r="B16" s="1" t="s">
        <v>21</v>
      </c>
      <c r="C16" s="1">
        <v>516</v>
      </c>
      <c r="F16" s="7"/>
      <c r="G16" s="9"/>
      <c r="H16" s="9"/>
      <c r="I16" s="8">
        <f>Table4[[#This Row],[السعر]]*Table4[[#This Row],[العدد]]</f>
        <v>0</v>
      </c>
      <c r="J16" s="9">
        <f>SUM(Table4[[#This Row],[الاجمالي]]+J15)</f>
        <v>0</v>
      </c>
    </row>
    <row r="17" spans="1:10" ht="34.799999999999997" customHeight="1" x14ac:dyDescent="0.3">
      <c r="A17" s="15">
        <v>313070016</v>
      </c>
      <c r="B17" s="1" t="s">
        <v>22</v>
      </c>
      <c r="C17" s="1">
        <v>741</v>
      </c>
      <c r="F17" s="7"/>
      <c r="G17" s="9"/>
      <c r="H17" s="9"/>
      <c r="I17" s="8">
        <f>Table4[[#This Row],[السعر]]*Table4[[#This Row],[العدد]]</f>
        <v>0</v>
      </c>
      <c r="J17" s="9">
        <f>SUM(Table4[[#This Row],[الاجمالي]]+J16)</f>
        <v>0</v>
      </c>
    </row>
    <row r="18" spans="1:10" ht="34.799999999999997" customHeight="1" x14ac:dyDescent="0.3">
      <c r="A18" s="15">
        <v>313070017</v>
      </c>
      <c r="B18" s="1" t="s">
        <v>23</v>
      </c>
      <c r="C18" s="1">
        <v>1067</v>
      </c>
      <c r="F18" s="7"/>
      <c r="G18" s="9"/>
      <c r="H18" s="9"/>
      <c r="I18" s="8">
        <f>Table4[[#This Row],[السعر]]*Table4[[#This Row],[العدد]]</f>
        <v>0</v>
      </c>
      <c r="J18" s="9">
        <f>SUM(Table4[[#This Row],[الاجمالي]]+J17)</f>
        <v>0</v>
      </c>
    </row>
    <row r="19" spans="1:10" ht="34.799999999999997" customHeight="1" x14ac:dyDescent="0.3">
      <c r="A19" s="15">
        <v>313070018</v>
      </c>
      <c r="B19" s="1" t="s">
        <v>24</v>
      </c>
      <c r="C19" s="1">
        <v>1603.5</v>
      </c>
      <c r="F19" s="7"/>
      <c r="G19" s="9"/>
      <c r="H19" s="9"/>
      <c r="I19" s="8">
        <f>Table4[[#This Row],[السعر]]*Table4[[#This Row],[العدد]]</f>
        <v>0</v>
      </c>
      <c r="J19" s="9">
        <f>SUM(Table4[[#This Row],[الاجمالي]]+J18)</f>
        <v>0</v>
      </c>
    </row>
    <row r="20" spans="1:10" ht="34.799999999999997" customHeight="1" x14ac:dyDescent="0.3">
      <c r="A20" s="15">
        <v>111010001</v>
      </c>
      <c r="B20" s="1" t="s">
        <v>25</v>
      </c>
      <c r="C20" s="1">
        <v>15.25</v>
      </c>
      <c r="F20" s="7"/>
      <c r="G20" s="9"/>
      <c r="H20" s="9"/>
      <c r="I20" s="8">
        <f>Table4[[#This Row],[السعر]]*Table4[[#This Row],[العدد]]</f>
        <v>0</v>
      </c>
      <c r="J20" s="9">
        <f>SUM(Table4[[#This Row],[الاجمالي]]+J19)</f>
        <v>0</v>
      </c>
    </row>
    <row r="21" spans="1:10" ht="34.799999999999997" customHeight="1" x14ac:dyDescent="0.3">
      <c r="A21" s="15">
        <v>111010002</v>
      </c>
      <c r="B21" s="1" t="s">
        <v>26</v>
      </c>
      <c r="C21" s="1">
        <v>23.5</v>
      </c>
      <c r="F21" s="7"/>
      <c r="G21" s="9"/>
      <c r="H21" s="9"/>
      <c r="I21" s="8">
        <f>Table4[[#This Row],[السعر]]*Table4[[#This Row],[العدد]]</f>
        <v>0</v>
      </c>
      <c r="J21" s="9">
        <f>SUM(Table4[[#This Row],[الاجمالي]]+J20)</f>
        <v>0</v>
      </c>
    </row>
    <row r="22" spans="1:10" ht="34.799999999999997" customHeight="1" x14ac:dyDescent="0.3">
      <c r="A22" s="15">
        <v>111010003</v>
      </c>
      <c r="B22" s="1" t="s">
        <v>27</v>
      </c>
      <c r="C22" s="1">
        <v>42.5</v>
      </c>
      <c r="F22" s="7"/>
      <c r="G22" s="9"/>
      <c r="H22" s="9"/>
      <c r="I22" s="8">
        <f>Table4[[#This Row],[السعر]]*Table4[[#This Row],[العدد]]</f>
        <v>0</v>
      </c>
      <c r="J22" s="9">
        <f>SUM(Table4[[#This Row],[الاجمالي]]+J21)</f>
        <v>0</v>
      </c>
    </row>
    <row r="23" spans="1:10" ht="34.799999999999997" customHeight="1" x14ac:dyDescent="0.3">
      <c r="A23" s="15">
        <v>111020001</v>
      </c>
      <c r="B23" s="1" t="s">
        <v>28</v>
      </c>
      <c r="C23" s="1">
        <v>21</v>
      </c>
      <c r="F23" s="7"/>
      <c r="G23" s="9"/>
      <c r="H23" s="9"/>
      <c r="I23" s="8">
        <f>Table4[[#This Row],[السعر]]*Table4[[#This Row],[العدد]]</f>
        <v>0</v>
      </c>
      <c r="J23" s="9">
        <f>SUM(Table4[[#This Row],[الاجمالي]]+J22)</f>
        <v>0</v>
      </c>
    </row>
    <row r="24" spans="1:10" ht="34.799999999999997" customHeight="1" x14ac:dyDescent="0.3">
      <c r="A24" s="15">
        <v>111020002</v>
      </c>
      <c r="B24" s="1" t="s">
        <v>29</v>
      </c>
      <c r="C24" s="1">
        <v>27.5</v>
      </c>
      <c r="F24" s="7"/>
      <c r="G24" s="9"/>
      <c r="H24" s="9"/>
      <c r="I24" s="8">
        <f>Table4[[#This Row],[السعر]]*Table4[[#This Row],[العدد]]</f>
        <v>0</v>
      </c>
      <c r="J24" s="9">
        <f>SUM(Table4[[#This Row],[الاجمالي]]+J23)</f>
        <v>0</v>
      </c>
    </row>
    <row r="25" spans="1:10" ht="34.799999999999997" customHeight="1" x14ac:dyDescent="0.3">
      <c r="A25" s="15">
        <v>111030001</v>
      </c>
      <c r="B25" s="1" t="s">
        <v>30</v>
      </c>
      <c r="C25" s="1">
        <v>21.5</v>
      </c>
      <c r="F25" s="7"/>
      <c r="G25" s="9"/>
      <c r="H25" s="9"/>
      <c r="I25" s="8">
        <f>Table4[[#This Row],[السعر]]*Table4[[#This Row],[العدد]]</f>
        <v>0</v>
      </c>
      <c r="J25" s="9">
        <f>SUM(Table4[[#This Row],[الاجمالي]]+J24)</f>
        <v>0</v>
      </c>
    </row>
    <row r="26" spans="1:10" ht="34.799999999999997" customHeight="1" x14ac:dyDescent="0.3">
      <c r="A26" s="15">
        <v>111030002</v>
      </c>
      <c r="B26" s="1" t="s">
        <v>31</v>
      </c>
      <c r="C26" s="1">
        <v>31.75</v>
      </c>
      <c r="F26" s="7"/>
      <c r="G26" s="9"/>
      <c r="H26" s="9"/>
      <c r="I26" s="8">
        <f>Table4[[#This Row],[السعر]]*Table4[[#This Row],[العدد]]</f>
        <v>0</v>
      </c>
      <c r="J26" s="9">
        <f>SUM(Table4[[#This Row],[الاجمالي]]+J25)</f>
        <v>0</v>
      </c>
    </row>
    <row r="27" spans="1:10" ht="34.799999999999997" customHeight="1" x14ac:dyDescent="0.3">
      <c r="A27" s="15">
        <v>111030003</v>
      </c>
      <c r="B27" s="1" t="s">
        <v>32</v>
      </c>
      <c r="C27" s="1">
        <v>58.75</v>
      </c>
      <c r="F27" s="7"/>
      <c r="G27" s="9"/>
      <c r="H27" s="9"/>
      <c r="I27" s="8">
        <f>Table4[[#This Row],[السعر]]*Table4[[#This Row],[العدد]]</f>
        <v>0</v>
      </c>
      <c r="J27" s="9">
        <f>SUM(Table4[[#This Row],[الاجمالي]]+J26)</f>
        <v>0</v>
      </c>
    </row>
    <row r="28" spans="1:10" ht="34.799999999999997" customHeight="1" x14ac:dyDescent="0.3">
      <c r="A28" s="15">
        <v>111093001</v>
      </c>
      <c r="B28" s="1" t="s">
        <v>33</v>
      </c>
      <c r="C28" s="1">
        <v>12.25</v>
      </c>
      <c r="F28" s="7"/>
      <c r="G28" s="9"/>
      <c r="H28" s="9"/>
      <c r="I28" s="8">
        <f>Table4[[#This Row],[السعر]]*Table4[[#This Row],[العدد]]</f>
        <v>0</v>
      </c>
      <c r="J28" s="9">
        <f>SUM(Table4[[#This Row],[الاجمالي]]+J27)</f>
        <v>0</v>
      </c>
    </row>
    <row r="29" spans="1:10" ht="34.799999999999997" customHeight="1" x14ac:dyDescent="0.3">
      <c r="A29" s="15">
        <v>111093002</v>
      </c>
      <c r="B29" s="1" t="s">
        <v>34</v>
      </c>
      <c r="C29" s="1">
        <v>18.25</v>
      </c>
      <c r="F29" s="7"/>
      <c r="G29" s="9"/>
      <c r="H29" s="9"/>
      <c r="I29" s="8">
        <f>Table4[[#This Row],[السعر]]*Table4[[#This Row],[العدد]]</f>
        <v>0</v>
      </c>
      <c r="J29" s="9">
        <f>SUM(Table4[[#This Row],[الاجمالي]]+J28)</f>
        <v>0</v>
      </c>
    </row>
    <row r="30" spans="1:10" ht="34.799999999999997" customHeight="1" x14ac:dyDescent="0.3">
      <c r="A30" s="15">
        <v>111093003</v>
      </c>
      <c r="B30" s="1" t="s">
        <v>35</v>
      </c>
      <c r="C30" s="1">
        <v>31.5</v>
      </c>
      <c r="F30" s="7"/>
      <c r="G30" s="9"/>
      <c r="H30" s="9"/>
      <c r="I30" s="8">
        <f>Table4[[#This Row],[السعر]]*Table4[[#This Row],[العدد]]</f>
        <v>0</v>
      </c>
      <c r="J30" s="9">
        <f>SUM(Table4[[#This Row],[الاجمالي]]+J29)</f>
        <v>0</v>
      </c>
    </row>
    <row r="31" spans="1:10" ht="34.799999999999997" customHeight="1" x14ac:dyDescent="0.3">
      <c r="A31" s="15">
        <v>375029990</v>
      </c>
      <c r="B31" s="1" t="s">
        <v>36</v>
      </c>
      <c r="C31" s="1">
        <v>480</v>
      </c>
      <c r="F31" s="7"/>
      <c r="G31" s="9"/>
      <c r="H31" s="9"/>
      <c r="I31" s="8">
        <f>Table4[[#This Row],[السعر]]*Table4[[#This Row],[العدد]]</f>
        <v>0</v>
      </c>
      <c r="J31" s="9">
        <f>SUM(Table4[[#This Row],[الاجمالي]]+J30)</f>
        <v>0</v>
      </c>
    </row>
    <row r="32" spans="1:10" ht="34.799999999999997" customHeight="1" x14ac:dyDescent="0.3">
      <c r="A32" s="15">
        <v>375029991</v>
      </c>
      <c r="B32" s="1" t="s">
        <v>37</v>
      </c>
      <c r="C32" s="1">
        <v>650</v>
      </c>
      <c r="F32" s="7"/>
      <c r="G32" s="9"/>
      <c r="H32" s="9"/>
      <c r="I32" s="8">
        <f>Table4[[#This Row],[السعر]]*Table4[[#This Row],[العدد]]</f>
        <v>0</v>
      </c>
      <c r="J32" s="9">
        <f>SUM(Table4[[#This Row],[الاجمالي]]+J31)</f>
        <v>0</v>
      </c>
    </row>
    <row r="33" spans="1:10" ht="34.799999999999997" customHeight="1" x14ac:dyDescent="0.3">
      <c r="A33" s="15">
        <v>375029992</v>
      </c>
      <c r="B33" s="1" t="s">
        <v>38</v>
      </c>
      <c r="C33" s="1">
        <v>320</v>
      </c>
      <c r="F33" s="7"/>
      <c r="G33" s="9"/>
      <c r="H33" s="9"/>
      <c r="I33" s="8">
        <f>Table4[[#This Row],[السعر]]*Table4[[#This Row],[العدد]]</f>
        <v>0</v>
      </c>
      <c r="J33" s="9">
        <f>SUM(Table4[[#This Row],[الاجمالي]]+J32)</f>
        <v>0</v>
      </c>
    </row>
    <row r="34" spans="1:10" ht="34.799999999999997" customHeight="1" x14ac:dyDescent="0.3">
      <c r="A34" s="15">
        <v>373020005</v>
      </c>
      <c r="B34" s="1" t="s">
        <v>39</v>
      </c>
      <c r="C34" s="1">
        <v>595</v>
      </c>
      <c r="F34" s="7"/>
      <c r="G34" s="9"/>
      <c r="H34" s="9"/>
      <c r="I34" s="8">
        <f>Table4[[#This Row],[السعر]]*Table4[[#This Row],[العدد]]</f>
        <v>0</v>
      </c>
      <c r="J34" s="9">
        <f>SUM(Table4[[#This Row],[الاجمالي]]+J33)</f>
        <v>0</v>
      </c>
    </row>
    <row r="35" spans="1:10" ht="34.799999999999997" customHeight="1" x14ac:dyDescent="0.3">
      <c r="A35" s="15">
        <v>373020006</v>
      </c>
      <c r="B35" s="1" t="s">
        <v>40</v>
      </c>
      <c r="C35" s="1">
        <v>780</v>
      </c>
      <c r="F35" s="7"/>
      <c r="G35" s="9"/>
      <c r="H35" s="9"/>
      <c r="I35" s="8">
        <f>Table4[[#This Row],[السعر]]*Table4[[#This Row],[العدد]]</f>
        <v>0</v>
      </c>
      <c r="J35" s="9">
        <f>SUM(Table4[[#This Row],[الاجمالي]]+J34)</f>
        <v>0</v>
      </c>
    </row>
    <row r="36" spans="1:10" ht="34.799999999999997" customHeight="1" x14ac:dyDescent="0.3">
      <c r="A36" s="15">
        <v>373010035</v>
      </c>
      <c r="B36" s="1" t="s">
        <v>41</v>
      </c>
      <c r="C36" s="1">
        <v>725</v>
      </c>
      <c r="F36" s="7"/>
      <c r="G36" s="9"/>
      <c r="H36" s="9"/>
      <c r="I36" s="8">
        <f>Table4[[#This Row],[السعر]]*Table4[[#This Row],[العدد]]</f>
        <v>0</v>
      </c>
      <c r="J36" s="9">
        <f>SUM(Table4[[#This Row],[الاجمالي]]+J35)</f>
        <v>0</v>
      </c>
    </row>
    <row r="37" spans="1:10" ht="34.799999999999997" customHeight="1" x14ac:dyDescent="0.3">
      <c r="A37" s="15">
        <v>373010036</v>
      </c>
      <c r="B37" s="1" t="s">
        <v>42</v>
      </c>
      <c r="C37" s="1">
        <v>940</v>
      </c>
      <c r="F37" s="7"/>
      <c r="G37" s="9"/>
      <c r="H37" s="9"/>
      <c r="I37" s="8">
        <f>Table4[[#This Row],[السعر]]*Table4[[#This Row],[العدد]]</f>
        <v>0</v>
      </c>
      <c r="J37" s="9">
        <f>SUM(Table4[[#This Row],[الاجمالي]]+J36)</f>
        <v>0</v>
      </c>
    </row>
    <row r="38" spans="1:10" ht="34.799999999999997" customHeight="1" x14ac:dyDescent="0.3">
      <c r="A38" s="15">
        <v>353093010</v>
      </c>
      <c r="B38" s="1" t="s">
        <v>43</v>
      </c>
      <c r="C38" s="1">
        <v>10.25</v>
      </c>
      <c r="F38" s="7"/>
      <c r="G38" s="9"/>
      <c r="H38" s="9"/>
      <c r="I38" s="8">
        <f>Table4[[#This Row],[السعر]]*Table4[[#This Row],[العدد]]</f>
        <v>0</v>
      </c>
      <c r="J38" s="9">
        <f>SUM(Table4[[#This Row],[الاجمالي]]+J37)</f>
        <v>0</v>
      </c>
    </row>
    <row r="39" spans="1:10" ht="34.799999999999997" customHeight="1" x14ac:dyDescent="0.3">
      <c r="A39" s="15">
        <v>353093011</v>
      </c>
      <c r="B39" s="1" t="s">
        <v>44</v>
      </c>
      <c r="C39" s="1">
        <v>14.75</v>
      </c>
      <c r="F39" s="7"/>
      <c r="G39" s="9"/>
      <c r="H39" s="9"/>
      <c r="I39" s="8">
        <f>Table4[[#This Row],[السعر]]*Table4[[#This Row],[العدد]]</f>
        <v>0</v>
      </c>
      <c r="J39" s="9">
        <f>SUM(Table4[[#This Row],[الاجمالي]]+J38)</f>
        <v>0</v>
      </c>
    </row>
    <row r="40" spans="1:10" ht="34.799999999999997" customHeight="1" x14ac:dyDescent="0.3">
      <c r="A40" s="15">
        <v>353093012</v>
      </c>
      <c r="B40" s="1" t="s">
        <v>45</v>
      </c>
      <c r="C40" s="1">
        <v>13.75</v>
      </c>
      <c r="F40" s="7"/>
      <c r="G40" s="9"/>
      <c r="H40" s="9"/>
      <c r="I40" s="8">
        <f>Table4[[#This Row],[السعر]]*Table4[[#This Row],[العدد]]</f>
        <v>0</v>
      </c>
      <c r="J40" s="9">
        <f>SUM(Table4[[#This Row],[الاجمالي]]+J39)</f>
        <v>0</v>
      </c>
    </row>
    <row r="41" spans="1:10" ht="34.799999999999997" customHeight="1" x14ac:dyDescent="0.3">
      <c r="A41" s="15">
        <v>353010015</v>
      </c>
      <c r="B41" s="1" t="s">
        <v>46</v>
      </c>
      <c r="C41" s="1">
        <v>43.5</v>
      </c>
      <c r="F41" s="7"/>
      <c r="G41" s="9"/>
      <c r="H41" s="9"/>
      <c r="I41" s="8">
        <f>Table4[[#This Row],[السعر]]*Table4[[#This Row],[العدد]]</f>
        <v>0</v>
      </c>
      <c r="J41" s="9">
        <f>SUM(Table4[[#This Row],[الاجمالي]]+J40)</f>
        <v>0</v>
      </c>
    </row>
    <row r="42" spans="1:10" ht="34.799999999999997" customHeight="1" x14ac:dyDescent="0.3">
      <c r="A42" s="15">
        <v>353010016</v>
      </c>
      <c r="B42" s="1" t="s">
        <v>47</v>
      </c>
      <c r="C42" s="1">
        <v>64</v>
      </c>
      <c r="F42" s="7">
        <v>2</v>
      </c>
      <c r="G42" s="9" t="s">
        <v>47</v>
      </c>
      <c r="H42" s="9">
        <v>64</v>
      </c>
      <c r="I42" s="8">
        <f>Table4[[#This Row],[السعر]]*Table4[[#This Row],[العدد]]</f>
        <v>128</v>
      </c>
      <c r="J42" s="9">
        <f>SUM(Table4[[#This Row],[الاجمالي]]+J41)</f>
        <v>128</v>
      </c>
    </row>
    <row r="43" spans="1:10" ht="34.799999999999997" customHeight="1" x14ac:dyDescent="0.3">
      <c r="A43" s="15">
        <v>353010017</v>
      </c>
      <c r="B43" s="1" t="s">
        <v>48</v>
      </c>
      <c r="C43" s="1">
        <v>110.25</v>
      </c>
      <c r="F43" s="7"/>
      <c r="G43" s="9"/>
      <c r="H43" s="9"/>
      <c r="I43" s="8">
        <f>Table4[[#This Row],[السعر]]*Table4[[#This Row],[العدد]]</f>
        <v>0</v>
      </c>
      <c r="J43" s="9">
        <f>SUM(Table4[[#This Row],[الاجمالي]]+J42)</f>
        <v>128</v>
      </c>
    </row>
    <row r="44" spans="1:10" ht="34.799999999999997" customHeight="1" x14ac:dyDescent="0.3">
      <c r="A44" s="15">
        <v>353020015</v>
      </c>
      <c r="B44" s="1" t="s">
        <v>49</v>
      </c>
      <c r="C44" s="1">
        <v>68.25</v>
      </c>
      <c r="F44" s="7"/>
      <c r="G44" s="9"/>
      <c r="H44" s="9"/>
      <c r="I44" s="8">
        <f>Table4[[#This Row],[السعر]]*Table4[[#This Row],[العدد]]</f>
        <v>0</v>
      </c>
      <c r="J44" s="9">
        <f>SUM(Table4[[#This Row],[الاجمالي]]+J43)</f>
        <v>128</v>
      </c>
    </row>
    <row r="45" spans="1:10" ht="34.799999999999997" customHeight="1" x14ac:dyDescent="0.3">
      <c r="A45" s="15">
        <v>353020016</v>
      </c>
      <c r="B45" s="1" t="s">
        <v>50</v>
      </c>
      <c r="C45" s="1">
        <v>128.75</v>
      </c>
      <c r="F45" s="7">
        <v>2</v>
      </c>
      <c r="G45" s="9" t="s">
        <v>50</v>
      </c>
      <c r="H45" s="9">
        <v>128.75</v>
      </c>
      <c r="I45" s="8">
        <f>Table4[[#This Row],[السعر]]*Table4[[#This Row],[العدد]]</f>
        <v>257.5</v>
      </c>
      <c r="J45" s="9">
        <f>SUM(Table4[[#This Row],[الاجمالي]]+J44)</f>
        <v>385.5</v>
      </c>
    </row>
    <row r="46" spans="1:10" ht="34.799999999999997" customHeight="1" x14ac:dyDescent="0.3">
      <c r="A46" s="15">
        <v>353020017</v>
      </c>
      <c r="B46" s="1" t="s">
        <v>51</v>
      </c>
      <c r="C46" s="1">
        <v>323.25</v>
      </c>
      <c r="F46" s="7"/>
      <c r="G46" s="9"/>
      <c r="H46" s="9"/>
      <c r="I46" s="8">
        <f>Table4[[#This Row],[السعر]]*Table4[[#This Row],[العدد]]</f>
        <v>0</v>
      </c>
      <c r="J46" s="9">
        <f>SUM(Table4[[#This Row],[الاجمالي]]+J45)</f>
        <v>385.5</v>
      </c>
    </row>
    <row r="47" spans="1:10" ht="34.799999999999997" customHeight="1" x14ac:dyDescent="0.3">
      <c r="A47" s="15">
        <v>313099110</v>
      </c>
      <c r="B47" s="1" t="s">
        <v>52</v>
      </c>
      <c r="C47" s="1">
        <v>2850</v>
      </c>
      <c r="F47" s="7"/>
      <c r="G47" s="9"/>
      <c r="H47" s="9"/>
      <c r="I47" s="8">
        <f>Table4[[#This Row],[السعر]]*Table4[[#This Row],[العدد]]</f>
        <v>0</v>
      </c>
      <c r="J47" s="9">
        <f>SUM(Table4[[#This Row],[الاجمالي]]+J46)</f>
        <v>385.5</v>
      </c>
    </row>
    <row r="48" spans="1:10" ht="34.799999999999997" customHeight="1" x14ac:dyDescent="0.3">
      <c r="A48" s="15">
        <v>313099111</v>
      </c>
      <c r="B48" s="1" t="s">
        <v>53</v>
      </c>
      <c r="C48" s="1">
        <v>4100</v>
      </c>
      <c r="F48" s="7"/>
      <c r="G48" s="9"/>
      <c r="H48" s="9"/>
      <c r="I48" s="8">
        <f>Table4[[#This Row],[السعر]]*Table4[[#This Row],[العدد]]</f>
        <v>0</v>
      </c>
      <c r="J48" s="9">
        <f>SUM(Table4[[#This Row],[الاجمالي]]+J47)</f>
        <v>385.5</v>
      </c>
    </row>
    <row r="49" spans="1:10" ht="34.799999999999997" customHeight="1" x14ac:dyDescent="0.3">
      <c r="A49" s="15">
        <v>377090010</v>
      </c>
      <c r="B49" s="1" t="s">
        <v>54</v>
      </c>
      <c r="C49" s="1">
        <v>115</v>
      </c>
      <c r="F49" s="7"/>
      <c r="G49" s="9"/>
      <c r="H49" s="9"/>
      <c r="I49" s="8">
        <f>Table4[[#This Row],[السعر]]*Table4[[#This Row],[العدد]]</f>
        <v>0</v>
      </c>
      <c r="J49" s="9">
        <f>SUM(Table4[[#This Row],[الاجمالي]]+J48)</f>
        <v>385.5</v>
      </c>
    </row>
    <row r="50" spans="1:10" ht="34.799999999999997" customHeight="1" x14ac:dyDescent="0.3">
      <c r="A50" s="15">
        <v>377090011</v>
      </c>
      <c r="B50" s="1" t="s">
        <v>55</v>
      </c>
      <c r="C50" s="1">
        <v>310</v>
      </c>
      <c r="F50" s="7"/>
      <c r="G50" s="9"/>
      <c r="H50" s="9"/>
      <c r="I50" s="8">
        <f>Table4[[#This Row],[السعر]]*Table4[[#This Row],[العدد]]</f>
        <v>0</v>
      </c>
      <c r="J50" s="9">
        <f>SUM(Table4[[#This Row],[الاجمالي]]+J49)</f>
        <v>385.5</v>
      </c>
    </row>
    <row r="51" spans="1:10" ht="34.799999999999997" customHeight="1" x14ac:dyDescent="0.3">
      <c r="A51" s="15">
        <v>385010010</v>
      </c>
      <c r="B51" s="1" t="s">
        <v>56</v>
      </c>
      <c r="C51" s="1">
        <v>18.5</v>
      </c>
      <c r="F51" s="7"/>
      <c r="G51" s="9"/>
      <c r="H51" s="9"/>
      <c r="I51" s="8">
        <f>Table4[[#This Row],[السعر]]*Table4[[#This Row],[العدد]]</f>
        <v>0</v>
      </c>
      <c r="J51" s="9">
        <f>SUM(Table4[[#This Row],[الاجمالي]]+J50)</f>
        <v>385.5</v>
      </c>
    </row>
    <row r="52" spans="1:10" ht="34.799999999999997" customHeight="1" x14ac:dyDescent="0.3">
      <c r="A52" s="15">
        <v>385010011</v>
      </c>
      <c r="B52" s="1" t="s">
        <v>57</v>
      </c>
      <c r="C52" s="1">
        <v>22</v>
      </c>
      <c r="F52" s="7"/>
      <c r="G52" s="9"/>
      <c r="H52" s="9"/>
      <c r="I52" s="8">
        <f>Table4[[#This Row],[السعر]]*Table4[[#This Row],[العدد]]</f>
        <v>0</v>
      </c>
      <c r="J52" s="9">
        <f>SUM(Table4[[#This Row],[الاجمالي]]+J51)</f>
        <v>385.5</v>
      </c>
    </row>
    <row r="53" spans="1:10" ht="34.799999999999997" customHeight="1" x14ac:dyDescent="0.3">
      <c r="A53" s="15">
        <v>313093001</v>
      </c>
      <c r="B53" s="1" t="s">
        <v>58</v>
      </c>
      <c r="C53" s="1">
        <v>6.5</v>
      </c>
      <c r="F53" s="7"/>
      <c r="G53" s="9"/>
      <c r="H53" s="9"/>
      <c r="I53" s="8">
        <f>Table4[[#This Row],[السعر]]*Table4[[#This Row],[العدد]]</f>
        <v>0</v>
      </c>
      <c r="J53" s="9">
        <f>SUM(Table4[[#This Row],[الاجمالي]]+J52)</f>
        <v>385.5</v>
      </c>
    </row>
    <row r="54" spans="1:10" ht="34.799999999999997" customHeight="1" x14ac:dyDescent="0.3">
      <c r="A54" s="15">
        <v>313093002</v>
      </c>
      <c r="B54" s="1" t="s">
        <v>59</v>
      </c>
      <c r="C54" s="1">
        <v>9.25</v>
      </c>
      <c r="F54" s="7"/>
      <c r="G54" s="9"/>
      <c r="H54" s="9"/>
      <c r="I54" s="8">
        <f>Table4[[#This Row],[السعر]]*Table4[[#This Row],[العدد]]</f>
        <v>0</v>
      </c>
      <c r="J54" s="9">
        <f>SUM(Table4[[#This Row],[الاجمالي]]+J53)</f>
        <v>385.5</v>
      </c>
    </row>
    <row r="55" spans="1:10" ht="34.799999999999997" customHeight="1" x14ac:dyDescent="0.3">
      <c r="A55" s="15">
        <v>313093003</v>
      </c>
      <c r="B55" s="1" t="s">
        <v>60</v>
      </c>
      <c r="C55" s="1">
        <v>14.75</v>
      </c>
      <c r="F55" s="7"/>
      <c r="G55" s="9"/>
      <c r="H55" s="9"/>
      <c r="I55" s="8">
        <f>Table4[[#This Row],[السعر]]*Table4[[#This Row],[العدد]]</f>
        <v>0</v>
      </c>
      <c r="J55" s="9">
        <f>SUM(Table4[[#This Row],[الاجمالي]]+J54)</f>
        <v>385.5</v>
      </c>
    </row>
    <row r="56" spans="1:10" ht="34.799999999999997" customHeight="1" x14ac:dyDescent="0.3">
      <c r="A56" s="15">
        <v>313093004</v>
      </c>
      <c r="B56" s="1" t="s">
        <v>61</v>
      </c>
      <c r="C56" s="1">
        <v>26.25</v>
      </c>
      <c r="F56" s="7"/>
      <c r="G56" s="9"/>
      <c r="H56" s="9"/>
      <c r="I56" s="8">
        <f>Table4[[#This Row],[السعر]]*Table4[[#This Row],[العدد]]</f>
        <v>0</v>
      </c>
      <c r="J56" s="9">
        <f>SUM(Table4[[#This Row],[الاجمالي]]+J55)</f>
        <v>385.5</v>
      </c>
    </row>
    <row r="57" spans="1:10" ht="34.799999999999997" customHeight="1" x14ac:dyDescent="0.3">
      <c r="A57" s="15">
        <v>313093005</v>
      </c>
      <c r="B57" s="1" t="s">
        <v>62</v>
      </c>
      <c r="C57" s="1">
        <v>45</v>
      </c>
      <c r="F57" s="7"/>
      <c r="G57" s="9"/>
      <c r="H57" s="9"/>
      <c r="I57" s="8">
        <f>Table4[[#This Row],[السعر]]*Table4[[#This Row],[العدد]]</f>
        <v>0</v>
      </c>
      <c r="J57" s="9">
        <f>SUM(Table4[[#This Row],[الاجمالي]]+J56)</f>
        <v>385.5</v>
      </c>
    </row>
    <row r="58" spans="1:10" ht="34.799999999999997" customHeight="1" x14ac:dyDescent="0.3">
      <c r="A58" s="15">
        <v>313093006</v>
      </c>
      <c r="B58" s="1" t="s">
        <v>63</v>
      </c>
      <c r="C58" s="1">
        <v>83.25</v>
      </c>
      <c r="F58" s="7"/>
      <c r="G58" s="9"/>
      <c r="H58" s="9"/>
      <c r="I58" s="8">
        <f>Table4[[#This Row],[السعر]]*Table4[[#This Row],[العدد]]</f>
        <v>0</v>
      </c>
      <c r="J58" s="9">
        <f>SUM(Table4[[#This Row],[الاجمالي]]+J57)</f>
        <v>385.5</v>
      </c>
    </row>
    <row r="59" spans="1:10" ht="34.799999999999997" customHeight="1" x14ac:dyDescent="0.3">
      <c r="A59" s="15">
        <v>313093007</v>
      </c>
      <c r="B59" s="1" t="s">
        <v>64</v>
      </c>
      <c r="C59" s="1">
        <v>137.5</v>
      </c>
      <c r="F59" s="7"/>
      <c r="G59" s="9"/>
      <c r="H59" s="9"/>
      <c r="I59" s="8">
        <f>Table4[[#This Row],[السعر]]*Table4[[#This Row],[العدد]]</f>
        <v>0</v>
      </c>
      <c r="J59" s="9">
        <f>SUM(Table4[[#This Row],[الاجمالي]]+J58)</f>
        <v>385.5</v>
      </c>
    </row>
    <row r="60" spans="1:10" ht="34.799999999999997" customHeight="1" x14ac:dyDescent="0.3">
      <c r="A60" s="15">
        <v>313093008</v>
      </c>
      <c r="B60" s="1" t="s">
        <v>65</v>
      </c>
      <c r="C60" s="1">
        <v>225</v>
      </c>
      <c r="F60" s="7"/>
      <c r="G60" s="9"/>
      <c r="H60" s="9"/>
      <c r="I60" s="8">
        <f>Table4[[#This Row],[السعر]]*Table4[[#This Row],[العدد]]</f>
        <v>0</v>
      </c>
      <c r="J60" s="9">
        <f>SUM(Table4[[#This Row],[الاجمالي]]+J59)</f>
        <v>385.5</v>
      </c>
    </row>
    <row r="61" spans="1:10" ht="34.799999999999997" customHeight="1" x14ac:dyDescent="0.3">
      <c r="A61" s="15">
        <v>313093009</v>
      </c>
      <c r="B61" s="1" t="s">
        <v>66</v>
      </c>
      <c r="C61" s="1">
        <v>350</v>
      </c>
      <c r="F61" s="7"/>
      <c r="G61" s="9"/>
      <c r="H61" s="9"/>
      <c r="I61" s="8">
        <f>Table4[[#This Row],[السعر]]*Table4[[#This Row],[العدد]]</f>
        <v>0</v>
      </c>
      <c r="J61" s="9">
        <f>SUM(Table4[[#This Row],[الاجمالي]]+J60)</f>
        <v>385.5</v>
      </c>
    </row>
    <row r="62" spans="1:10" ht="34.799999999999997" customHeight="1" x14ac:dyDescent="0.3">
      <c r="A62" s="15">
        <v>313096001</v>
      </c>
      <c r="B62" s="1" t="s">
        <v>67</v>
      </c>
      <c r="C62" s="1">
        <v>4.25</v>
      </c>
      <c r="F62" s="7"/>
      <c r="G62" s="9"/>
      <c r="H62" s="9"/>
      <c r="I62" s="8">
        <f>Table4[[#This Row],[السعر]]*Table4[[#This Row],[العدد]]</f>
        <v>0</v>
      </c>
      <c r="J62" s="9">
        <f>SUM(Table4[[#This Row],[الاجمالي]]+J61)</f>
        <v>385.5</v>
      </c>
    </row>
    <row r="63" spans="1:10" ht="34.799999999999997" customHeight="1" x14ac:dyDescent="0.3">
      <c r="A63" s="15">
        <v>313096002</v>
      </c>
      <c r="B63" s="1" t="s">
        <v>68</v>
      </c>
      <c r="C63" s="1">
        <v>5</v>
      </c>
      <c r="F63" s="7"/>
      <c r="G63" s="9"/>
      <c r="H63" s="9"/>
      <c r="I63" s="8">
        <f>Table4[[#This Row],[السعر]]*Table4[[#This Row],[العدد]]</f>
        <v>0</v>
      </c>
      <c r="J63" s="9">
        <f>SUM(Table4[[#This Row],[الاجمالي]]+J62)</f>
        <v>385.5</v>
      </c>
    </row>
    <row r="64" spans="1:10" ht="34.799999999999997" customHeight="1" x14ac:dyDescent="0.3">
      <c r="A64" s="15">
        <v>313096003</v>
      </c>
      <c r="B64" s="1" t="s">
        <v>69</v>
      </c>
      <c r="C64" s="1">
        <v>6.5</v>
      </c>
      <c r="F64" s="7"/>
      <c r="G64" s="9"/>
      <c r="H64" s="9"/>
      <c r="I64" s="8">
        <f>Table4[[#This Row],[السعر]]*Table4[[#This Row],[العدد]]</f>
        <v>0</v>
      </c>
      <c r="J64" s="9">
        <f>SUM(Table4[[#This Row],[الاجمالي]]+J63)</f>
        <v>385.5</v>
      </c>
    </row>
    <row r="65" spans="1:10" ht="34.799999999999997" customHeight="1" x14ac:dyDescent="0.3">
      <c r="A65" s="15">
        <v>313096004</v>
      </c>
      <c r="B65" s="1" t="s">
        <v>70</v>
      </c>
      <c r="C65" s="1">
        <v>5.5</v>
      </c>
      <c r="F65" s="7"/>
      <c r="G65" s="9"/>
      <c r="H65" s="9"/>
      <c r="I65" s="8">
        <f>Table4[[#This Row],[السعر]]*Table4[[#This Row],[العدد]]</f>
        <v>0</v>
      </c>
      <c r="J65" s="9">
        <f>SUM(Table4[[#This Row],[الاجمالي]]+J64)</f>
        <v>385.5</v>
      </c>
    </row>
    <row r="66" spans="1:10" ht="34.799999999999997" customHeight="1" x14ac:dyDescent="0.3">
      <c r="A66" s="15">
        <v>313096005</v>
      </c>
      <c r="B66" s="1" t="s">
        <v>71</v>
      </c>
      <c r="C66" s="1">
        <v>7.25</v>
      </c>
      <c r="F66" s="7"/>
      <c r="G66" s="9"/>
      <c r="H66" s="9"/>
      <c r="I66" s="8">
        <f>Table4[[#This Row],[السعر]]*Table4[[#This Row],[العدد]]</f>
        <v>0</v>
      </c>
      <c r="J66" s="9">
        <f>SUM(Table4[[#This Row],[الاجمالي]]+J65)</f>
        <v>385.5</v>
      </c>
    </row>
    <row r="67" spans="1:10" ht="34.799999999999997" customHeight="1" x14ac:dyDescent="0.3">
      <c r="A67" s="15">
        <v>313096006</v>
      </c>
      <c r="B67" s="1" t="s">
        <v>72</v>
      </c>
      <c r="C67" s="1">
        <v>11.25</v>
      </c>
      <c r="F67" s="7"/>
      <c r="G67" s="9"/>
      <c r="H67" s="9"/>
      <c r="I67" s="8">
        <f>Table4[[#This Row],[السعر]]*Table4[[#This Row],[العدد]]</f>
        <v>0</v>
      </c>
      <c r="J67" s="9">
        <f>SUM(Table4[[#This Row],[الاجمالي]]+J66)</f>
        <v>385.5</v>
      </c>
    </row>
    <row r="68" spans="1:10" ht="34.799999999999997" customHeight="1" x14ac:dyDescent="0.3">
      <c r="A68" s="15">
        <v>313010001</v>
      </c>
      <c r="B68" s="1" t="s">
        <v>73</v>
      </c>
      <c r="C68" s="1">
        <v>8.25</v>
      </c>
      <c r="F68" s="7"/>
      <c r="G68" s="9"/>
      <c r="H68" s="9"/>
      <c r="I68" s="8">
        <f>Table4[[#This Row],[السعر]]*Table4[[#This Row],[العدد]]</f>
        <v>0</v>
      </c>
      <c r="J68" s="9">
        <f>SUM(Table4[[#This Row],[الاجمالي]]+J67)</f>
        <v>385.5</v>
      </c>
    </row>
    <row r="69" spans="1:10" ht="34.799999999999997" customHeight="1" x14ac:dyDescent="0.3">
      <c r="A69" s="15">
        <v>313010002</v>
      </c>
      <c r="B69" s="1" t="s">
        <v>74</v>
      </c>
      <c r="C69" s="1">
        <v>11.75</v>
      </c>
      <c r="F69" s="7"/>
      <c r="G69" s="9"/>
      <c r="H69" s="9"/>
      <c r="I69" s="8">
        <f>Table4[[#This Row],[السعر]]*Table4[[#This Row],[العدد]]</f>
        <v>0</v>
      </c>
      <c r="J69" s="9">
        <f>SUM(Table4[[#This Row],[الاجمالي]]+J68)</f>
        <v>385.5</v>
      </c>
    </row>
    <row r="70" spans="1:10" ht="34.799999999999997" customHeight="1" x14ac:dyDescent="0.3">
      <c r="A70" s="15">
        <v>313010003</v>
      </c>
      <c r="B70" s="1" t="s">
        <v>75</v>
      </c>
      <c r="C70" s="1">
        <v>20</v>
      </c>
      <c r="F70" s="7"/>
      <c r="G70" s="9"/>
      <c r="H70" s="9"/>
      <c r="I70" s="8">
        <f>Table4[[#This Row],[السعر]]*Table4[[#This Row],[العدد]]</f>
        <v>0</v>
      </c>
      <c r="J70" s="9">
        <f>SUM(Table4[[#This Row],[الاجمالي]]+J69)</f>
        <v>385.5</v>
      </c>
    </row>
    <row r="71" spans="1:10" ht="34.799999999999997" customHeight="1" x14ac:dyDescent="0.3">
      <c r="A71" s="15">
        <v>313010004</v>
      </c>
      <c r="B71" s="1" t="s">
        <v>76</v>
      </c>
      <c r="C71" s="1">
        <v>39</v>
      </c>
      <c r="F71" s="7"/>
      <c r="G71" s="9"/>
      <c r="H71" s="9"/>
      <c r="I71" s="8">
        <f>Table4[[#This Row],[السعر]]*Table4[[#This Row],[العدد]]</f>
        <v>0</v>
      </c>
      <c r="J71" s="9">
        <f>SUM(Table4[[#This Row],[الاجمالي]]+J70)</f>
        <v>385.5</v>
      </c>
    </row>
    <row r="72" spans="1:10" ht="34.799999999999997" customHeight="1" x14ac:dyDescent="0.3">
      <c r="A72" s="15">
        <v>313010005</v>
      </c>
      <c r="B72" s="1" t="s">
        <v>77</v>
      </c>
      <c r="C72" s="1">
        <v>65</v>
      </c>
      <c r="F72" s="7"/>
      <c r="G72" s="9"/>
      <c r="H72" s="9"/>
      <c r="I72" s="8">
        <f>Table4[[#This Row],[السعر]]*Table4[[#This Row],[العدد]]</f>
        <v>0</v>
      </c>
      <c r="J72" s="9">
        <f>SUM(Table4[[#This Row],[الاجمالي]]+J71)</f>
        <v>385.5</v>
      </c>
    </row>
    <row r="73" spans="1:10" ht="34.799999999999997" customHeight="1" x14ac:dyDescent="0.3">
      <c r="A73" s="15">
        <v>313010006</v>
      </c>
      <c r="B73" s="1" t="s">
        <v>78</v>
      </c>
      <c r="C73" s="1">
        <v>115.5</v>
      </c>
      <c r="F73" s="7"/>
      <c r="G73" s="9"/>
      <c r="H73" s="9"/>
      <c r="I73" s="8">
        <f>Table4[[#This Row],[السعر]]*Table4[[#This Row],[العدد]]</f>
        <v>0</v>
      </c>
      <c r="J73" s="9">
        <f>SUM(Table4[[#This Row],[الاجمالي]]+J72)</f>
        <v>385.5</v>
      </c>
    </row>
    <row r="74" spans="1:10" ht="34.799999999999997" customHeight="1" x14ac:dyDescent="0.3">
      <c r="A74" s="15">
        <v>313010007</v>
      </c>
      <c r="B74" s="1" t="s">
        <v>79</v>
      </c>
      <c r="C74" s="1">
        <v>191</v>
      </c>
      <c r="F74" s="7"/>
      <c r="G74" s="9"/>
      <c r="H74" s="9"/>
      <c r="I74" s="8">
        <f>Table4[[#This Row],[السعر]]*Table4[[#This Row],[العدد]]</f>
        <v>0</v>
      </c>
      <c r="J74" s="9">
        <f>SUM(Table4[[#This Row],[الاجمالي]]+J73)</f>
        <v>385.5</v>
      </c>
    </row>
    <row r="75" spans="1:10" ht="34.799999999999997" customHeight="1" x14ac:dyDescent="0.3">
      <c r="A75" s="15">
        <v>313010008</v>
      </c>
      <c r="B75" s="1" t="s">
        <v>80</v>
      </c>
      <c r="C75" s="1">
        <v>305</v>
      </c>
      <c r="F75" s="7"/>
      <c r="G75" s="9"/>
      <c r="H75" s="9"/>
      <c r="I75" s="8">
        <f>Table4[[#This Row],[السعر]]*Table4[[#This Row],[العدد]]</f>
        <v>0</v>
      </c>
      <c r="J75" s="9">
        <f>SUM(Table4[[#This Row],[الاجمالي]]+J74)</f>
        <v>385.5</v>
      </c>
    </row>
    <row r="76" spans="1:10" ht="34.799999999999997" customHeight="1" x14ac:dyDescent="0.3">
      <c r="A76" s="15">
        <v>313010009</v>
      </c>
      <c r="B76" s="1" t="s">
        <v>81</v>
      </c>
      <c r="C76" s="1">
        <v>540</v>
      </c>
      <c r="F76" s="7"/>
      <c r="G76" s="9"/>
      <c r="H76" s="9"/>
      <c r="I76" s="8">
        <f>Table4[[#This Row],[السعر]]*Table4[[#This Row],[العدد]]</f>
        <v>0</v>
      </c>
      <c r="J76" s="9">
        <f>SUM(Table4[[#This Row],[الاجمالي]]+J75)</f>
        <v>385.5</v>
      </c>
    </row>
    <row r="77" spans="1:10" ht="34.799999999999997" customHeight="1" x14ac:dyDescent="0.3">
      <c r="A77" s="15">
        <v>313020001</v>
      </c>
      <c r="B77" s="1" t="s">
        <v>82</v>
      </c>
      <c r="C77" s="1">
        <v>11.25</v>
      </c>
      <c r="F77" s="7"/>
      <c r="G77" s="9"/>
      <c r="H77" s="9"/>
      <c r="I77" s="8">
        <f>Table4[[#This Row],[السعر]]*Table4[[#This Row],[العدد]]</f>
        <v>0</v>
      </c>
      <c r="J77" s="9">
        <f>SUM(Table4[[#This Row],[الاجمالي]]+J76)</f>
        <v>385.5</v>
      </c>
    </row>
    <row r="78" spans="1:10" ht="34.799999999999997" customHeight="1" x14ac:dyDescent="0.3">
      <c r="A78" s="15">
        <v>313020002</v>
      </c>
      <c r="B78" s="1" t="s">
        <v>83</v>
      </c>
      <c r="C78" s="1">
        <v>14.5</v>
      </c>
      <c r="F78" s="7"/>
      <c r="G78" s="9"/>
      <c r="H78" s="9"/>
      <c r="I78" s="8">
        <f>Table4[[#This Row],[السعر]]*Table4[[#This Row],[العدد]]</f>
        <v>0</v>
      </c>
      <c r="J78" s="9">
        <f>SUM(Table4[[#This Row],[الاجمالي]]+J77)</f>
        <v>385.5</v>
      </c>
    </row>
    <row r="79" spans="1:10" ht="34.799999999999997" customHeight="1" x14ac:dyDescent="0.3">
      <c r="A79" s="15">
        <v>313020003</v>
      </c>
      <c r="B79" s="1" t="s">
        <v>84</v>
      </c>
      <c r="C79" s="1">
        <v>25</v>
      </c>
      <c r="F79" s="7"/>
      <c r="G79" s="9"/>
      <c r="H79" s="9"/>
      <c r="I79" s="8">
        <f>Table4[[#This Row],[السعر]]*Table4[[#This Row],[العدد]]</f>
        <v>0</v>
      </c>
      <c r="J79" s="9">
        <f>SUM(Table4[[#This Row],[الاجمالي]]+J78)</f>
        <v>385.5</v>
      </c>
    </row>
    <row r="80" spans="1:10" ht="34.799999999999997" customHeight="1" x14ac:dyDescent="0.3">
      <c r="A80" s="15">
        <v>313020004</v>
      </c>
      <c r="B80" s="1" t="s">
        <v>85</v>
      </c>
      <c r="C80" s="1">
        <v>42</v>
      </c>
      <c r="F80" s="7"/>
      <c r="G80" s="9"/>
      <c r="H80" s="9"/>
      <c r="I80" s="8">
        <f>Table4[[#This Row],[السعر]]*Table4[[#This Row],[العدد]]</f>
        <v>0</v>
      </c>
      <c r="J80" s="9">
        <f>SUM(Table4[[#This Row],[الاجمالي]]+J79)</f>
        <v>385.5</v>
      </c>
    </row>
    <row r="81" spans="1:10" ht="34.799999999999997" customHeight="1" x14ac:dyDescent="0.3">
      <c r="A81" s="15">
        <v>313020005</v>
      </c>
      <c r="B81" s="1" t="s">
        <v>86</v>
      </c>
      <c r="C81" s="1">
        <v>72</v>
      </c>
      <c r="F81" s="7"/>
      <c r="G81" s="9"/>
      <c r="H81" s="9"/>
      <c r="I81" s="8">
        <f>Table4[[#This Row],[السعر]]*Table4[[#This Row],[العدد]]</f>
        <v>0</v>
      </c>
      <c r="J81" s="9">
        <f>SUM(Table4[[#This Row],[الاجمالي]]+J80)</f>
        <v>385.5</v>
      </c>
    </row>
    <row r="82" spans="1:10" ht="34.799999999999997" customHeight="1" x14ac:dyDescent="0.3">
      <c r="A82" s="15">
        <v>313020006</v>
      </c>
      <c r="B82" s="1" t="s">
        <v>87</v>
      </c>
      <c r="C82" s="1">
        <v>125</v>
      </c>
      <c r="F82" s="7"/>
      <c r="G82" s="9"/>
      <c r="H82" s="9"/>
      <c r="I82" s="8">
        <f>Table4[[#This Row],[السعر]]*Table4[[#This Row],[العدد]]</f>
        <v>0</v>
      </c>
      <c r="J82" s="9">
        <f>SUM(Table4[[#This Row],[الاجمالي]]+J81)</f>
        <v>385.5</v>
      </c>
    </row>
    <row r="83" spans="1:10" ht="34.799999999999997" customHeight="1" x14ac:dyDescent="0.3">
      <c r="A83" s="15">
        <v>313020007</v>
      </c>
      <c r="B83" s="1" t="s">
        <v>88</v>
      </c>
      <c r="C83" s="1">
        <v>195</v>
      </c>
      <c r="F83" s="7"/>
      <c r="G83" s="9"/>
      <c r="H83" s="9"/>
      <c r="I83" s="8">
        <f>Table4[[#This Row],[السعر]]*Table4[[#This Row],[العدد]]</f>
        <v>0</v>
      </c>
      <c r="J83" s="9">
        <f>SUM(Table4[[#This Row],[الاجمالي]]+J82)</f>
        <v>385.5</v>
      </c>
    </row>
    <row r="84" spans="1:10" ht="34.799999999999997" customHeight="1" x14ac:dyDescent="0.3">
      <c r="A84" s="15">
        <v>313020008</v>
      </c>
      <c r="B84" s="1" t="s">
        <v>89</v>
      </c>
      <c r="C84" s="1">
        <v>315</v>
      </c>
      <c r="F84" s="7"/>
      <c r="G84" s="9"/>
      <c r="H84" s="9"/>
      <c r="I84" s="8">
        <f>Table4[[#This Row],[السعر]]*Table4[[#This Row],[العدد]]</f>
        <v>0</v>
      </c>
      <c r="J84" s="9">
        <f>SUM(Table4[[#This Row],[الاجمالي]]+J83)</f>
        <v>385.5</v>
      </c>
    </row>
    <row r="85" spans="1:10" ht="34.799999999999997" customHeight="1" x14ac:dyDescent="0.3">
      <c r="A85" s="15">
        <v>313095001</v>
      </c>
      <c r="B85" s="1" t="s">
        <v>90</v>
      </c>
      <c r="C85" s="1">
        <v>6.5</v>
      </c>
      <c r="F85" s="7"/>
      <c r="G85" s="9"/>
      <c r="H85" s="9"/>
      <c r="I85" s="8">
        <f>Table4[[#This Row],[السعر]]*Table4[[#This Row],[العدد]]</f>
        <v>0</v>
      </c>
      <c r="J85" s="9">
        <f>SUM(Table4[[#This Row],[الاجمالي]]+J84)</f>
        <v>385.5</v>
      </c>
    </row>
    <row r="86" spans="1:10" ht="34.799999999999997" customHeight="1" x14ac:dyDescent="0.3">
      <c r="A86" s="15">
        <v>313095002</v>
      </c>
      <c r="B86" s="1" t="s">
        <v>91</v>
      </c>
      <c r="C86" s="1">
        <v>8.75</v>
      </c>
      <c r="F86" s="7"/>
      <c r="G86" s="9"/>
      <c r="H86" s="9"/>
      <c r="I86" s="8">
        <f>Table4[[#This Row],[السعر]]*Table4[[#This Row],[العدد]]</f>
        <v>0</v>
      </c>
      <c r="J86" s="9">
        <f>SUM(Table4[[#This Row],[الاجمالي]]+J85)</f>
        <v>385.5</v>
      </c>
    </row>
    <row r="87" spans="1:10" ht="34.799999999999997" customHeight="1" x14ac:dyDescent="0.3">
      <c r="A87" s="15">
        <v>313095003</v>
      </c>
      <c r="B87" s="1" t="s">
        <v>92</v>
      </c>
      <c r="C87" s="1">
        <v>14.5</v>
      </c>
      <c r="F87" s="7"/>
      <c r="G87" s="9"/>
      <c r="H87" s="9"/>
      <c r="I87" s="8">
        <f>Table4[[#This Row],[السعر]]*Table4[[#This Row],[العدد]]</f>
        <v>0</v>
      </c>
      <c r="J87" s="9">
        <f>SUM(Table4[[#This Row],[الاجمالي]]+J86)</f>
        <v>385.5</v>
      </c>
    </row>
    <row r="88" spans="1:10" ht="34.799999999999997" customHeight="1" x14ac:dyDescent="0.3">
      <c r="A88" s="15">
        <v>313095004</v>
      </c>
      <c r="B88" s="1" t="s">
        <v>93</v>
      </c>
      <c r="C88" s="1">
        <v>25</v>
      </c>
      <c r="F88" s="7"/>
      <c r="G88" s="9"/>
      <c r="H88" s="9"/>
      <c r="I88" s="8">
        <f>Table4[[#This Row],[السعر]]*Table4[[#This Row],[العدد]]</f>
        <v>0</v>
      </c>
      <c r="J88" s="9">
        <f>SUM(Table4[[#This Row],[الاجمالي]]+J87)</f>
        <v>385.5</v>
      </c>
    </row>
    <row r="89" spans="1:10" ht="34.799999999999997" customHeight="1" x14ac:dyDescent="0.3">
      <c r="A89" s="15">
        <v>313095005</v>
      </c>
      <c r="B89" s="1" t="s">
        <v>94</v>
      </c>
      <c r="C89" s="1">
        <v>40</v>
      </c>
      <c r="F89" s="7"/>
      <c r="G89" s="9"/>
      <c r="H89" s="9"/>
      <c r="I89" s="8">
        <f>Table4[[#This Row],[السعر]]*Table4[[#This Row],[العدد]]</f>
        <v>0</v>
      </c>
      <c r="J89" s="9">
        <f>SUM(Table4[[#This Row],[الاجمالي]]+J88)</f>
        <v>385.5</v>
      </c>
    </row>
    <row r="90" spans="1:10" ht="34.799999999999997" customHeight="1" x14ac:dyDescent="0.3">
      <c r="A90" s="15">
        <v>313095006</v>
      </c>
      <c r="B90" s="1" t="s">
        <v>95</v>
      </c>
      <c r="C90" s="1">
        <v>75</v>
      </c>
      <c r="F90" s="7"/>
      <c r="G90" s="9"/>
      <c r="H90" s="9"/>
      <c r="I90" s="8">
        <f>Table4[[#This Row],[السعر]]*Table4[[#This Row],[العدد]]</f>
        <v>0</v>
      </c>
      <c r="J90" s="9">
        <f>SUM(Table4[[#This Row],[الاجمالي]]+J89)</f>
        <v>385.5</v>
      </c>
    </row>
    <row r="91" spans="1:10" ht="34.799999999999997" customHeight="1" x14ac:dyDescent="0.3">
      <c r="A91" s="15">
        <v>313099905</v>
      </c>
      <c r="B91" s="1" t="s">
        <v>96</v>
      </c>
      <c r="C91" s="1">
        <v>19.25</v>
      </c>
      <c r="F91" s="7"/>
      <c r="G91" s="9"/>
      <c r="H91" s="9"/>
      <c r="I91" s="8">
        <f>Table4[[#This Row],[السعر]]*Table4[[#This Row],[العدد]]</f>
        <v>0</v>
      </c>
      <c r="J91" s="9">
        <f>SUM(Table4[[#This Row],[الاجمالي]]+J90)</f>
        <v>385.5</v>
      </c>
    </row>
    <row r="92" spans="1:10" ht="34.799999999999997" customHeight="1" x14ac:dyDescent="0.3">
      <c r="A92" s="15">
        <v>313099906</v>
      </c>
      <c r="B92" s="1" t="s">
        <v>97</v>
      </c>
      <c r="C92" s="1">
        <v>30</v>
      </c>
      <c r="F92" s="7"/>
      <c r="G92" s="9"/>
      <c r="H92" s="9"/>
      <c r="I92" s="8">
        <f>Table4[[#This Row],[السعر]]*Table4[[#This Row],[العدد]]</f>
        <v>0</v>
      </c>
      <c r="J92" s="9">
        <f>SUM(Table4[[#This Row],[الاجمالي]]+J91)</f>
        <v>385.5</v>
      </c>
    </row>
    <row r="93" spans="1:10" ht="34.799999999999997" customHeight="1" x14ac:dyDescent="0.3">
      <c r="A93" s="15">
        <v>313099101</v>
      </c>
      <c r="B93" s="1" t="s">
        <v>98</v>
      </c>
      <c r="C93" s="1">
        <v>5.25</v>
      </c>
      <c r="F93" s="7"/>
      <c r="G93" s="9"/>
      <c r="H93" s="9"/>
      <c r="I93" s="8">
        <f>Table4[[#This Row],[السعر]]*Table4[[#This Row],[العدد]]</f>
        <v>0</v>
      </c>
      <c r="J93" s="9">
        <f>SUM(Table4[[#This Row],[الاجمالي]]+J92)</f>
        <v>385.5</v>
      </c>
    </row>
    <row r="94" spans="1:10" ht="34.799999999999997" customHeight="1" x14ac:dyDescent="0.3">
      <c r="A94" s="15">
        <v>313099102</v>
      </c>
      <c r="B94" s="1" t="s">
        <v>99</v>
      </c>
      <c r="C94" s="1">
        <v>5.25</v>
      </c>
      <c r="F94" s="7"/>
      <c r="G94" s="9"/>
      <c r="H94" s="9"/>
      <c r="I94" s="8">
        <f>Table4[[#This Row],[السعر]]*Table4[[#This Row],[العدد]]</f>
        <v>0</v>
      </c>
      <c r="J94" s="9">
        <f>SUM(Table4[[#This Row],[الاجمالي]]+J93)</f>
        <v>385.5</v>
      </c>
    </row>
    <row r="95" spans="1:10" ht="34.799999999999997" customHeight="1" x14ac:dyDescent="0.3">
      <c r="A95" s="15">
        <v>313099103</v>
      </c>
      <c r="B95" s="1" t="s">
        <v>100</v>
      </c>
      <c r="C95" s="1">
        <v>12.25</v>
      </c>
      <c r="F95" s="7"/>
      <c r="G95" s="9"/>
      <c r="H95" s="9"/>
      <c r="I95" s="8">
        <f>Table4[[#This Row],[السعر]]*Table4[[#This Row],[العدد]]</f>
        <v>0</v>
      </c>
      <c r="J95" s="9">
        <f>SUM(Table4[[#This Row],[الاجمالي]]+J94)</f>
        <v>385.5</v>
      </c>
    </row>
    <row r="96" spans="1:10" ht="34.799999999999997" customHeight="1" x14ac:dyDescent="0.3">
      <c r="A96" s="15">
        <v>313099104</v>
      </c>
      <c r="B96" s="1" t="s">
        <v>101</v>
      </c>
      <c r="C96" s="1">
        <v>12.25</v>
      </c>
      <c r="F96" s="7"/>
      <c r="G96" s="9"/>
      <c r="H96" s="9"/>
      <c r="I96" s="8">
        <f>Table4[[#This Row],[السعر]]*Table4[[#This Row],[العدد]]</f>
        <v>0</v>
      </c>
      <c r="J96" s="9">
        <f>SUM(Table4[[#This Row],[الاجمالي]]+J95)</f>
        <v>385.5</v>
      </c>
    </row>
    <row r="97" spans="1:10" ht="34.799999999999997" customHeight="1" x14ac:dyDescent="0.3">
      <c r="A97" s="15">
        <v>313060001</v>
      </c>
      <c r="B97" s="1" t="s">
        <v>102</v>
      </c>
      <c r="C97" s="1">
        <v>48.75</v>
      </c>
      <c r="F97" s="7"/>
      <c r="G97" s="9"/>
      <c r="H97" s="9"/>
      <c r="I97" s="8">
        <f>Table4[[#This Row],[السعر]]*Table4[[#This Row],[العدد]]</f>
        <v>0</v>
      </c>
      <c r="J97" s="9">
        <f>SUM(Table4[[#This Row],[الاجمالي]]+J96)</f>
        <v>385.5</v>
      </c>
    </row>
    <row r="98" spans="1:10" ht="34.799999999999997" customHeight="1" x14ac:dyDescent="0.3">
      <c r="A98" s="15">
        <v>313060002</v>
      </c>
      <c r="B98" s="1" t="s">
        <v>103</v>
      </c>
      <c r="C98" s="1">
        <v>80</v>
      </c>
      <c r="F98" s="7"/>
      <c r="G98" s="9"/>
      <c r="H98" s="9"/>
      <c r="I98" s="8">
        <f>Table4[[#This Row],[السعر]]*Table4[[#This Row],[العدد]]</f>
        <v>0</v>
      </c>
      <c r="J98" s="9">
        <f>SUM(Table4[[#This Row],[الاجمالي]]+J97)</f>
        <v>385.5</v>
      </c>
    </row>
    <row r="99" spans="1:10" ht="34.799999999999997" customHeight="1" x14ac:dyDescent="0.3">
      <c r="A99" s="15">
        <v>313060003</v>
      </c>
      <c r="B99" s="1" t="s">
        <v>104</v>
      </c>
      <c r="C99" s="1">
        <v>124.5</v>
      </c>
      <c r="F99" s="7"/>
      <c r="G99" s="9"/>
      <c r="H99" s="9"/>
      <c r="I99" s="8">
        <f>Table4[[#This Row],[السعر]]*Table4[[#This Row],[العدد]]</f>
        <v>0</v>
      </c>
      <c r="J99" s="9">
        <f>SUM(Table4[[#This Row],[الاجمالي]]+J98)</f>
        <v>385.5</v>
      </c>
    </row>
    <row r="100" spans="1:10" ht="34.799999999999997" customHeight="1" x14ac:dyDescent="0.3">
      <c r="A100" s="15">
        <v>313060004</v>
      </c>
      <c r="B100" s="1" t="s">
        <v>105</v>
      </c>
      <c r="C100" s="1">
        <v>185</v>
      </c>
      <c r="F100" s="7"/>
      <c r="G100" s="9"/>
      <c r="H100" s="9"/>
      <c r="I100" s="8">
        <f>Table4[[#This Row],[السعر]]*Table4[[#This Row],[العدد]]</f>
        <v>0</v>
      </c>
      <c r="J100" s="9">
        <f>SUM(Table4[[#This Row],[الاجمالي]]+J99)</f>
        <v>385.5</v>
      </c>
    </row>
    <row r="101" spans="1:10" ht="34.799999999999997" customHeight="1" x14ac:dyDescent="0.3">
      <c r="A101" s="15">
        <v>313060005</v>
      </c>
      <c r="B101" s="1" t="s">
        <v>106</v>
      </c>
      <c r="C101" s="1">
        <v>290</v>
      </c>
      <c r="F101" s="7"/>
      <c r="G101" s="9"/>
      <c r="H101" s="9"/>
      <c r="I101" s="8">
        <f>Table4[[#This Row],[السعر]]*Table4[[#This Row],[العدد]]</f>
        <v>0</v>
      </c>
      <c r="J101" s="9">
        <f>SUM(Table4[[#This Row],[الاجمالي]]+J100)</f>
        <v>385.5</v>
      </c>
    </row>
    <row r="102" spans="1:10" ht="34.799999999999997" customHeight="1" x14ac:dyDescent="0.3">
      <c r="A102" s="15">
        <v>313060006</v>
      </c>
      <c r="B102" s="1" t="s">
        <v>107</v>
      </c>
      <c r="C102" s="1">
        <v>443</v>
      </c>
      <c r="F102" s="7"/>
      <c r="G102" s="9"/>
      <c r="H102" s="9"/>
      <c r="I102" s="8">
        <f>Table4[[#This Row],[السعر]]*Table4[[#This Row],[العدد]]</f>
        <v>0</v>
      </c>
      <c r="J102" s="9">
        <f>SUM(Table4[[#This Row],[الاجمالي]]+J101)</f>
        <v>385.5</v>
      </c>
    </row>
    <row r="103" spans="1:10" ht="34.799999999999997" customHeight="1" x14ac:dyDescent="0.3">
      <c r="A103" s="15">
        <v>313060007</v>
      </c>
      <c r="B103" s="1" t="s">
        <v>108</v>
      </c>
      <c r="C103" s="1">
        <v>635.5</v>
      </c>
      <c r="F103" s="7"/>
      <c r="G103" s="9"/>
      <c r="H103" s="9"/>
      <c r="I103" s="8">
        <f>Table4[[#This Row],[السعر]]*Table4[[#This Row],[العدد]]</f>
        <v>0</v>
      </c>
      <c r="J103" s="9">
        <f>SUM(Table4[[#This Row],[الاجمالي]]+J102)</f>
        <v>385.5</v>
      </c>
    </row>
    <row r="104" spans="1:10" ht="34.799999999999997" customHeight="1" x14ac:dyDescent="0.3">
      <c r="A104" s="15">
        <v>313060008</v>
      </c>
      <c r="B104" s="1" t="s">
        <v>109</v>
      </c>
      <c r="C104" s="1">
        <v>915</v>
      </c>
      <c r="F104" s="7"/>
      <c r="G104" s="9"/>
      <c r="H104" s="9"/>
      <c r="I104" s="8">
        <f>Table4[[#This Row],[السعر]]*Table4[[#This Row],[العدد]]</f>
        <v>0</v>
      </c>
      <c r="J104" s="9">
        <f>SUM(Table4[[#This Row],[الاجمالي]]+J103)</f>
        <v>385.5</v>
      </c>
    </row>
    <row r="105" spans="1:10" ht="34.799999999999997" customHeight="1" x14ac:dyDescent="0.3">
      <c r="A105" s="15">
        <v>313060009</v>
      </c>
      <c r="B105" s="1" t="s">
        <v>110</v>
      </c>
      <c r="C105" s="1">
        <v>1375</v>
      </c>
      <c r="F105" s="17"/>
      <c r="G105" s="18"/>
      <c r="H105" s="18"/>
      <c r="I105" s="19"/>
      <c r="J105" s="13">
        <f>SUM(Table4[[#This Row],[الاجمالي]]+J104)</f>
        <v>385.5</v>
      </c>
    </row>
    <row r="106" spans="1:10" ht="34.799999999999997" customHeight="1" x14ac:dyDescent="0.3">
      <c r="A106" s="15">
        <v>313070001</v>
      </c>
      <c r="B106" s="1" t="s">
        <v>111</v>
      </c>
      <c r="C106" s="1">
        <v>56.75</v>
      </c>
      <c r="F106" s="20"/>
      <c r="G106" s="20"/>
      <c r="H106" s="20"/>
      <c r="I106" s="20"/>
      <c r="J106" s="20"/>
    </row>
    <row r="107" spans="1:10" ht="34.799999999999997" customHeight="1" x14ac:dyDescent="0.3">
      <c r="A107" s="15">
        <v>313070002</v>
      </c>
      <c r="B107" s="1" t="s">
        <v>112</v>
      </c>
      <c r="C107" s="1">
        <v>93.25</v>
      </c>
    </row>
    <row r="108" spans="1:10" ht="34.799999999999997" customHeight="1" x14ac:dyDescent="0.3">
      <c r="A108" s="15">
        <v>313070003</v>
      </c>
      <c r="B108" s="1" t="s">
        <v>113</v>
      </c>
      <c r="C108" s="1">
        <v>145.5</v>
      </c>
    </row>
    <row r="109" spans="1:10" ht="34.799999999999997" customHeight="1" x14ac:dyDescent="0.3">
      <c r="A109" s="15">
        <v>313070004</v>
      </c>
      <c r="B109" s="1" t="s">
        <v>114</v>
      </c>
      <c r="C109" s="1">
        <v>215.75</v>
      </c>
    </row>
    <row r="110" spans="1:10" ht="34.799999999999997" customHeight="1" x14ac:dyDescent="0.3">
      <c r="A110" s="15">
        <v>313070005</v>
      </c>
      <c r="B110" s="1" t="s">
        <v>115</v>
      </c>
      <c r="C110" s="1">
        <v>338</v>
      </c>
    </row>
    <row r="111" spans="1:10" ht="34.799999999999997" customHeight="1" x14ac:dyDescent="0.3">
      <c r="A111" s="15">
        <v>313070006</v>
      </c>
      <c r="B111" s="1" t="s">
        <v>116</v>
      </c>
      <c r="C111" s="1">
        <v>516</v>
      </c>
    </row>
    <row r="112" spans="1:10" ht="34.799999999999997" customHeight="1" x14ac:dyDescent="0.3">
      <c r="A112" s="15">
        <v>313070007</v>
      </c>
      <c r="B112" s="1" t="s">
        <v>117</v>
      </c>
      <c r="C112" s="1">
        <v>741</v>
      </c>
    </row>
    <row r="113" spans="1:3" ht="34.799999999999997" customHeight="1" x14ac:dyDescent="0.3">
      <c r="A113" s="15">
        <v>313070008</v>
      </c>
      <c r="B113" s="1" t="s">
        <v>118</v>
      </c>
      <c r="C113" s="1">
        <v>1067</v>
      </c>
    </row>
    <row r="114" spans="1:3" ht="34.799999999999997" customHeight="1" x14ac:dyDescent="0.3">
      <c r="A114" s="15">
        <v>313070009</v>
      </c>
      <c r="B114" s="1" t="s">
        <v>119</v>
      </c>
      <c r="C114" s="1">
        <v>1603.5</v>
      </c>
    </row>
    <row r="115" spans="1:3" ht="34.799999999999997" customHeight="1" x14ac:dyDescent="0.3">
      <c r="A115" s="15">
        <v>371099130</v>
      </c>
      <c r="B115" s="1" t="s">
        <v>120</v>
      </c>
      <c r="C115" s="1">
        <v>52.25</v>
      </c>
    </row>
    <row r="116" spans="1:3" ht="34.799999999999997" customHeight="1" x14ac:dyDescent="0.3">
      <c r="A116" s="15">
        <v>371099131</v>
      </c>
      <c r="B116" s="1" t="s">
        <v>121</v>
      </c>
      <c r="C116" s="1">
        <v>57</v>
      </c>
    </row>
    <row r="117" spans="1:3" ht="34.799999999999997" customHeight="1" x14ac:dyDescent="0.3">
      <c r="A117" s="15">
        <v>371099132</v>
      </c>
      <c r="B117" s="1" t="s">
        <v>122</v>
      </c>
      <c r="C117" s="1">
        <v>63.5</v>
      </c>
    </row>
    <row r="118" spans="1:3" ht="34.799999999999997" customHeight="1" x14ac:dyDescent="0.3">
      <c r="A118" s="15">
        <v>371099133</v>
      </c>
      <c r="B118" s="1" t="s">
        <v>123</v>
      </c>
      <c r="C118" s="1">
        <v>70.25</v>
      </c>
    </row>
    <row r="119" spans="1:3" ht="34.799999999999997" customHeight="1" x14ac:dyDescent="0.3">
      <c r="A119" s="15">
        <v>371099137</v>
      </c>
      <c r="B119" s="1" t="s">
        <v>124</v>
      </c>
      <c r="C119" s="1">
        <v>81.75</v>
      </c>
    </row>
    <row r="120" spans="1:3" ht="34.799999999999997" customHeight="1" x14ac:dyDescent="0.3">
      <c r="A120" s="15">
        <v>371099138</v>
      </c>
      <c r="B120" s="1" t="s">
        <v>125</v>
      </c>
      <c r="C120" s="1">
        <v>89.5</v>
      </c>
    </row>
    <row r="121" spans="1:3" ht="34.799999999999997" customHeight="1" x14ac:dyDescent="0.3">
      <c r="A121" s="15">
        <v>371099134</v>
      </c>
      <c r="B121" s="1" t="s">
        <v>126</v>
      </c>
      <c r="C121" s="1">
        <v>119</v>
      </c>
    </row>
    <row r="122" spans="1:3" ht="34.799999999999997" customHeight="1" x14ac:dyDescent="0.3">
      <c r="A122" s="15">
        <v>371099135</v>
      </c>
      <c r="B122" s="1" t="s">
        <v>127</v>
      </c>
      <c r="C122" s="1">
        <v>129.25</v>
      </c>
    </row>
    <row r="123" spans="1:3" ht="34.799999999999997" customHeight="1" x14ac:dyDescent="0.3">
      <c r="A123" s="15">
        <v>371099136</v>
      </c>
      <c r="B123" s="1" t="s">
        <v>128</v>
      </c>
      <c r="C123" s="1">
        <v>135.75</v>
      </c>
    </row>
    <row r="124" spans="1:3" ht="34.799999999999997" customHeight="1" x14ac:dyDescent="0.3">
      <c r="A124" s="15">
        <v>371099139</v>
      </c>
      <c r="B124" s="1" t="s">
        <v>129</v>
      </c>
      <c r="C124" s="1">
        <v>151</v>
      </c>
    </row>
    <row r="125" spans="1:3" ht="34.799999999999997" customHeight="1" x14ac:dyDescent="0.3">
      <c r="A125" s="15">
        <v>371099140</v>
      </c>
      <c r="B125" s="1" t="s">
        <v>130</v>
      </c>
      <c r="C125" s="1">
        <v>163</v>
      </c>
    </row>
    <row r="126" spans="1:3" ht="34.799999999999997" customHeight="1" x14ac:dyDescent="0.3">
      <c r="A126" s="15">
        <v>371099115</v>
      </c>
      <c r="B126" s="1" t="s">
        <v>131</v>
      </c>
      <c r="C126" s="1">
        <v>47.75</v>
      </c>
    </row>
    <row r="127" spans="1:3" ht="34.799999999999997" customHeight="1" x14ac:dyDescent="0.3">
      <c r="A127" s="15">
        <v>371099116</v>
      </c>
      <c r="B127" s="1" t="s">
        <v>132</v>
      </c>
      <c r="C127" s="1">
        <v>53</v>
      </c>
    </row>
    <row r="128" spans="1:3" ht="34.799999999999997" customHeight="1" x14ac:dyDescent="0.3">
      <c r="A128" s="15">
        <v>371099117</v>
      </c>
      <c r="B128" s="1" t="s">
        <v>133</v>
      </c>
      <c r="C128" s="1">
        <v>58.75</v>
      </c>
    </row>
    <row r="129" spans="1:3" ht="34.799999999999997" customHeight="1" x14ac:dyDescent="0.3">
      <c r="A129" s="15">
        <v>313010010</v>
      </c>
      <c r="B129" s="1" t="s">
        <v>134</v>
      </c>
      <c r="C129" s="1">
        <v>32.75</v>
      </c>
    </row>
    <row r="130" spans="1:3" ht="34.799999999999997" customHeight="1" x14ac:dyDescent="0.3">
      <c r="A130" s="15">
        <v>313010011</v>
      </c>
      <c r="B130" s="1" t="s">
        <v>135</v>
      </c>
      <c r="C130" s="1">
        <v>35.5</v>
      </c>
    </row>
    <row r="131" spans="1:3" ht="34.799999999999997" customHeight="1" x14ac:dyDescent="0.3">
      <c r="A131" s="15">
        <v>313010012</v>
      </c>
      <c r="B131" s="1" t="s">
        <v>136</v>
      </c>
      <c r="C131" s="1">
        <v>49</v>
      </c>
    </row>
    <row r="132" spans="1:3" ht="34.799999999999997" customHeight="1" x14ac:dyDescent="0.3">
      <c r="A132" s="15">
        <v>313010013</v>
      </c>
      <c r="B132" s="1" t="s">
        <v>137</v>
      </c>
      <c r="C132" s="1">
        <v>70</v>
      </c>
    </row>
    <row r="133" spans="1:3" ht="34.799999999999997" customHeight="1" x14ac:dyDescent="0.3">
      <c r="A133" s="15">
        <v>313010014</v>
      </c>
      <c r="B133" s="1" t="s">
        <v>138</v>
      </c>
      <c r="C133" s="1">
        <v>83.25</v>
      </c>
    </row>
    <row r="134" spans="1:3" ht="34.799999999999997" customHeight="1" x14ac:dyDescent="0.3">
      <c r="A134" s="15">
        <v>313020010</v>
      </c>
      <c r="B134" s="1" t="s">
        <v>139</v>
      </c>
      <c r="C134" s="1">
        <v>44.25</v>
      </c>
    </row>
    <row r="135" spans="1:3" ht="34.799999999999997" customHeight="1" x14ac:dyDescent="0.3">
      <c r="A135" s="15">
        <v>313020011</v>
      </c>
      <c r="B135" s="1" t="s">
        <v>140</v>
      </c>
      <c r="C135" s="1">
        <v>49</v>
      </c>
    </row>
    <row r="136" spans="1:3" ht="34.799999999999997" customHeight="1" x14ac:dyDescent="0.3">
      <c r="A136" s="15">
        <v>313020012</v>
      </c>
      <c r="B136" s="1" t="s">
        <v>141</v>
      </c>
      <c r="C136" s="1">
        <v>63</v>
      </c>
    </row>
    <row r="137" spans="1:3" ht="34.799999999999997" customHeight="1" x14ac:dyDescent="0.3">
      <c r="A137" s="15">
        <v>313020013</v>
      </c>
      <c r="B137" s="1" t="s">
        <v>142</v>
      </c>
      <c r="C137" s="1">
        <v>83.25</v>
      </c>
    </row>
    <row r="138" spans="1:3" ht="34.799999999999997" customHeight="1" x14ac:dyDescent="0.3">
      <c r="A138" s="15">
        <v>313020014</v>
      </c>
      <c r="B138" s="1" t="s">
        <v>143</v>
      </c>
      <c r="C138" s="1">
        <v>108.75</v>
      </c>
    </row>
    <row r="139" spans="1:3" ht="34.799999999999997" customHeight="1" x14ac:dyDescent="0.3">
      <c r="A139" s="15">
        <v>313060010</v>
      </c>
      <c r="B139" s="1" t="s">
        <v>144</v>
      </c>
      <c r="C139" s="1">
        <v>41</v>
      </c>
    </row>
    <row r="140" spans="1:3" ht="34.799999999999997" customHeight="1" x14ac:dyDescent="0.3">
      <c r="A140" s="15">
        <v>313060011</v>
      </c>
      <c r="B140" s="1" t="s">
        <v>145</v>
      </c>
      <c r="C140" s="1">
        <v>45.75</v>
      </c>
    </row>
    <row r="141" spans="1:3" ht="34.799999999999997" customHeight="1" x14ac:dyDescent="0.3">
      <c r="A141" s="15">
        <v>313060012</v>
      </c>
      <c r="B141" s="1" t="s">
        <v>146</v>
      </c>
      <c r="C141" s="1">
        <v>58.75</v>
      </c>
    </row>
    <row r="142" spans="1:3" ht="34.799999999999997" customHeight="1" x14ac:dyDescent="0.3">
      <c r="A142" s="15">
        <v>313060013</v>
      </c>
      <c r="B142" s="1" t="s">
        <v>147</v>
      </c>
      <c r="C142" s="1">
        <v>78.5</v>
      </c>
    </row>
    <row r="143" spans="1:3" ht="34.799999999999997" customHeight="1" x14ac:dyDescent="0.3">
      <c r="A143" s="15">
        <v>313060014</v>
      </c>
      <c r="B143" s="1" t="s">
        <v>148</v>
      </c>
      <c r="C143" s="1">
        <v>94.75</v>
      </c>
    </row>
    <row r="144" spans="1:3" ht="34.799999999999997" customHeight="1" x14ac:dyDescent="0.3">
      <c r="A144" s="15">
        <v>313070010</v>
      </c>
      <c r="B144" s="1" t="s">
        <v>149</v>
      </c>
      <c r="C144" s="1">
        <v>55.75</v>
      </c>
    </row>
    <row r="145" spans="1:3" ht="34.799999999999997" customHeight="1" x14ac:dyDescent="0.3">
      <c r="A145" s="15">
        <v>313070011</v>
      </c>
      <c r="B145" s="1" t="s">
        <v>150</v>
      </c>
      <c r="C145" s="1">
        <v>60.75</v>
      </c>
    </row>
    <row r="146" spans="1:3" ht="34.799999999999997" customHeight="1" x14ac:dyDescent="0.3">
      <c r="A146" s="15">
        <v>313070012</v>
      </c>
      <c r="B146" s="1" t="s">
        <v>151</v>
      </c>
      <c r="C146" s="1">
        <v>72.25</v>
      </c>
    </row>
    <row r="147" spans="1:3" ht="34.799999999999997" customHeight="1" x14ac:dyDescent="0.3">
      <c r="A147" s="15">
        <v>313070013</v>
      </c>
      <c r="B147" s="1" t="s">
        <v>152</v>
      </c>
      <c r="C147" s="1">
        <v>96.25</v>
      </c>
    </row>
    <row r="148" spans="1:3" ht="34.799999999999997" customHeight="1" x14ac:dyDescent="0.3">
      <c r="A148" s="15">
        <v>313070014</v>
      </c>
      <c r="B148" s="1" t="s">
        <v>153</v>
      </c>
      <c r="C148" s="1">
        <v>124</v>
      </c>
    </row>
    <row r="149" spans="1:3" ht="34.799999999999997" customHeight="1" x14ac:dyDescent="0.3">
      <c r="A149" s="15">
        <v>313091010</v>
      </c>
      <c r="B149" s="1" t="s">
        <v>154</v>
      </c>
      <c r="C149" s="1">
        <v>28</v>
      </c>
    </row>
    <row r="150" spans="1:3" ht="34.799999999999997" customHeight="1" x14ac:dyDescent="0.3">
      <c r="A150" s="15">
        <v>313091011</v>
      </c>
      <c r="B150" s="1" t="s">
        <v>155</v>
      </c>
      <c r="C150" s="1">
        <v>31.75</v>
      </c>
    </row>
    <row r="151" spans="1:3" ht="34.799999999999997" customHeight="1" x14ac:dyDescent="0.3">
      <c r="A151" s="15">
        <v>313091012</v>
      </c>
      <c r="B151" s="1" t="s">
        <v>156</v>
      </c>
      <c r="C151" s="1">
        <v>39.75</v>
      </c>
    </row>
    <row r="152" spans="1:3" ht="34.799999999999997" customHeight="1" x14ac:dyDescent="0.3">
      <c r="A152" s="15">
        <v>313091013</v>
      </c>
      <c r="B152" s="1" t="s">
        <v>157</v>
      </c>
      <c r="C152" s="1">
        <v>56.5</v>
      </c>
    </row>
    <row r="153" spans="1:3" ht="34.799999999999997" customHeight="1" x14ac:dyDescent="0.3">
      <c r="A153" s="15">
        <v>313091014</v>
      </c>
      <c r="B153" s="1" t="s">
        <v>158</v>
      </c>
      <c r="C153" s="1">
        <v>74.25</v>
      </c>
    </row>
    <row r="154" spans="1:3" ht="34.799999999999997" customHeight="1" x14ac:dyDescent="0.3">
      <c r="A154" s="15">
        <v>313091015</v>
      </c>
      <c r="B154" s="1" t="s">
        <v>159</v>
      </c>
      <c r="C154" s="1">
        <v>185</v>
      </c>
    </row>
    <row r="155" spans="1:3" ht="34.799999999999997" customHeight="1" x14ac:dyDescent="0.3">
      <c r="A155" s="15">
        <v>313091016</v>
      </c>
      <c r="B155" s="1" t="s">
        <v>160</v>
      </c>
      <c r="C155" s="1">
        <v>225</v>
      </c>
    </row>
    <row r="156" spans="1:3" ht="34.799999999999997" customHeight="1" x14ac:dyDescent="0.3">
      <c r="A156" s="15">
        <v>313091017</v>
      </c>
      <c r="B156" s="1" t="s">
        <v>161</v>
      </c>
      <c r="C156" s="1">
        <v>345</v>
      </c>
    </row>
    <row r="157" spans="1:3" ht="34.799999999999997" customHeight="1" x14ac:dyDescent="0.3">
      <c r="A157" s="15">
        <v>313092010</v>
      </c>
      <c r="B157" s="1" t="s">
        <v>162</v>
      </c>
      <c r="C157" s="1">
        <v>38.25</v>
      </c>
    </row>
    <row r="158" spans="1:3" ht="34.799999999999997" customHeight="1" x14ac:dyDescent="0.3">
      <c r="A158" s="15">
        <v>313092011</v>
      </c>
      <c r="B158" s="1" t="s">
        <v>163</v>
      </c>
      <c r="C158" s="1">
        <v>42.75</v>
      </c>
    </row>
    <row r="159" spans="1:3" ht="34.799999999999997" customHeight="1" x14ac:dyDescent="0.3">
      <c r="A159" s="15">
        <v>313092012</v>
      </c>
      <c r="B159" s="1" t="s">
        <v>164</v>
      </c>
      <c r="C159" s="1">
        <v>55.5</v>
      </c>
    </row>
    <row r="160" spans="1:3" ht="34.799999999999997" customHeight="1" x14ac:dyDescent="0.3">
      <c r="A160" s="15">
        <v>313092013</v>
      </c>
      <c r="B160" s="1" t="s">
        <v>165</v>
      </c>
      <c r="C160" s="1">
        <v>72.25</v>
      </c>
    </row>
    <row r="161" spans="1:3" ht="34.799999999999997" customHeight="1" x14ac:dyDescent="0.3">
      <c r="A161" s="15">
        <v>313092014</v>
      </c>
      <c r="B161" s="1" t="s">
        <v>166</v>
      </c>
      <c r="C161" s="1">
        <v>96.5</v>
      </c>
    </row>
    <row r="162" spans="1:3" ht="34.799999999999997" customHeight="1" x14ac:dyDescent="0.3">
      <c r="A162" s="15">
        <v>313092015</v>
      </c>
      <c r="B162" s="1" t="s">
        <v>167</v>
      </c>
      <c r="C162" s="1">
        <v>255</v>
      </c>
    </row>
    <row r="163" spans="1:3" ht="34.799999999999997" customHeight="1" x14ac:dyDescent="0.3">
      <c r="A163" s="15">
        <v>313092016</v>
      </c>
      <c r="B163" s="1" t="s">
        <v>168</v>
      </c>
      <c r="C163" s="1">
        <v>310</v>
      </c>
    </row>
    <row r="164" spans="1:3" ht="34.799999999999997" customHeight="1" x14ac:dyDescent="0.3">
      <c r="A164" s="15">
        <v>313092017</v>
      </c>
      <c r="B164" s="1" t="s">
        <v>169</v>
      </c>
      <c r="C164" s="1">
        <v>450</v>
      </c>
    </row>
    <row r="165" spans="1:3" ht="34.799999999999997" customHeight="1" x14ac:dyDescent="0.3">
      <c r="A165" s="15">
        <v>313100001</v>
      </c>
      <c r="B165" s="1" t="s">
        <v>170</v>
      </c>
      <c r="C165" s="1">
        <v>237.75</v>
      </c>
    </row>
    <row r="166" spans="1:3" ht="34.799999999999997" customHeight="1" x14ac:dyDescent="0.3">
      <c r="A166" s="15">
        <v>313100002</v>
      </c>
      <c r="B166" s="1" t="s">
        <v>171</v>
      </c>
      <c r="C166" s="1">
        <v>250</v>
      </c>
    </row>
    <row r="167" spans="1:3" ht="34.799999999999997" customHeight="1" x14ac:dyDescent="0.3">
      <c r="A167" s="15">
        <v>313100003</v>
      </c>
      <c r="B167" s="1" t="s">
        <v>172</v>
      </c>
      <c r="C167" s="1">
        <v>360</v>
      </c>
    </row>
    <row r="168" spans="1:3" ht="34.799999999999997" customHeight="1" x14ac:dyDescent="0.3">
      <c r="A168" s="15">
        <v>311099110</v>
      </c>
      <c r="B168" s="1" t="s">
        <v>173</v>
      </c>
      <c r="C168" s="1">
        <v>62.75</v>
      </c>
    </row>
    <row r="169" spans="1:3" ht="34.799999999999997" customHeight="1" x14ac:dyDescent="0.3">
      <c r="A169" s="15">
        <v>313100005</v>
      </c>
      <c r="B169" s="1" t="s">
        <v>174</v>
      </c>
      <c r="C169" s="1">
        <v>115</v>
      </c>
    </row>
    <row r="170" spans="1:3" ht="34.799999999999997" customHeight="1" x14ac:dyDescent="0.3">
      <c r="A170" s="15">
        <v>313100006</v>
      </c>
      <c r="B170" s="1" t="s">
        <v>175</v>
      </c>
      <c r="C170" s="1">
        <v>165</v>
      </c>
    </row>
    <row r="171" spans="1:3" ht="34.799999999999997" customHeight="1" x14ac:dyDescent="0.3">
      <c r="A171" s="15">
        <v>313100007</v>
      </c>
      <c r="B171" s="1" t="s">
        <v>176</v>
      </c>
      <c r="C171" s="1">
        <v>225</v>
      </c>
    </row>
    <row r="172" spans="1:3" ht="34.799999999999997" customHeight="1" x14ac:dyDescent="0.3">
      <c r="A172" s="15">
        <v>313099901</v>
      </c>
      <c r="B172" s="1" t="s">
        <v>177</v>
      </c>
      <c r="C172" s="1">
        <v>45</v>
      </c>
    </row>
    <row r="173" spans="1:3" ht="34.799999999999997" customHeight="1" x14ac:dyDescent="0.3">
      <c r="A173" s="15">
        <v>313099902</v>
      </c>
      <c r="B173" s="1" t="s">
        <v>178</v>
      </c>
      <c r="C173" s="1">
        <v>53.5</v>
      </c>
    </row>
    <row r="174" spans="1:3" ht="34.799999999999997" customHeight="1" x14ac:dyDescent="0.3">
      <c r="A174" s="15">
        <v>313099903</v>
      </c>
      <c r="B174" s="1" t="s">
        <v>179</v>
      </c>
      <c r="C174" s="1">
        <v>83</v>
      </c>
    </row>
    <row r="175" spans="1:3" ht="34.799999999999997" customHeight="1" x14ac:dyDescent="0.3">
      <c r="A175" s="15">
        <v>313099905</v>
      </c>
      <c r="B175" s="1" t="s">
        <v>96</v>
      </c>
      <c r="C175" s="1">
        <v>19.25</v>
      </c>
    </row>
    <row r="176" spans="1:3" ht="34.799999999999997" customHeight="1" x14ac:dyDescent="0.3">
      <c r="A176" s="15">
        <v>313099906</v>
      </c>
      <c r="B176" s="1" t="s">
        <v>97</v>
      </c>
      <c r="C176" s="1">
        <v>30</v>
      </c>
    </row>
    <row r="177" spans="1:3" ht="34.799999999999997" customHeight="1" x14ac:dyDescent="0.3">
      <c r="A177" s="15">
        <v>313099907</v>
      </c>
      <c r="B177" s="1" t="s">
        <v>180</v>
      </c>
      <c r="C177" s="1">
        <v>48.5</v>
      </c>
    </row>
    <row r="178" spans="1:3" ht="34.799999999999997" customHeight="1" x14ac:dyDescent="0.3">
      <c r="A178" s="15">
        <v>313050010</v>
      </c>
      <c r="B178" s="1" t="s">
        <v>181</v>
      </c>
      <c r="C178" s="1">
        <v>6.75</v>
      </c>
    </row>
    <row r="179" spans="1:3" ht="34.799999999999997" customHeight="1" x14ac:dyDescent="0.3">
      <c r="A179" s="15">
        <v>313050011</v>
      </c>
      <c r="B179" s="1" t="s">
        <v>182</v>
      </c>
      <c r="C179" s="1">
        <v>9.75</v>
      </c>
    </row>
    <row r="180" spans="1:3" ht="34.799999999999997" customHeight="1" x14ac:dyDescent="0.3">
      <c r="A180" s="15">
        <v>313050012</v>
      </c>
      <c r="B180" s="1" t="s">
        <v>183</v>
      </c>
      <c r="C180" s="1">
        <v>9.75</v>
      </c>
    </row>
    <row r="181" spans="1:3" ht="34.799999999999997" customHeight="1" x14ac:dyDescent="0.3">
      <c r="A181" s="15">
        <v>313050013</v>
      </c>
      <c r="B181" s="1" t="s">
        <v>184</v>
      </c>
      <c r="C181" s="1">
        <v>16.25</v>
      </c>
    </row>
    <row r="182" spans="1:3" ht="34.799999999999997" customHeight="1" x14ac:dyDescent="0.3">
      <c r="A182" s="15">
        <v>313050014</v>
      </c>
      <c r="B182" s="1" t="s">
        <v>185</v>
      </c>
      <c r="C182" s="1">
        <v>16.25</v>
      </c>
    </row>
    <row r="183" spans="1:3" ht="34.799999999999997" customHeight="1" x14ac:dyDescent="0.3">
      <c r="A183" s="15">
        <v>313050015</v>
      </c>
      <c r="B183" s="1" t="s">
        <v>186</v>
      </c>
      <c r="C183" s="1">
        <v>16.25</v>
      </c>
    </row>
    <row r="184" spans="1:3" ht="34.799999999999997" customHeight="1" x14ac:dyDescent="0.3">
      <c r="A184" s="15">
        <v>313050016</v>
      </c>
      <c r="B184" s="1" t="s">
        <v>187</v>
      </c>
      <c r="C184" s="1">
        <v>23</v>
      </c>
    </row>
    <row r="185" spans="1:3" ht="34.799999999999997" customHeight="1" x14ac:dyDescent="0.3">
      <c r="A185" s="15">
        <v>313050017</v>
      </c>
      <c r="B185" s="1" t="s">
        <v>188</v>
      </c>
      <c r="C185" s="1">
        <v>23</v>
      </c>
    </row>
    <row r="186" spans="1:3" ht="34.799999999999997" customHeight="1" x14ac:dyDescent="0.3">
      <c r="A186" s="15">
        <v>313050018</v>
      </c>
      <c r="B186" s="1" t="s">
        <v>189</v>
      </c>
      <c r="C186" s="1">
        <v>23</v>
      </c>
    </row>
    <row r="187" spans="1:3" ht="34.799999999999997" customHeight="1" x14ac:dyDescent="0.3">
      <c r="A187" s="15">
        <v>313050019</v>
      </c>
      <c r="B187" s="1" t="s">
        <v>190</v>
      </c>
      <c r="C187" s="1">
        <v>23</v>
      </c>
    </row>
    <row r="188" spans="1:3" ht="34.799999999999997" customHeight="1" x14ac:dyDescent="0.3">
      <c r="A188" s="15">
        <v>313030001</v>
      </c>
      <c r="B188" s="1" t="s">
        <v>191</v>
      </c>
      <c r="C188" s="1">
        <v>11.25</v>
      </c>
    </row>
    <row r="189" spans="1:3" ht="34.799999999999997" customHeight="1" x14ac:dyDescent="0.3">
      <c r="A189" s="15">
        <v>313030002</v>
      </c>
      <c r="B189" s="1" t="s">
        <v>192</v>
      </c>
      <c r="C189" s="1">
        <v>16.5</v>
      </c>
    </row>
    <row r="190" spans="1:3" ht="34.799999999999997" customHeight="1" x14ac:dyDescent="0.3">
      <c r="A190" s="15">
        <v>313030003</v>
      </c>
      <c r="B190" s="1" t="s">
        <v>193</v>
      </c>
      <c r="C190" s="1">
        <v>26.5</v>
      </c>
    </row>
    <row r="191" spans="1:3" ht="34.799999999999997" customHeight="1" x14ac:dyDescent="0.3">
      <c r="A191" s="15">
        <v>313030004</v>
      </c>
      <c r="B191" s="1" t="s">
        <v>194</v>
      </c>
      <c r="C191" s="1">
        <v>48</v>
      </c>
    </row>
    <row r="192" spans="1:3" ht="34.799999999999997" customHeight="1" x14ac:dyDescent="0.3">
      <c r="A192" s="15">
        <v>313030005</v>
      </c>
      <c r="B192" s="1" t="s">
        <v>195</v>
      </c>
      <c r="C192" s="1">
        <v>85</v>
      </c>
    </row>
    <row r="193" spans="1:3" ht="34.799999999999997" customHeight="1" x14ac:dyDescent="0.3">
      <c r="A193" s="15">
        <v>353080010</v>
      </c>
      <c r="B193" s="1" t="s">
        <v>196</v>
      </c>
      <c r="C193" s="1">
        <v>505.25</v>
      </c>
    </row>
    <row r="194" spans="1:3" ht="34.799999999999997" customHeight="1" x14ac:dyDescent="0.3">
      <c r="A194" s="15">
        <v>353060010</v>
      </c>
      <c r="B194" s="1" t="s">
        <v>197</v>
      </c>
      <c r="C194" s="1">
        <v>19</v>
      </c>
    </row>
    <row r="195" spans="1:3" ht="34.799999999999997" customHeight="1" x14ac:dyDescent="0.3">
      <c r="A195" s="15">
        <v>353060007</v>
      </c>
      <c r="B195" s="1" t="s">
        <v>198</v>
      </c>
      <c r="C195" s="1">
        <v>25</v>
      </c>
    </row>
    <row r="196" spans="1:3" ht="34.799999999999997" customHeight="1" x14ac:dyDescent="0.3">
      <c r="A196" s="15">
        <v>353060001</v>
      </c>
      <c r="B196" s="1" t="s">
        <v>199</v>
      </c>
      <c r="C196" s="1">
        <v>23.5</v>
      </c>
    </row>
    <row r="197" spans="1:3" ht="34.799999999999997" customHeight="1" x14ac:dyDescent="0.3">
      <c r="A197" s="15">
        <v>353060002</v>
      </c>
      <c r="B197" s="1" t="s">
        <v>200</v>
      </c>
      <c r="C197" s="1">
        <v>35.75</v>
      </c>
    </row>
    <row r="198" spans="1:3" ht="34.799999999999997" customHeight="1" x14ac:dyDescent="0.3">
      <c r="A198" s="15">
        <v>353060003</v>
      </c>
      <c r="B198" s="1" t="s">
        <v>201</v>
      </c>
      <c r="C198" s="1">
        <v>52.75</v>
      </c>
    </row>
    <row r="199" spans="1:3" ht="34.799999999999997" customHeight="1" x14ac:dyDescent="0.3">
      <c r="A199" s="15">
        <v>353060005</v>
      </c>
      <c r="B199" s="1" t="s">
        <v>202</v>
      </c>
      <c r="C199" s="1">
        <v>121</v>
      </c>
    </row>
    <row r="200" spans="1:3" ht="34.799999999999997" customHeight="1" x14ac:dyDescent="0.3">
      <c r="A200" s="15">
        <v>353060006</v>
      </c>
      <c r="B200" s="1" t="s">
        <v>203</v>
      </c>
      <c r="C200" s="1">
        <v>505.25</v>
      </c>
    </row>
    <row r="201" spans="1:3" ht="34.799999999999997" customHeight="1" x14ac:dyDescent="0.3">
      <c r="A201" s="15">
        <v>353060004</v>
      </c>
      <c r="B201" s="1" t="s">
        <v>204</v>
      </c>
      <c r="C201" s="1">
        <v>569.25</v>
      </c>
    </row>
    <row r="202" spans="1:3" ht="34.799999999999997" customHeight="1" x14ac:dyDescent="0.3">
      <c r="A202" s="15">
        <v>353070003</v>
      </c>
      <c r="B202" s="1" t="s">
        <v>205</v>
      </c>
      <c r="C202" s="1">
        <v>114.75</v>
      </c>
    </row>
    <row r="203" spans="1:3" ht="34.799999999999997" customHeight="1" x14ac:dyDescent="0.3">
      <c r="A203" s="15">
        <v>353070001</v>
      </c>
      <c r="B203" s="1" t="s">
        <v>206</v>
      </c>
      <c r="C203" s="1">
        <v>171</v>
      </c>
    </row>
    <row r="204" spans="1:3" ht="34.799999999999997" customHeight="1" x14ac:dyDescent="0.3">
      <c r="A204" s="15">
        <v>353070002</v>
      </c>
      <c r="B204" s="1" t="s">
        <v>207</v>
      </c>
      <c r="C204" s="1">
        <v>232.75</v>
      </c>
    </row>
    <row r="205" spans="1:3" ht="34.799999999999997" customHeight="1" x14ac:dyDescent="0.3">
      <c r="A205" s="15">
        <v>353070004</v>
      </c>
      <c r="B205" s="1" t="s">
        <v>208</v>
      </c>
      <c r="C205" s="1">
        <v>442.25</v>
      </c>
    </row>
    <row r="206" spans="1:3" ht="34.799999999999997" customHeight="1" x14ac:dyDescent="0.3">
      <c r="A206" s="15">
        <v>353080110</v>
      </c>
      <c r="B206" s="1" t="s">
        <v>209</v>
      </c>
      <c r="C206" s="1">
        <v>15.25</v>
      </c>
    </row>
    <row r="207" spans="1:3" ht="34.799999999999997" customHeight="1" x14ac:dyDescent="0.3">
      <c r="A207" s="15">
        <v>353080107</v>
      </c>
      <c r="B207" s="1" t="s">
        <v>210</v>
      </c>
      <c r="C207" s="1">
        <v>21.25</v>
      </c>
    </row>
    <row r="208" spans="1:3" ht="34.799999999999997" customHeight="1" x14ac:dyDescent="0.3">
      <c r="A208" s="15">
        <v>353080101</v>
      </c>
      <c r="B208" s="1" t="s">
        <v>211</v>
      </c>
      <c r="C208" s="1">
        <v>20.75</v>
      </c>
    </row>
    <row r="209" spans="1:3" ht="34.799999999999997" customHeight="1" x14ac:dyDescent="0.3">
      <c r="A209" s="15">
        <v>353080102</v>
      </c>
      <c r="B209" s="1" t="s">
        <v>212</v>
      </c>
      <c r="C209" s="1">
        <v>30.75</v>
      </c>
    </row>
    <row r="210" spans="1:3" ht="34.799999999999997" customHeight="1" x14ac:dyDescent="0.3">
      <c r="A210" s="15">
        <v>353080103</v>
      </c>
      <c r="B210" s="1" t="s">
        <v>213</v>
      </c>
      <c r="C210" s="1">
        <v>43.75</v>
      </c>
    </row>
    <row r="211" spans="1:3" ht="34.799999999999997" customHeight="1" x14ac:dyDescent="0.3">
      <c r="A211" s="15">
        <v>353080105</v>
      </c>
      <c r="B211" s="1" t="s">
        <v>214</v>
      </c>
      <c r="C211" s="1">
        <v>94</v>
      </c>
    </row>
    <row r="212" spans="1:3" ht="34.799999999999997" customHeight="1" x14ac:dyDescent="0.3">
      <c r="A212" s="15">
        <v>353080106</v>
      </c>
      <c r="B212" s="1" t="s">
        <v>215</v>
      </c>
      <c r="C212" s="1">
        <v>170.5</v>
      </c>
    </row>
    <row r="213" spans="1:3" ht="34.799999999999997" customHeight="1" x14ac:dyDescent="0.3">
      <c r="A213" s="15">
        <v>353080104</v>
      </c>
      <c r="B213" s="1" t="s">
        <v>216</v>
      </c>
      <c r="C213" s="1">
        <v>473.25</v>
      </c>
    </row>
    <row r="214" spans="1:3" ht="34.799999999999997" customHeight="1" x14ac:dyDescent="0.3">
      <c r="A214" s="15">
        <v>353081010</v>
      </c>
      <c r="B214" s="1" t="s">
        <v>217</v>
      </c>
      <c r="C214" s="1">
        <v>134.5</v>
      </c>
    </row>
    <row r="215" spans="1:3" ht="34.799999999999997" customHeight="1" x14ac:dyDescent="0.3">
      <c r="A215" s="15">
        <v>353081011</v>
      </c>
      <c r="B215" s="1" t="s">
        <v>218</v>
      </c>
      <c r="C215" s="1">
        <v>227.25</v>
      </c>
    </row>
    <row r="216" spans="1:3" ht="34.799999999999997" customHeight="1" x14ac:dyDescent="0.3">
      <c r="A216" s="15">
        <v>353081002</v>
      </c>
      <c r="B216" s="1" t="s">
        <v>219</v>
      </c>
      <c r="C216" s="1">
        <v>134.5</v>
      </c>
    </row>
    <row r="217" spans="1:3" ht="34.799999999999997" customHeight="1" x14ac:dyDescent="0.3">
      <c r="A217" s="15">
        <v>353081003</v>
      </c>
      <c r="B217" s="1" t="s">
        <v>220</v>
      </c>
      <c r="C217" s="1">
        <v>221.75</v>
      </c>
    </row>
    <row r="218" spans="1:3" ht="34.799999999999997" customHeight="1" x14ac:dyDescent="0.3">
      <c r="A218" s="15">
        <v>371040038</v>
      </c>
      <c r="B218" s="1" t="s">
        <v>221</v>
      </c>
      <c r="C218" s="1">
        <v>2592.25</v>
      </c>
    </row>
    <row r="219" spans="1:3" ht="34.799999999999997" customHeight="1" x14ac:dyDescent="0.3">
      <c r="A219" s="15">
        <v>371040037</v>
      </c>
      <c r="B219" s="1" t="s">
        <v>222</v>
      </c>
      <c r="C219" s="1">
        <v>2930.25</v>
      </c>
    </row>
    <row r="220" spans="1:3" ht="34.799999999999997" customHeight="1" x14ac:dyDescent="0.3">
      <c r="A220" s="15">
        <v>371040094</v>
      </c>
      <c r="B220" s="1" t="s">
        <v>223</v>
      </c>
      <c r="C220" s="1">
        <v>2701</v>
      </c>
    </row>
    <row r="221" spans="1:3" ht="34.799999999999997" customHeight="1" x14ac:dyDescent="0.3">
      <c r="A221" s="15">
        <v>371040095</v>
      </c>
      <c r="B221" s="1" t="s">
        <v>224</v>
      </c>
      <c r="C221" s="1">
        <v>3040</v>
      </c>
    </row>
    <row r="222" spans="1:3" ht="34.799999999999997" customHeight="1" x14ac:dyDescent="0.3">
      <c r="A222" s="15">
        <v>371040091</v>
      </c>
      <c r="B222" s="1" t="s">
        <v>225</v>
      </c>
      <c r="C222" s="1">
        <v>3125.75</v>
      </c>
    </row>
    <row r="223" spans="1:3" ht="34.799999999999997" customHeight="1" x14ac:dyDescent="0.3">
      <c r="A223" s="15">
        <v>371040092</v>
      </c>
      <c r="B223" s="1" t="s">
        <v>226</v>
      </c>
      <c r="C223" s="1">
        <v>3495.25</v>
      </c>
    </row>
    <row r="224" spans="1:3" ht="34.799999999999997" customHeight="1" x14ac:dyDescent="0.3">
      <c r="A224" s="15">
        <v>371040039</v>
      </c>
      <c r="B224" s="1" t="s">
        <v>227</v>
      </c>
      <c r="C224" s="1">
        <v>3125.75</v>
      </c>
    </row>
    <row r="225" spans="1:3" ht="34.799999999999997" customHeight="1" x14ac:dyDescent="0.3">
      <c r="A225" s="15">
        <v>371040040</v>
      </c>
      <c r="B225" s="1" t="s">
        <v>228</v>
      </c>
      <c r="C225" s="1">
        <v>3495.25</v>
      </c>
    </row>
    <row r="226" spans="1:3" ht="34.799999999999997" customHeight="1" x14ac:dyDescent="0.3">
      <c r="A226" s="15">
        <v>371040093</v>
      </c>
      <c r="B226" s="1" t="s">
        <v>229</v>
      </c>
      <c r="C226" s="1">
        <v>3495.25</v>
      </c>
    </row>
    <row r="227" spans="1:3" ht="34.799999999999997" customHeight="1" x14ac:dyDescent="0.3">
      <c r="A227" s="15">
        <v>353099959</v>
      </c>
      <c r="B227" s="1" t="s">
        <v>230</v>
      </c>
      <c r="C227" s="1">
        <v>1300</v>
      </c>
    </row>
    <row r="228" spans="1:3" ht="34.799999999999997" customHeight="1" x14ac:dyDescent="0.3">
      <c r="A228" s="15">
        <v>353099960</v>
      </c>
      <c r="B228" s="1" t="s">
        <v>231</v>
      </c>
      <c r="C228" s="1">
        <v>1419.25</v>
      </c>
    </row>
    <row r="229" spans="1:3" ht="34.799999999999997" customHeight="1" x14ac:dyDescent="0.3">
      <c r="A229" s="15">
        <v>371040041</v>
      </c>
      <c r="B229" s="1" t="s">
        <v>232</v>
      </c>
      <c r="C229" s="1">
        <v>1184.25</v>
      </c>
    </row>
    <row r="230" spans="1:3" ht="34.799999999999997" customHeight="1" x14ac:dyDescent="0.3">
      <c r="A230" s="15">
        <v>371040042</v>
      </c>
      <c r="B230" s="1" t="s">
        <v>233</v>
      </c>
      <c r="C230" s="1">
        <v>1512.25</v>
      </c>
    </row>
    <row r="231" spans="1:3" ht="34.799999999999997" customHeight="1" x14ac:dyDescent="0.3">
      <c r="A231" s="15">
        <v>371040043</v>
      </c>
      <c r="B231" s="1" t="s">
        <v>234</v>
      </c>
      <c r="C231" s="1">
        <v>1408</v>
      </c>
    </row>
    <row r="232" spans="1:3" ht="34.799999999999997" customHeight="1" x14ac:dyDescent="0.3">
      <c r="A232" s="15">
        <v>371040044</v>
      </c>
      <c r="B232" s="1" t="s">
        <v>235</v>
      </c>
      <c r="C232" s="1">
        <v>1418</v>
      </c>
    </row>
    <row r="233" spans="1:3" ht="34.799999999999997" customHeight="1" x14ac:dyDescent="0.3">
      <c r="A233" s="15">
        <v>371040096</v>
      </c>
      <c r="B233" s="1" t="s">
        <v>236</v>
      </c>
      <c r="C233" s="1">
        <v>1516.75</v>
      </c>
    </row>
    <row r="234" spans="1:3" ht="34.799999999999997" customHeight="1" x14ac:dyDescent="0.3">
      <c r="A234" s="15">
        <v>371040097</v>
      </c>
      <c r="B234" s="1" t="s">
        <v>237</v>
      </c>
      <c r="C234" s="1">
        <v>1527.75</v>
      </c>
    </row>
    <row r="235" spans="1:3" ht="34.799999999999997" customHeight="1" x14ac:dyDescent="0.3">
      <c r="A235" s="15">
        <v>353010010</v>
      </c>
      <c r="B235" s="1" t="s">
        <v>238</v>
      </c>
      <c r="C235" s="1">
        <v>14.25</v>
      </c>
    </row>
    <row r="236" spans="1:3" ht="34.799999999999997" customHeight="1" x14ac:dyDescent="0.3">
      <c r="A236" s="15">
        <v>353010007</v>
      </c>
      <c r="B236" s="1" t="s">
        <v>239</v>
      </c>
      <c r="C236" s="1">
        <v>17</v>
      </c>
    </row>
    <row r="237" spans="1:3" ht="34.799999999999997" customHeight="1" x14ac:dyDescent="0.3">
      <c r="A237" s="15">
        <v>353010001</v>
      </c>
      <c r="B237" s="1" t="s">
        <v>84</v>
      </c>
      <c r="C237" s="1">
        <v>16.5</v>
      </c>
    </row>
    <row r="238" spans="1:3" ht="34.799999999999997" customHeight="1" x14ac:dyDescent="0.3">
      <c r="A238" s="15">
        <v>353010002</v>
      </c>
      <c r="B238" s="1" t="s">
        <v>85</v>
      </c>
      <c r="C238" s="1">
        <v>25.75</v>
      </c>
    </row>
    <row r="239" spans="1:3" ht="34.799999999999997" customHeight="1" x14ac:dyDescent="0.3">
      <c r="A239" s="15">
        <v>353010003</v>
      </c>
      <c r="B239" s="1" t="s">
        <v>86</v>
      </c>
      <c r="C239" s="1">
        <v>46.25</v>
      </c>
    </row>
    <row r="240" spans="1:3" ht="34.799999999999997" customHeight="1" x14ac:dyDescent="0.3">
      <c r="A240" s="15">
        <v>353010005</v>
      </c>
      <c r="B240" s="1" t="s">
        <v>88</v>
      </c>
      <c r="C240" s="1">
        <v>68</v>
      </c>
    </row>
    <row r="241" spans="1:3" ht="34.799999999999997" customHeight="1" x14ac:dyDescent="0.3">
      <c r="A241" s="15">
        <v>353010006</v>
      </c>
      <c r="B241" s="1" t="s">
        <v>240</v>
      </c>
      <c r="C241" s="1">
        <v>116.25</v>
      </c>
    </row>
    <row r="242" spans="1:3" ht="34.799999999999997" customHeight="1" x14ac:dyDescent="0.3">
      <c r="A242" s="15">
        <v>353010004</v>
      </c>
      <c r="B242" s="1" t="s">
        <v>241</v>
      </c>
      <c r="C242" s="1">
        <v>280</v>
      </c>
    </row>
    <row r="243" spans="1:3" ht="34.799999999999997" customHeight="1" x14ac:dyDescent="0.3">
      <c r="A243" s="15">
        <v>353020010</v>
      </c>
      <c r="B243" s="1" t="s">
        <v>242</v>
      </c>
      <c r="C243" s="1">
        <v>13.75</v>
      </c>
    </row>
    <row r="244" spans="1:3" ht="34.799999999999997" customHeight="1" x14ac:dyDescent="0.3">
      <c r="A244" s="15">
        <v>353020007</v>
      </c>
      <c r="B244" s="1" t="s">
        <v>243</v>
      </c>
      <c r="C244" s="1">
        <v>17</v>
      </c>
    </row>
    <row r="245" spans="1:3" ht="34.799999999999997" customHeight="1" x14ac:dyDescent="0.3">
      <c r="A245" s="15">
        <v>353020001</v>
      </c>
      <c r="B245" s="1" t="s">
        <v>75</v>
      </c>
      <c r="C245" s="1">
        <v>16.5</v>
      </c>
    </row>
    <row r="246" spans="1:3" ht="34.799999999999997" customHeight="1" x14ac:dyDescent="0.3">
      <c r="A246" s="15">
        <v>353020002</v>
      </c>
      <c r="B246" s="1" t="s">
        <v>76</v>
      </c>
      <c r="C246" s="1">
        <v>25.75</v>
      </c>
    </row>
    <row r="247" spans="1:3" ht="34.799999999999997" customHeight="1" x14ac:dyDescent="0.3">
      <c r="A247" s="15">
        <v>353020003</v>
      </c>
      <c r="B247" s="1" t="s">
        <v>244</v>
      </c>
      <c r="C247" s="1">
        <v>41.25</v>
      </c>
    </row>
    <row r="248" spans="1:3" ht="34.799999999999997" customHeight="1" x14ac:dyDescent="0.3">
      <c r="A248" s="15">
        <v>353020004</v>
      </c>
      <c r="B248" s="1" t="s">
        <v>77</v>
      </c>
      <c r="C248" s="1">
        <v>71.75</v>
      </c>
    </row>
    <row r="249" spans="1:3" ht="34.799999999999997" customHeight="1" x14ac:dyDescent="0.3">
      <c r="A249" s="15">
        <v>353020005</v>
      </c>
      <c r="B249" s="1" t="s">
        <v>79</v>
      </c>
      <c r="C249" s="1">
        <v>135.5</v>
      </c>
    </row>
    <row r="250" spans="1:3" ht="34.799999999999997" customHeight="1" x14ac:dyDescent="0.3">
      <c r="A250" s="15">
        <v>353020006</v>
      </c>
      <c r="B250" s="1" t="s">
        <v>81</v>
      </c>
      <c r="C250" s="1">
        <v>340.25</v>
      </c>
    </row>
    <row r="251" spans="1:3" ht="34.799999999999997" customHeight="1" x14ac:dyDescent="0.3">
      <c r="A251" s="15">
        <v>353030001</v>
      </c>
      <c r="B251" s="1" t="s">
        <v>245</v>
      </c>
      <c r="C251" s="1">
        <v>76.25</v>
      </c>
    </row>
    <row r="252" spans="1:3" ht="34.799999999999997" customHeight="1" x14ac:dyDescent="0.3">
      <c r="A252" s="15">
        <v>353030002</v>
      </c>
      <c r="B252" s="1" t="s">
        <v>246</v>
      </c>
      <c r="C252" s="1">
        <v>108.25</v>
      </c>
    </row>
    <row r="253" spans="1:3" ht="34.799999999999997" customHeight="1" x14ac:dyDescent="0.3">
      <c r="A253" s="15">
        <v>353030003</v>
      </c>
      <c r="B253" s="1" t="s">
        <v>247</v>
      </c>
      <c r="C253" s="1">
        <v>200.75</v>
      </c>
    </row>
    <row r="254" spans="1:3" ht="34.799999999999997" customHeight="1" x14ac:dyDescent="0.3">
      <c r="A254" s="15">
        <v>333060020</v>
      </c>
      <c r="B254" s="1" t="s">
        <v>248</v>
      </c>
      <c r="C254" s="1">
        <v>51</v>
      </c>
    </row>
    <row r="255" spans="1:3" ht="34.799999999999997" customHeight="1" x14ac:dyDescent="0.3">
      <c r="A255" s="15">
        <v>333060007</v>
      </c>
      <c r="B255" s="1" t="s">
        <v>249</v>
      </c>
      <c r="C255" s="1">
        <v>35.25</v>
      </c>
    </row>
    <row r="256" spans="1:3" ht="34.799999999999997" customHeight="1" x14ac:dyDescent="0.3">
      <c r="A256" s="15">
        <v>333060008</v>
      </c>
      <c r="B256" s="1" t="s">
        <v>250</v>
      </c>
      <c r="C256" s="1">
        <v>57.75</v>
      </c>
    </row>
    <row r="257" spans="1:3" ht="34.799999999999997" customHeight="1" x14ac:dyDescent="0.3">
      <c r="A257" s="15">
        <v>333060009</v>
      </c>
      <c r="B257" s="1" t="s">
        <v>251</v>
      </c>
      <c r="C257" s="1">
        <v>62.5</v>
      </c>
    </row>
    <row r="258" spans="1:3" ht="34.799999999999997" customHeight="1" x14ac:dyDescent="0.3">
      <c r="A258" s="15">
        <v>333010001</v>
      </c>
      <c r="B258" s="1" t="s">
        <v>252</v>
      </c>
      <c r="C258" s="1">
        <v>71</v>
      </c>
    </row>
    <row r="259" spans="1:3" ht="34.799999999999997" customHeight="1" x14ac:dyDescent="0.3">
      <c r="A259" s="15">
        <v>333010002</v>
      </c>
      <c r="B259" s="1" t="s">
        <v>249</v>
      </c>
      <c r="C259" s="1">
        <v>32.25</v>
      </c>
    </row>
    <row r="260" spans="1:3" ht="34.799999999999997" customHeight="1" x14ac:dyDescent="0.3">
      <c r="A260" s="15">
        <v>333020001</v>
      </c>
      <c r="B260" s="1" t="s">
        <v>253</v>
      </c>
      <c r="C260" s="1">
        <v>98</v>
      </c>
    </row>
    <row r="261" spans="1:3" ht="34.799999999999997" customHeight="1" x14ac:dyDescent="0.3">
      <c r="A261" s="15">
        <v>333030001</v>
      </c>
      <c r="B261" s="1" t="s">
        <v>254</v>
      </c>
      <c r="C261" s="1">
        <v>131</v>
      </c>
    </row>
    <row r="262" spans="1:3" ht="34.799999999999997" customHeight="1" x14ac:dyDescent="0.3">
      <c r="A262" s="15">
        <v>333030002</v>
      </c>
      <c r="B262" s="1" t="s">
        <v>255</v>
      </c>
      <c r="C262" s="1">
        <v>154</v>
      </c>
    </row>
    <row r="263" spans="1:3" ht="34.799999999999997" customHeight="1" x14ac:dyDescent="0.3">
      <c r="A263" s="15">
        <v>333040001</v>
      </c>
      <c r="B263" s="1" t="s">
        <v>256</v>
      </c>
      <c r="C263" s="1">
        <v>187.25</v>
      </c>
    </row>
    <row r="264" spans="1:3" ht="34.799999999999997" customHeight="1" x14ac:dyDescent="0.3">
      <c r="A264" s="15">
        <v>333040003</v>
      </c>
      <c r="B264" s="1" t="s">
        <v>257</v>
      </c>
      <c r="C264" s="1">
        <v>139.5</v>
      </c>
    </row>
    <row r="265" spans="1:3" ht="34.799999999999997" customHeight="1" x14ac:dyDescent="0.3">
      <c r="A265" s="15">
        <v>333050001</v>
      </c>
      <c r="B265" s="1" t="s">
        <v>258</v>
      </c>
      <c r="C265" s="1">
        <v>288.5</v>
      </c>
    </row>
    <row r="266" spans="1:3" ht="34.799999999999997" customHeight="1" x14ac:dyDescent="0.3">
      <c r="A266" s="15">
        <v>333050002</v>
      </c>
      <c r="B266" s="1" t="s">
        <v>259</v>
      </c>
      <c r="C266" s="1">
        <v>241.75</v>
      </c>
    </row>
    <row r="267" spans="1:3" ht="34.799999999999997" customHeight="1" x14ac:dyDescent="0.3">
      <c r="A267" s="15">
        <v>333140021</v>
      </c>
      <c r="B267" s="1" t="s">
        <v>260</v>
      </c>
      <c r="C267" s="1">
        <v>153.25</v>
      </c>
    </row>
    <row r="268" spans="1:3" ht="34.799999999999997" customHeight="1" x14ac:dyDescent="0.3">
      <c r="A268" s="15">
        <v>333140014</v>
      </c>
      <c r="B268" s="1" t="s">
        <v>261</v>
      </c>
      <c r="C268" s="1">
        <v>180.25</v>
      </c>
    </row>
    <row r="269" spans="1:3" ht="34.799999999999997" customHeight="1" x14ac:dyDescent="0.3">
      <c r="A269" s="15">
        <v>333140001</v>
      </c>
      <c r="B269" s="1" t="s">
        <v>262</v>
      </c>
      <c r="C269" s="1">
        <v>267.5</v>
      </c>
    </row>
    <row r="270" spans="1:3" ht="34.799999999999997" customHeight="1" x14ac:dyDescent="0.3">
      <c r="A270" s="15">
        <v>333140015</v>
      </c>
      <c r="B270" s="1" t="s">
        <v>263</v>
      </c>
      <c r="C270" s="1">
        <v>318.75</v>
      </c>
    </row>
    <row r="271" spans="1:3" ht="34.799999999999997" customHeight="1" x14ac:dyDescent="0.3">
      <c r="A271" s="15">
        <v>333140017</v>
      </c>
      <c r="B271" s="1" t="s">
        <v>264</v>
      </c>
      <c r="C271" s="1">
        <v>374.75</v>
      </c>
    </row>
    <row r="272" spans="1:3" ht="34.799999999999997" customHeight="1" x14ac:dyDescent="0.3">
      <c r="A272" s="15">
        <v>333140018</v>
      </c>
      <c r="B272" s="1" t="s">
        <v>265</v>
      </c>
      <c r="C272" s="1">
        <v>473.25</v>
      </c>
    </row>
    <row r="273" spans="1:3" ht="34.799999999999997" customHeight="1" x14ac:dyDescent="0.3">
      <c r="A273" s="15">
        <v>333060010</v>
      </c>
      <c r="B273" s="1" t="s">
        <v>266</v>
      </c>
      <c r="C273" s="1">
        <v>48.75</v>
      </c>
    </row>
    <row r="274" spans="1:3" ht="34.799999999999997" customHeight="1" x14ac:dyDescent="0.3">
      <c r="A274" s="15">
        <v>333060011</v>
      </c>
      <c r="B274" s="1" t="s">
        <v>267</v>
      </c>
      <c r="C274" s="1">
        <v>34.5</v>
      </c>
    </row>
    <row r="275" spans="1:3" ht="34.799999999999997" customHeight="1" x14ac:dyDescent="0.3">
      <c r="A275" s="15">
        <v>333010010</v>
      </c>
      <c r="B275" s="1" t="s">
        <v>268</v>
      </c>
      <c r="C275" s="1">
        <v>68.25</v>
      </c>
    </row>
    <row r="276" spans="1:3" ht="34.799999999999997" customHeight="1" x14ac:dyDescent="0.3">
      <c r="A276" s="15">
        <v>333020010</v>
      </c>
      <c r="B276" s="1" t="s">
        <v>269</v>
      </c>
      <c r="C276" s="1">
        <v>92.75</v>
      </c>
    </row>
    <row r="277" spans="1:3" ht="34.799999999999997" customHeight="1" x14ac:dyDescent="0.3">
      <c r="A277" s="15">
        <v>333030010</v>
      </c>
      <c r="B277" s="1" t="s">
        <v>270</v>
      </c>
      <c r="C277" s="1">
        <v>125.75</v>
      </c>
    </row>
    <row r="278" spans="1:3" ht="34.799999999999997" customHeight="1" x14ac:dyDescent="0.3">
      <c r="A278" s="15">
        <v>333040010</v>
      </c>
      <c r="B278" s="1" t="s">
        <v>271</v>
      </c>
      <c r="C278" s="1">
        <v>179.75</v>
      </c>
    </row>
    <row r="279" spans="1:3" ht="34.799999999999997" customHeight="1" x14ac:dyDescent="0.3">
      <c r="A279" s="15">
        <v>333050010</v>
      </c>
      <c r="B279" s="1" t="s">
        <v>272</v>
      </c>
      <c r="C279" s="1">
        <v>277.25</v>
      </c>
    </row>
    <row r="280" spans="1:3" ht="34.799999999999997" customHeight="1" x14ac:dyDescent="0.3">
      <c r="A280" s="15">
        <v>385010005</v>
      </c>
      <c r="B280" s="1" t="s">
        <v>273</v>
      </c>
      <c r="C280" s="1">
        <v>160.5</v>
      </c>
    </row>
    <row r="281" spans="1:3" ht="34.799999999999997" customHeight="1" x14ac:dyDescent="0.3">
      <c r="A281" s="15">
        <v>385010006</v>
      </c>
      <c r="B281" s="1" t="s">
        <v>274</v>
      </c>
      <c r="C281" s="1">
        <v>443.75</v>
      </c>
    </row>
    <row r="282" spans="1:3" ht="34.799999999999997" customHeight="1" x14ac:dyDescent="0.3">
      <c r="A282" s="15">
        <v>385010008</v>
      </c>
      <c r="B282" s="1" t="s">
        <v>275</v>
      </c>
      <c r="C282" s="1">
        <v>270.75</v>
      </c>
    </row>
    <row r="283" spans="1:3" ht="34.799999999999997" customHeight="1" x14ac:dyDescent="0.3">
      <c r="A283" s="15">
        <v>385010009</v>
      </c>
      <c r="B283" s="1" t="s">
        <v>276</v>
      </c>
      <c r="C283" s="1">
        <v>405.75</v>
      </c>
    </row>
    <row r="284" spans="1:3" ht="34.799999999999997" customHeight="1" x14ac:dyDescent="0.3">
      <c r="A284" s="15">
        <v>375100001</v>
      </c>
      <c r="B284" s="1" t="s">
        <v>277</v>
      </c>
      <c r="C284" s="1">
        <v>6076</v>
      </c>
    </row>
    <row r="285" spans="1:3" ht="34.799999999999997" customHeight="1" x14ac:dyDescent="0.3">
      <c r="A285" s="15">
        <v>375100008</v>
      </c>
      <c r="B285" s="1" t="s">
        <v>278</v>
      </c>
      <c r="C285" s="1">
        <v>969.5</v>
      </c>
    </row>
    <row r="286" spans="1:3" ht="34.799999999999997" customHeight="1" x14ac:dyDescent="0.3">
      <c r="A286" s="15">
        <v>375100009</v>
      </c>
      <c r="B286" s="1" t="s">
        <v>279</v>
      </c>
      <c r="C286" s="1">
        <v>969.5</v>
      </c>
    </row>
    <row r="287" spans="1:3" ht="34.799999999999997" customHeight="1" x14ac:dyDescent="0.3">
      <c r="A287" s="15">
        <v>375100010</v>
      </c>
      <c r="B287" s="1" t="s">
        <v>280</v>
      </c>
      <c r="C287" s="1">
        <v>969.5</v>
      </c>
    </row>
    <row r="288" spans="1:3" ht="34.799999999999997" customHeight="1" x14ac:dyDescent="0.3">
      <c r="A288" s="15">
        <v>375100011</v>
      </c>
      <c r="B288" s="1" t="s">
        <v>281</v>
      </c>
      <c r="C288" s="1">
        <v>969.5</v>
      </c>
    </row>
    <row r="289" spans="1:3" ht="34.799999999999997" customHeight="1" x14ac:dyDescent="0.3">
      <c r="A289" s="15">
        <v>375100012</v>
      </c>
      <c r="B289" s="1" t="s">
        <v>282</v>
      </c>
      <c r="C289" s="1">
        <v>969.5</v>
      </c>
    </row>
    <row r="290" spans="1:3" ht="34.799999999999997" customHeight="1" x14ac:dyDescent="0.3">
      <c r="A290" s="15">
        <v>376010019</v>
      </c>
      <c r="B290" s="1" t="s">
        <v>283</v>
      </c>
      <c r="C290" s="1">
        <v>9176.5</v>
      </c>
    </row>
    <row r="291" spans="1:3" ht="34.799999999999997" customHeight="1" x14ac:dyDescent="0.3">
      <c r="A291" s="15">
        <v>376010020</v>
      </c>
      <c r="B291" s="1" t="s">
        <v>284</v>
      </c>
      <c r="C291" s="1">
        <v>17062.75</v>
      </c>
    </row>
    <row r="292" spans="1:3" ht="34.799999999999997" customHeight="1" x14ac:dyDescent="0.3">
      <c r="A292" s="15">
        <v>376010021</v>
      </c>
      <c r="B292" s="1" t="s">
        <v>285</v>
      </c>
      <c r="C292" s="1">
        <v>26480.25</v>
      </c>
    </row>
    <row r="293" spans="1:3" ht="34.799999999999997" customHeight="1" x14ac:dyDescent="0.3">
      <c r="A293" s="15">
        <v>377020020</v>
      </c>
      <c r="B293" s="1" t="s">
        <v>286</v>
      </c>
      <c r="C293" s="1">
        <v>96</v>
      </c>
    </row>
    <row r="294" spans="1:3" ht="34.799999999999997" customHeight="1" x14ac:dyDescent="0.3">
      <c r="A294" s="15">
        <v>377020021</v>
      </c>
      <c r="B294" s="1" t="s">
        <v>287</v>
      </c>
      <c r="C294" s="1">
        <v>159.25</v>
      </c>
    </row>
    <row r="295" spans="1:3" ht="34.799999999999997" customHeight="1" x14ac:dyDescent="0.3">
      <c r="A295" s="15">
        <v>377020022</v>
      </c>
      <c r="B295" s="1" t="s">
        <v>288</v>
      </c>
      <c r="C295" s="1">
        <v>251</v>
      </c>
    </row>
    <row r="296" spans="1:3" ht="34.799999999999997" customHeight="1" x14ac:dyDescent="0.3">
      <c r="A296" s="15">
        <v>373010022</v>
      </c>
      <c r="B296" s="1" t="s">
        <v>289</v>
      </c>
      <c r="C296" s="1">
        <v>143.5</v>
      </c>
    </row>
    <row r="297" spans="1:3" ht="34.799999999999997" customHeight="1" x14ac:dyDescent="0.3">
      <c r="A297" s="15">
        <v>373010013</v>
      </c>
      <c r="B297" s="1" t="s">
        <v>290</v>
      </c>
      <c r="C297" s="1">
        <v>143.5</v>
      </c>
    </row>
    <row r="298" spans="1:3" ht="34.799999999999997" customHeight="1" x14ac:dyDescent="0.3">
      <c r="A298" s="15">
        <v>373010029</v>
      </c>
      <c r="B298" s="1" t="s">
        <v>291</v>
      </c>
      <c r="C298" s="1">
        <v>160</v>
      </c>
    </row>
    <row r="299" spans="1:3" ht="34.799999999999997" customHeight="1" x14ac:dyDescent="0.3">
      <c r="A299" s="15">
        <v>373010012</v>
      </c>
      <c r="B299" s="1" t="s">
        <v>292</v>
      </c>
      <c r="C299" s="1">
        <v>192.25</v>
      </c>
    </row>
    <row r="300" spans="1:3" ht="34.799999999999997" customHeight="1" x14ac:dyDescent="0.3">
      <c r="A300" s="15">
        <v>373020004</v>
      </c>
      <c r="B300" s="1" t="s">
        <v>293</v>
      </c>
      <c r="C300" s="1">
        <v>92</v>
      </c>
    </row>
    <row r="301" spans="1:3" ht="34.799999999999997" customHeight="1" x14ac:dyDescent="0.3">
      <c r="A301" s="15">
        <v>373030003</v>
      </c>
      <c r="B301" s="1" t="s">
        <v>294</v>
      </c>
      <c r="C301" s="1">
        <v>63.75</v>
      </c>
    </row>
    <row r="302" spans="1:3" ht="34.799999999999997" customHeight="1" x14ac:dyDescent="0.3">
      <c r="A302" s="15">
        <v>373030004</v>
      </c>
      <c r="B302" s="1" t="s">
        <v>295</v>
      </c>
      <c r="C302" s="1">
        <v>63.5</v>
      </c>
    </row>
    <row r="303" spans="1:3" ht="34.799999999999997" customHeight="1" x14ac:dyDescent="0.3">
      <c r="A303" s="15">
        <v>373099901</v>
      </c>
      <c r="B303" s="1" t="s">
        <v>296</v>
      </c>
      <c r="C303" s="1">
        <v>167.25</v>
      </c>
    </row>
    <row r="304" spans="1:3" ht="34.799999999999997" customHeight="1" x14ac:dyDescent="0.3">
      <c r="A304" s="15">
        <v>353099903</v>
      </c>
      <c r="B304" s="1" t="s">
        <v>297</v>
      </c>
      <c r="C304" s="1">
        <v>2660</v>
      </c>
    </row>
    <row r="305" spans="1:3" ht="34.799999999999997" customHeight="1" x14ac:dyDescent="0.3">
      <c r="A305" s="15">
        <v>353099908</v>
      </c>
      <c r="B305" s="1" t="s">
        <v>298</v>
      </c>
      <c r="C305" s="1">
        <v>381</v>
      </c>
    </row>
    <row r="306" spans="1:3" ht="34.799999999999997" customHeight="1" x14ac:dyDescent="0.3">
      <c r="A306" s="15">
        <v>353099909</v>
      </c>
      <c r="B306" s="1" t="s">
        <v>299</v>
      </c>
      <c r="C306" s="1">
        <v>1409</v>
      </c>
    </row>
    <row r="307" spans="1:3" ht="34.799999999999997" customHeight="1" x14ac:dyDescent="0.3">
      <c r="A307" s="15">
        <v>353099910</v>
      </c>
      <c r="B307" s="1" t="s">
        <v>300</v>
      </c>
      <c r="C307" s="1">
        <v>1096.5</v>
      </c>
    </row>
    <row r="308" spans="1:3" ht="34.799999999999997" customHeight="1" x14ac:dyDescent="0.3">
      <c r="A308" s="15">
        <v>353099911</v>
      </c>
      <c r="B308" s="1" t="s">
        <v>301</v>
      </c>
      <c r="C308" s="1">
        <v>1166.75</v>
      </c>
    </row>
    <row r="309" spans="1:3" ht="34.799999999999997" customHeight="1" x14ac:dyDescent="0.3">
      <c r="A309" s="15">
        <v>353099917</v>
      </c>
      <c r="B309" s="1" t="s">
        <v>302</v>
      </c>
      <c r="C309" s="1">
        <v>1233.5</v>
      </c>
    </row>
    <row r="310" spans="1:3" ht="34.799999999999997" customHeight="1" x14ac:dyDescent="0.3">
      <c r="A310" s="15">
        <v>353099914</v>
      </c>
      <c r="B310" s="1" t="s">
        <v>303</v>
      </c>
      <c r="C310" s="1">
        <v>3733.75</v>
      </c>
    </row>
    <row r="311" spans="1:3" ht="34.799999999999997" customHeight="1" x14ac:dyDescent="0.3">
      <c r="A311" s="15">
        <v>353099915</v>
      </c>
      <c r="B311" s="1" t="s">
        <v>304</v>
      </c>
      <c r="C311" s="1">
        <v>1273.5</v>
      </c>
    </row>
    <row r="312" spans="1:3" ht="34.799999999999997" customHeight="1" x14ac:dyDescent="0.3">
      <c r="A312" s="15">
        <v>353099916</v>
      </c>
      <c r="B312" s="1" t="s">
        <v>305</v>
      </c>
      <c r="C312" s="1">
        <v>1064</v>
      </c>
    </row>
    <row r="313" spans="1:3" ht="34.799999999999997" customHeight="1" x14ac:dyDescent="0.3">
      <c r="A313" s="15">
        <v>373010037</v>
      </c>
      <c r="B313" s="1" t="s">
        <v>306</v>
      </c>
      <c r="C313" s="1">
        <v>240</v>
      </c>
    </row>
    <row r="314" spans="1:3" ht="34.799999999999997" customHeight="1" x14ac:dyDescent="0.3">
      <c r="A314" s="15">
        <v>375020101</v>
      </c>
      <c r="B314" s="1" t="s">
        <v>307</v>
      </c>
      <c r="C314" s="1">
        <v>382.25</v>
      </c>
    </row>
    <row r="315" spans="1:3" ht="34.799999999999997" customHeight="1" x14ac:dyDescent="0.3">
      <c r="A315" s="15">
        <v>375020102</v>
      </c>
      <c r="B315" s="1" t="s">
        <v>308</v>
      </c>
      <c r="C315" s="1">
        <v>480</v>
      </c>
    </row>
    <row r="316" spans="1:3" ht="34.799999999999997" customHeight="1" x14ac:dyDescent="0.3">
      <c r="A316" s="15">
        <v>353099920</v>
      </c>
      <c r="B316" s="1" t="s">
        <v>309</v>
      </c>
      <c r="C316" s="1">
        <v>1225.5</v>
      </c>
    </row>
    <row r="317" spans="1:3" ht="34.799999999999997" customHeight="1" x14ac:dyDescent="0.3">
      <c r="A317" s="15">
        <v>353099918</v>
      </c>
      <c r="B317" s="1" t="s">
        <v>310</v>
      </c>
      <c r="C317" s="1">
        <v>1612</v>
      </c>
    </row>
    <row r="318" spans="1:3" ht="34.799999999999997" customHeight="1" x14ac:dyDescent="0.3">
      <c r="A318" s="15">
        <v>353099921</v>
      </c>
      <c r="B318" s="1" t="s">
        <v>311</v>
      </c>
      <c r="C318" s="1">
        <v>2434.25</v>
      </c>
    </row>
    <row r="319" spans="1:3" ht="34.799999999999997" customHeight="1" x14ac:dyDescent="0.3">
      <c r="A319" s="15">
        <v>353099922</v>
      </c>
      <c r="B319" s="1" t="s">
        <v>312</v>
      </c>
      <c r="C319" s="1">
        <v>30396.5</v>
      </c>
    </row>
    <row r="320" spans="1:3" ht="34.799999999999997" customHeight="1" x14ac:dyDescent="0.3">
      <c r="A320" s="15">
        <v>353099924</v>
      </c>
      <c r="B320" s="1" t="s">
        <v>313</v>
      </c>
      <c r="C320" s="1">
        <v>8279</v>
      </c>
    </row>
    <row r="321" spans="1:3" ht="34.799999999999997" customHeight="1" x14ac:dyDescent="0.3">
      <c r="A321" s="15">
        <v>353099940</v>
      </c>
      <c r="B321" s="1" t="s">
        <v>314</v>
      </c>
      <c r="C321" s="1">
        <v>835.25</v>
      </c>
    </row>
    <row r="322" spans="1:3" ht="34.799999999999997" customHeight="1" x14ac:dyDescent="0.3">
      <c r="A322" s="15">
        <v>353099941</v>
      </c>
      <c r="B322" s="1" t="s">
        <v>315</v>
      </c>
      <c r="C322" s="1">
        <v>1113.5</v>
      </c>
    </row>
    <row r="323" spans="1:3" ht="34.799999999999997" customHeight="1" x14ac:dyDescent="0.3">
      <c r="A323" s="15">
        <v>353096201</v>
      </c>
      <c r="B323" s="1" t="s">
        <v>316</v>
      </c>
      <c r="C323" s="1">
        <v>569.75</v>
      </c>
    </row>
    <row r="324" spans="1:3" ht="34.799999999999997" customHeight="1" x14ac:dyDescent="0.3">
      <c r="A324" s="15">
        <v>353096210</v>
      </c>
      <c r="B324" s="1" t="s">
        <v>317</v>
      </c>
      <c r="C324" s="1">
        <v>1025.25</v>
      </c>
    </row>
    <row r="325" spans="1:3" ht="34.799999999999997" customHeight="1" x14ac:dyDescent="0.3">
      <c r="A325" s="15">
        <v>353096203</v>
      </c>
      <c r="B325" s="1" t="s">
        <v>318</v>
      </c>
      <c r="C325" s="1">
        <v>272.5</v>
      </c>
    </row>
    <row r="326" spans="1:3" ht="34.799999999999997" customHeight="1" x14ac:dyDescent="0.3">
      <c r="A326" s="15">
        <v>373099935</v>
      </c>
      <c r="B326" s="1" t="s">
        <v>319</v>
      </c>
      <c r="C326" s="1">
        <v>85</v>
      </c>
    </row>
    <row r="327" spans="1:3" ht="34.799999999999997" customHeight="1" x14ac:dyDescent="0.3">
      <c r="A327" s="15">
        <v>353096204</v>
      </c>
      <c r="B327" s="1" t="s">
        <v>320</v>
      </c>
      <c r="C327" s="1">
        <v>307.25</v>
      </c>
    </row>
    <row r="328" spans="1:3" ht="34.799999999999997" customHeight="1" x14ac:dyDescent="0.3">
      <c r="A328" s="15">
        <v>353096212</v>
      </c>
      <c r="B328" s="1" t="s">
        <v>321</v>
      </c>
      <c r="C328" s="1">
        <v>58</v>
      </c>
    </row>
    <row r="329" spans="1:3" ht="34.799999999999997" customHeight="1" x14ac:dyDescent="0.3">
      <c r="A329" s="15">
        <v>353096205</v>
      </c>
      <c r="B329" s="1" t="s">
        <v>322</v>
      </c>
      <c r="C329" s="1">
        <v>66</v>
      </c>
    </row>
    <row r="330" spans="1:3" ht="34.799999999999997" customHeight="1" x14ac:dyDescent="0.3">
      <c r="A330" s="15">
        <v>353096401</v>
      </c>
      <c r="B330" s="1" t="s">
        <v>323</v>
      </c>
      <c r="C330" s="1">
        <v>278.75</v>
      </c>
    </row>
    <row r="331" spans="1:3" ht="34.799999999999997" customHeight="1" x14ac:dyDescent="0.3">
      <c r="A331" s="15">
        <v>353096211</v>
      </c>
      <c r="B331" s="1" t="s">
        <v>324</v>
      </c>
      <c r="C331" s="1">
        <v>945.75</v>
      </c>
    </row>
    <row r="332" spans="1:3" ht="34.799999999999997" customHeight="1" x14ac:dyDescent="0.3">
      <c r="A332" s="15">
        <v>353096213</v>
      </c>
      <c r="B332" s="1" t="s">
        <v>325</v>
      </c>
      <c r="C332" s="1">
        <v>767</v>
      </c>
    </row>
    <row r="333" spans="1:3" ht="34.799999999999997" customHeight="1" x14ac:dyDescent="0.3">
      <c r="A333" s="15">
        <v>353096218</v>
      </c>
      <c r="B333" s="1" t="s">
        <v>326</v>
      </c>
      <c r="C333" s="1">
        <v>3228.25</v>
      </c>
    </row>
    <row r="334" spans="1:3" ht="34.799999999999997" customHeight="1" x14ac:dyDescent="0.3">
      <c r="A334" s="15">
        <v>353096221</v>
      </c>
      <c r="B334" s="1" t="s">
        <v>327</v>
      </c>
      <c r="C334" s="1">
        <v>786</v>
      </c>
    </row>
    <row r="335" spans="1:3" ht="34.799999999999997" customHeight="1" x14ac:dyDescent="0.3">
      <c r="A335" s="15">
        <v>353096220</v>
      </c>
      <c r="B335" s="1" t="s">
        <v>328</v>
      </c>
      <c r="C335" s="1">
        <v>1549.25</v>
      </c>
    </row>
    <row r="336" spans="1:3" ht="34.799999999999997" customHeight="1" x14ac:dyDescent="0.3">
      <c r="A336" s="15">
        <v>353096224</v>
      </c>
      <c r="B336" s="1" t="s">
        <v>329</v>
      </c>
      <c r="C336" s="1">
        <v>112.25</v>
      </c>
    </row>
    <row r="337" spans="1:3" ht="34.799999999999997" customHeight="1" x14ac:dyDescent="0.3">
      <c r="A337" s="15">
        <v>353096223</v>
      </c>
      <c r="B337" s="1" t="s">
        <v>330</v>
      </c>
      <c r="C337" s="1">
        <v>112.25</v>
      </c>
    </row>
    <row r="338" spans="1:3" ht="34.799999999999997" customHeight="1" x14ac:dyDescent="0.3">
      <c r="A338" s="15">
        <v>353096225</v>
      </c>
      <c r="B338" s="1" t="s">
        <v>331</v>
      </c>
      <c r="C338" s="1">
        <v>224.5</v>
      </c>
    </row>
    <row r="339" spans="1:3" ht="34.799999999999997" customHeight="1" x14ac:dyDescent="0.3">
      <c r="A339" s="15">
        <v>353096222</v>
      </c>
      <c r="B339" s="1" t="s">
        <v>332</v>
      </c>
      <c r="C339" s="1">
        <v>112.25</v>
      </c>
    </row>
    <row r="340" spans="1:3" ht="34.799999999999997" customHeight="1" x14ac:dyDescent="0.3">
      <c r="A340" s="15">
        <v>373050015</v>
      </c>
      <c r="B340" s="1" t="s">
        <v>333</v>
      </c>
      <c r="C340" s="1">
        <v>24.25</v>
      </c>
    </row>
    <row r="341" spans="1:3" ht="34.799999999999997" customHeight="1" x14ac:dyDescent="0.3">
      <c r="A341" s="15">
        <v>373050016</v>
      </c>
      <c r="B341" s="1" t="s">
        <v>334</v>
      </c>
      <c r="C341" s="1">
        <v>24.25</v>
      </c>
    </row>
    <row r="342" spans="1:3" ht="34.799999999999997" customHeight="1" x14ac:dyDescent="0.3">
      <c r="A342" s="15">
        <v>373050007</v>
      </c>
      <c r="B342" s="1" t="s">
        <v>335</v>
      </c>
      <c r="C342" s="1">
        <v>22.75</v>
      </c>
    </row>
    <row r="343" spans="1:3" ht="34.799999999999997" customHeight="1" x14ac:dyDescent="0.3">
      <c r="A343" s="15">
        <v>373050011</v>
      </c>
      <c r="B343" s="1" t="s">
        <v>336</v>
      </c>
      <c r="C343" s="1">
        <v>29.25</v>
      </c>
    </row>
    <row r="344" spans="1:3" ht="34.799999999999997" customHeight="1" x14ac:dyDescent="0.3">
      <c r="A344" s="15">
        <v>373050014</v>
      </c>
      <c r="B344" s="1" t="s">
        <v>337</v>
      </c>
      <c r="C344" s="1">
        <v>57.75</v>
      </c>
    </row>
    <row r="345" spans="1:3" ht="34.799999999999997" customHeight="1" x14ac:dyDescent="0.3">
      <c r="A345" s="15">
        <v>373050013</v>
      </c>
      <c r="B345" s="1" t="s">
        <v>338</v>
      </c>
      <c r="C345" s="1">
        <v>82.75</v>
      </c>
    </row>
    <row r="346" spans="1:3" ht="34.799999999999997" customHeight="1" x14ac:dyDescent="0.3">
      <c r="A346" s="15">
        <v>373050008</v>
      </c>
      <c r="B346" s="1" t="s">
        <v>339</v>
      </c>
      <c r="C346" s="1">
        <v>29.25</v>
      </c>
    </row>
    <row r="347" spans="1:3" ht="34.799999999999997" customHeight="1" x14ac:dyDescent="0.3">
      <c r="A347" s="15">
        <v>373050001</v>
      </c>
      <c r="B347" s="1" t="s">
        <v>340</v>
      </c>
      <c r="C347" s="1">
        <v>34</v>
      </c>
    </row>
    <row r="348" spans="1:3" ht="34.799999999999997" customHeight="1" x14ac:dyDescent="0.3">
      <c r="A348" s="15">
        <v>373050002</v>
      </c>
      <c r="B348" s="1" t="s">
        <v>341</v>
      </c>
      <c r="C348" s="1">
        <v>56.5</v>
      </c>
    </row>
    <row r="349" spans="1:3" ht="34.799999999999997" customHeight="1" x14ac:dyDescent="0.3">
      <c r="A349" s="15">
        <v>373050018</v>
      </c>
      <c r="B349" s="1" t="s">
        <v>342</v>
      </c>
      <c r="C349" s="1">
        <v>66.25</v>
      </c>
    </row>
    <row r="350" spans="1:3" ht="34.799999999999997" customHeight="1" x14ac:dyDescent="0.3">
      <c r="A350" s="15">
        <v>373050003</v>
      </c>
      <c r="B350" s="1" t="s">
        <v>343</v>
      </c>
      <c r="C350" s="1">
        <v>74.75</v>
      </c>
    </row>
    <row r="351" spans="1:3" ht="34.799999999999997" customHeight="1" x14ac:dyDescent="0.3">
      <c r="A351" s="15">
        <v>373050019</v>
      </c>
      <c r="B351" s="1" t="s">
        <v>344</v>
      </c>
      <c r="C351" s="1">
        <v>94.25</v>
      </c>
    </row>
    <row r="352" spans="1:3" ht="34.799999999999997" customHeight="1" x14ac:dyDescent="0.3">
      <c r="A352" s="15">
        <v>373050034</v>
      </c>
      <c r="B352" s="1" t="s">
        <v>345</v>
      </c>
      <c r="C352" s="1">
        <v>99</v>
      </c>
    </row>
    <row r="353" spans="1:3" ht="34.799999999999997" customHeight="1" x14ac:dyDescent="0.3">
      <c r="A353" s="15">
        <v>373050004</v>
      </c>
      <c r="B353" s="1" t="s">
        <v>346</v>
      </c>
      <c r="C353" s="1">
        <v>107.25</v>
      </c>
    </row>
    <row r="354" spans="1:3" ht="34.799999999999997" customHeight="1" x14ac:dyDescent="0.3">
      <c r="A354" s="15">
        <v>373050005</v>
      </c>
      <c r="B354" s="1" t="s">
        <v>347</v>
      </c>
      <c r="C354" s="1">
        <v>107.25</v>
      </c>
    </row>
    <row r="355" spans="1:3" ht="34.799999999999997" customHeight="1" x14ac:dyDescent="0.3">
      <c r="A355" s="15">
        <v>373050033</v>
      </c>
      <c r="B355" s="1" t="s">
        <v>348</v>
      </c>
      <c r="C355" s="1">
        <v>113</v>
      </c>
    </row>
    <row r="356" spans="1:3" ht="34.799999999999997" customHeight="1" x14ac:dyDescent="0.3">
      <c r="A356" s="15">
        <v>373050006</v>
      </c>
      <c r="B356" s="1" t="s">
        <v>349</v>
      </c>
      <c r="C356" s="1">
        <v>156.5</v>
      </c>
    </row>
    <row r="357" spans="1:3" ht="34.799999999999997" customHeight="1" x14ac:dyDescent="0.3">
      <c r="A357" s="15">
        <v>373099905</v>
      </c>
      <c r="B357" s="1" t="s">
        <v>350</v>
      </c>
      <c r="C357" s="1">
        <v>9</v>
      </c>
    </row>
    <row r="358" spans="1:3" ht="34.799999999999997" customHeight="1" x14ac:dyDescent="0.3">
      <c r="A358" s="15">
        <v>373010023</v>
      </c>
      <c r="B358" s="1" t="s">
        <v>351</v>
      </c>
      <c r="C358" s="1">
        <v>142.75</v>
      </c>
    </row>
    <row r="359" spans="1:3" ht="34.799999999999997" customHeight="1" x14ac:dyDescent="0.3">
      <c r="A359" s="15">
        <v>373010010</v>
      </c>
      <c r="B359" s="1" t="s">
        <v>352</v>
      </c>
      <c r="C359" s="1">
        <v>162.75</v>
      </c>
    </row>
    <row r="360" spans="1:3" ht="34.799999999999997" customHeight="1" x14ac:dyDescent="0.3">
      <c r="A360" s="15">
        <v>373010039</v>
      </c>
      <c r="B360" s="1" t="s">
        <v>353</v>
      </c>
      <c r="C360" s="1">
        <v>260.25</v>
      </c>
    </row>
    <row r="361" spans="1:3" ht="34.799999999999997" customHeight="1" x14ac:dyDescent="0.3">
      <c r="A361" s="15">
        <v>373099906</v>
      </c>
      <c r="B361" s="1" t="s">
        <v>354</v>
      </c>
      <c r="C361" s="1">
        <v>255.75</v>
      </c>
    </row>
    <row r="362" spans="1:3" ht="34.799999999999997" customHeight="1" x14ac:dyDescent="0.3">
      <c r="A362" s="15">
        <v>373099907</v>
      </c>
      <c r="B362" s="1" t="s">
        <v>355</v>
      </c>
      <c r="C362" s="1">
        <v>230.75</v>
      </c>
    </row>
    <row r="363" spans="1:3" ht="34.799999999999997" customHeight="1" x14ac:dyDescent="0.3">
      <c r="A363" s="15">
        <v>373099908</v>
      </c>
      <c r="B363" s="1" t="s">
        <v>356</v>
      </c>
      <c r="C363" s="1">
        <v>76.25</v>
      </c>
    </row>
    <row r="364" spans="1:3" ht="34.799999999999997" customHeight="1" x14ac:dyDescent="0.3">
      <c r="A364" s="15">
        <v>373099909</v>
      </c>
      <c r="B364" s="1" t="s">
        <v>357</v>
      </c>
      <c r="C364" s="1">
        <v>121.5</v>
      </c>
    </row>
    <row r="365" spans="1:3" ht="34.799999999999997" customHeight="1" x14ac:dyDescent="0.3">
      <c r="A365" s="15">
        <v>373099910</v>
      </c>
      <c r="B365" s="1" t="s">
        <v>358</v>
      </c>
      <c r="C365" s="1">
        <v>160.75</v>
      </c>
    </row>
    <row r="366" spans="1:3" ht="34.799999999999997" customHeight="1" x14ac:dyDescent="0.3">
      <c r="A366" s="15">
        <v>373099913</v>
      </c>
      <c r="B366" s="1" t="s">
        <v>359</v>
      </c>
      <c r="C366" s="1">
        <v>204</v>
      </c>
    </row>
    <row r="367" spans="1:3" ht="34.799999999999997" customHeight="1" x14ac:dyDescent="0.3">
      <c r="A367" s="15">
        <v>373099914</v>
      </c>
      <c r="B367" s="1" t="s">
        <v>360</v>
      </c>
      <c r="C367" s="1">
        <v>323.5</v>
      </c>
    </row>
    <row r="368" spans="1:3" ht="34.799999999999997" customHeight="1" x14ac:dyDescent="0.3">
      <c r="A368" s="15">
        <v>373099917</v>
      </c>
      <c r="B368" s="1" t="s">
        <v>361</v>
      </c>
      <c r="C368" s="1">
        <v>340.25</v>
      </c>
    </row>
    <row r="369" spans="1:3" ht="34.799999999999997" customHeight="1" x14ac:dyDescent="0.3">
      <c r="A369" s="15">
        <v>373099915</v>
      </c>
      <c r="B369" s="1" t="s">
        <v>362</v>
      </c>
      <c r="C369" s="1">
        <v>213.75</v>
      </c>
    </row>
    <row r="370" spans="1:3" ht="34.799999999999997" customHeight="1" x14ac:dyDescent="0.3">
      <c r="A370" s="15">
        <v>373099916</v>
      </c>
      <c r="B370" s="1" t="s">
        <v>363</v>
      </c>
      <c r="C370" s="1">
        <v>128.75</v>
      </c>
    </row>
    <row r="371" spans="1:3" ht="34.799999999999997" customHeight="1" x14ac:dyDescent="0.3">
      <c r="A371" s="15">
        <v>373020002</v>
      </c>
      <c r="B371" s="1" t="s">
        <v>364</v>
      </c>
      <c r="C371" s="1">
        <v>105.75</v>
      </c>
    </row>
    <row r="372" spans="1:3" ht="34.799999999999997" customHeight="1" x14ac:dyDescent="0.3">
      <c r="A372" s="15">
        <v>373020003</v>
      </c>
      <c r="B372" s="1" t="s">
        <v>365</v>
      </c>
      <c r="C372" s="1">
        <v>123.5</v>
      </c>
    </row>
    <row r="373" spans="1:3" ht="34.799999999999997" customHeight="1" x14ac:dyDescent="0.3">
      <c r="A373" s="15">
        <v>373010033</v>
      </c>
      <c r="B373" s="1" t="s">
        <v>366</v>
      </c>
      <c r="C373" s="1">
        <v>203.5</v>
      </c>
    </row>
    <row r="374" spans="1:3" ht="34.799999999999997" customHeight="1" x14ac:dyDescent="0.3">
      <c r="A374" s="15">
        <v>373010034</v>
      </c>
      <c r="B374" s="1" t="s">
        <v>367</v>
      </c>
      <c r="C374" s="1">
        <v>203.5</v>
      </c>
    </row>
    <row r="375" spans="1:3" ht="34.799999999999997" customHeight="1" x14ac:dyDescent="0.3">
      <c r="A375" s="15">
        <v>373010032</v>
      </c>
      <c r="B375" s="1" t="s">
        <v>368</v>
      </c>
      <c r="C375" s="1">
        <v>203.5</v>
      </c>
    </row>
    <row r="376" spans="1:3" ht="34.799999999999997" customHeight="1" x14ac:dyDescent="0.3">
      <c r="A376" s="15">
        <v>373010031</v>
      </c>
      <c r="B376" s="1" t="s">
        <v>369</v>
      </c>
      <c r="C376" s="1">
        <v>203.5</v>
      </c>
    </row>
    <row r="377" spans="1:3" ht="34.799999999999997" customHeight="1" x14ac:dyDescent="0.3">
      <c r="A377" s="15">
        <v>375029990</v>
      </c>
      <c r="B377" s="1" t="s">
        <v>36</v>
      </c>
      <c r="C377" s="1">
        <v>480</v>
      </c>
    </row>
    <row r="378" spans="1:3" ht="34.799999999999997" customHeight="1" x14ac:dyDescent="0.3">
      <c r="A378" s="15">
        <v>353095001</v>
      </c>
      <c r="B378" s="1" t="s">
        <v>370</v>
      </c>
      <c r="C378" s="1">
        <v>64.25</v>
      </c>
    </row>
    <row r="379" spans="1:3" ht="34.799999999999997" customHeight="1" x14ac:dyDescent="0.3">
      <c r="A379" s="15">
        <v>353095005</v>
      </c>
      <c r="B379" s="1" t="s">
        <v>371</v>
      </c>
      <c r="C379" s="1">
        <v>70.25</v>
      </c>
    </row>
    <row r="380" spans="1:3" ht="34.799999999999997" customHeight="1" x14ac:dyDescent="0.3">
      <c r="A380" s="15">
        <v>353095002</v>
      </c>
      <c r="B380" s="1" t="s">
        <v>372</v>
      </c>
      <c r="C380" s="1">
        <v>114.5</v>
      </c>
    </row>
    <row r="381" spans="1:3" ht="34.799999999999997" customHeight="1" x14ac:dyDescent="0.3">
      <c r="A381" s="15">
        <v>353095006</v>
      </c>
      <c r="B381" s="1" t="s">
        <v>373</v>
      </c>
      <c r="C381" s="1">
        <v>119.5</v>
      </c>
    </row>
    <row r="382" spans="1:3" ht="34.799999999999997" customHeight="1" x14ac:dyDescent="0.3">
      <c r="A382" s="15">
        <v>353095003</v>
      </c>
      <c r="B382" s="1" t="s">
        <v>374</v>
      </c>
      <c r="C382" s="1">
        <v>135.5</v>
      </c>
    </row>
    <row r="383" spans="1:3" ht="34.799999999999997" customHeight="1" x14ac:dyDescent="0.3">
      <c r="A383" s="15">
        <v>353095004</v>
      </c>
      <c r="B383" s="1" t="s">
        <v>375</v>
      </c>
      <c r="C383" s="1">
        <v>214.5</v>
      </c>
    </row>
    <row r="384" spans="1:3" ht="34.799999999999997" customHeight="1" x14ac:dyDescent="0.3">
      <c r="A384" s="15">
        <v>353095012</v>
      </c>
      <c r="B384" s="1" t="s">
        <v>376</v>
      </c>
      <c r="C384" s="1">
        <v>20</v>
      </c>
    </row>
    <row r="385" spans="1:3" ht="34.799999999999997" customHeight="1" x14ac:dyDescent="0.3">
      <c r="A385" s="15">
        <v>353095014</v>
      </c>
      <c r="B385" s="1" t="s">
        <v>377</v>
      </c>
      <c r="C385" s="1">
        <v>45</v>
      </c>
    </row>
    <row r="386" spans="1:3" ht="34.799999999999997" customHeight="1" x14ac:dyDescent="0.3">
      <c r="A386" s="15">
        <v>353095016</v>
      </c>
      <c r="B386" s="1" t="s">
        <v>378</v>
      </c>
      <c r="C386" s="1">
        <v>45</v>
      </c>
    </row>
    <row r="387" spans="1:3" ht="34.799999999999997" customHeight="1" x14ac:dyDescent="0.3">
      <c r="A387" s="15">
        <v>353095017</v>
      </c>
      <c r="B387" s="1" t="s">
        <v>379</v>
      </c>
      <c r="C387" s="1">
        <v>71.25</v>
      </c>
    </row>
    <row r="388" spans="1:3" ht="34.799999999999997" customHeight="1" x14ac:dyDescent="0.3">
      <c r="A388" s="15">
        <v>353095018</v>
      </c>
      <c r="B388" s="1" t="s">
        <v>380</v>
      </c>
      <c r="C388" s="1">
        <v>160.75</v>
      </c>
    </row>
    <row r="389" spans="1:3" ht="34.799999999999997" customHeight="1" x14ac:dyDescent="0.3">
      <c r="A389" s="15">
        <v>353095026</v>
      </c>
      <c r="B389" s="1" t="s">
        <v>381</v>
      </c>
      <c r="C389" s="1">
        <v>12</v>
      </c>
    </row>
    <row r="390" spans="1:3" ht="34.799999999999997" customHeight="1" x14ac:dyDescent="0.3">
      <c r="A390" s="15">
        <v>353095020</v>
      </c>
      <c r="B390" s="1" t="s">
        <v>382</v>
      </c>
      <c r="C390" s="1">
        <v>15.25</v>
      </c>
    </row>
    <row r="391" spans="1:3" ht="34.799999999999997" customHeight="1" x14ac:dyDescent="0.3">
      <c r="A391" s="15">
        <v>353095019</v>
      </c>
      <c r="B391" s="1" t="s">
        <v>383</v>
      </c>
      <c r="C391" s="1">
        <v>15.25</v>
      </c>
    </row>
    <row r="392" spans="1:3" ht="34.799999999999997" customHeight="1" x14ac:dyDescent="0.3">
      <c r="A392" s="15">
        <v>353095024</v>
      </c>
      <c r="B392" s="1" t="s">
        <v>384</v>
      </c>
      <c r="C392" s="1">
        <v>46</v>
      </c>
    </row>
    <row r="393" spans="1:3" ht="34.799999999999997" customHeight="1" x14ac:dyDescent="0.3">
      <c r="A393" s="15">
        <v>353095025</v>
      </c>
      <c r="B393" s="1" t="s">
        <v>385</v>
      </c>
      <c r="C393" s="1">
        <v>55.25</v>
      </c>
    </row>
    <row r="394" spans="1:3" ht="34.799999999999997" customHeight="1" x14ac:dyDescent="0.3">
      <c r="A394" s="15">
        <v>353095022</v>
      </c>
      <c r="B394" s="1" t="s">
        <v>386</v>
      </c>
      <c r="C394" s="1">
        <v>68.25</v>
      </c>
    </row>
    <row r="395" spans="1:3" ht="34.799999999999997" customHeight="1" x14ac:dyDescent="0.3">
      <c r="A395" s="15">
        <v>353095028</v>
      </c>
      <c r="B395" s="1" t="s">
        <v>387</v>
      </c>
      <c r="C395" s="1">
        <v>106.75</v>
      </c>
    </row>
    <row r="396" spans="1:3" ht="34.799999999999997" customHeight="1" x14ac:dyDescent="0.3">
      <c r="A396" s="15">
        <v>353095010</v>
      </c>
      <c r="B396" s="1" t="s">
        <v>388</v>
      </c>
      <c r="C396" s="1">
        <v>121</v>
      </c>
    </row>
    <row r="397" spans="1:3" ht="34.799999999999997" customHeight="1" x14ac:dyDescent="0.3">
      <c r="A397" s="15">
        <v>353095023</v>
      </c>
      <c r="B397" s="1" t="s">
        <v>389</v>
      </c>
      <c r="C397" s="1">
        <v>170</v>
      </c>
    </row>
    <row r="398" spans="1:3" ht="34.799999999999997" customHeight="1" x14ac:dyDescent="0.3">
      <c r="A398" s="15">
        <v>353096101</v>
      </c>
      <c r="B398" s="1" t="s">
        <v>390</v>
      </c>
      <c r="C398" s="1">
        <v>1332.25</v>
      </c>
    </row>
    <row r="399" spans="1:3" ht="34.799999999999997" customHeight="1" x14ac:dyDescent="0.3">
      <c r="A399" s="15">
        <v>353096102</v>
      </c>
      <c r="B399" s="1" t="s">
        <v>391</v>
      </c>
      <c r="C399" s="1">
        <v>1332.25</v>
      </c>
    </row>
    <row r="400" spans="1:3" ht="34.799999999999997" customHeight="1" x14ac:dyDescent="0.3">
      <c r="A400" s="15">
        <v>353096103</v>
      </c>
      <c r="B400" s="1" t="s">
        <v>392</v>
      </c>
      <c r="C400" s="1">
        <v>871</v>
      </c>
    </row>
    <row r="401" spans="1:3" ht="34.799999999999997" customHeight="1" x14ac:dyDescent="0.3">
      <c r="A401" s="15">
        <v>353096104</v>
      </c>
      <c r="B401" s="1" t="s">
        <v>393</v>
      </c>
      <c r="C401" s="1">
        <v>899.25</v>
      </c>
    </row>
    <row r="402" spans="1:3" ht="34.799999999999997" customHeight="1" x14ac:dyDescent="0.3">
      <c r="A402" s="15">
        <v>353096105</v>
      </c>
      <c r="B402" s="1" t="s">
        <v>394</v>
      </c>
      <c r="C402" s="1">
        <v>205.25</v>
      </c>
    </row>
    <row r="403" spans="1:3" ht="34.799999999999997" customHeight="1" x14ac:dyDescent="0.3">
      <c r="A403" s="15">
        <v>353096501</v>
      </c>
      <c r="B403" s="1" t="s">
        <v>395</v>
      </c>
      <c r="C403" s="1">
        <v>41.75</v>
      </c>
    </row>
    <row r="404" spans="1:3" ht="34.799999999999997" customHeight="1" x14ac:dyDescent="0.3">
      <c r="A404" s="15">
        <v>353096502</v>
      </c>
      <c r="B404" s="1" t="s">
        <v>396</v>
      </c>
      <c r="C404" s="1">
        <v>59.25</v>
      </c>
    </row>
    <row r="405" spans="1:3" ht="34.799999999999997" customHeight="1" x14ac:dyDescent="0.3">
      <c r="A405" s="15">
        <v>353096503</v>
      </c>
      <c r="B405" s="1" t="s">
        <v>397</v>
      </c>
      <c r="C405" s="1">
        <v>71.5</v>
      </c>
    </row>
    <row r="406" spans="1:3" ht="34.799999999999997" customHeight="1" x14ac:dyDescent="0.3">
      <c r="A406" s="15">
        <v>353096504</v>
      </c>
      <c r="B406" s="1" t="s">
        <v>398</v>
      </c>
      <c r="C406" s="1">
        <v>75</v>
      </c>
    </row>
    <row r="407" spans="1:3" ht="34.799999999999997" customHeight="1" x14ac:dyDescent="0.3">
      <c r="A407" s="15">
        <v>353096505</v>
      </c>
      <c r="B407" s="1" t="s">
        <v>399</v>
      </c>
      <c r="C407" s="1">
        <v>37</v>
      </c>
    </row>
    <row r="408" spans="1:3" ht="34.799999999999997" customHeight="1" x14ac:dyDescent="0.3">
      <c r="A408" s="15">
        <v>353096506</v>
      </c>
      <c r="B408" s="1" t="s">
        <v>400</v>
      </c>
      <c r="C408" s="1">
        <v>28</v>
      </c>
    </row>
    <row r="409" spans="1:3" ht="34.799999999999997" customHeight="1" x14ac:dyDescent="0.3">
      <c r="A409" s="15">
        <v>353096507</v>
      </c>
      <c r="B409" s="1" t="s">
        <v>401</v>
      </c>
      <c r="C409" s="1">
        <v>23.75</v>
      </c>
    </row>
    <row r="410" spans="1:3" ht="34.799999999999997" customHeight="1" x14ac:dyDescent="0.3">
      <c r="A410" s="15">
        <v>353099933</v>
      </c>
      <c r="B410" s="1" t="s">
        <v>402</v>
      </c>
      <c r="C410" s="1">
        <v>153.5</v>
      </c>
    </row>
    <row r="411" spans="1:3" ht="34.799999999999997" customHeight="1" x14ac:dyDescent="0.3">
      <c r="A411" s="15">
        <v>353099902</v>
      </c>
      <c r="B411" s="1" t="s">
        <v>403</v>
      </c>
      <c r="C411" s="1">
        <v>189.75</v>
      </c>
    </row>
    <row r="412" spans="1:3" ht="34.799999999999997" customHeight="1" x14ac:dyDescent="0.3">
      <c r="A412" s="15">
        <v>353099901</v>
      </c>
      <c r="B412" s="1" t="s">
        <v>404</v>
      </c>
      <c r="C412" s="1">
        <v>239.75</v>
      </c>
    </row>
    <row r="413" spans="1:3" ht="34.799999999999997" customHeight="1" x14ac:dyDescent="0.3">
      <c r="A413" s="15">
        <v>353099929</v>
      </c>
      <c r="B413" s="1" t="s">
        <v>405</v>
      </c>
      <c r="C413" s="1">
        <v>260.25</v>
      </c>
    </row>
    <row r="414" spans="1:3" ht="34.799999999999997" customHeight="1" x14ac:dyDescent="0.3">
      <c r="A414" s="15">
        <v>353099932</v>
      </c>
      <c r="B414" s="1" t="s">
        <v>406</v>
      </c>
      <c r="C414" s="1">
        <v>212.75</v>
      </c>
    </row>
    <row r="415" spans="1:3" ht="34.799999999999997" customHeight="1" x14ac:dyDescent="0.3">
      <c r="A415" s="15">
        <v>353099931</v>
      </c>
      <c r="B415" s="1" t="s">
        <v>407</v>
      </c>
      <c r="C415" s="1">
        <v>295.25</v>
      </c>
    </row>
    <row r="416" spans="1:3" ht="34.799999999999997" customHeight="1" x14ac:dyDescent="0.3">
      <c r="A416" s="15">
        <v>373040003</v>
      </c>
      <c r="B416" s="1" t="s">
        <v>408</v>
      </c>
      <c r="C416" s="1">
        <v>41.5</v>
      </c>
    </row>
    <row r="417" spans="1:3" ht="34.799999999999997" customHeight="1" x14ac:dyDescent="0.3">
      <c r="A417" s="15">
        <v>373040002</v>
      </c>
      <c r="B417" s="1" t="s">
        <v>409</v>
      </c>
      <c r="C417" s="1">
        <v>53</v>
      </c>
    </row>
    <row r="418" spans="1:3" ht="34.799999999999997" customHeight="1" x14ac:dyDescent="0.3">
      <c r="A418" s="15">
        <v>373040001</v>
      </c>
      <c r="B418" s="1" t="s">
        <v>410</v>
      </c>
      <c r="C418" s="1">
        <v>71</v>
      </c>
    </row>
    <row r="419" spans="1:3" ht="34.799999999999997" customHeight="1" x14ac:dyDescent="0.3">
      <c r="A419" s="15">
        <v>353093010</v>
      </c>
      <c r="B419" s="1" t="s">
        <v>411</v>
      </c>
      <c r="C419" s="1">
        <v>10.75</v>
      </c>
    </row>
    <row r="420" spans="1:3" ht="34.799999999999997" customHeight="1" x14ac:dyDescent="0.3">
      <c r="A420" s="15">
        <v>353093007</v>
      </c>
      <c r="B420" s="1" t="s">
        <v>412</v>
      </c>
      <c r="C420" s="1">
        <v>15.5</v>
      </c>
    </row>
    <row r="421" spans="1:3" ht="34.799999999999997" customHeight="1" x14ac:dyDescent="0.3">
      <c r="A421" s="15">
        <v>353093000</v>
      </c>
      <c r="B421" s="1" t="s">
        <v>413</v>
      </c>
      <c r="C421" s="1">
        <v>14.5</v>
      </c>
    </row>
    <row r="422" spans="1:3" ht="34.799999999999997" customHeight="1" x14ac:dyDescent="0.3">
      <c r="A422" s="15">
        <v>353093001</v>
      </c>
      <c r="B422" s="1" t="s">
        <v>414</v>
      </c>
      <c r="C422" s="1">
        <v>25.75</v>
      </c>
    </row>
    <row r="423" spans="1:3" ht="34.799999999999997" customHeight="1" x14ac:dyDescent="0.3">
      <c r="A423" s="15">
        <v>353093002</v>
      </c>
      <c r="B423" s="1" t="s">
        <v>415</v>
      </c>
      <c r="C423" s="1">
        <v>32.5</v>
      </c>
    </row>
    <row r="424" spans="1:3" ht="34.799999999999997" customHeight="1" x14ac:dyDescent="0.3">
      <c r="A424" s="15">
        <v>353093008</v>
      </c>
      <c r="B424" s="1" t="s">
        <v>416</v>
      </c>
      <c r="C424" s="1">
        <v>33.5</v>
      </c>
    </row>
    <row r="425" spans="1:3" ht="34.799999999999997" customHeight="1" x14ac:dyDescent="0.3">
      <c r="A425" s="15">
        <v>353093009</v>
      </c>
      <c r="B425" s="1" t="s">
        <v>417</v>
      </c>
      <c r="C425" s="1">
        <v>70.25</v>
      </c>
    </row>
    <row r="426" spans="1:3" ht="34.799999999999997" customHeight="1" x14ac:dyDescent="0.3">
      <c r="A426" s="15">
        <v>353093003</v>
      </c>
      <c r="B426" s="1" t="s">
        <v>418</v>
      </c>
      <c r="C426" s="1">
        <v>57.5</v>
      </c>
    </row>
    <row r="427" spans="1:3" ht="34.799999999999997" customHeight="1" x14ac:dyDescent="0.3">
      <c r="A427" s="15">
        <v>353093004</v>
      </c>
      <c r="B427" s="1" t="s">
        <v>419</v>
      </c>
      <c r="C427" s="1">
        <v>90</v>
      </c>
    </row>
    <row r="428" spans="1:3" ht="34.799999999999997" customHeight="1" x14ac:dyDescent="0.3">
      <c r="A428" s="15">
        <v>353093005</v>
      </c>
      <c r="B428" s="1" t="s">
        <v>420</v>
      </c>
      <c r="C428" s="1">
        <v>227</v>
      </c>
    </row>
    <row r="429" spans="1:3" ht="34.799999999999997" customHeight="1" x14ac:dyDescent="0.3">
      <c r="A429" s="15">
        <v>373050021</v>
      </c>
      <c r="B429" s="1" t="s">
        <v>421</v>
      </c>
      <c r="C429" s="1">
        <v>80</v>
      </c>
    </row>
    <row r="430" spans="1:3" ht="34.799999999999997" customHeight="1" x14ac:dyDescent="0.3">
      <c r="A430" s="15">
        <v>373050022</v>
      </c>
      <c r="B430" s="1" t="s">
        <v>422</v>
      </c>
      <c r="C430" s="1">
        <v>84.75</v>
      </c>
    </row>
    <row r="431" spans="1:3" ht="34.799999999999997" customHeight="1" x14ac:dyDescent="0.3">
      <c r="A431" s="15">
        <v>373050023</v>
      </c>
      <c r="B431" s="1" t="s">
        <v>423</v>
      </c>
      <c r="C431" s="1">
        <v>89.75</v>
      </c>
    </row>
    <row r="432" spans="1:3" ht="34.799999999999997" customHeight="1" x14ac:dyDescent="0.3">
      <c r="A432" s="15">
        <v>373050025</v>
      </c>
      <c r="B432" s="1" t="s">
        <v>424</v>
      </c>
      <c r="C432" s="1">
        <v>97</v>
      </c>
    </row>
    <row r="433" spans="1:3" ht="34.799999999999997" customHeight="1" x14ac:dyDescent="0.3">
      <c r="A433" s="15">
        <v>373050026</v>
      </c>
      <c r="B433" s="1" t="s">
        <v>425</v>
      </c>
      <c r="C433" s="1">
        <v>97</v>
      </c>
    </row>
    <row r="434" spans="1:3" ht="34.799999999999997" customHeight="1" x14ac:dyDescent="0.3">
      <c r="A434" s="15">
        <v>373050027</v>
      </c>
      <c r="B434" s="1" t="s">
        <v>426</v>
      </c>
      <c r="C434" s="1">
        <v>98.25</v>
      </c>
    </row>
    <row r="435" spans="1:3" ht="34.799999999999997" customHeight="1" x14ac:dyDescent="0.3">
      <c r="A435" s="15">
        <v>373050028</v>
      </c>
      <c r="B435" s="1" t="s">
        <v>427</v>
      </c>
      <c r="C435" s="1">
        <v>102.5</v>
      </c>
    </row>
    <row r="436" spans="1:3" ht="34.799999999999997" customHeight="1" x14ac:dyDescent="0.3">
      <c r="A436" s="15">
        <v>373050029</v>
      </c>
      <c r="B436" s="1" t="s">
        <v>428</v>
      </c>
      <c r="C436" s="1">
        <v>100.5</v>
      </c>
    </row>
    <row r="437" spans="1:3" ht="34.799999999999997" customHeight="1" x14ac:dyDescent="0.3">
      <c r="A437" s="15">
        <v>373050030</v>
      </c>
      <c r="B437" s="1" t="s">
        <v>429</v>
      </c>
      <c r="C437" s="1">
        <v>160.75</v>
      </c>
    </row>
    <row r="438" spans="1:3" ht="34.799999999999997" customHeight="1" x14ac:dyDescent="0.3">
      <c r="A438" s="15">
        <v>373050032</v>
      </c>
      <c r="B438" s="1" t="s">
        <v>430</v>
      </c>
      <c r="C438" s="1">
        <v>78.5</v>
      </c>
    </row>
    <row r="439" spans="1:3" ht="34.799999999999997" customHeight="1" x14ac:dyDescent="0.3">
      <c r="A439" s="15">
        <v>373050031</v>
      </c>
      <c r="B439" s="1" t="s">
        <v>431</v>
      </c>
      <c r="C439" s="1">
        <v>78.5</v>
      </c>
    </row>
    <row r="440" spans="1:3" ht="34.799999999999997" customHeight="1" x14ac:dyDescent="0.3">
      <c r="A440" s="15">
        <v>373050017</v>
      </c>
      <c r="B440" s="1" t="s">
        <v>432</v>
      </c>
      <c r="C440" s="1">
        <v>82.75</v>
      </c>
    </row>
    <row r="441" spans="1:3" ht="34.799999999999997" customHeight="1" x14ac:dyDescent="0.3">
      <c r="A441" s="15">
        <v>353091015</v>
      </c>
      <c r="B441" s="1" t="s">
        <v>433</v>
      </c>
      <c r="C441" s="1">
        <v>207.5</v>
      </c>
    </row>
    <row r="442" spans="1:3" ht="34.799999999999997" customHeight="1" x14ac:dyDescent="0.3">
      <c r="A442" s="15">
        <v>353091016</v>
      </c>
      <c r="B442" s="1" t="s">
        <v>434</v>
      </c>
      <c r="C442" s="1">
        <v>213</v>
      </c>
    </row>
    <row r="443" spans="1:3" ht="34.799999999999997" customHeight="1" x14ac:dyDescent="0.3">
      <c r="A443" s="15">
        <v>353091014</v>
      </c>
      <c r="B443" s="1" t="s">
        <v>435</v>
      </c>
      <c r="C443" s="1">
        <v>304.25</v>
      </c>
    </row>
    <row r="444" spans="1:3" ht="34.799999999999997" customHeight="1" x14ac:dyDescent="0.3">
      <c r="A444" s="15">
        <v>353091013</v>
      </c>
      <c r="B444" s="1" t="s">
        <v>436</v>
      </c>
      <c r="C444" s="1">
        <v>332.5</v>
      </c>
    </row>
    <row r="445" spans="1:3" ht="34.799999999999997" customHeight="1" x14ac:dyDescent="0.3">
      <c r="A445" s="15">
        <v>353091030</v>
      </c>
      <c r="B445" s="1" t="s">
        <v>437</v>
      </c>
      <c r="C445" s="1">
        <v>393.5</v>
      </c>
    </row>
    <row r="446" spans="1:3" ht="34.799999999999997" customHeight="1" x14ac:dyDescent="0.3">
      <c r="A446" s="15">
        <v>353091002</v>
      </c>
      <c r="B446" s="1" t="s">
        <v>438</v>
      </c>
      <c r="C446" s="1">
        <v>673.25</v>
      </c>
    </row>
    <row r="447" spans="1:3" ht="34.799999999999997" customHeight="1" x14ac:dyDescent="0.3">
      <c r="A447" s="15">
        <v>353091036</v>
      </c>
      <c r="B447" s="1" t="s">
        <v>439</v>
      </c>
      <c r="C447" s="1">
        <v>272</v>
      </c>
    </row>
    <row r="448" spans="1:3" ht="34.799999999999997" customHeight="1" x14ac:dyDescent="0.3">
      <c r="A448" s="15">
        <v>353091034</v>
      </c>
      <c r="B448" s="1" t="s">
        <v>440</v>
      </c>
      <c r="C448" s="1">
        <v>357.75</v>
      </c>
    </row>
    <row r="449" spans="1:3" ht="34.799999999999997" customHeight="1" x14ac:dyDescent="0.3">
      <c r="A449" s="15">
        <v>353091033</v>
      </c>
      <c r="B449" s="1" t="s">
        <v>441</v>
      </c>
      <c r="C449" s="1">
        <v>357.75</v>
      </c>
    </row>
    <row r="450" spans="1:3" ht="34.799999999999997" customHeight="1" x14ac:dyDescent="0.3">
      <c r="A450" s="15">
        <v>353091032</v>
      </c>
      <c r="B450" s="1" t="s">
        <v>442</v>
      </c>
      <c r="C450" s="1">
        <v>422.75</v>
      </c>
    </row>
    <row r="451" spans="1:3" ht="34.799999999999997" customHeight="1" x14ac:dyDescent="0.3">
      <c r="A451" s="15">
        <v>353091031</v>
      </c>
      <c r="B451" s="1" t="s">
        <v>443</v>
      </c>
      <c r="C451" s="1">
        <v>432.25</v>
      </c>
    </row>
    <row r="452" spans="1:3" ht="34.799999999999997" customHeight="1" x14ac:dyDescent="0.3">
      <c r="A452" s="15">
        <v>353080017</v>
      </c>
      <c r="B452" s="1" t="s">
        <v>444</v>
      </c>
      <c r="C452" s="1">
        <v>177</v>
      </c>
    </row>
    <row r="453" spans="1:3" ht="34.799999999999997" customHeight="1" x14ac:dyDescent="0.3">
      <c r="A453" s="15">
        <v>353080015</v>
      </c>
      <c r="B453" s="1" t="s">
        <v>445</v>
      </c>
      <c r="C453" s="1">
        <v>237.75</v>
      </c>
    </row>
    <row r="454" spans="1:3" ht="34.799999999999997" customHeight="1" x14ac:dyDescent="0.3">
      <c r="A454" s="15">
        <v>353080014</v>
      </c>
      <c r="B454" s="1" t="s">
        <v>446</v>
      </c>
      <c r="C454" s="1">
        <v>237.75</v>
      </c>
    </row>
    <row r="455" spans="1:3" ht="34.799999999999997" customHeight="1" x14ac:dyDescent="0.3">
      <c r="A455" s="15">
        <v>353080013</v>
      </c>
      <c r="B455" s="1" t="s">
        <v>447</v>
      </c>
      <c r="C455" s="1">
        <v>244.5</v>
      </c>
    </row>
    <row r="456" spans="1:3" ht="34.799999999999997" customHeight="1" x14ac:dyDescent="0.3">
      <c r="A456" s="15">
        <v>353080012</v>
      </c>
      <c r="B456" s="1" t="s">
        <v>448</v>
      </c>
      <c r="C456" s="1">
        <v>354.5</v>
      </c>
    </row>
    <row r="457" spans="1:3" ht="34.799999999999997" customHeight="1" x14ac:dyDescent="0.3">
      <c r="A457" s="15">
        <v>331010010</v>
      </c>
      <c r="B457" s="1" t="s">
        <v>449</v>
      </c>
      <c r="C457" s="1">
        <v>62</v>
      </c>
    </row>
    <row r="458" spans="1:3" ht="34.799999999999997" customHeight="1" x14ac:dyDescent="0.3">
      <c r="A458" s="15">
        <v>331010001</v>
      </c>
      <c r="B458" s="1" t="s">
        <v>450</v>
      </c>
      <c r="C458" s="1">
        <v>159.75</v>
      </c>
    </row>
    <row r="459" spans="1:3" ht="34.799999999999997" customHeight="1" x14ac:dyDescent="0.3">
      <c r="A459" s="15">
        <v>331010002</v>
      </c>
      <c r="B459" s="1" t="s">
        <v>451</v>
      </c>
      <c r="C459" s="1">
        <v>243</v>
      </c>
    </row>
    <row r="460" spans="1:3" ht="34.799999999999997" customHeight="1" x14ac:dyDescent="0.3">
      <c r="A460" s="15">
        <v>331010003</v>
      </c>
      <c r="B460" s="1" t="s">
        <v>452</v>
      </c>
      <c r="C460" s="1">
        <v>348.75</v>
      </c>
    </row>
    <row r="461" spans="1:3" ht="34.799999999999997" customHeight="1" x14ac:dyDescent="0.3">
      <c r="A461" s="15">
        <v>331010004</v>
      </c>
      <c r="B461" s="1" t="s">
        <v>453</v>
      </c>
      <c r="C461" s="1">
        <v>476.5</v>
      </c>
    </row>
    <row r="462" spans="1:3" ht="34.799999999999997" customHeight="1" x14ac:dyDescent="0.3">
      <c r="A462" s="15">
        <v>331010005</v>
      </c>
      <c r="B462" s="1" t="s">
        <v>454</v>
      </c>
      <c r="C462" s="1">
        <v>678.75</v>
      </c>
    </row>
    <row r="463" spans="1:3" ht="34.799999999999997" customHeight="1" x14ac:dyDescent="0.3">
      <c r="A463" s="15">
        <v>331010007</v>
      </c>
      <c r="B463" s="1" t="s">
        <v>455</v>
      </c>
      <c r="C463" s="1">
        <v>1716.75</v>
      </c>
    </row>
    <row r="464" spans="1:3" ht="34.799999999999997" customHeight="1" x14ac:dyDescent="0.3">
      <c r="A464" s="15">
        <v>331020001</v>
      </c>
      <c r="B464" s="1" t="s">
        <v>456</v>
      </c>
      <c r="C464" s="1">
        <v>35.5</v>
      </c>
    </row>
    <row r="465" spans="1:3" ht="34.799999999999997" customHeight="1" x14ac:dyDescent="0.3">
      <c r="A465" s="15">
        <v>331020002</v>
      </c>
      <c r="B465" s="1" t="s">
        <v>457</v>
      </c>
      <c r="C465" s="1">
        <v>59.5</v>
      </c>
    </row>
    <row r="466" spans="1:3" ht="34.799999999999997" customHeight="1" x14ac:dyDescent="0.3">
      <c r="A466" s="15">
        <v>331020003</v>
      </c>
      <c r="B466" s="1" t="s">
        <v>458</v>
      </c>
      <c r="C466" s="1">
        <v>85.25</v>
      </c>
    </row>
    <row r="467" spans="1:3" ht="34.799999999999997" customHeight="1" x14ac:dyDescent="0.3">
      <c r="A467" s="15">
        <v>331020004</v>
      </c>
      <c r="B467" s="1" t="s">
        <v>459</v>
      </c>
      <c r="C467" s="1">
        <v>140.5</v>
      </c>
    </row>
    <row r="468" spans="1:3" ht="34.799999999999997" customHeight="1" x14ac:dyDescent="0.3">
      <c r="A468" s="15">
        <v>331020005</v>
      </c>
      <c r="B468" s="1" t="s">
        <v>460</v>
      </c>
      <c r="C468" s="1">
        <v>204.5</v>
      </c>
    </row>
    <row r="469" spans="1:3" ht="34.799999999999997" customHeight="1" x14ac:dyDescent="0.3">
      <c r="A469" s="15">
        <v>331020006</v>
      </c>
      <c r="B469" s="1" t="s">
        <v>461</v>
      </c>
      <c r="C469" s="1">
        <v>307.75</v>
      </c>
    </row>
    <row r="470" spans="1:3" ht="34.799999999999997" customHeight="1" x14ac:dyDescent="0.3">
      <c r="A470" s="15">
        <v>331020007</v>
      </c>
      <c r="B470" s="1" t="s">
        <v>462</v>
      </c>
      <c r="C470" s="1">
        <v>424.5</v>
      </c>
    </row>
    <row r="471" spans="1:3" ht="34.799999999999997" customHeight="1" x14ac:dyDescent="0.3">
      <c r="A471" s="15">
        <v>331020008</v>
      </c>
      <c r="B471" s="1" t="s">
        <v>463</v>
      </c>
      <c r="C471" s="1">
        <v>636.5</v>
      </c>
    </row>
    <row r="472" spans="1:3" ht="34.799999999999997" customHeight="1" x14ac:dyDescent="0.3">
      <c r="A472" s="15">
        <v>331020009</v>
      </c>
      <c r="B472" s="1" t="s">
        <v>464</v>
      </c>
      <c r="C472" s="1">
        <v>902.5</v>
      </c>
    </row>
    <row r="473" spans="1:3" ht="34.799999999999997" customHeight="1" x14ac:dyDescent="0.3">
      <c r="A473" s="15">
        <v>331020010</v>
      </c>
      <c r="B473" s="1" t="s">
        <v>465</v>
      </c>
      <c r="C473" s="1">
        <v>3295.5</v>
      </c>
    </row>
    <row r="474" spans="1:3" ht="34.799999999999997" customHeight="1" x14ac:dyDescent="0.3">
      <c r="A474" s="15">
        <v>331020011</v>
      </c>
      <c r="B474" s="1" t="s">
        <v>466</v>
      </c>
      <c r="C474" s="1">
        <v>31.75</v>
      </c>
    </row>
    <row r="475" spans="1:3" ht="34.799999999999997" customHeight="1" x14ac:dyDescent="0.3">
      <c r="A475" s="15">
        <v>331020012</v>
      </c>
      <c r="B475" s="1" t="s">
        <v>467</v>
      </c>
      <c r="C475" s="1">
        <v>54.75</v>
      </c>
    </row>
    <row r="476" spans="1:3" ht="34.799999999999997" customHeight="1" x14ac:dyDescent="0.3">
      <c r="A476" s="15">
        <v>3310</v>
      </c>
      <c r="B476" s="1" t="s">
        <v>468</v>
      </c>
      <c r="C476" s="1">
        <v>76.5</v>
      </c>
    </row>
    <row r="477" spans="1:3" ht="34.799999999999997" customHeight="1" x14ac:dyDescent="0.3">
      <c r="A477" s="15">
        <v>3310</v>
      </c>
      <c r="B477" s="1" t="s">
        <v>469</v>
      </c>
      <c r="C477" s="1">
        <v>125.75</v>
      </c>
    </row>
    <row r="478" spans="1:3" ht="34.799999999999997" customHeight="1" x14ac:dyDescent="0.3">
      <c r="A478" s="15">
        <v>3310</v>
      </c>
      <c r="B478" s="1" t="s">
        <v>470</v>
      </c>
      <c r="C478" s="1">
        <v>180.25</v>
      </c>
    </row>
    <row r="479" spans="1:3" ht="34.799999999999997" customHeight="1" x14ac:dyDescent="0.3">
      <c r="A479" s="15">
        <v>3310</v>
      </c>
      <c r="B479" s="1" t="s">
        <v>471</v>
      </c>
      <c r="C479" s="1">
        <v>275.5</v>
      </c>
    </row>
    <row r="480" spans="1:3" ht="34.799999999999997" customHeight="1" x14ac:dyDescent="0.3">
      <c r="A480" s="15">
        <v>3310</v>
      </c>
      <c r="B480" s="1" t="s">
        <v>472</v>
      </c>
      <c r="C480" s="1">
        <v>377</v>
      </c>
    </row>
    <row r="481" spans="1:3" ht="34.799999999999997" customHeight="1" x14ac:dyDescent="0.3">
      <c r="A481" s="15">
        <v>3310</v>
      </c>
      <c r="B481" s="1" t="s">
        <v>473</v>
      </c>
      <c r="C481" s="1">
        <v>571.25</v>
      </c>
    </row>
    <row r="482" spans="1:3" ht="34.799999999999997" customHeight="1" x14ac:dyDescent="0.3">
      <c r="A482" s="15">
        <v>3310</v>
      </c>
      <c r="B482" s="1" t="s">
        <v>474</v>
      </c>
      <c r="C482" s="1">
        <v>806.5</v>
      </c>
    </row>
    <row r="483" spans="1:3" ht="34.799999999999997" customHeight="1" x14ac:dyDescent="0.3">
      <c r="A483" s="15">
        <v>3310</v>
      </c>
      <c r="B483" s="1" t="s">
        <v>475</v>
      </c>
      <c r="C483" s="1">
        <v>2755.25</v>
      </c>
    </row>
    <row r="484" spans="1:3" ht="34.799999999999997" customHeight="1" x14ac:dyDescent="0.3">
      <c r="A484" s="15">
        <v>3310</v>
      </c>
      <c r="B484" s="1" t="s">
        <v>476</v>
      </c>
      <c r="C484" s="1">
        <v>59.75</v>
      </c>
    </row>
    <row r="485" spans="1:3" ht="34.799999999999997" customHeight="1" x14ac:dyDescent="0.3">
      <c r="A485" s="15">
        <v>3310</v>
      </c>
      <c r="B485" s="1" t="s">
        <v>477</v>
      </c>
      <c r="C485" s="1">
        <v>90.25</v>
      </c>
    </row>
    <row r="486" spans="1:3" ht="34.799999999999997" customHeight="1" x14ac:dyDescent="0.3">
      <c r="A486" s="15">
        <v>3310</v>
      </c>
      <c r="B486" s="1" t="s">
        <v>478</v>
      </c>
      <c r="C486" s="1">
        <v>131.75</v>
      </c>
    </row>
    <row r="487" spans="1:3" ht="34.799999999999997" customHeight="1" x14ac:dyDescent="0.3">
      <c r="A487" s="15">
        <v>3310</v>
      </c>
      <c r="B487" s="1" t="s">
        <v>479</v>
      </c>
      <c r="C487" s="1">
        <v>219</v>
      </c>
    </row>
    <row r="488" spans="1:3" ht="34.799999999999997" customHeight="1" x14ac:dyDescent="0.3">
      <c r="A488" s="15">
        <v>3310</v>
      </c>
      <c r="B488" s="1" t="s">
        <v>480</v>
      </c>
      <c r="C488" s="1">
        <v>323</v>
      </c>
    </row>
    <row r="489" spans="1:3" ht="34.799999999999997" customHeight="1" x14ac:dyDescent="0.3">
      <c r="A489" s="15">
        <v>3310</v>
      </c>
      <c r="B489" s="1" t="s">
        <v>481</v>
      </c>
      <c r="C489" s="1">
        <v>506.25</v>
      </c>
    </row>
    <row r="490" spans="1:3" ht="34.799999999999997" customHeight="1" x14ac:dyDescent="0.3">
      <c r="A490" s="15">
        <v>3310</v>
      </c>
      <c r="B490" s="1" t="s">
        <v>482</v>
      </c>
      <c r="C490" s="1">
        <v>766</v>
      </c>
    </row>
    <row r="491" spans="1:3" ht="34.799999999999997" customHeight="1" x14ac:dyDescent="0.3">
      <c r="A491" s="15">
        <v>3310</v>
      </c>
      <c r="B491" s="1" t="s">
        <v>483</v>
      </c>
      <c r="C491" s="1">
        <v>1017.25</v>
      </c>
    </row>
    <row r="492" spans="1:3" ht="34.799999999999997" customHeight="1" x14ac:dyDescent="0.3">
      <c r="A492" s="15">
        <v>3310</v>
      </c>
      <c r="B492" s="1" t="s">
        <v>484</v>
      </c>
      <c r="C492" s="1">
        <v>1624.5</v>
      </c>
    </row>
    <row r="493" spans="1:3" ht="34.799999999999997" customHeight="1" x14ac:dyDescent="0.3">
      <c r="A493" s="15">
        <v>3310</v>
      </c>
      <c r="B493" s="1" t="s">
        <v>485</v>
      </c>
      <c r="C493" s="1">
        <v>54.25</v>
      </c>
    </row>
    <row r="494" spans="1:3" ht="34.799999999999997" customHeight="1" x14ac:dyDescent="0.3">
      <c r="A494" s="15">
        <v>3310</v>
      </c>
      <c r="B494" s="1" t="s">
        <v>486</v>
      </c>
      <c r="C494" s="1">
        <v>81.25</v>
      </c>
    </row>
    <row r="495" spans="1:3" ht="34.799999999999997" customHeight="1" x14ac:dyDescent="0.3">
      <c r="A495" s="15">
        <v>3310</v>
      </c>
      <c r="B495" s="1" t="s">
        <v>487</v>
      </c>
      <c r="C495" s="1">
        <v>121</v>
      </c>
    </row>
    <row r="496" spans="1:3" ht="34.799999999999997" customHeight="1" x14ac:dyDescent="0.3">
      <c r="A496" s="15">
        <v>3310</v>
      </c>
      <c r="B496" s="1" t="s">
        <v>488</v>
      </c>
      <c r="C496" s="1">
        <v>196</v>
      </c>
    </row>
    <row r="497" spans="1:3" ht="34.799999999999997" customHeight="1" x14ac:dyDescent="0.3">
      <c r="A497" s="15">
        <v>3310</v>
      </c>
      <c r="B497" s="1" t="s">
        <v>489</v>
      </c>
      <c r="C497" s="1">
        <v>289.5</v>
      </c>
    </row>
    <row r="498" spans="1:3" ht="34.799999999999997" customHeight="1" x14ac:dyDescent="0.3">
      <c r="A498" s="15">
        <v>3310</v>
      </c>
      <c r="B498" s="1" t="s">
        <v>490</v>
      </c>
      <c r="C498" s="1">
        <v>452.75</v>
      </c>
    </row>
    <row r="499" spans="1:3" ht="34.799999999999997" customHeight="1" x14ac:dyDescent="0.3">
      <c r="A499" s="15"/>
      <c r="B499" s="1" t="s">
        <v>491</v>
      </c>
      <c r="C499" s="1">
        <v>690.75</v>
      </c>
    </row>
    <row r="500" spans="1:3" ht="34.799999999999997" customHeight="1" x14ac:dyDescent="0.3">
      <c r="A500" s="15"/>
      <c r="B500" s="1" t="s">
        <v>492</v>
      </c>
      <c r="C500" s="1">
        <v>935.25</v>
      </c>
    </row>
    <row r="501" spans="1:3" ht="34.799999999999997" customHeight="1" x14ac:dyDescent="0.3">
      <c r="A501" s="15"/>
      <c r="B501" s="1" t="s">
        <v>493</v>
      </c>
      <c r="C501" s="1">
        <v>1488</v>
      </c>
    </row>
    <row r="502" spans="1:3" ht="34.799999999999997" customHeight="1" x14ac:dyDescent="0.3">
      <c r="A502" s="15"/>
      <c r="B502" s="1" t="s">
        <v>494</v>
      </c>
      <c r="C502" s="1">
        <v>66</v>
      </c>
    </row>
    <row r="503" spans="1:3" ht="34.799999999999997" customHeight="1" x14ac:dyDescent="0.3">
      <c r="A503" s="15"/>
      <c r="B503" s="1" t="s">
        <v>495</v>
      </c>
      <c r="C503" s="1">
        <v>99</v>
      </c>
    </row>
    <row r="504" spans="1:3" ht="34.799999999999997" customHeight="1" x14ac:dyDescent="0.3">
      <c r="A504" s="15"/>
      <c r="B504" s="1" t="s">
        <v>496</v>
      </c>
      <c r="C504" s="1">
        <v>145</v>
      </c>
    </row>
    <row r="505" spans="1:3" ht="34.799999999999997" customHeight="1" x14ac:dyDescent="0.3">
      <c r="A505" s="15"/>
      <c r="B505" s="1" t="s">
        <v>497</v>
      </c>
      <c r="C505" s="1">
        <v>357.75</v>
      </c>
    </row>
    <row r="506" spans="1:3" ht="34.799999999999997" customHeight="1" x14ac:dyDescent="0.3">
      <c r="A506" s="15"/>
      <c r="B506" s="1" t="s">
        <v>498</v>
      </c>
      <c r="C506" s="1">
        <v>561.5</v>
      </c>
    </row>
    <row r="507" spans="1:3" ht="34.799999999999997" customHeight="1" x14ac:dyDescent="0.3">
      <c r="A507" s="15"/>
      <c r="B507" s="1" t="s">
        <v>499</v>
      </c>
      <c r="C507" s="1">
        <v>24.25</v>
      </c>
    </row>
    <row r="508" spans="1:3" ht="34.799999999999997" customHeight="1" x14ac:dyDescent="0.3">
      <c r="A508" s="15"/>
      <c r="B508" s="1" t="s">
        <v>500</v>
      </c>
      <c r="C508" s="1">
        <v>27.5</v>
      </c>
    </row>
    <row r="509" spans="1:3" ht="34.799999999999997" customHeight="1" x14ac:dyDescent="0.3">
      <c r="A509" s="15"/>
      <c r="B509" s="1" t="s">
        <v>501</v>
      </c>
      <c r="C509" s="1">
        <v>41</v>
      </c>
    </row>
    <row r="510" spans="1:3" ht="34.799999999999997" customHeight="1" x14ac:dyDescent="0.3">
      <c r="A510" s="15"/>
      <c r="B510" s="1" t="s">
        <v>502</v>
      </c>
      <c r="C510" s="1">
        <v>85</v>
      </c>
    </row>
    <row r="511" spans="1:3" ht="34.799999999999997" customHeight="1" x14ac:dyDescent="0.3">
      <c r="A511" s="15"/>
      <c r="B511" s="1" t="s">
        <v>503</v>
      </c>
      <c r="C511" s="1">
        <v>144.5</v>
      </c>
    </row>
    <row r="512" spans="1:3" ht="34.799999999999997" customHeight="1" x14ac:dyDescent="0.3">
      <c r="A512" s="15"/>
      <c r="B512" s="1" t="s">
        <v>504</v>
      </c>
      <c r="C512" s="1">
        <v>202.75</v>
      </c>
    </row>
    <row r="513" spans="1:3" ht="34.799999999999997" customHeight="1" x14ac:dyDescent="0.3">
      <c r="A513" s="15"/>
      <c r="B513" s="1" t="s">
        <v>505</v>
      </c>
      <c r="C513" s="1">
        <v>245.5</v>
      </c>
    </row>
    <row r="514" spans="1:3" ht="34.799999999999997" customHeight="1" x14ac:dyDescent="0.3">
      <c r="A514" s="15"/>
      <c r="B514" s="1" t="s">
        <v>506</v>
      </c>
      <c r="C514" s="1">
        <v>485</v>
      </c>
    </row>
    <row r="515" spans="1:3" ht="34.799999999999997" customHeight="1" x14ac:dyDescent="0.3">
      <c r="A515" s="15"/>
      <c r="B515" s="1" t="s">
        <v>507</v>
      </c>
      <c r="C515" s="1">
        <v>978.75</v>
      </c>
    </row>
    <row r="516" spans="1:3" ht="34.799999999999997" customHeight="1" x14ac:dyDescent="0.3">
      <c r="A516" s="15"/>
      <c r="B516" s="1" t="s">
        <v>508</v>
      </c>
      <c r="C516" s="1">
        <v>2078</v>
      </c>
    </row>
    <row r="517" spans="1:3" ht="34.799999999999997" customHeight="1" x14ac:dyDescent="0.3">
      <c r="A517" s="15"/>
      <c r="B517" s="1" t="s">
        <v>509</v>
      </c>
      <c r="C517" s="1"/>
    </row>
    <row r="518" spans="1:3" ht="34.799999999999997" customHeight="1" x14ac:dyDescent="0.3">
      <c r="A518" s="15"/>
      <c r="B518" s="1" t="s">
        <v>510</v>
      </c>
      <c r="C518" s="1"/>
    </row>
    <row r="519" spans="1:3" ht="34.799999999999997" customHeight="1" x14ac:dyDescent="0.3">
      <c r="A519" s="15"/>
      <c r="B519" s="1" t="s">
        <v>511</v>
      </c>
      <c r="C519" s="1"/>
    </row>
    <row r="520" spans="1:3" ht="34.799999999999997" customHeight="1" x14ac:dyDescent="0.3">
      <c r="A520" s="15"/>
      <c r="B520" s="1" t="s">
        <v>512</v>
      </c>
      <c r="C520" s="1"/>
    </row>
    <row r="521" spans="1:3" ht="34.799999999999997" customHeight="1" x14ac:dyDescent="0.3">
      <c r="A521" s="15"/>
      <c r="B521" s="1" t="s">
        <v>513</v>
      </c>
      <c r="C521" s="1"/>
    </row>
    <row r="522" spans="1:3" ht="34.799999999999997" customHeight="1" x14ac:dyDescent="0.3">
      <c r="A522" s="15"/>
      <c r="B522" s="1" t="s">
        <v>514</v>
      </c>
      <c r="C522" s="1"/>
    </row>
    <row r="523" spans="1:3" ht="34.799999999999997" customHeight="1" x14ac:dyDescent="0.3">
      <c r="A523" s="15"/>
      <c r="B523" s="1" t="s">
        <v>515</v>
      </c>
      <c r="C523" s="1"/>
    </row>
    <row r="524" spans="1:3" ht="34.799999999999997" customHeight="1" x14ac:dyDescent="0.3">
      <c r="A524" s="15"/>
      <c r="B524" s="1" t="s">
        <v>516</v>
      </c>
      <c r="C524" s="1"/>
    </row>
    <row r="525" spans="1:3" ht="34.799999999999997" customHeight="1" x14ac:dyDescent="0.3">
      <c r="A525" s="15"/>
      <c r="B525" s="1" t="s">
        <v>517</v>
      </c>
      <c r="C525" s="1"/>
    </row>
    <row r="526" spans="1:3" ht="34.799999999999997" customHeight="1" x14ac:dyDescent="0.3">
      <c r="A526" s="15"/>
      <c r="B526" s="1" t="s">
        <v>518</v>
      </c>
      <c r="C526" s="1"/>
    </row>
    <row r="527" spans="1:3" ht="34.799999999999997" customHeight="1" x14ac:dyDescent="0.3">
      <c r="A527" s="15"/>
      <c r="B527" s="1"/>
      <c r="C527" s="1"/>
    </row>
    <row r="528" spans="1:3" ht="34.799999999999997" customHeight="1" x14ac:dyDescent="0.3">
      <c r="A528" s="15"/>
      <c r="B528" s="1"/>
      <c r="C528" s="1"/>
    </row>
    <row r="529" spans="1:3" ht="34.799999999999997" customHeight="1" x14ac:dyDescent="0.3">
      <c r="A529" s="15"/>
      <c r="B529" s="1"/>
      <c r="C529" s="1"/>
    </row>
    <row r="530" spans="1:3" ht="34.799999999999997" customHeight="1" x14ac:dyDescent="0.3">
      <c r="A530" s="15"/>
      <c r="B530" s="1"/>
      <c r="C530" s="1"/>
    </row>
    <row r="531" spans="1:3" ht="34.799999999999997" customHeight="1" x14ac:dyDescent="0.3">
      <c r="A531" s="15"/>
      <c r="B531" s="1"/>
      <c r="C531" s="1"/>
    </row>
    <row r="532" spans="1:3" ht="34.799999999999997" customHeight="1" x14ac:dyDescent="0.3">
      <c r="A532" s="15"/>
      <c r="B532" s="1"/>
      <c r="C532" s="1"/>
    </row>
    <row r="533" spans="1:3" ht="34.799999999999997" customHeight="1" x14ac:dyDescent="0.3">
      <c r="A533" s="15"/>
      <c r="B533" s="1"/>
      <c r="C533" s="1"/>
    </row>
    <row r="534" spans="1:3" ht="34.799999999999997" customHeight="1" x14ac:dyDescent="0.3">
      <c r="A534" s="15"/>
      <c r="B534" s="1"/>
      <c r="C534" s="1"/>
    </row>
    <row r="535" spans="1:3" ht="34.799999999999997" customHeight="1" x14ac:dyDescent="0.3">
      <c r="A535" s="15"/>
      <c r="B535" s="1"/>
      <c r="C535" s="1"/>
    </row>
    <row r="536" spans="1:3" ht="34.799999999999997" customHeight="1" x14ac:dyDescent="0.3">
      <c r="A536" s="15"/>
      <c r="B536" s="1"/>
      <c r="C536" s="1"/>
    </row>
    <row r="537" spans="1:3" ht="34.799999999999997" customHeight="1" x14ac:dyDescent="0.3">
      <c r="A537" s="15"/>
      <c r="B537" s="1"/>
      <c r="C537" s="1"/>
    </row>
    <row r="538" spans="1:3" ht="34.799999999999997" customHeight="1" x14ac:dyDescent="0.3">
      <c r="A538" s="15"/>
      <c r="B538" s="1"/>
      <c r="C538" s="1"/>
    </row>
    <row r="539" spans="1:3" ht="34.799999999999997" customHeight="1" x14ac:dyDescent="0.3">
      <c r="A539" s="15"/>
      <c r="B539" s="1"/>
      <c r="C539" s="1"/>
    </row>
    <row r="540" spans="1:3" ht="34.799999999999997" customHeight="1" x14ac:dyDescent="0.3">
      <c r="A540" s="15"/>
      <c r="B540" s="1"/>
      <c r="C540" s="1"/>
    </row>
    <row r="541" spans="1:3" ht="34.799999999999997" customHeight="1" x14ac:dyDescent="0.3">
      <c r="A541" s="15"/>
      <c r="B541" s="1"/>
      <c r="C541" s="1"/>
    </row>
    <row r="542" spans="1:3" ht="34.799999999999997" customHeight="1" x14ac:dyDescent="0.3">
      <c r="A542" s="15"/>
      <c r="B542" s="1"/>
      <c r="C542" s="1"/>
    </row>
    <row r="543" spans="1:3" ht="34.799999999999997" customHeight="1" x14ac:dyDescent="0.3">
      <c r="A543" s="15"/>
      <c r="B543" s="1"/>
      <c r="C543" s="1"/>
    </row>
    <row r="544" spans="1:3" ht="34.799999999999997" customHeight="1" x14ac:dyDescent="0.3"/>
    <row r="545" ht="34.799999999999997" customHeight="1" x14ac:dyDescent="0.3"/>
    <row r="546" ht="34.799999999999997" customHeight="1" x14ac:dyDescent="0.3"/>
    <row r="547" ht="34.799999999999997" customHeight="1" x14ac:dyDescent="0.3"/>
    <row r="548" ht="34.799999999999997" customHeight="1" x14ac:dyDescent="0.3"/>
    <row r="549" ht="34.799999999999997" customHeight="1" x14ac:dyDescent="0.3"/>
    <row r="550" ht="34.799999999999997" customHeight="1" x14ac:dyDescent="0.3"/>
    <row r="551" ht="34.799999999999997" customHeight="1" x14ac:dyDescent="0.3"/>
    <row r="552" ht="34.799999999999997" customHeight="1" x14ac:dyDescent="0.3"/>
    <row r="553" ht="34.799999999999997" customHeight="1" x14ac:dyDescent="0.3"/>
    <row r="554" ht="34.799999999999997" customHeight="1" x14ac:dyDescent="0.3"/>
    <row r="555" ht="34.799999999999997" customHeight="1" x14ac:dyDescent="0.3"/>
    <row r="556" ht="34.799999999999997" customHeight="1" x14ac:dyDescent="0.3"/>
    <row r="557" ht="34.799999999999997" customHeight="1" x14ac:dyDescent="0.3"/>
    <row r="558" ht="34.799999999999997" customHeight="1" x14ac:dyDescent="0.3"/>
    <row r="559" ht="34.799999999999997" customHeight="1" x14ac:dyDescent="0.3"/>
    <row r="560" ht="34.799999999999997" customHeight="1" x14ac:dyDescent="0.3"/>
    <row r="561" ht="34.799999999999997" customHeight="1" x14ac:dyDescent="0.3"/>
    <row r="562" ht="34.799999999999997" customHeight="1" x14ac:dyDescent="0.3"/>
    <row r="563" ht="34.799999999999997" customHeight="1" x14ac:dyDescent="0.3"/>
    <row r="564" ht="34.799999999999997" customHeight="1" x14ac:dyDescent="0.3"/>
    <row r="565" ht="34.799999999999997" customHeight="1" x14ac:dyDescent="0.3"/>
    <row r="566" ht="34.799999999999997" customHeight="1" x14ac:dyDescent="0.3"/>
    <row r="567" ht="34.799999999999997" customHeight="1" x14ac:dyDescent="0.3"/>
    <row r="568" ht="34.799999999999997" customHeight="1" x14ac:dyDescent="0.3"/>
    <row r="569" ht="34.799999999999997" customHeight="1" x14ac:dyDescent="0.3"/>
    <row r="570" ht="34.799999999999997" customHeight="1" x14ac:dyDescent="0.3"/>
    <row r="571" ht="34.799999999999997" customHeight="1" x14ac:dyDescent="0.3"/>
    <row r="572" ht="34.799999999999997" customHeight="1" x14ac:dyDescent="0.3"/>
    <row r="573" ht="34.799999999999997" customHeight="1" x14ac:dyDescent="0.3"/>
    <row r="574" ht="34.799999999999997" customHeight="1" x14ac:dyDescent="0.3"/>
    <row r="575" ht="34.799999999999997" customHeight="1" x14ac:dyDescent="0.3"/>
    <row r="576" ht="34.799999999999997" customHeight="1" x14ac:dyDescent="0.3"/>
    <row r="577" ht="34.799999999999997" customHeight="1" x14ac:dyDescent="0.3"/>
    <row r="578" ht="34.799999999999997" customHeight="1" x14ac:dyDescent="0.3"/>
    <row r="579" ht="34.799999999999997" customHeight="1" x14ac:dyDescent="0.3"/>
    <row r="580" ht="34.799999999999997" customHeight="1" x14ac:dyDescent="0.3"/>
    <row r="581" ht="34.799999999999997" customHeight="1" x14ac:dyDescent="0.3"/>
    <row r="582" ht="34.799999999999997" customHeight="1" x14ac:dyDescent="0.3"/>
    <row r="583" ht="34.799999999999997" customHeight="1" x14ac:dyDescent="0.3"/>
    <row r="584" ht="34.799999999999997" customHeight="1" x14ac:dyDescent="0.3"/>
    <row r="585" ht="34.799999999999997" customHeight="1" x14ac:dyDescent="0.3"/>
    <row r="586" ht="34.799999999999997" customHeight="1" x14ac:dyDescent="0.3"/>
    <row r="587" ht="34.799999999999997" customHeight="1" x14ac:dyDescent="0.3"/>
    <row r="588" ht="34.799999999999997" customHeight="1" x14ac:dyDescent="0.3"/>
    <row r="589" ht="34.799999999999997" customHeight="1" x14ac:dyDescent="0.3"/>
    <row r="590" ht="34.799999999999997" customHeight="1" x14ac:dyDescent="0.3"/>
    <row r="591" ht="34.799999999999997" customHeight="1" x14ac:dyDescent="0.3"/>
    <row r="592" ht="34.799999999999997" customHeight="1" x14ac:dyDescent="0.3"/>
    <row r="593" ht="34.799999999999997" customHeight="1" x14ac:dyDescent="0.3"/>
    <row r="594" ht="34.799999999999997" customHeight="1" x14ac:dyDescent="0.3"/>
    <row r="595" ht="34.799999999999997" customHeight="1" x14ac:dyDescent="0.3"/>
    <row r="596" ht="34.799999999999997" customHeight="1" x14ac:dyDescent="0.3"/>
    <row r="597" ht="34.799999999999997" customHeight="1" x14ac:dyDescent="0.3"/>
    <row r="598" ht="34.799999999999997" customHeight="1" x14ac:dyDescent="0.3"/>
    <row r="599" ht="34.799999999999997" customHeight="1" x14ac:dyDescent="0.3"/>
    <row r="600" ht="34.799999999999997" customHeight="1" x14ac:dyDescent="0.3"/>
    <row r="601" ht="34.799999999999997" customHeight="1" x14ac:dyDescent="0.3"/>
    <row r="602" ht="34.799999999999997" customHeight="1" x14ac:dyDescent="0.3"/>
    <row r="603" ht="34.799999999999997" customHeight="1" x14ac:dyDescent="0.3"/>
    <row r="604" ht="34.799999999999997" customHeight="1" x14ac:dyDescent="0.3"/>
    <row r="605" ht="34.799999999999997" customHeight="1" x14ac:dyDescent="0.3"/>
    <row r="606" ht="34.799999999999997" customHeight="1" x14ac:dyDescent="0.3"/>
    <row r="607" ht="34.799999999999997" customHeight="1" x14ac:dyDescent="0.3"/>
    <row r="608" ht="34.799999999999997" customHeight="1" x14ac:dyDescent="0.3"/>
    <row r="609" ht="34.799999999999997" customHeight="1" x14ac:dyDescent="0.3"/>
    <row r="610" ht="34.799999999999997" customHeight="1" x14ac:dyDescent="0.3"/>
    <row r="611" ht="34.799999999999997" customHeight="1" x14ac:dyDescent="0.3"/>
    <row r="612" ht="34.799999999999997" customHeight="1" x14ac:dyDescent="0.3"/>
    <row r="613" ht="34.799999999999997" customHeight="1" x14ac:dyDescent="0.3"/>
    <row r="614" ht="34.799999999999997" customHeight="1" x14ac:dyDescent="0.3"/>
    <row r="615" ht="34.799999999999997" customHeight="1" x14ac:dyDescent="0.3"/>
    <row r="616" ht="34.799999999999997" customHeight="1" x14ac:dyDescent="0.3"/>
    <row r="617" ht="34.799999999999997" customHeight="1" x14ac:dyDescent="0.3"/>
    <row r="618" ht="34.799999999999997" customHeight="1" x14ac:dyDescent="0.3"/>
    <row r="619" ht="34.799999999999997" customHeight="1" x14ac:dyDescent="0.3"/>
    <row r="620" ht="34.799999999999997" customHeight="1" x14ac:dyDescent="0.3"/>
    <row r="621" ht="34.799999999999997" customHeight="1" x14ac:dyDescent="0.3"/>
    <row r="622" ht="34.799999999999997" customHeight="1" x14ac:dyDescent="0.3"/>
    <row r="623" ht="34.799999999999997" customHeight="1" x14ac:dyDescent="0.3"/>
    <row r="624" ht="34.799999999999997" customHeight="1" x14ac:dyDescent="0.3"/>
    <row r="625" ht="34.799999999999997" customHeight="1" x14ac:dyDescent="0.3"/>
    <row r="626" ht="34.799999999999997" customHeight="1" x14ac:dyDescent="0.3"/>
    <row r="627" ht="34.799999999999997" customHeight="1" x14ac:dyDescent="0.3"/>
    <row r="628" ht="34.799999999999997" customHeight="1" x14ac:dyDescent="0.3"/>
    <row r="629" ht="34.799999999999997" customHeight="1" x14ac:dyDescent="0.3"/>
    <row r="630" ht="34.799999999999997" customHeight="1" x14ac:dyDescent="0.3"/>
    <row r="631" ht="34.799999999999997" customHeight="1" x14ac:dyDescent="0.3"/>
    <row r="632" ht="34.799999999999997" customHeight="1" x14ac:dyDescent="0.3"/>
    <row r="633" ht="34.799999999999997" customHeight="1" x14ac:dyDescent="0.3"/>
    <row r="634" ht="34.799999999999997" customHeight="1" x14ac:dyDescent="0.3"/>
    <row r="635" ht="34.799999999999997" customHeight="1" x14ac:dyDescent="0.3"/>
    <row r="636" ht="34.799999999999997" customHeight="1" x14ac:dyDescent="0.3"/>
    <row r="637" ht="34.799999999999997" customHeight="1" x14ac:dyDescent="0.3"/>
    <row r="638" ht="34.799999999999997" customHeight="1" x14ac:dyDescent="0.3"/>
    <row r="639" ht="34.799999999999997" customHeight="1" x14ac:dyDescent="0.3"/>
    <row r="640" ht="34.799999999999997" customHeight="1" x14ac:dyDescent="0.3"/>
    <row r="641" ht="34.799999999999997" customHeight="1" x14ac:dyDescent="0.3"/>
    <row r="642" ht="34.799999999999997" customHeight="1" x14ac:dyDescent="0.3"/>
    <row r="643" ht="34.799999999999997" customHeight="1" x14ac:dyDescent="0.3"/>
    <row r="644" ht="34.799999999999997" customHeight="1" x14ac:dyDescent="0.3"/>
    <row r="645" ht="34.799999999999997" customHeight="1" x14ac:dyDescent="0.3"/>
    <row r="646" ht="34.799999999999997" customHeight="1" x14ac:dyDescent="0.3"/>
    <row r="647" ht="34.799999999999997" customHeight="1" x14ac:dyDescent="0.3"/>
    <row r="648" ht="34.799999999999997" customHeight="1" x14ac:dyDescent="0.3"/>
    <row r="649" ht="34.799999999999997" customHeight="1" x14ac:dyDescent="0.3"/>
    <row r="650" ht="34.799999999999997" customHeight="1" x14ac:dyDescent="0.3"/>
    <row r="651" ht="34.799999999999997" customHeight="1" x14ac:dyDescent="0.3"/>
    <row r="652" ht="34.799999999999997" customHeight="1" x14ac:dyDescent="0.3"/>
    <row r="653" ht="34.799999999999997" customHeight="1" x14ac:dyDescent="0.3"/>
    <row r="654" ht="34.799999999999997" customHeight="1" x14ac:dyDescent="0.3"/>
    <row r="655" ht="34.799999999999997" customHeight="1" x14ac:dyDescent="0.3"/>
    <row r="656" ht="34.799999999999997" customHeight="1" x14ac:dyDescent="0.3"/>
    <row r="657" ht="34.799999999999997" customHeight="1" x14ac:dyDescent="0.3"/>
    <row r="658" ht="34.799999999999997" customHeight="1" x14ac:dyDescent="0.3"/>
    <row r="659" ht="34.799999999999997" customHeight="1" x14ac:dyDescent="0.3"/>
    <row r="660" ht="34.799999999999997" customHeight="1" x14ac:dyDescent="0.3"/>
    <row r="661" ht="34.799999999999997" customHeight="1" x14ac:dyDescent="0.3"/>
    <row r="662" ht="34.799999999999997" customHeight="1" x14ac:dyDescent="0.3"/>
    <row r="663" ht="34.799999999999997" customHeight="1" x14ac:dyDescent="0.3"/>
    <row r="664" ht="34.799999999999997" customHeight="1" x14ac:dyDescent="0.3"/>
    <row r="665" ht="34.799999999999997" customHeight="1" x14ac:dyDescent="0.3"/>
    <row r="666" ht="34.799999999999997" customHeight="1" x14ac:dyDescent="0.3"/>
    <row r="667" ht="34.799999999999997" customHeight="1" x14ac:dyDescent="0.3"/>
    <row r="668" ht="34.799999999999997" customHeight="1" x14ac:dyDescent="0.3"/>
    <row r="669" ht="34.799999999999997" customHeight="1" x14ac:dyDescent="0.3"/>
    <row r="670" ht="34.799999999999997" customHeight="1" x14ac:dyDescent="0.3"/>
    <row r="671" ht="34.799999999999997" customHeight="1" x14ac:dyDescent="0.3"/>
    <row r="672" ht="34.799999999999997" customHeight="1" x14ac:dyDescent="0.3"/>
    <row r="673" ht="34.799999999999997" customHeight="1" x14ac:dyDescent="0.3"/>
    <row r="674" ht="34.799999999999997" customHeight="1" x14ac:dyDescent="0.3"/>
    <row r="675" ht="34.799999999999997" customHeight="1" x14ac:dyDescent="0.3"/>
    <row r="676" ht="34.799999999999997" customHeight="1" x14ac:dyDescent="0.3"/>
    <row r="677" ht="34.799999999999997" customHeight="1" x14ac:dyDescent="0.3"/>
    <row r="678" ht="34.799999999999997" customHeight="1" x14ac:dyDescent="0.3"/>
    <row r="679" ht="34.799999999999997" customHeight="1" x14ac:dyDescent="0.3"/>
    <row r="680" ht="34.799999999999997" customHeight="1" x14ac:dyDescent="0.3"/>
    <row r="681" ht="34.799999999999997" customHeight="1" x14ac:dyDescent="0.3"/>
    <row r="682" ht="34.799999999999997" customHeight="1" x14ac:dyDescent="0.3"/>
    <row r="683" ht="34.799999999999997" customHeight="1" x14ac:dyDescent="0.3"/>
    <row r="684" ht="34.799999999999997" customHeight="1" x14ac:dyDescent="0.3"/>
    <row r="685" ht="34.799999999999997" customHeight="1" x14ac:dyDescent="0.3"/>
    <row r="686" ht="34.799999999999997" customHeight="1" x14ac:dyDescent="0.3"/>
    <row r="687" ht="34.799999999999997" customHeight="1" x14ac:dyDescent="0.3"/>
    <row r="688" ht="34.799999999999997" customHeight="1" x14ac:dyDescent="0.3"/>
    <row r="689" ht="34.799999999999997" customHeight="1" x14ac:dyDescent="0.3"/>
    <row r="690" ht="34.799999999999997" customHeight="1" x14ac:dyDescent="0.3"/>
    <row r="691" ht="34.799999999999997" customHeight="1" x14ac:dyDescent="0.3"/>
    <row r="692" ht="34.799999999999997" customHeight="1" x14ac:dyDescent="0.3"/>
    <row r="693" ht="34.799999999999997" customHeight="1" x14ac:dyDescent="0.3"/>
    <row r="694" ht="34.799999999999997" customHeight="1" x14ac:dyDescent="0.3"/>
    <row r="695" ht="34.799999999999997" customHeight="1" x14ac:dyDescent="0.3"/>
    <row r="696" ht="34.799999999999997" customHeight="1" x14ac:dyDescent="0.3"/>
    <row r="697" ht="34.799999999999997" customHeight="1" x14ac:dyDescent="0.3"/>
    <row r="698" ht="34.799999999999997" customHeight="1" x14ac:dyDescent="0.3"/>
    <row r="699" ht="34.799999999999997" customHeight="1" x14ac:dyDescent="0.3"/>
    <row r="700" ht="34.799999999999997" customHeight="1" x14ac:dyDescent="0.3"/>
    <row r="701" ht="34.799999999999997" customHeight="1" x14ac:dyDescent="0.3"/>
    <row r="702" ht="34.799999999999997" customHeight="1" x14ac:dyDescent="0.3"/>
    <row r="703" ht="34.799999999999997" customHeight="1" x14ac:dyDescent="0.3"/>
    <row r="704" ht="34.799999999999997" customHeight="1" x14ac:dyDescent="0.3"/>
    <row r="705" ht="34.799999999999997" customHeight="1" x14ac:dyDescent="0.3"/>
    <row r="706" ht="34.799999999999997" customHeight="1" x14ac:dyDescent="0.3"/>
    <row r="707" ht="34.799999999999997" customHeight="1" x14ac:dyDescent="0.3"/>
    <row r="708" ht="34.799999999999997" customHeight="1" x14ac:dyDescent="0.3"/>
    <row r="709" ht="34.799999999999997" customHeight="1" x14ac:dyDescent="0.3"/>
    <row r="710" ht="34.799999999999997" customHeight="1" x14ac:dyDescent="0.3"/>
    <row r="711" ht="34.799999999999997" customHeight="1" x14ac:dyDescent="0.3"/>
    <row r="712" ht="34.799999999999997" customHeight="1" x14ac:dyDescent="0.3"/>
    <row r="713" ht="34.799999999999997" customHeight="1" x14ac:dyDescent="0.3"/>
    <row r="714" ht="34.799999999999997" customHeight="1" x14ac:dyDescent="0.3"/>
    <row r="715" ht="34.799999999999997" customHeight="1" x14ac:dyDescent="0.3"/>
    <row r="716" ht="34.799999999999997" customHeight="1" x14ac:dyDescent="0.3"/>
    <row r="717" ht="34.799999999999997" customHeight="1" x14ac:dyDescent="0.3"/>
    <row r="718" ht="34.799999999999997" customHeight="1" x14ac:dyDescent="0.3"/>
    <row r="719" ht="34.799999999999997" customHeight="1" x14ac:dyDescent="0.3"/>
    <row r="720" ht="34.799999999999997" customHeight="1" x14ac:dyDescent="0.3"/>
    <row r="721" ht="34.799999999999997" customHeight="1" x14ac:dyDescent="0.3"/>
    <row r="722" ht="34.799999999999997" customHeight="1" x14ac:dyDescent="0.3"/>
    <row r="723" ht="34.799999999999997" customHeight="1" x14ac:dyDescent="0.3"/>
    <row r="724" ht="34.799999999999997" customHeight="1" x14ac:dyDescent="0.3"/>
    <row r="725" ht="34.799999999999997" customHeight="1" x14ac:dyDescent="0.3"/>
    <row r="726" ht="34.799999999999997" customHeight="1" x14ac:dyDescent="0.3"/>
    <row r="727" ht="34.799999999999997" customHeight="1" x14ac:dyDescent="0.3"/>
    <row r="728" ht="34.799999999999997" customHeight="1" x14ac:dyDescent="0.3"/>
    <row r="729" ht="34.799999999999997" customHeight="1" x14ac:dyDescent="0.3"/>
    <row r="730" ht="34.799999999999997" customHeight="1" x14ac:dyDescent="0.3"/>
    <row r="731" ht="34.799999999999997" customHeight="1" x14ac:dyDescent="0.3"/>
    <row r="732" ht="34.799999999999997" customHeight="1" x14ac:dyDescent="0.3"/>
    <row r="733" ht="34.799999999999997" customHeight="1" x14ac:dyDescent="0.3"/>
    <row r="734" ht="34.799999999999997" customHeight="1" x14ac:dyDescent="0.3"/>
    <row r="735" ht="34.799999999999997" customHeight="1" x14ac:dyDescent="0.3"/>
    <row r="736" ht="34.799999999999997" customHeight="1" x14ac:dyDescent="0.3"/>
    <row r="737" ht="34.799999999999997" customHeight="1" x14ac:dyDescent="0.3"/>
    <row r="738" ht="34.799999999999997" customHeight="1" x14ac:dyDescent="0.3"/>
    <row r="739" ht="34.799999999999997" customHeight="1" x14ac:dyDescent="0.3"/>
    <row r="740" ht="34.799999999999997" customHeight="1" x14ac:dyDescent="0.3"/>
    <row r="741" ht="34.799999999999997" customHeight="1" x14ac:dyDescent="0.3"/>
    <row r="742" ht="34.799999999999997" customHeight="1" x14ac:dyDescent="0.3"/>
    <row r="743" ht="34.799999999999997" customHeight="1" x14ac:dyDescent="0.3"/>
    <row r="744" ht="34.799999999999997" customHeight="1" x14ac:dyDescent="0.3"/>
    <row r="745" ht="34.799999999999997" customHeight="1" x14ac:dyDescent="0.3"/>
    <row r="746" ht="34.799999999999997" customHeight="1" x14ac:dyDescent="0.3"/>
    <row r="747" ht="34.799999999999997" customHeight="1" x14ac:dyDescent="0.3"/>
    <row r="748" ht="34.799999999999997" customHeight="1" x14ac:dyDescent="0.3"/>
    <row r="749" ht="34.799999999999997" customHeight="1" x14ac:dyDescent="0.3"/>
    <row r="750" ht="34.799999999999997" customHeight="1" x14ac:dyDescent="0.3"/>
    <row r="751" ht="34.799999999999997" customHeight="1" x14ac:dyDescent="0.3"/>
    <row r="752" ht="34.799999999999997" customHeight="1" x14ac:dyDescent="0.3"/>
    <row r="753" ht="34.799999999999997" customHeight="1" x14ac:dyDescent="0.3"/>
    <row r="754" ht="34.799999999999997" customHeight="1" x14ac:dyDescent="0.3"/>
    <row r="755" ht="34.799999999999997" customHeight="1" x14ac:dyDescent="0.3"/>
    <row r="756" ht="34.799999999999997" customHeight="1" x14ac:dyDescent="0.3"/>
    <row r="757" ht="34.799999999999997" customHeight="1" x14ac:dyDescent="0.3"/>
    <row r="758" ht="34.799999999999997" customHeight="1" x14ac:dyDescent="0.3"/>
    <row r="759" ht="34.799999999999997" customHeight="1" x14ac:dyDescent="0.3"/>
    <row r="760" ht="34.799999999999997" customHeight="1" x14ac:dyDescent="0.3"/>
    <row r="761" ht="34.799999999999997" customHeight="1" x14ac:dyDescent="0.3"/>
    <row r="762" ht="34.799999999999997" customHeight="1" x14ac:dyDescent="0.3"/>
    <row r="763" ht="34.799999999999997" customHeight="1" x14ac:dyDescent="0.3"/>
    <row r="764" ht="34.799999999999997" customHeight="1" x14ac:dyDescent="0.3"/>
    <row r="765" ht="34.799999999999997" customHeight="1" x14ac:dyDescent="0.3"/>
    <row r="766" ht="34.799999999999997" customHeight="1" x14ac:dyDescent="0.3"/>
    <row r="767" ht="34.799999999999997" customHeight="1" x14ac:dyDescent="0.3"/>
    <row r="768" ht="34.799999999999997" customHeight="1" x14ac:dyDescent="0.3"/>
    <row r="769" ht="34.799999999999997" customHeight="1" x14ac:dyDescent="0.3"/>
    <row r="770" ht="34.799999999999997" customHeight="1" x14ac:dyDescent="0.3"/>
    <row r="771" ht="34.799999999999997" customHeight="1" x14ac:dyDescent="0.3"/>
    <row r="772" ht="34.799999999999997" customHeight="1" x14ac:dyDescent="0.3"/>
    <row r="773" ht="34.799999999999997" customHeight="1" x14ac:dyDescent="0.3"/>
    <row r="774" ht="34.799999999999997" customHeight="1" x14ac:dyDescent="0.3"/>
    <row r="775" ht="34.799999999999997" customHeight="1" x14ac:dyDescent="0.3"/>
    <row r="776" ht="34.799999999999997" customHeight="1" x14ac:dyDescent="0.3"/>
    <row r="777" ht="34.799999999999997" customHeight="1" x14ac:dyDescent="0.3"/>
    <row r="778" ht="34.799999999999997" customHeight="1" x14ac:dyDescent="0.3"/>
    <row r="779" ht="34.799999999999997" customHeight="1" x14ac:dyDescent="0.3"/>
    <row r="780" ht="34.799999999999997" customHeight="1" x14ac:dyDescent="0.3"/>
    <row r="781" ht="34.799999999999997" customHeight="1" x14ac:dyDescent="0.3"/>
    <row r="782" ht="34.799999999999997" customHeight="1" x14ac:dyDescent="0.3"/>
    <row r="783" ht="34.799999999999997" customHeight="1" x14ac:dyDescent="0.3"/>
    <row r="784" ht="34.799999999999997" customHeight="1" x14ac:dyDescent="0.3"/>
    <row r="785" ht="34.799999999999997" customHeight="1" x14ac:dyDescent="0.3"/>
    <row r="786" ht="34.799999999999997" customHeight="1" x14ac:dyDescent="0.3"/>
    <row r="787" ht="34.799999999999997" customHeight="1" x14ac:dyDescent="0.3"/>
    <row r="788" ht="34.799999999999997" customHeight="1" x14ac:dyDescent="0.3"/>
    <row r="789" ht="34.799999999999997" customHeight="1" x14ac:dyDescent="0.3"/>
    <row r="790" ht="34.799999999999997" customHeight="1" x14ac:dyDescent="0.3"/>
    <row r="791" ht="34.799999999999997" customHeight="1" x14ac:dyDescent="0.3"/>
    <row r="792" ht="34.799999999999997" customHeight="1" x14ac:dyDescent="0.3"/>
    <row r="793" ht="34.799999999999997" customHeight="1" x14ac:dyDescent="0.3"/>
    <row r="794" ht="34.799999999999997" customHeight="1" x14ac:dyDescent="0.3"/>
    <row r="795" ht="34.799999999999997" customHeight="1" x14ac:dyDescent="0.3"/>
    <row r="796" ht="34.799999999999997" customHeight="1" x14ac:dyDescent="0.3"/>
    <row r="797" ht="34.799999999999997" customHeight="1" x14ac:dyDescent="0.3"/>
    <row r="798" ht="34.799999999999997" customHeight="1" x14ac:dyDescent="0.3"/>
    <row r="799" ht="34.799999999999997" customHeight="1" x14ac:dyDescent="0.3"/>
    <row r="800" ht="34.799999999999997" customHeight="1" x14ac:dyDescent="0.3"/>
    <row r="801" ht="34.799999999999997" customHeight="1" x14ac:dyDescent="0.3"/>
    <row r="802" ht="34.799999999999997" customHeight="1" x14ac:dyDescent="0.3"/>
    <row r="803" ht="34.799999999999997" customHeight="1" x14ac:dyDescent="0.3"/>
    <row r="804" ht="34.799999999999997" customHeight="1" x14ac:dyDescent="0.3"/>
    <row r="805" ht="34.799999999999997" customHeight="1" x14ac:dyDescent="0.3"/>
    <row r="806" ht="34.799999999999997" customHeight="1" x14ac:dyDescent="0.3"/>
    <row r="807" ht="34.799999999999997" customHeight="1" x14ac:dyDescent="0.3"/>
    <row r="808" ht="34.799999999999997" customHeight="1" x14ac:dyDescent="0.3"/>
    <row r="809" ht="34.799999999999997" customHeight="1" x14ac:dyDescent="0.3"/>
    <row r="810" ht="34.799999999999997" customHeight="1" x14ac:dyDescent="0.3"/>
    <row r="811" ht="34.799999999999997" customHeight="1" x14ac:dyDescent="0.3"/>
    <row r="812" ht="34.799999999999997" customHeight="1" x14ac:dyDescent="0.3"/>
    <row r="813" ht="34.799999999999997" customHeight="1" x14ac:dyDescent="0.3"/>
    <row r="814" ht="34.799999999999997" customHeight="1" x14ac:dyDescent="0.3"/>
    <row r="815" ht="34.799999999999997" customHeight="1" x14ac:dyDescent="0.3"/>
    <row r="816" ht="34.799999999999997" customHeight="1" x14ac:dyDescent="0.3"/>
    <row r="817" ht="34.799999999999997" customHeight="1" x14ac:dyDescent="0.3"/>
    <row r="818" ht="34.799999999999997" customHeight="1" x14ac:dyDescent="0.3"/>
    <row r="819" ht="34.799999999999997" customHeight="1" x14ac:dyDescent="0.3"/>
    <row r="820" ht="34.799999999999997" customHeight="1" x14ac:dyDescent="0.3"/>
    <row r="821" ht="34.799999999999997" customHeight="1" x14ac:dyDescent="0.3"/>
    <row r="822" ht="34.799999999999997" customHeight="1" x14ac:dyDescent="0.3"/>
    <row r="823" ht="34.799999999999997" customHeight="1" x14ac:dyDescent="0.3"/>
    <row r="824" ht="34.799999999999997" customHeight="1" x14ac:dyDescent="0.3"/>
    <row r="825" ht="34.799999999999997" customHeight="1" x14ac:dyDescent="0.3"/>
    <row r="826" ht="34.799999999999997" customHeight="1" x14ac:dyDescent="0.3"/>
    <row r="827" ht="34.799999999999997" customHeight="1" x14ac:dyDescent="0.3"/>
    <row r="828" ht="34.799999999999997" customHeight="1" x14ac:dyDescent="0.3"/>
    <row r="829" ht="34.799999999999997" customHeight="1" x14ac:dyDescent="0.3"/>
    <row r="830" ht="34.799999999999997" customHeight="1" x14ac:dyDescent="0.3"/>
    <row r="831" ht="34.799999999999997" customHeight="1" x14ac:dyDescent="0.3"/>
    <row r="832" ht="34.799999999999997" customHeight="1" x14ac:dyDescent="0.3"/>
    <row r="833" ht="34.799999999999997" customHeight="1" x14ac:dyDescent="0.3"/>
    <row r="834" ht="34.799999999999997" customHeight="1" x14ac:dyDescent="0.3"/>
    <row r="835" ht="34.799999999999997" customHeight="1" x14ac:dyDescent="0.3"/>
    <row r="836" ht="34.799999999999997" customHeight="1" x14ac:dyDescent="0.3"/>
    <row r="837" ht="34.799999999999997" customHeight="1" x14ac:dyDescent="0.3"/>
    <row r="838" ht="34.799999999999997" customHeight="1" x14ac:dyDescent="0.3"/>
    <row r="839" ht="34.799999999999997" customHeight="1" x14ac:dyDescent="0.3"/>
    <row r="840" ht="34.799999999999997" customHeight="1" x14ac:dyDescent="0.3"/>
    <row r="841" ht="34.799999999999997" customHeight="1" x14ac:dyDescent="0.3"/>
    <row r="842" ht="34.799999999999997" customHeight="1" x14ac:dyDescent="0.3"/>
    <row r="843" ht="34.799999999999997" customHeight="1" x14ac:dyDescent="0.3"/>
    <row r="844" ht="34.799999999999997" customHeight="1" x14ac:dyDescent="0.3"/>
    <row r="845" ht="34.799999999999997" customHeight="1" x14ac:dyDescent="0.3"/>
    <row r="846" ht="34.799999999999997" customHeight="1" x14ac:dyDescent="0.3"/>
    <row r="847" ht="34.799999999999997" customHeight="1" x14ac:dyDescent="0.3"/>
    <row r="848" ht="34.799999999999997" customHeight="1" x14ac:dyDescent="0.3"/>
    <row r="849" ht="34.799999999999997" customHeight="1" x14ac:dyDescent="0.3"/>
    <row r="850" ht="34.799999999999997" customHeight="1" x14ac:dyDescent="0.3"/>
    <row r="851" ht="34.799999999999997" customHeight="1" x14ac:dyDescent="0.3"/>
    <row r="852" ht="34.799999999999997" customHeight="1" x14ac:dyDescent="0.3"/>
    <row r="853" ht="34.799999999999997" customHeight="1" x14ac:dyDescent="0.3"/>
    <row r="854" ht="34.799999999999997" customHeight="1" x14ac:dyDescent="0.3"/>
    <row r="855" ht="34.799999999999997" customHeight="1" x14ac:dyDescent="0.3"/>
    <row r="856" ht="34.799999999999997" customHeight="1" x14ac:dyDescent="0.3"/>
    <row r="857" ht="34.799999999999997" customHeight="1" x14ac:dyDescent="0.3"/>
    <row r="858" ht="34.799999999999997" customHeight="1" x14ac:dyDescent="0.3"/>
    <row r="859" ht="34.799999999999997" customHeight="1" x14ac:dyDescent="0.3"/>
    <row r="860" ht="34.799999999999997" customHeight="1" x14ac:dyDescent="0.3"/>
    <row r="861" ht="34.799999999999997" customHeight="1" x14ac:dyDescent="0.3"/>
    <row r="862" ht="34.799999999999997" customHeight="1" x14ac:dyDescent="0.3"/>
    <row r="863" ht="34.799999999999997" customHeight="1" x14ac:dyDescent="0.3"/>
    <row r="864" ht="34.799999999999997" customHeight="1" x14ac:dyDescent="0.3"/>
    <row r="865" ht="34.799999999999997" customHeight="1" x14ac:dyDescent="0.3"/>
    <row r="866" ht="34.799999999999997" customHeight="1" x14ac:dyDescent="0.3"/>
    <row r="867" ht="34.799999999999997" customHeight="1" x14ac:dyDescent="0.3"/>
    <row r="868" ht="34.799999999999997" customHeight="1" x14ac:dyDescent="0.3"/>
    <row r="869" ht="34.799999999999997" customHeight="1" x14ac:dyDescent="0.3"/>
    <row r="870" ht="34.799999999999997" customHeight="1" x14ac:dyDescent="0.3"/>
    <row r="871" ht="34.799999999999997" customHeight="1" x14ac:dyDescent="0.3"/>
    <row r="872" ht="34.799999999999997" customHeight="1" x14ac:dyDescent="0.3"/>
    <row r="873" ht="34.799999999999997" customHeight="1" x14ac:dyDescent="0.3"/>
    <row r="874" ht="34.799999999999997" customHeight="1" x14ac:dyDescent="0.3"/>
    <row r="875" ht="34.799999999999997" customHeight="1" x14ac:dyDescent="0.3"/>
    <row r="876" ht="34.799999999999997" customHeight="1" x14ac:dyDescent="0.3"/>
    <row r="877" ht="34.799999999999997" customHeight="1" x14ac:dyDescent="0.3"/>
    <row r="878" ht="34.799999999999997" customHeight="1" x14ac:dyDescent="0.3"/>
    <row r="879" ht="34.799999999999997" customHeight="1" x14ac:dyDescent="0.3"/>
    <row r="880" ht="34.799999999999997" customHeight="1" x14ac:dyDescent="0.3"/>
    <row r="881" ht="34.799999999999997" customHeight="1" x14ac:dyDescent="0.3"/>
    <row r="882" ht="34.799999999999997" customHeight="1" x14ac:dyDescent="0.3"/>
    <row r="883" ht="34.799999999999997" customHeight="1" x14ac:dyDescent="0.3"/>
    <row r="884" ht="34.799999999999997" customHeight="1" x14ac:dyDescent="0.3"/>
    <row r="885" ht="34.799999999999997" customHeight="1" x14ac:dyDescent="0.3"/>
    <row r="886" ht="34.799999999999997" customHeight="1" x14ac:dyDescent="0.3"/>
    <row r="887" ht="34.799999999999997" customHeight="1" x14ac:dyDescent="0.3"/>
    <row r="888" ht="34.799999999999997" customHeight="1" x14ac:dyDescent="0.3"/>
    <row r="889" ht="34.799999999999997" customHeight="1" x14ac:dyDescent="0.3"/>
    <row r="890" ht="34.799999999999997" customHeight="1" x14ac:dyDescent="0.3"/>
    <row r="891" ht="34.799999999999997" customHeight="1" x14ac:dyDescent="0.3"/>
    <row r="892" ht="34.799999999999997" customHeight="1" x14ac:dyDescent="0.3"/>
    <row r="893" ht="34.799999999999997" customHeight="1" x14ac:dyDescent="0.3"/>
    <row r="894" ht="34.799999999999997" customHeight="1" x14ac:dyDescent="0.3"/>
    <row r="895" ht="34.799999999999997" customHeight="1" x14ac:dyDescent="0.3"/>
    <row r="896" ht="34.799999999999997" customHeight="1" x14ac:dyDescent="0.3"/>
    <row r="897" ht="34.799999999999997" customHeight="1" x14ac:dyDescent="0.3"/>
    <row r="898" ht="34.799999999999997" customHeight="1" x14ac:dyDescent="0.3"/>
    <row r="899" ht="34.799999999999997" customHeight="1" x14ac:dyDescent="0.3"/>
    <row r="900" ht="34.799999999999997" customHeight="1" x14ac:dyDescent="0.3"/>
    <row r="901" ht="34.799999999999997" customHeight="1" x14ac:dyDescent="0.3"/>
    <row r="902" ht="34.799999999999997" customHeight="1" x14ac:dyDescent="0.3"/>
    <row r="903" ht="34.799999999999997" customHeight="1" x14ac:dyDescent="0.3"/>
    <row r="904" ht="34.799999999999997" customHeight="1" x14ac:dyDescent="0.3"/>
    <row r="905" ht="34.799999999999997" customHeight="1" x14ac:dyDescent="0.3"/>
    <row r="906" ht="34.799999999999997" customHeight="1" x14ac:dyDescent="0.3"/>
    <row r="907" ht="34.799999999999997" customHeight="1" x14ac:dyDescent="0.3"/>
    <row r="908" ht="34.799999999999997" customHeight="1" x14ac:dyDescent="0.3"/>
    <row r="909" ht="34.799999999999997" customHeight="1" x14ac:dyDescent="0.3"/>
    <row r="910" ht="34.799999999999997" customHeight="1" x14ac:dyDescent="0.3"/>
    <row r="911" ht="34.799999999999997" customHeight="1" x14ac:dyDescent="0.3"/>
    <row r="912" ht="34.799999999999997" customHeight="1" x14ac:dyDescent="0.3"/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79"/>
  <sheetViews>
    <sheetView workbookViewId="0">
      <selection activeCell="G2" sqref="G2:G497"/>
    </sheetView>
  </sheetViews>
  <sheetFormatPr defaultRowHeight="18" x14ac:dyDescent="0.3"/>
  <cols>
    <col min="1" max="2" width="12.109375" customWidth="1"/>
    <col min="3" max="3" width="62.88671875" customWidth="1"/>
    <col min="4" max="4" width="14.6640625" customWidth="1"/>
    <col min="5" max="5" width="16" style="34" customWidth="1"/>
    <col min="6" max="6" width="13.6640625" customWidth="1"/>
    <col min="7" max="7" width="42.33203125" style="3" customWidth="1"/>
    <col min="8" max="8" width="65.5546875" style="3" customWidth="1"/>
    <col min="9" max="9" width="56.33203125" style="3" customWidth="1"/>
  </cols>
  <sheetData>
    <row r="1" spans="1:10" x14ac:dyDescent="0.3">
      <c r="A1" s="37" t="s">
        <v>3</v>
      </c>
      <c r="B1" s="37" t="s">
        <v>519</v>
      </c>
      <c r="C1" s="38" t="s">
        <v>1198</v>
      </c>
      <c r="D1" s="38" t="s">
        <v>2</v>
      </c>
      <c r="E1" s="38" t="s">
        <v>945</v>
      </c>
      <c r="F1" s="38" t="s">
        <v>734</v>
      </c>
      <c r="G1" s="39" t="s">
        <v>735</v>
      </c>
      <c r="H1" s="32" t="s">
        <v>1031</v>
      </c>
      <c r="I1" s="36" t="s">
        <v>1118</v>
      </c>
      <c r="J1" t="s">
        <v>1119</v>
      </c>
    </row>
    <row r="2" spans="1:10" x14ac:dyDescent="0.3">
      <c r="A2" s="62" t="s">
        <v>1120</v>
      </c>
      <c r="B2" s="40"/>
      <c r="C2" s="41" t="s">
        <v>798</v>
      </c>
      <c r="D2" s="41">
        <v>35.5</v>
      </c>
      <c r="E2" s="42">
        <v>39.5</v>
      </c>
      <c r="F2" s="43">
        <f t="shared" ref="F2:F14" si="0">D2</f>
        <v>35.5</v>
      </c>
      <c r="G2" s="44" t="s">
        <v>749</v>
      </c>
      <c r="H2" s="3" t="str">
        <f t="shared" ref="H2:H33" si="1">TRIM(SUBSTITUTE(C2, "باننجر", "")) &amp; " " &amp; "باننجر"</f>
        <v>ماسوره لحام 20مم باننجر</v>
      </c>
      <c r="I2" s="33" t="s">
        <v>1032</v>
      </c>
      <c r="J2" t="s">
        <v>1120</v>
      </c>
    </row>
    <row r="3" spans="1:10" x14ac:dyDescent="0.3">
      <c r="A3" s="40" t="s">
        <v>1121</v>
      </c>
      <c r="B3" s="45"/>
      <c r="C3" s="46" t="s">
        <v>799</v>
      </c>
      <c r="D3" s="46">
        <v>59.5</v>
      </c>
      <c r="E3" s="47">
        <v>66</v>
      </c>
      <c r="F3" s="46">
        <f t="shared" si="0"/>
        <v>59.5</v>
      </c>
      <c r="G3" s="48" t="s">
        <v>749</v>
      </c>
      <c r="H3" s="3" t="str">
        <f t="shared" si="1"/>
        <v>ماسوره لحام 25مم باننجر</v>
      </c>
      <c r="I3" s="26" t="s">
        <v>1033</v>
      </c>
      <c r="J3" t="s">
        <v>1121</v>
      </c>
    </row>
    <row r="4" spans="1:10" x14ac:dyDescent="0.3">
      <c r="A4" s="40" t="s">
        <v>1118</v>
      </c>
      <c r="B4" s="40"/>
      <c r="C4" s="41" t="s">
        <v>800</v>
      </c>
      <c r="D4" s="41">
        <v>85.25</v>
      </c>
      <c r="E4" s="42">
        <v>94.75</v>
      </c>
      <c r="F4" s="43">
        <f t="shared" si="0"/>
        <v>85.25</v>
      </c>
      <c r="G4" s="44" t="s">
        <v>749</v>
      </c>
      <c r="H4" s="3" t="str">
        <f t="shared" si="1"/>
        <v>ماسوره لحام 32مم باننجر</v>
      </c>
      <c r="I4" s="26" t="s">
        <v>1034</v>
      </c>
      <c r="J4" t="s">
        <v>1118</v>
      </c>
    </row>
    <row r="5" spans="1:10" x14ac:dyDescent="0.3">
      <c r="A5" s="40" t="s">
        <v>1122</v>
      </c>
      <c r="B5" s="40"/>
      <c r="C5" s="41" t="s">
        <v>801</v>
      </c>
      <c r="D5" s="41">
        <v>204.5</v>
      </c>
      <c r="E5" s="42">
        <v>227</v>
      </c>
      <c r="F5" s="43">
        <f t="shared" si="0"/>
        <v>204.5</v>
      </c>
      <c r="G5" s="44" t="s">
        <v>749</v>
      </c>
      <c r="H5" s="3" t="str">
        <f t="shared" si="1"/>
        <v>ماسوره لحام 50مم باننجر</v>
      </c>
      <c r="I5" s="26" t="s">
        <v>1035</v>
      </c>
      <c r="J5" t="s">
        <v>1122</v>
      </c>
    </row>
    <row r="6" spans="1:10" x14ac:dyDescent="0.3">
      <c r="A6" s="40" t="s">
        <v>1123</v>
      </c>
      <c r="B6" s="61"/>
      <c r="C6" s="43" t="s">
        <v>826</v>
      </c>
      <c r="D6" s="43">
        <v>90.25</v>
      </c>
      <c r="E6" s="42">
        <v>100.25</v>
      </c>
      <c r="F6" s="43">
        <f t="shared" si="0"/>
        <v>90.25</v>
      </c>
      <c r="G6" s="48" t="s">
        <v>749</v>
      </c>
      <c r="H6" s="3" t="str">
        <f t="shared" si="1"/>
        <v>ماسوره لحام فايبر اسود 25 مم باننجر</v>
      </c>
      <c r="I6" s="26" t="s">
        <v>1036</v>
      </c>
      <c r="J6" t="s">
        <v>1123</v>
      </c>
    </row>
    <row r="7" spans="1:10" x14ac:dyDescent="0.3">
      <c r="A7" s="40" t="s">
        <v>1124</v>
      </c>
      <c r="B7" s="40"/>
      <c r="C7" s="41" t="s">
        <v>827</v>
      </c>
      <c r="D7" s="41">
        <v>131.75</v>
      </c>
      <c r="E7" s="42">
        <v>146.25</v>
      </c>
      <c r="F7" s="43">
        <f t="shared" si="0"/>
        <v>131.75</v>
      </c>
      <c r="G7" s="44" t="s">
        <v>749</v>
      </c>
      <c r="H7" s="3" t="str">
        <f t="shared" si="1"/>
        <v>ماسوره لحام فايبر اسود 32مم باننجر</v>
      </c>
      <c r="I7" s="26" t="s">
        <v>1037</v>
      </c>
      <c r="J7" t="s">
        <v>1124</v>
      </c>
    </row>
    <row r="8" spans="1:10" x14ac:dyDescent="0.3">
      <c r="A8" s="40" t="s">
        <v>1125</v>
      </c>
      <c r="B8" s="61"/>
      <c r="C8" s="43" t="s">
        <v>828</v>
      </c>
      <c r="D8" s="43">
        <v>24.25</v>
      </c>
      <c r="E8" s="42">
        <v>27</v>
      </c>
      <c r="F8" s="43">
        <f t="shared" si="0"/>
        <v>24.25</v>
      </c>
      <c r="G8" s="48" t="s">
        <v>749</v>
      </c>
      <c r="H8" s="3" t="str">
        <f t="shared" si="1"/>
        <v>كوع لحام 45 درجه 20 مم باننجر</v>
      </c>
      <c r="I8" s="26" t="s">
        <v>828</v>
      </c>
      <c r="J8" t="s">
        <v>1125</v>
      </c>
    </row>
    <row r="9" spans="1:10" x14ac:dyDescent="0.3">
      <c r="A9" s="40" t="s">
        <v>1126</v>
      </c>
      <c r="B9" s="40"/>
      <c r="C9" s="41" t="s">
        <v>829</v>
      </c>
      <c r="D9" s="41">
        <v>27.5</v>
      </c>
      <c r="E9" s="42">
        <v>30.5</v>
      </c>
      <c r="F9" s="43">
        <f t="shared" si="0"/>
        <v>27.5</v>
      </c>
      <c r="G9" s="44" t="s">
        <v>749</v>
      </c>
      <c r="H9" s="3" t="str">
        <f t="shared" si="1"/>
        <v>كوع لحام 45 درجه 25 مم باننجر</v>
      </c>
      <c r="I9" s="26" t="s">
        <v>829</v>
      </c>
      <c r="J9" t="s">
        <v>1126</v>
      </c>
    </row>
    <row r="10" spans="1:10" x14ac:dyDescent="0.3">
      <c r="A10" s="40" t="s">
        <v>1127</v>
      </c>
      <c r="B10" s="61"/>
      <c r="C10" s="43" t="s">
        <v>830</v>
      </c>
      <c r="D10" s="43">
        <v>41</v>
      </c>
      <c r="E10" s="42">
        <v>45.5</v>
      </c>
      <c r="F10" s="43">
        <f t="shared" si="0"/>
        <v>41</v>
      </c>
      <c r="G10" s="48" t="s">
        <v>749</v>
      </c>
      <c r="H10" s="3" t="str">
        <f t="shared" si="1"/>
        <v>كوع لحام 45 درجه 32 مم باننجر</v>
      </c>
      <c r="I10" s="26" t="s">
        <v>830</v>
      </c>
      <c r="J10" t="s">
        <v>1127</v>
      </c>
    </row>
    <row r="11" spans="1:10" x14ac:dyDescent="0.3">
      <c r="A11" s="40" t="s">
        <v>1128</v>
      </c>
      <c r="B11" s="45"/>
      <c r="C11" s="46" t="s">
        <v>831</v>
      </c>
      <c r="D11" s="46">
        <v>144.5</v>
      </c>
      <c r="E11" s="47">
        <v>160.5</v>
      </c>
      <c r="F11" s="46">
        <f t="shared" si="0"/>
        <v>144.5</v>
      </c>
      <c r="G11" s="48" t="s">
        <v>749</v>
      </c>
      <c r="H11" s="3" t="str">
        <f t="shared" si="1"/>
        <v>كوع لحام 45 درجه 50 مم باننجر</v>
      </c>
      <c r="I11" s="26" t="s">
        <v>831</v>
      </c>
      <c r="J11" t="s">
        <v>1128</v>
      </c>
    </row>
    <row r="12" spans="1:10" x14ac:dyDescent="0.3">
      <c r="A12" s="40" t="s">
        <v>1129</v>
      </c>
      <c r="B12" s="61"/>
      <c r="C12" s="43" t="s">
        <v>955</v>
      </c>
      <c r="D12" s="43">
        <v>14.25</v>
      </c>
      <c r="E12" s="42">
        <v>15.75</v>
      </c>
      <c r="F12" s="43">
        <f t="shared" si="0"/>
        <v>14.25</v>
      </c>
      <c r="G12" s="48" t="s">
        <v>749</v>
      </c>
      <c r="H12" s="3" t="str">
        <f t="shared" si="1"/>
        <v>كوع لحام 20 مم 90درجه باننجر</v>
      </c>
      <c r="I12" s="26" t="s">
        <v>1038</v>
      </c>
      <c r="J12" t="s">
        <v>1129</v>
      </c>
    </row>
    <row r="13" spans="1:10" x14ac:dyDescent="0.3">
      <c r="A13" s="40" t="s">
        <v>1130</v>
      </c>
      <c r="B13" s="40"/>
      <c r="C13" s="41" t="s">
        <v>956</v>
      </c>
      <c r="D13" s="41">
        <v>19.75</v>
      </c>
      <c r="E13" s="42">
        <v>22</v>
      </c>
      <c r="F13" s="43">
        <f t="shared" si="0"/>
        <v>19.75</v>
      </c>
      <c r="G13" s="44" t="s">
        <v>749</v>
      </c>
      <c r="H13" s="3" t="str">
        <f t="shared" si="1"/>
        <v>كوع لحام 25 مم 90درجه باننجر</v>
      </c>
      <c r="I13" s="26" t="s">
        <v>1039</v>
      </c>
      <c r="J13" t="s">
        <v>1130</v>
      </c>
    </row>
    <row r="14" spans="1:10" x14ac:dyDescent="0.3">
      <c r="A14" s="40" t="s">
        <v>1131</v>
      </c>
      <c r="B14" s="61"/>
      <c r="C14" s="43" t="s">
        <v>957</v>
      </c>
      <c r="D14" s="43">
        <v>37.75</v>
      </c>
      <c r="E14" s="42">
        <v>42</v>
      </c>
      <c r="F14" s="43">
        <f t="shared" si="0"/>
        <v>37.75</v>
      </c>
      <c r="G14" s="48" t="s">
        <v>749</v>
      </c>
      <c r="H14" s="3" t="str">
        <f t="shared" si="1"/>
        <v>كوع لحام 32 مم 90درجه باننجر</v>
      </c>
      <c r="I14" s="26" t="s">
        <v>1040</v>
      </c>
      <c r="J14" t="s">
        <v>1131</v>
      </c>
    </row>
    <row r="15" spans="1:10" x14ac:dyDescent="0.3">
      <c r="A15" s="40" t="s">
        <v>1132</v>
      </c>
      <c r="B15" s="45"/>
      <c r="C15" s="46" t="s">
        <v>958</v>
      </c>
      <c r="D15" s="46">
        <v>139.25</v>
      </c>
      <c r="E15" s="47">
        <v>154.5</v>
      </c>
      <c r="F15" s="46">
        <f t="shared" ref="F15:F26" si="2">D15</f>
        <v>139.25</v>
      </c>
      <c r="G15" s="48" t="s">
        <v>749</v>
      </c>
      <c r="H15" s="3" t="str">
        <f t="shared" si="1"/>
        <v>كوع لحام 50 مم 90درجه باننجر</v>
      </c>
      <c r="I15" s="26" t="s">
        <v>1041</v>
      </c>
      <c r="J15" t="s">
        <v>1132</v>
      </c>
    </row>
    <row r="16" spans="1:10" x14ac:dyDescent="0.3">
      <c r="A16" s="40" t="s">
        <v>1133</v>
      </c>
      <c r="B16" s="42"/>
      <c r="C16" s="43" t="s">
        <v>750</v>
      </c>
      <c r="D16" s="43">
        <v>39.75</v>
      </c>
      <c r="E16" s="43">
        <v>44</v>
      </c>
      <c r="F16" s="43">
        <f t="shared" si="2"/>
        <v>39.75</v>
      </c>
      <c r="G16" s="48" t="s">
        <v>749</v>
      </c>
      <c r="H16" s="3" t="str">
        <f t="shared" si="1"/>
        <v>كرنك لحام 25 مم باننجر</v>
      </c>
      <c r="I16" s="26" t="s">
        <v>750</v>
      </c>
      <c r="J16" t="s">
        <v>1133</v>
      </c>
    </row>
    <row r="17" spans="1:10" x14ac:dyDescent="0.3">
      <c r="A17" s="40" t="s">
        <v>1134</v>
      </c>
      <c r="B17" s="47"/>
      <c r="C17" s="46" t="s">
        <v>751</v>
      </c>
      <c r="D17" s="46">
        <v>45.25</v>
      </c>
      <c r="E17" s="46">
        <v>50.25</v>
      </c>
      <c r="F17" s="46">
        <f t="shared" si="2"/>
        <v>45.25</v>
      </c>
      <c r="G17" s="48" t="s">
        <v>749</v>
      </c>
      <c r="H17" s="3" t="str">
        <f t="shared" si="1"/>
        <v>كرنك قصير 25 مم باننجر</v>
      </c>
      <c r="I17" s="26" t="s">
        <v>751</v>
      </c>
      <c r="J17" t="s">
        <v>1134</v>
      </c>
    </row>
    <row r="18" spans="1:10" x14ac:dyDescent="0.3">
      <c r="A18" s="40" t="s">
        <v>1135</v>
      </c>
      <c r="B18" s="42"/>
      <c r="C18" s="43" t="s">
        <v>752</v>
      </c>
      <c r="D18" s="43">
        <v>21.5</v>
      </c>
      <c r="E18" s="43">
        <v>23.75</v>
      </c>
      <c r="F18" s="43">
        <f t="shared" si="2"/>
        <v>21.5</v>
      </c>
      <c r="G18" s="44" t="s">
        <v>749</v>
      </c>
      <c r="H18" s="3" t="str">
        <f t="shared" si="1"/>
        <v>مسلوب لحام 25/20 مم باننجر</v>
      </c>
      <c r="I18" s="26" t="s">
        <v>752</v>
      </c>
      <c r="J18" t="s">
        <v>1135</v>
      </c>
    </row>
    <row r="19" spans="1:10" x14ac:dyDescent="0.3">
      <c r="A19" s="40" t="s">
        <v>1136</v>
      </c>
      <c r="B19" s="47"/>
      <c r="C19" s="46" t="s">
        <v>753</v>
      </c>
      <c r="D19" s="46">
        <v>28.25</v>
      </c>
      <c r="E19" s="46">
        <v>31.25</v>
      </c>
      <c r="F19" s="46">
        <f t="shared" si="2"/>
        <v>28.25</v>
      </c>
      <c r="G19" s="48" t="s">
        <v>749</v>
      </c>
      <c r="H19" s="3" t="str">
        <f t="shared" si="1"/>
        <v>مسلوب لحام 32/20 مم باننجر</v>
      </c>
      <c r="I19" s="26" t="s">
        <v>753</v>
      </c>
      <c r="J19" t="s">
        <v>1136</v>
      </c>
    </row>
    <row r="20" spans="1:10" x14ac:dyDescent="0.3">
      <c r="A20" s="40" t="s">
        <v>1137</v>
      </c>
      <c r="B20" s="42"/>
      <c r="C20" s="43" t="s">
        <v>754</v>
      </c>
      <c r="D20" s="43">
        <v>29</v>
      </c>
      <c r="E20" s="43">
        <v>32.25</v>
      </c>
      <c r="F20" s="43">
        <f t="shared" si="2"/>
        <v>29</v>
      </c>
      <c r="G20" s="48" t="s">
        <v>749</v>
      </c>
      <c r="H20" s="3" t="str">
        <f t="shared" si="1"/>
        <v>مسلوب لحام 32/25 مم باننجر</v>
      </c>
      <c r="I20" s="26" t="s">
        <v>754</v>
      </c>
      <c r="J20" t="s">
        <v>1137</v>
      </c>
    </row>
    <row r="21" spans="1:10" x14ac:dyDescent="0.3">
      <c r="A21" s="40" t="s">
        <v>1138</v>
      </c>
      <c r="B21" s="47"/>
      <c r="C21" s="46" t="s">
        <v>755</v>
      </c>
      <c r="D21" s="46">
        <v>20.75</v>
      </c>
      <c r="E21" s="46">
        <v>23</v>
      </c>
      <c r="F21" s="46">
        <f t="shared" si="2"/>
        <v>20.75</v>
      </c>
      <c r="G21" s="48" t="s">
        <v>749</v>
      </c>
      <c r="H21" s="3" t="str">
        <f t="shared" si="1"/>
        <v>تى لحام 20 مم باننجر</v>
      </c>
      <c r="I21" s="26" t="s">
        <v>755</v>
      </c>
      <c r="J21" t="s">
        <v>1138</v>
      </c>
    </row>
    <row r="22" spans="1:10" x14ac:dyDescent="0.3">
      <c r="A22" s="40" t="s">
        <v>1139</v>
      </c>
      <c r="B22" s="42"/>
      <c r="C22" s="43" t="s">
        <v>756</v>
      </c>
      <c r="D22" s="43">
        <v>26.75</v>
      </c>
      <c r="E22" s="43">
        <v>29.75</v>
      </c>
      <c r="F22" s="43">
        <f t="shared" si="2"/>
        <v>26.75</v>
      </c>
      <c r="G22" s="44" t="s">
        <v>749</v>
      </c>
      <c r="H22" s="3" t="str">
        <f t="shared" si="1"/>
        <v>تي لحام 25 مم باننجر</v>
      </c>
      <c r="I22" s="26" t="s">
        <v>756</v>
      </c>
      <c r="J22" t="s">
        <v>1139</v>
      </c>
    </row>
    <row r="23" spans="1:10" x14ac:dyDescent="0.3">
      <c r="A23" s="40" t="s">
        <v>1140</v>
      </c>
      <c r="B23" s="47"/>
      <c r="C23" s="46" t="s">
        <v>757</v>
      </c>
      <c r="D23" s="46">
        <v>48.5</v>
      </c>
      <c r="E23" s="46">
        <v>53.75</v>
      </c>
      <c r="F23" s="46">
        <f t="shared" si="2"/>
        <v>48.5</v>
      </c>
      <c r="G23" s="48" t="s">
        <v>749</v>
      </c>
      <c r="H23" s="3" t="str">
        <f t="shared" si="1"/>
        <v>تى لحام 32 مم باننجر</v>
      </c>
      <c r="I23" s="26" t="s">
        <v>757</v>
      </c>
      <c r="J23" t="s">
        <v>1140</v>
      </c>
    </row>
    <row r="24" spans="1:10" x14ac:dyDescent="0.3">
      <c r="A24" s="40" t="s">
        <v>1141</v>
      </c>
      <c r="B24" s="42"/>
      <c r="C24" s="43" t="s">
        <v>758</v>
      </c>
      <c r="D24" s="43">
        <v>153</v>
      </c>
      <c r="E24" s="43">
        <v>169.75</v>
      </c>
      <c r="F24" s="43">
        <f t="shared" si="2"/>
        <v>153</v>
      </c>
      <c r="G24" s="48" t="s">
        <v>749</v>
      </c>
      <c r="H24" s="3" t="str">
        <f t="shared" si="1"/>
        <v>تى لحام 50 مم باننجر</v>
      </c>
      <c r="I24" s="26" t="s">
        <v>758</v>
      </c>
      <c r="J24" t="s">
        <v>1141</v>
      </c>
    </row>
    <row r="25" spans="1:10" x14ac:dyDescent="0.3">
      <c r="A25" s="40" t="s">
        <v>1142</v>
      </c>
      <c r="B25" s="47"/>
      <c r="C25" s="46" t="s">
        <v>759</v>
      </c>
      <c r="D25" s="46">
        <v>41.75</v>
      </c>
      <c r="E25" s="46">
        <v>46.25</v>
      </c>
      <c r="F25" s="46">
        <f t="shared" si="2"/>
        <v>41.75</v>
      </c>
      <c r="G25" s="48" t="s">
        <v>749</v>
      </c>
      <c r="H25" s="3" t="str">
        <f t="shared" si="1"/>
        <v>تى لحام مسلوب 25/20 باننجر</v>
      </c>
      <c r="I25" s="26" t="s">
        <v>759</v>
      </c>
      <c r="J25" t="s">
        <v>1142</v>
      </c>
    </row>
    <row r="26" spans="1:10" x14ac:dyDescent="0.3">
      <c r="A26" s="40" t="s">
        <v>1143</v>
      </c>
      <c r="B26" s="42"/>
      <c r="C26" s="43" t="s">
        <v>760</v>
      </c>
      <c r="D26" s="43">
        <v>62</v>
      </c>
      <c r="E26" s="43">
        <v>68.75</v>
      </c>
      <c r="F26" s="43">
        <f t="shared" si="2"/>
        <v>62</v>
      </c>
      <c r="G26" s="48" t="s">
        <v>749</v>
      </c>
      <c r="H26" s="3" t="str">
        <f t="shared" si="1"/>
        <v>تى لحام مسلوب 32/25 باننجر</v>
      </c>
      <c r="I26" s="26" t="s">
        <v>760</v>
      </c>
      <c r="J26" t="s">
        <v>1143</v>
      </c>
    </row>
    <row r="27" spans="1:10" x14ac:dyDescent="0.3">
      <c r="A27" s="40" t="s">
        <v>1144</v>
      </c>
      <c r="B27" s="47"/>
      <c r="C27" s="46" t="s">
        <v>761</v>
      </c>
      <c r="D27" s="46">
        <v>14.5</v>
      </c>
      <c r="E27" s="46">
        <v>16</v>
      </c>
      <c r="F27" s="46">
        <f t="shared" ref="F27:F39" si="3">D27</f>
        <v>14.5</v>
      </c>
      <c r="G27" s="48" t="s">
        <v>749</v>
      </c>
      <c r="H27" s="3" t="str">
        <f t="shared" si="1"/>
        <v>جلبه لحام 20 مم باننجر</v>
      </c>
      <c r="I27" s="3" t="s">
        <v>761</v>
      </c>
      <c r="J27" t="s">
        <v>1144</v>
      </c>
    </row>
    <row r="28" spans="1:10" x14ac:dyDescent="0.3">
      <c r="A28" s="40" t="s">
        <v>1145</v>
      </c>
      <c r="B28" s="42"/>
      <c r="C28" s="43" t="s">
        <v>762</v>
      </c>
      <c r="D28" s="43">
        <v>16</v>
      </c>
      <c r="E28" s="43">
        <v>17.75</v>
      </c>
      <c r="F28" s="43">
        <f t="shared" si="3"/>
        <v>16</v>
      </c>
      <c r="G28" s="44" t="s">
        <v>749</v>
      </c>
      <c r="H28" s="3" t="str">
        <f t="shared" si="1"/>
        <v>جلبه لحام 25 مم باننجر</v>
      </c>
      <c r="I28" s="3" t="s">
        <v>762</v>
      </c>
      <c r="J28" t="s">
        <v>1145</v>
      </c>
    </row>
    <row r="29" spans="1:10" x14ac:dyDescent="0.3">
      <c r="A29" s="40" t="s">
        <v>1146</v>
      </c>
      <c r="B29" s="47"/>
      <c r="C29" s="46" t="s">
        <v>832</v>
      </c>
      <c r="D29" s="46">
        <v>27.25</v>
      </c>
      <c r="E29" s="46">
        <v>30.25</v>
      </c>
      <c r="F29" s="46">
        <f t="shared" si="3"/>
        <v>27.25</v>
      </c>
      <c r="G29" s="48" t="s">
        <v>749</v>
      </c>
      <c r="H29" s="3" t="str">
        <f t="shared" si="1"/>
        <v>جلبه لحام 32 مم باننجر</v>
      </c>
      <c r="I29" s="3" t="s">
        <v>832</v>
      </c>
      <c r="J29" t="s">
        <v>1146</v>
      </c>
    </row>
    <row r="30" spans="1:10" x14ac:dyDescent="0.3">
      <c r="A30" s="40" t="s">
        <v>1147</v>
      </c>
      <c r="B30" s="42"/>
      <c r="C30" s="43" t="s">
        <v>833</v>
      </c>
      <c r="D30" s="43">
        <v>84</v>
      </c>
      <c r="E30" s="43">
        <v>93.25</v>
      </c>
      <c r="F30" s="43">
        <f t="shared" si="3"/>
        <v>84</v>
      </c>
      <c r="G30" s="48" t="s">
        <v>749</v>
      </c>
      <c r="H30" s="3" t="str">
        <f t="shared" si="1"/>
        <v>جلبه لحام 50 مم باننجر</v>
      </c>
      <c r="I30" s="3" t="s">
        <v>833</v>
      </c>
      <c r="J30" t="s">
        <v>1147</v>
      </c>
    </row>
    <row r="31" spans="1:10" x14ac:dyDescent="0.3">
      <c r="A31" s="40" t="s">
        <v>1148</v>
      </c>
      <c r="B31" s="47"/>
      <c r="C31" s="46" t="s">
        <v>763</v>
      </c>
      <c r="D31" s="46">
        <v>16.75</v>
      </c>
      <c r="E31" s="46">
        <v>18.5</v>
      </c>
      <c r="F31" s="46">
        <f t="shared" si="3"/>
        <v>16.75</v>
      </c>
      <c r="G31" s="48" t="s">
        <v>749</v>
      </c>
      <c r="H31" s="3" t="str">
        <f t="shared" si="1"/>
        <v>طبه لحام 20 مم باننجر</v>
      </c>
      <c r="I31" s="3" t="s">
        <v>763</v>
      </c>
      <c r="J31" t="s">
        <v>1148</v>
      </c>
    </row>
    <row r="32" spans="1:10" x14ac:dyDescent="0.3">
      <c r="A32" s="40" t="s">
        <v>1149</v>
      </c>
      <c r="B32" s="42"/>
      <c r="C32" s="43" t="s">
        <v>764</v>
      </c>
      <c r="D32" s="43">
        <v>20</v>
      </c>
      <c r="E32" s="43">
        <v>22.25</v>
      </c>
      <c r="F32" s="43">
        <f t="shared" si="3"/>
        <v>20</v>
      </c>
      <c r="G32" s="44" t="s">
        <v>749</v>
      </c>
      <c r="H32" s="3" t="str">
        <f t="shared" si="1"/>
        <v>طبه لحام 25 مم باننجر</v>
      </c>
      <c r="I32" s="3" t="s">
        <v>764</v>
      </c>
      <c r="J32" t="s">
        <v>1149</v>
      </c>
    </row>
    <row r="33" spans="1:10" x14ac:dyDescent="0.3">
      <c r="A33" s="40" t="s">
        <v>1150</v>
      </c>
      <c r="B33" s="47"/>
      <c r="C33" s="46" t="s">
        <v>834</v>
      </c>
      <c r="D33" s="46">
        <v>32.25</v>
      </c>
      <c r="E33" s="46">
        <v>35.75</v>
      </c>
      <c r="F33" s="46">
        <f t="shared" si="3"/>
        <v>32.25</v>
      </c>
      <c r="G33" s="48" t="s">
        <v>749</v>
      </c>
      <c r="H33" s="3" t="str">
        <f t="shared" si="1"/>
        <v>طبه لحام 32 مم باننجر</v>
      </c>
      <c r="I33" s="3" t="s">
        <v>834</v>
      </c>
      <c r="J33" t="s">
        <v>1150</v>
      </c>
    </row>
    <row r="34" spans="1:10" x14ac:dyDescent="0.3">
      <c r="A34" s="40" t="s">
        <v>1151</v>
      </c>
      <c r="B34" s="42"/>
      <c r="C34" s="43" t="s">
        <v>835</v>
      </c>
      <c r="D34" s="43">
        <v>7.25</v>
      </c>
      <c r="E34" s="43">
        <v>8</v>
      </c>
      <c r="F34" s="43">
        <f t="shared" si="3"/>
        <v>7.25</v>
      </c>
      <c r="G34" s="48" t="s">
        <v>749</v>
      </c>
      <c r="H34" s="3" t="str">
        <f t="shared" ref="H34:H65" si="4">TRIM(SUBSTITUTE(C34, "باننجر", "")) &amp; " " &amp; "باننجر"</f>
        <v>طبه اختبار 2/1 بوصه باننجر</v>
      </c>
      <c r="I34" s="3" t="s">
        <v>835</v>
      </c>
      <c r="J34" t="s">
        <v>1151</v>
      </c>
    </row>
    <row r="35" spans="1:10" x14ac:dyDescent="0.3">
      <c r="A35" s="40" t="s">
        <v>1152</v>
      </c>
      <c r="B35" s="42"/>
      <c r="C35" s="43" t="s">
        <v>836</v>
      </c>
      <c r="D35" s="43">
        <v>7.5</v>
      </c>
      <c r="E35" s="43">
        <v>8.25</v>
      </c>
      <c r="F35" s="43">
        <f t="shared" si="3"/>
        <v>7.5</v>
      </c>
      <c r="G35" s="44" t="s">
        <v>749</v>
      </c>
      <c r="H35" s="3" t="str">
        <f t="shared" si="4"/>
        <v>برده لحام محبس بليه 25 مم باننجر</v>
      </c>
      <c r="I35" s="3" t="s">
        <v>836</v>
      </c>
      <c r="J35" t="s">
        <v>1152</v>
      </c>
    </row>
    <row r="36" spans="1:10" x14ac:dyDescent="0.3">
      <c r="A36" s="40" t="s">
        <v>1153</v>
      </c>
      <c r="B36" s="42"/>
      <c r="C36" s="43" t="s">
        <v>837</v>
      </c>
      <c r="D36" s="43">
        <v>10.75</v>
      </c>
      <c r="E36" s="43">
        <v>12</v>
      </c>
      <c r="F36" s="43">
        <f t="shared" si="3"/>
        <v>10.75</v>
      </c>
      <c r="G36" s="48" t="s">
        <v>749</v>
      </c>
      <c r="H36" s="3" t="str">
        <f t="shared" si="4"/>
        <v>برده لحام محبس بليه 32 مم باننجر</v>
      </c>
      <c r="I36" s="3" t="s">
        <v>837</v>
      </c>
      <c r="J36" t="s">
        <v>1153</v>
      </c>
    </row>
    <row r="37" spans="1:10" x14ac:dyDescent="0.3">
      <c r="A37" s="40" t="s">
        <v>1154</v>
      </c>
      <c r="B37" s="47"/>
      <c r="C37" s="46" t="s">
        <v>765</v>
      </c>
      <c r="D37" s="46">
        <v>5.25</v>
      </c>
      <c r="E37" s="46">
        <v>5.75</v>
      </c>
      <c r="F37" s="46">
        <f t="shared" si="3"/>
        <v>5.25</v>
      </c>
      <c r="G37" s="48" t="s">
        <v>749</v>
      </c>
      <c r="H37" s="3" t="str">
        <f t="shared" si="4"/>
        <v>قفيز 20 مم باننجر</v>
      </c>
      <c r="I37" s="3" t="s">
        <v>765</v>
      </c>
      <c r="J37" t="s">
        <v>1154</v>
      </c>
    </row>
    <row r="38" spans="1:10" x14ac:dyDescent="0.3">
      <c r="A38" s="40" t="s">
        <v>1155</v>
      </c>
      <c r="B38" s="42"/>
      <c r="C38" s="43" t="s">
        <v>766</v>
      </c>
      <c r="D38" s="43">
        <v>6.75</v>
      </c>
      <c r="E38" s="43">
        <v>7.5</v>
      </c>
      <c r="F38" s="43">
        <f t="shared" si="3"/>
        <v>6.75</v>
      </c>
      <c r="G38" s="44" t="s">
        <v>749</v>
      </c>
      <c r="H38" s="3" t="str">
        <f t="shared" si="4"/>
        <v>قفيز 25 مم باننجر</v>
      </c>
      <c r="I38" s="3" t="s">
        <v>766</v>
      </c>
      <c r="J38" t="s">
        <v>1155</v>
      </c>
    </row>
    <row r="39" spans="1:10" x14ac:dyDescent="0.3">
      <c r="A39" s="40" t="s">
        <v>1156</v>
      </c>
      <c r="B39" s="47"/>
      <c r="C39" s="46" t="s">
        <v>767</v>
      </c>
      <c r="D39" s="46">
        <v>8.5</v>
      </c>
      <c r="E39" s="46">
        <v>9.5</v>
      </c>
      <c r="F39" s="46">
        <f t="shared" si="3"/>
        <v>8.5</v>
      </c>
      <c r="G39" s="48" t="s">
        <v>749</v>
      </c>
      <c r="H39" s="3" t="str">
        <f t="shared" si="4"/>
        <v>قفيز 32 مم باننجر</v>
      </c>
      <c r="I39" s="3" t="s">
        <v>767</v>
      </c>
      <c r="J39" t="s">
        <v>1156</v>
      </c>
    </row>
    <row r="40" spans="1:10" x14ac:dyDescent="0.35">
      <c r="A40" s="40" t="s">
        <v>1157</v>
      </c>
      <c r="B40" s="50"/>
      <c r="C40" s="43" t="s">
        <v>949</v>
      </c>
      <c r="D40" s="43">
        <v>32.75</v>
      </c>
      <c r="E40" s="43">
        <v>36.25</v>
      </c>
      <c r="F40" s="43">
        <f t="shared" ref="F40:F52" si="5">D40</f>
        <v>32.75</v>
      </c>
      <c r="G40" s="44" t="s">
        <v>749</v>
      </c>
      <c r="H40" s="3" t="str">
        <f t="shared" si="4"/>
        <v>تي لحام 25 مم اسود باننجر</v>
      </c>
      <c r="I40" s="3" t="s">
        <v>949</v>
      </c>
      <c r="J40" t="s">
        <v>1157</v>
      </c>
    </row>
    <row r="41" spans="1:10" x14ac:dyDescent="0.35">
      <c r="A41" s="40" t="s">
        <v>1158</v>
      </c>
      <c r="B41" s="49"/>
      <c r="C41" s="46" t="s">
        <v>950</v>
      </c>
      <c r="D41" s="46">
        <v>55</v>
      </c>
      <c r="E41" s="46">
        <v>61</v>
      </c>
      <c r="F41" s="46">
        <f t="shared" si="5"/>
        <v>55</v>
      </c>
      <c r="G41" s="48" t="s">
        <v>749</v>
      </c>
      <c r="H41" s="3" t="str">
        <f t="shared" si="4"/>
        <v>تي لحام 32 مم اسود باننجر</v>
      </c>
      <c r="I41" s="3" t="s">
        <v>950</v>
      </c>
      <c r="J41" t="s">
        <v>1158</v>
      </c>
    </row>
    <row r="42" spans="1:10" x14ac:dyDescent="0.35">
      <c r="A42" s="40" t="s">
        <v>1159</v>
      </c>
      <c r="B42" s="50"/>
      <c r="C42" s="43" t="s">
        <v>951</v>
      </c>
      <c r="D42" s="43">
        <v>24.5</v>
      </c>
      <c r="E42" s="43">
        <v>27.25</v>
      </c>
      <c r="F42" s="43">
        <f t="shared" si="5"/>
        <v>24.5</v>
      </c>
      <c r="G42" s="48" t="s">
        <v>749</v>
      </c>
      <c r="H42" s="3" t="str">
        <f t="shared" si="4"/>
        <v>جلبه لحام 25 مم اسود باننجر</v>
      </c>
      <c r="I42" s="3" t="s">
        <v>951</v>
      </c>
      <c r="J42" t="s">
        <v>1159</v>
      </c>
    </row>
    <row r="43" spans="1:10" x14ac:dyDescent="0.35">
      <c r="A43" s="40" t="s">
        <v>1160</v>
      </c>
      <c r="B43" s="50"/>
      <c r="C43" s="43" t="s">
        <v>952</v>
      </c>
      <c r="D43" s="43">
        <v>31.75</v>
      </c>
      <c r="E43" s="43">
        <v>35.25</v>
      </c>
      <c r="F43" s="43">
        <f t="shared" si="5"/>
        <v>31.75</v>
      </c>
      <c r="G43" s="44" t="s">
        <v>749</v>
      </c>
      <c r="H43" s="3" t="str">
        <f t="shared" si="4"/>
        <v>جلبه لحام 32 مم اسود باننجر</v>
      </c>
      <c r="I43" s="3" t="s">
        <v>952</v>
      </c>
      <c r="J43" t="s">
        <v>1160</v>
      </c>
    </row>
    <row r="44" spans="1:10" x14ac:dyDescent="0.35">
      <c r="A44" s="40" t="s">
        <v>1161</v>
      </c>
      <c r="B44" s="50"/>
      <c r="C44" s="43" t="s">
        <v>953</v>
      </c>
      <c r="D44" s="43">
        <v>26</v>
      </c>
      <c r="E44" s="43">
        <v>28.75</v>
      </c>
      <c r="F44" s="43">
        <f t="shared" si="5"/>
        <v>26</v>
      </c>
      <c r="G44" s="44" t="s">
        <v>749</v>
      </c>
      <c r="H44" s="3" t="str">
        <f t="shared" si="4"/>
        <v>طبه لحام 25 مم اسود باننجر</v>
      </c>
      <c r="I44" s="3" t="s">
        <v>953</v>
      </c>
      <c r="J44" t="s">
        <v>1161</v>
      </c>
    </row>
    <row r="45" spans="1:10" x14ac:dyDescent="0.35">
      <c r="A45" s="40" t="s">
        <v>1162</v>
      </c>
      <c r="B45" s="49"/>
      <c r="C45" s="46" t="s">
        <v>954</v>
      </c>
      <c r="D45" s="46">
        <v>36</v>
      </c>
      <c r="E45" s="46">
        <v>40</v>
      </c>
      <c r="F45" s="46">
        <f t="shared" si="5"/>
        <v>36</v>
      </c>
      <c r="G45" s="48" t="s">
        <v>749</v>
      </c>
      <c r="H45" s="3" t="str">
        <f t="shared" si="4"/>
        <v>طبه لحام 32 مم اسود باننجر</v>
      </c>
      <c r="I45" s="3" t="s">
        <v>954</v>
      </c>
      <c r="J45" t="s">
        <v>1162</v>
      </c>
    </row>
    <row r="46" spans="1:10" x14ac:dyDescent="0.35">
      <c r="A46" s="40" t="s">
        <v>1163</v>
      </c>
      <c r="B46" s="50"/>
      <c r="C46" s="43" t="s">
        <v>768</v>
      </c>
      <c r="D46" s="43">
        <v>169.5</v>
      </c>
      <c r="E46" s="43">
        <v>188.25</v>
      </c>
      <c r="F46" s="43">
        <f t="shared" si="5"/>
        <v>169.5</v>
      </c>
      <c r="G46" s="48" t="s">
        <v>749</v>
      </c>
      <c r="H46" s="3" t="str">
        <f t="shared" si="4"/>
        <v>کوع بسن خارجی 1/2*25 باننجر</v>
      </c>
      <c r="I46" s="3" t="s">
        <v>768</v>
      </c>
      <c r="J46" t="s">
        <v>1163</v>
      </c>
    </row>
    <row r="47" spans="1:10" x14ac:dyDescent="0.35">
      <c r="A47" s="40" t="s">
        <v>1164</v>
      </c>
      <c r="B47" s="49"/>
      <c r="C47" s="46" t="s">
        <v>769</v>
      </c>
      <c r="D47" s="46">
        <v>182.5</v>
      </c>
      <c r="E47" s="46">
        <v>202.5</v>
      </c>
      <c r="F47" s="46">
        <f t="shared" si="5"/>
        <v>182.5</v>
      </c>
      <c r="G47" s="44" t="s">
        <v>749</v>
      </c>
      <c r="H47" s="3" t="str">
        <f t="shared" si="4"/>
        <v>کوع بسن خارجی 3/4*25 باننجر</v>
      </c>
      <c r="I47" s="3" t="s">
        <v>769</v>
      </c>
      <c r="J47" t="s">
        <v>1164</v>
      </c>
    </row>
    <row r="48" spans="1:10" x14ac:dyDescent="0.35">
      <c r="A48" s="40" t="s">
        <v>1165</v>
      </c>
      <c r="B48" s="50"/>
      <c r="C48" s="43" t="s">
        <v>770</v>
      </c>
      <c r="D48" s="43">
        <v>400.75</v>
      </c>
      <c r="E48" s="43">
        <v>444.75</v>
      </c>
      <c r="F48" s="43">
        <f t="shared" si="5"/>
        <v>400.75</v>
      </c>
      <c r="G48" s="48" t="s">
        <v>749</v>
      </c>
      <c r="H48" s="3" t="str">
        <f t="shared" si="4"/>
        <v>كوع بسن خارجی 1*32 باننجر</v>
      </c>
      <c r="I48" s="3" t="s">
        <v>770</v>
      </c>
      <c r="J48" t="s">
        <v>1165</v>
      </c>
    </row>
    <row r="49" spans="1:10" x14ac:dyDescent="0.35">
      <c r="A49" s="40" t="s">
        <v>1166</v>
      </c>
      <c r="B49" s="50"/>
      <c r="C49" s="43" t="s">
        <v>771</v>
      </c>
      <c r="D49" s="43">
        <v>113.25</v>
      </c>
      <c r="E49" s="43">
        <v>125.75</v>
      </c>
      <c r="F49" s="43">
        <f t="shared" si="5"/>
        <v>113.25</v>
      </c>
      <c r="G49" s="48" t="s">
        <v>749</v>
      </c>
      <c r="H49" s="3" t="str">
        <f t="shared" si="4"/>
        <v>کوع بسن داخلی 2/1*25 باننجر</v>
      </c>
      <c r="I49" s="3" t="s">
        <v>771</v>
      </c>
      <c r="J49" t="s">
        <v>1166</v>
      </c>
    </row>
    <row r="50" spans="1:10" x14ac:dyDescent="0.35">
      <c r="A50" s="40" t="s">
        <v>1167</v>
      </c>
      <c r="B50" s="50"/>
      <c r="C50" s="43" t="s">
        <v>772</v>
      </c>
      <c r="D50" s="43">
        <v>166.75</v>
      </c>
      <c r="E50" s="43">
        <v>185</v>
      </c>
      <c r="F50" s="43">
        <f t="shared" si="5"/>
        <v>166.75</v>
      </c>
      <c r="G50" s="44" t="s">
        <v>749</v>
      </c>
      <c r="H50" s="3" t="str">
        <f t="shared" si="4"/>
        <v>كوع بسن داخلی 3/4*25 باننجر</v>
      </c>
      <c r="I50" s="3" t="s">
        <v>772</v>
      </c>
      <c r="J50" t="s">
        <v>1167</v>
      </c>
    </row>
    <row r="51" spans="1:10" x14ac:dyDescent="0.35">
      <c r="A51" s="40" t="s">
        <v>1168</v>
      </c>
      <c r="B51" s="50"/>
      <c r="C51" s="43" t="s">
        <v>773</v>
      </c>
      <c r="D51" s="43">
        <v>204.75</v>
      </c>
      <c r="E51" s="43">
        <v>227.25</v>
      </c>
      <c r="F51" s="43">
        <f t="shared" si="5"/>
        <v>204.75</v>
      </c>
      <c r="G51" s="48" t="s">
        <v>749</v>
      </c>
      <c r="H51" s="3" t="str">
        <f t="shared" si="4"/>
        <v>کوع بسن داخلی 3/4*32 باننجر</v>
      </c>
      <c r="I51" s="3" t="s">
        <v>773</v>
      </c>
      <c r="J51" t="s">
        <v>1168</v>
      </c>
    </row>
    <row r="52" spans="1:10" x14ac:dyDescent="0.35">
      <c r="A52" s="40" t="s">
        <v>1169</v>
      </c>
      <c r="B52" s="50"/>
      <c r="C52" s="43" t="s">
        <v>774</v>
      </c>
      <c r="D52" s="43">
        <v>349</v>
      </c>
      <c r="E52" s="43">
        <v>387.5</v>
      </c>
      <c r="F52" s="43">
        <f t="shared" si="5"/>
        <v>349</v>
      </c>
      <c r="G52" s="44" t="s">
        <v>749</v>
      </c>
      <c r="H52" s="3" t="str">
        <f t="shared" si="4"/>
        <v>کوع بسن داخلی 1*32 باننجر</v>
      </c>
      <c r="I52" s="3" t="s">
        <v>774</v>
      </c>
      <c r="J52" t="s">
        <v>1169</v>
      </c>
    </row>
    <row r="53" spans="1:10" x14ac:dyDescent="0.35">
      <c r="A53" s="40" t="s">
        <v>1170</v>
      </c>
      <c r="B53" s="50"/>
      <c r="C53" s="43" t="s">
        <v>775</v>
      </c>
      <c r="D53" s="43">
        <v>252.25</v>
      </c>
      <c r="E53" s="43">
        <v>280</v>
      </c>
      <c r="F53" s="43">
        <f t="shared" ref="F53:F71" si="6">D53</f>
        <v>252.25</v>
      </c>
      <c r="G53" s="48" t="s">
        <v>749</v>
      </c>
      <c r="H53" s="3" t="str">
        <f t="shared" si="4"/>
        <v>كوع مزدوج بسن داخلی 2/1*25 باننجر</v>
      </c>
      <c r="I53" s="3" t="s">
        <v>775</v>
      </c>
      <c r="J53" t="s">
        <v>1170</v>
      </c>
    </row>
    <row r="54" spans="1:10" x14ac:dyDescent="0.35">
      <c r="A54" s="40" t="s">
        <v>1171</v>
      </c>
      <c r="B54" s="50"/>
      <c r="C54" s="43" t="s">
        <v>1004</v>
      </c>
      <c r="D54" s="43">
        <v>150.5</v>
      </c>
      <c r="E54" s="43">
        <v>167</v>
      </c>
      <c r="F54" s="43">
        <f t="shared" si="6"/>
        <v>150.5</v>
      </c>
      <c r="G54" s="44" t="s">
        <v>749</v>
      </c>
      <c r="H54" s="3" t="str">
        <f t="shared" si="4"/>
        <v>تی بسن داخلی 2/1*25 باننجر</v>
      </c>
      <c r="I54" s="3" t="s">
        <v>1004</v>
      </c>
      <c r="J54" t="s">
        <v>1171</v>
      </c>
    </row>
    <row r="55" spans="1:10" x14ac:dyDescent="0.35">
      <c r="A55" s="40" t="s">
        <v>1172</v>
      </c>
      <c r="B55" s="50"/>
      <c r="C55" s="43" t="s">
        <v>1005</v>
      </c>
      <c r="D55" s="43">
        <v>216.5</v>
      </c>
      <c r="E55" s="43">
        <v>240.25</v>
      </c>
      <c r="F55" s="43">
        <f t="shared" si="6"/>
        <v>216.5</v>
      </c>
      <c r="G55" s="48" t="s">
        <v>749</v>
      </c>
      <c r="H55" s="3" t="str">
        <f t="shared" si="4"/>
        <v>تی بسن داخلی 4/3*25 باننجر</v>
      </c>
      <c r="I55" s="3" t="s">
        <v>1005</v>
      </c>
      <c r="J55" t="s">
        <v>1172</v>
      </c>
    </row>
    <row r="56" spans="1:10" x14ac:dyDescent="0.35">
      <c r="A56" s="40" t="s">
        <v>1173</v>
      </c>
      <c r="B56" s="50"/>
      <c r="C56" s="43" t="s">
        <v>1006</v>
      </c>
      <c r="D56" s="43">
        <v>284</v>
      </c>
      <c r="E56" s="43">
        <v>315.25</v>
      </c>
      <c r="F56" s="43">
        <f t="shared" si="6"/>
        <v>284</v>
      </c>
      <c r="G56" s="44" t="s">
        <v>749</v>
      </c>
      <c r="H56" s="3" t="str">
        <f t="shared" si="4"/>
        <v>تی بسن داخلی 4/3*32 باننجر</v>
      </c>
      <c r="I56" s="3" t="s">
        <v>1006</v>
      </c>
      <c r="J56" t="s">
        <v>1173</v>
      </c>
    </row>
    <row r="57" spans="1:10" x14ac:dyDescent="0.35">
      <c r="A57" s="40" t="s">
        <v>1174</v>
      </c>
      <c r="B57" s="50"/>
      <c r="C57" s="43" t="s">
        <v>1007</v>
      </c>
      <c r="D57" s="43">
        <v>402</v>
      </c>
      <c r="E57" s="43">
        <v>446.25</v>
      </c>
      <c r="F57" s="43">
        <f t="shared" si="6"/>
        <v>402</v>
      </c>
      <c r="G57" s="48" t="s">
        <v>749</v>
      </c>
      <c r="H57" s="3" t="str">
        <f t="shared" si="4"/>
        <v>تی بسن داخلی 1*32 باننجر</v>
      </c>
      <c r="I57" s="3" t="s">
        <v>1007</v>
      </c>
      <c r="J57" t="s">
        <v>1174</v>
      </c>
    </row>
    <row r="58" spans="1:10" x14ac:dyDescent="0.35">
      <c r="A58" s="40" t="s">
        <v>1175</v>
      </c>
      <c r="B58" s="50"/>
      <c r="C58" s="43" t="s">
        <v>1008</v>
      </c>
      <c r="D58" s="43">
        <v>152</v>
      </c>
      <c r="E58" s="43">
        <v>168.75</v>
      </c>
      <c r="F58" s="43">
        <f t="shared" si="6"/>
        <v>152</v>
      </c>
      <c r="G58" s="48" t="s">
        <v>749</v>
      </c>
      <c r="H58" s="3" t="str">
        <f t="shared" si="4"/>
        <v>وصله بسن خارجی 2/1*25 باننجر</v>
      </c>
      <c r="I58" s="3" t="s">
        <v>1008</v>
      </c>
      <c r="J58" t="s">
        <v>1175</v>
      </c>
    </row>
    <row r="59" spans="1:10" x14ac:dyDescent="0.35">
      <c r="A59" s="40" t="s">
        <v>1176</v>
      </c>
      <c r="B59" s="49"/>
      <c r="C59" s="46" t="s">
        <v>1009</v>
      </c>
      <c r="D59" s="46">
        <v>185.5</v>
      </c>
      <c r="E59" s="46">
        <v>206</v>
      </c>
      <c r="F59" s="46">
        <f t="shared" si="6"/>
        <v>185.5</v>
      </c>
      <c r="G59" s="44" t="s">
        <v>749</v>
      </c>
      <c r="H59" s="3" t="str">
        <f t="shared" si="4"/>
        <v>وصله بسن خارجی 4/3*25 باننجر</v>
      </c>
      <c r="I59" s="3" t="s">
        <v>1009</v>
      </c>
      <c r="J59" t="s">
        <v>1176</v>
      </c>
    </row>
    <row r="60" spans="1:10" x14ac:dyDescent="0.35">
      <c r="A60" s="40" t="s">
        <v>1177</v>
      </c>
      <c r="B60" s="50"/>
      <c r="C60" s="43" t="s">
        <v>1010</v>
      </c>
      <c r="D60" s="43">
        <v>239.5</v>
      </c>
      <c r="E60" s="43">
        <v>265.75</v>
      </c>
      <c r="F60" s="43">
        <f t="shared" si="6"/>
        <v>239.5</v>
      </c>
      <c r="G60" s="48" t="s">
        <v>749</v>
      </c>
      <c r="H60" s="3" t="str">
        <f t="shared" si="4"/>
        <v>وصله بسن خارجی 3/4*32 باننجر</v>
      </c>
      <c r="I60" s="3" t="s">
        <v>1010</v>
      </c>
      <c r="J60" t="s">
        <v>1177</v>
      </c>
    </row>
    <row r="61" spans="1:10" x14ac:dyDescent="0.35">
      <c r="A61" s="40" t="s">
        <v>1178</v>
      </c>
      <c r="B61" s="49"/>
      <c r="C61" s="46" t="s">
        <v>1011</v>
      </c>
      <c r="D61" s="46">
        <v>350</v>
      </c>
      <c r="E61" s="46">
        <v>388.5</v>
      </c>
      <c r="F61" s="46">
        <f t="shared" si="6"/>
        <v>350</v>
      </c>
      <c r="G61" s="44" t="s">
        <v>749</v>
      </c>
      <c r="H61" s="3" t="str">
        <f t="shared" si="4"/>
        <v>وصله بسن خارجی 1*32 باننجر</v>
      </c>
      <c r="I61" s="3" t="s">
        <v>1011</v>
      </c>
      <c r="J61" t="s">
        <v>1178</v>
      </c>
    </row>
    <row r="62" spans="1:10" x14ac:dyDescent="0.35">
      <c r="A62" s="40" t="s">
        <v>1179</v>
      </c>
      <c r="B62" s="50"/>
      <c r="C62" s="43" t="s">
        <v>1012</v>
      </c>
      <c r="D62" s="43">
        <v>137</v>
      </c>
      <c r="E62" s="43">
        <v>152</v>
      </c>
      <c r="F62" s="43">
        <f t="shared" si="6"/>
        <v>137</v>
      </c>
      <c r="G62" s="44" t="s">
        <v>749</v>
      </c>
      <c r="H62" s="3" t="str">
        <f t="shared" si="4"/>
        <v>وصله بسن داخلی 2/1*25 باننجر</v>
      </c>
      <c r="I62" s="3" t="s">
        <v>1012</v>
      </c>
      <c r="J62" t="s">
        <v>1179</v>
      </c>
    </row>
    <row r="63" spans="1:10" x14ac:dyDescent="0.35">
      <c r="A63" s="40" t="s">
        <v>1180</v>
      </c>
      <c r="B63" s="50"/>
      <c r="C63" s="43" t="s">
        <v>1013</v>
      </c>
      <c r="D63" s="43">
        <v>147.5</v>
      </c>
      <c r="E63" s="43">
        <v>163.75</v>
      </c>
      <c r="F63" s="43">
        <f t="shared" si="6"/>
        <v>147.5</v>
      </c>
      <c r="G63" s="48" t="s">
        <v>749</v>
      </c>
      <c r="H63" s="3" t="str">
        <f t="shared" si="4"/>
        <v>وصله بسن داخلی 3/4*25 باننجر</v>
      </c>
      <c r="I63" s="3" t="s">
        <v>1013</v>
      </c>
      <c r="J63" t="s">
        <v>1180</v>
      </c>
    </row>
    <row r="64" spans="1:10" x14ac:dyDescent="0.35">
      <c r="A64" s="40" t="s">
        <v>1181</v>
      </c>
      <c r="B64" s="50"/>
      <c r="C64" s="43" t="s">
        <v>1014</v>
      </c>
      <c r="D64" s="43">
        <v>227</v>
      </c>
      <c r="E64" s="43">
        <v>252</v>
      </c>
      <c r="F64" s="43">
        <f t="shared" si="6"/>
        <v>227</v>
      </c>
      <c r="G64" s="44" t="s">
        <v>749</v>
      </c>
      <c r="H64" s="3" t="str">
        <f t="shared" si="4"/>
        <v>وصله بسن داخلی 4/3*32 باننجر</v>
      </c>
      <c r="I64" s="3" t="s">
        <v>1014</v>
      </c>
      <c r="J64" t="s">
        <v>1181</v>
      </c>
    </row>
    <row r="65" spans="1:10" x14ac:dyDescent="0.35">
      <c r="A65" s="40" t="s">
        <v>1182</v>
      </c>
      <c r="B65" s="50"/>
      <c r="C65" s="43" t="s">
        <v>1015</v>
      </c>
      <c r="D65" s="43">
        <v>312</v>
      </c>
      <c r="E65" s="43">
        <v>346.25</v>
      </c>
      <c r="F65" s="43">
        <f t="shared" si="6"/>
        <v>312</v>
      </c>
      <c r="G65" s="48" t="s">
        <v>749</v>
      </c>
      <c r="H65" s="3" t="str">
        <f t="shared" si="4"/>
        <v>وصله بسن داخلی 1*32 باننجر</v>
      </c>
      <c r="I65" s="3" t="s">
        <v>1015</v>
      </c>
      <c r="J65" t="s">
        <v>1182</v>
      </c>
    </row>
    <row r="66" spans="1:10" x14ac:dyDescent="0.35">
      <c r="A66" s="40" t="s">
        <v>1183</v>
      </c>
      <c r="B66" s="50"/>
      <c r="C66" s="43" t="s">
        <v>1016</v>
      </c>
      <c r="D66" s="43">
        <v>163.25</v>
      </c>
      <c r="E66" s="43">
        <v>181.25</v>
      </c>
      <c r="F66" s="43">
        <f t="shared" si="6"/>
        <v>163.25</v>
      </c>
      <c r="G66" s="48" t="s">
        <v>749</v>
      </c>
      <c r="H66" s="3" t="str">
        <f t="shared" ref="H66:H80" si="7">TRIM(SUBSTITUTE(C66, "باننجر", "")) &amp; " " &amp; "باننجر"</f>
        <v>لاكور لحام 25 مم باننجر</v>
      </c>
      <c r="I66" s="3" t="s">
        <v>1016</v>
      </c>
      <c r="J66" t="s">
        <v>1183</v>
      </c>
    </row>
    <row r="67" spans="1:10" x14ac:dyDescent="0.35">
      <c r="A67" s="40" t="s">
        <v>1184</v>
      </c>
      <c r="B67" s="49"/>
      <c r="C67" s="46" t="s">
        <v>1017</v>
      </c>
      <c r="D67" s="46">
        <v>212.5</v>
      </c>
      <c r="E67" s="46">
        <v>236</v>
      </c>
      <c r="F67" s="46">
        <f t="shared" si="6"/>
        <v>212.5</v>
      </c>
      <c r="G67" s="44" t="s">
        <v>749</v>
      </c>
      <c r="H67" s="3" t="str">
        <f t="shared" si="7"/>
        <v>لاكور لحام 32 مم باننجر</v>
      </c>
      <c r="I67" s="3" t="s">
        <v>1017</v>
      </c>
      <c r="J67" t="s">
        <v>1184</v>
      </c>
    </row>
    <row r="68" spans="1:10" x14ac:dyDescent="0.35">
      <c r="A68" s="40" t="s">
        <v>1185</v>
      </c>
      <c r="B68" s="50"/>
      <c r="C68" s="43" t="s">
        <v>1018</v>
      </c>
      <c r="D68" s="43">
        <v>191.5</v>
      </c>
      <c r="E68" s="43">
        <v>212.5</v>
      </c>
      <c r="F68" s="43">
        <f t="shared" si="6"/>
        <v>191.5</v>
      </c>
      <c r="G68" s="44" t="s">
        <v>749</v>
      </c>
      <c r="H68" s="3" t="str">
        <f t="shared" si="7"/>
        <v>لاكور تجميع بسن داخلی طويل 4/3*25 باننجر</v>
      </c>
      <c r="I68" s="3" t="s">
        <v>1018</v>
      </c>
      <c r="J68" t="s">
        <v>1185</v>
      </c>
    </row>
    <row r="69" spans="1:10" x14ac:dyDescent="0.35">
      <c r="A69" s="40" t="s">
        <v>1186</v>
      </c>
      <c r="B69" s="50"/>
      <c r="C69" s="43" t="s">
        <v>1019</v>
      </c>
      <c r="D69" s="43">
        <v>288.75</v>
      </c>
      <c r="E69" s="43">
        <v>320.5</v>
      </c>
      <c r="F69" s="43">
        <f t="shared" si="6"/>
        <v>288.75</v>
      </c>
      <c r="G69" s="48" t="s">
        <v>749</v>
      </c>
      <c r="H69" s="3" t="str">
        <f t="shared" si="7"/>
        <v>لاكور تجميع بسن داخلی طويل 32 * 1 باننجر</v>
      </c>
      <c r="I69" s="3" t="s">
        <v>1019</v>
      </c>
      <c r="J69" t="s">
        <v>1186</v>
      </c>
    </row>
    <row r="70" spans="1:10" x14ac:dyDescent="0.35">
      <c r="A70" s="40" t="s">
        <v>1187</v>
      </c>
      <c r="B70" s="50"/>
      <c r="C70" s="43" t="s">
        <v>1020</v>
      </c>
      <c r="D70" s="43">
        <v>490.25</v>
      </c>
      <c r="E70" s="43">
        <v>544.25</v>
      </c>
      <c r="F70" s="43">
        <f t="shared" si="6"/>
        <v>490.25</v>
      </c>
      <c r="G70" s="48" t="s">
        <v>749</v>
      </c>
      <c r="H70" s="3" t="str">
        <f t="shared" si="7"/>
        <v>مانع ارتداد بلاكور 25 مم باننجر</v>
      </c>
      <c r="I70" s="3" t="s">
        <v>1020</v>
      </c>
      <c r="J70" t="s">
        <v>1187</v>
      </c>
    </row>
    <row r="71" spans="1:10" x14ac:dyDescent="0.35">
      <c r="A71" s="40" t="s">
        <v>1188</v>
      </c>
      <c r="B71" s="49"/>
      <c r="C71" s="46" t="s">
        <v>1021</v>
      </c>
      <c r="D71" s="46">
        <v>581.5</v>
      </c>
      <c r="E71" s="46">
        <v>645.5</v>
      </c>
      <c r="F71" s="46">
        <f t="shared" si="6"/>
        <v>581.5</v>
      </c>
      <c r="G71" s="44" t="s">
        <v>749</v>
      </c>
      <c r="H71" s="3" t="str">
        <f t="shared" si="7"/>
        <v>مانع ارتداد بلاكور 32 مم باننجر</v>
      </c>
      <c r="I71" s="3" t="s">
        <v>1021</v>
      </c>
      <c r="J71" t="s">
        <v>1188</v>
      </c>
    </row>
    <row r="72" spans="1:10" x14ac:dyDescent="0.35">
      <c r="A72" s="40" t="s">
        <v>1189</v>
      </c>
      <c r="B72" s="50"/>
      <c r="C72" s="43" t="s">
        <v>1022</v>
      </c>
      <c r="D72" s="43">
        <v>1187</v>
      </c>
      <c r="E72" s="43">
        <v>1317.5</v>
      </c>
      <c r="F72" s="43">
        <f t="shared" ref="F72:F101" si="8">D72</f>
        <v>1187</v>
      </c>
      <c r="G72" s="48" t="s">
        <v>749</v>
      </c>
      <c r="H72" s="3" t="str">
        <f t="shared" si="7"/>
        <v>مانع ارتداد بلاكور 50 مم باننجر</v>
      </c>
      <c r="I72" s="3" t="s">
        <v>1022</v>
      </c>
      <c r="J72" t="s">
        <v>1189</v>
      </c>
    </row>
    <row r="73" spans="1:10" x14ac:dyDescent="0.35">
      <c r="A73" s="40" t="s">
        <v>1190</v>
      </c>
      <c r="B73" s="50"/>
      <c r="C73" s="43" t="s">
        <v>1023</v>
      </c>
      <c r="D73" s="43">
        <v>124.5</v>
      </c>
      <c r="E73" s="43">
        <v>138.25</v>
      </c>
      <c r="F73" s="43">
        <f t="shared" si="8"/>
        <v>124.5</v>
      </c>
      <c r="G73" s="48" t="s">
        <v>749</v>
      </c>
      <c r="H73" s="3" t="str">
        <f t="shared" si="7"/>
        <v>جلبه تطويل نحاس باننجر</v>
      </c>
      <c r="I73" s="3" t="s">
        <v>1023</v>
      </c>
      <c r="J73" t="s">
        <v>1190</v>
      </c>
    </row>
    <row r="74" spans="1:10" x14ac:dyDescent="0.35">
      <c r="A74" s="40" t="s">
        <v>1191</v>
      </c>
      <c r="B74" s="50"/>
      <c r="C74" s="43" t="s">
        <v>1024</v>
      </c>
      <c r="D74" s="43">
        <v>576.75</v>
      </c>
      <c r="E74" s="43">
        <v>640.25</v>
      </c>
      <c r="F74" s="43">
        <f t="shared" si="8"/>
        <v>576.75</v>
      </c>
      <c r="G74" s="44" t="s">
        <v>749</v>
      </c>
      <c r="H74" s="3" t="str">
        <f t="shared" si="7"/>
        <v>محبس دفن كامل ( شامل تي ) 25 مم باننجر</v>
      </c>
      <c r="I74" s="3" t="s">
        <v>1024</v>
      </c>
      <c r="J74" t="s">
        <v>1191</v>
      </c>
    </row>
    <row r="75" spans="1:10" x14ac:dyDescent="0.35">
      <c r="A75" s="40" t="s">
        <v>1192</v>
      </c>
      <c r="B75" s="50"/>
      <c r="C75" s="43" t="s">
        <v>1025</v>
      </c>
      <c r="D75" s="43">
        <v>395.25</v>
      </c>
      <c r="E75" s="43">
        <v>438.5</v>
      </c>
      <c r="F75" s="43">
        <f t="shared" si="8"/>
        <v>395.25</v>
      </c>
      <c r="G75" s="48" t="s">
        <v>749</v>
      </c>
      <c r="H75" s="3" t="str">
        <f t="shared" si="7"/>
        <v>محبس بليه 2 لاكور 20 مم باننجر</v>
      </c>
      <c r="I75" s="3" t="s">
        <v>1025</v>
      </c>
      <c r="J75" t="s">
        <v>1192</v>
      </c>
    </row>
    <row r="76" spans="1:10" x14ac:dyDescent="0.35">
      <c r="A76" s="40" t="s">
        <v>1193</v>
      </c>
      <c r="B76" s="50"/>
      <c r="C76" s="43" t="s">
        <v>1026</v>
      </c>
      <c r="D76" s="43">
        <v>542</v>
      </c>
      <c r="E76" s="43">
        <v>601.5</v>
      </c>
      <c r="F76" s="43">
        <f t="shared" si="8"/>
        <v>542</v>
      </c>
      <c r="G76" s="44" t="s">
        <v>749</v>
      </c>
      <c r="H76" s="3" t="str">
        <f t="shared" si="7"/>
        <v>محبس بليه 2 لاكور 25 مم باننجر</v>
      </c>
      <c r="I76" s="3" t="s">
        <v>1026</v>
      </c>
      <c r="J76" t="s">
        <v>1193</v>
      </c>
    </row>
    <row r="77" spans="1:10" x14ac:dyDescent="0.35">
      <c r="A77" s="40" t="s">
        <v>1194</v>
      </c>
      <c r="B77" s="50"/>
      <c r="C77" s="43" t="s">
        <v>1027</v>
      </c>
      <c r="D77" s="43">
        <v>737.5</v>
      </c>
      <c r="E77" s="43">
        <v>818.75</v>
      </c>
      <c r="F77" s="43">
        <f t="shared" si="8"/>
        <v>737.5</v>
      </c>
      <c r="G77" s="48" t="s">
        <v>749</v>
      </c>
      <c r="H77" s="3" t="str">
        <f t="shared" si="7"/>
        <v>محبس بليه 2 لاكور 32 مم باننجر</v>
      </c>
      <c r="I77" s="3" t="s">
        <v>1027</v>
      </c>
      <c r="J77" t="s">
        <v>1194</v>
      </c>
    </row>
    <row r="78" spans="1:10" x14ac:dyDescent="0.35">
      <c r="A78" s="40" t="s">
        <v>1195</v>
      </c>
      <c r="B78" s="50"/>
      <c r="C78" s="43" t="s">
        <v>1028</v>
      </c>
      <c r="D78" s="43">
        <v>1233.5</v>
      </c>
      <c r="E78" s="43">
        <v>1369.25</v>
      </c>
      <c r="F78" s="43">
        <f t="shared" si="8"/>
        <v>1233.5</v>
      </c>
      <c r="G78" s="44" t="s">
        <v>749</v>
      </c>
      <c r="H78" s="3" t="str">
        <f t="shared" si="7"/>
        <v>محبس بليه 2 لاكور 40 مم باننجر</v>
      </c>
      <c r="I78" s="3" t="s">
        <v>1028</v>
      </c>
      <c r="J78" t="s">
        <v>1195</v>
      </c>
    </row>
    <row r="79" spans="1:10" x14ac:dyDescent="0.35">
      <c r="A79" s="40" t="s">
        <v>1196</v>
      </c>
      <c r="B79" s="50"/>
      <c r="C79" s="43" t="s">
        <v>1029</v>
      </c>
      <c r="D79" s="43" t="s">
        <v>524</v>
      </c>
      <c r="E79" s="43">
        <v>2033.5</v>
      </c>
      <c r="F79" s="43" t="str">
        <f t="shared" si="8"/>
        <v>1831 75</v>
      </c>
      <c r="G79" s="48" t="s">
        <v>749</v>
      </c>
      <c r="H79" s="3" t="str">
        <f t="shared" si="7"/>
        <v>محبس بليه 2 لاكور 50 مم باننجر</v>
      </c>
      <c r="I79" s="3" t="s">
        <v>1029</v>
      </c>
      <c r="J79" t="s">
        <v>1196</v>
      </c>
    </row>
    <row r="80" spans="1:10" x14ac:dyDescent="0.35">
      <c r="A80" s="66" t="s">
        <v>1197</v>
      </c>
      <c r="B80" s="50"/>
      <c r="C80" s="43" t="s">
        <v>1030</v>
      </c>
      <c r="D80" s="43">
        <v>3058</v>
      </c>
      <c r="E80" s="43">
        <v>3394.5</v>
      </c>
      <c r="F80" s="43">
        <f t="shared" si="8"/>
        <v>3058</v>
      </c>
      <c r="G80" s="44" t="s">
        <v>749</v>
      </c>
      <c r="H80" s="3" t="str">
        <f t="shared" si="7"/>
        <v>محبس بليه 2 لاكور 63 مم باننجر</v>
      </c>
      <c r="I80" s="3" t="s">
        <v>1030</v>
      </c>
      <c r="J80" t="s">
        <v>1197</v>
      </c>
    </row>
    <row r="81" spans="1:10" x14ac:dyDescent="0.35">
      <c r="A81" s="63">
        <v>1</v>
      </c>
      <c r="B81" s="50"/>
      <c r="C81" s="43" t="s">
        <v>738</v>
      </c>
      <c r="D81" s="43">
        <v>52</v>
      </c>
      <c r="E81" s="43">
        <v>57.75</v>
      </c>
      <c r="F81" s="43">
        <f t="shared" si="8"/>
        <v>52</v>
      </c>
      <c r="G81" s="48" t="s">
        <v>522</v>
      </c>
      <c r="H81" s="3" t="str">
        <f>TRIM(SUBSTITUTE(Sheet2!$C81, "كيسيل", "")) &amp; " " &amp; "كيسيل"</f>
        <v>ماسوره 32 مم كيسيل</v>
      </c>
      <c r="I81" s="3" t="s">
        <v>738</v>
      </c>
      <c r="J81">
        <v>1</v>
      </c>
    </row>
    <row r="82" spans="1:10" x14ac:dyDescent="0.35">
      <c r="A82" s="42">
        <v>2</v>
      </c>
      <c r="B82" s="50"/>
      <c r="C82" s="43" t="s">
        <v>739</v>
      </c>
      <c r="D82" s="43">
        <v>66.25</v>
      </c>
      <c r="E82" s="43">
        <v>73.5</v>
      </c>
      <c r="F82" s="43">
        <f t="shared" si="8"/>
        <v>66.25</v>
      </c>
      <c r="G82" s="44" t="s">
        <v>522</v>
      </c>
      <c r="H82" s="3" t="str">
        <f>TRIM(SUBSTITUTE(Sheet2!$C82, "كيسيل", "")) &amp; " " &amp; "كيسيل"</f>
        <v>ماسوره 50 مم كيسيل</v>
      </c>
      <c r="I82" s="3" t="s">
        <v>739</v>
      </c>
      <c r="J82">
        <v>2</v>
      </c>
    </row>
    <row r="83" spans="1:10" x14ac:dyDescent="0.35">
      <c r="A83" s="42">
        <v>3</v>
      </c>
      <c r="B83" s="50"/>
      <c r="C83" s="43" t="s">
        <v>740</v>
      </c>
      <c r="D83" s="43">
        <v>93.5</v>
      </c>
      <c r="E83" s="43">
        <v>103.75</v>
      </c>
      <c r="F83" s="43">
        <f t="shared" si="8"/>
        <v>93.5</v>
      </c>
      <c r="G83" s="48" t="s">
        <v>522</v>
      </c>
      <c r="H83" s="3" t="str">
        <f>TRIM(SUBSTITUTE(Sheet2!$C83, "كيسيل", "")) &amp; " " &amp; "كيسيل"</f>
        <v>ماسوره 75 مم كيسيل</v>
      </c>
      <c r="I83" s="3" t="s">
        <v>740</v>
      </c>
      <c r="J83">
        <v>3</v>
      </c>
    </row>
    <row r="84" spans="1:10" x14ac:dyDescent="0.35">
      <c r="A84" s="42">
        <v>4</v>
      </c>
      <c r="B84" s="50"/>
      <c r="C84" s="43" t="s">
        <v>741</v>
      </c>
      <c r="D84" s="43">
        <v>181.75</v>
      </c>
      <c r="E84" s="43">
        <v>201.75</v>
      </c>
      <c r="F84" s="43">
        <f t="shared" si="8"/>
        <v>181.75</v>
      </c>
      <c r="G84" s="44" t="s">
        <v>522</v>
      </c>
      <c r="H84" s="3" t="str">
        <f>TRIM(SUBSTITUTE(Sheet2!$C84, "كيسيل", "")) &amp; " " &amp; "كيسيل"</f>
        <v>ماسوره 110 مم كيسيل</v>
      </c>
      <c r="I84" s="3" t="s">
        <v>741</v>
      </c>
      <c r="J84">
        <v>4</v>
      </c>
    </row>
    <row r="85" spans="1:10" x14ac:dyDescent="0.35">
      <c r="A85" s="42">
        <v>5</v>
      </c>
      <c r="B85" s="50"/>
      <c r="C85" s="43" t="s">
        <v>1199</v>
      </c>
      <c r="D85" s="43">
        <v>372.5</v>
      </c>
      <c r="E85" s="43">
        <v>413.5</v>
      </c>
      <c r="F85" s="43">
        <f t="shared" si="8"/>
        <v>372.5</v>
      </c>
      <c r="G85" s="48" t="s">
        <v>522</v>
      </c>
      <c r="H85" s="3" t="str">
        <f>TRIM(SUBSTITUTE(Sheet2!$C85, "كيسيل", "")) &amp; " " &amp; "كيسيل"</f>
        <v>ماسوره 160 مم كيسيل</v>
      </c>
      <c r="I85" s="3" t="s">
        <v>742</v>
      </c>
      <c r="J85">
        <v>5</v>
      </c>
    </row>
    <row r="86" spans="1:10" x14ac:dyDescent="0.35">
      <c r="A86" s="42">
        <v>6</v>
      </c>
      <c r="B86" s="50"/>
      <c r="C86" s="43" t="s">
        <v>743</v>
      </c>
      <c r="D86" s="43">
        <v>79.75</v>
      </c>
      <c r="E86" s="51"/>
      <c r="F86" s="43">
        <f t="shared" si="8"/>
        <v>79.75</v>
      </c>
      <c r="G86" s="48" t="s">
        <v>522</v>
      </c>
      <c r="H86" s="3" t="str">
        <f>TRIM(SUBSTITUTE(Sheet2!$C86, "كيسيل", "")) &amp; " " &amp; "كيسيل"</f>
        <v>ماسوره 63 مم كيسيل</v>
      </c>
      <c r="I86" s="3" t="s">
        <v>743</v>
      </c>
      <c r="J86">
        <v>6</v>
      </c>
    </row>
    <row r="87" spans="1:10" x14ac:dyDescent="0.35">
      <c r="A87" s="47">
        <v>7</v>
      </c>
      <c r="B87" s="49"/>
      <c r="C87" s="46" t="s">
        <v>838</v>
      </c>
      <c r="D87" s="46">
        <v>85</v>
      </c>
      <c r="E87" s="46">
        <v>94.25</v>
      </c>
      <c r="F87" s="46">
        <f t="shared" si="8"/>
        <v>85</v>
      </c>
      <c r="G87" s="44" t="s">
        <v>522</v>
      </c>
      <c r="H87" s="3" t="str">
        <f>TRIM(SUBSTITUTE(Sheet2!$C87, "كيسيل", "")) &amp; " " &amp; "كيسيل"</f>
        <v>يارده 63 مم 100 سم كيسيل</v>
      </c>
      <c r="I87" s="3" t="s">
        <v>838</v>
      </c>
      <c r="J87">
        <v>7</v>
      </c>
    </row>
    <row r="88" spans="1:10" x14ac:dyDescent="0.35">
      <c r="A88" s="42">
        <v>8</v>
      </c>
      <c r="B88" s="50"/>
      <c r="C88" s="43" t="s">
        <v>839</v>
      </c>
      <c r="D88" s="43">
        <v>97</v>
      </c>
      <c r="E88" s="43">
        <v>107.75</v>
      </c>
      <c r="F88" s="43">
        <f t="shared" si="8"/>
        <v>97</v>
      </c>
      <c r="G88" s="48" t="s">
        <v>522</v>
      </c>
      <c r="H88" s="3" t="str">
        <f>TRIM(SUBSTITUTE(Sheet2!$C88, "كيسيل", "")) &amp; " " &amp; "كيسيل"</f>
        <v>يارده 75 مم 100 سم كيسيل</v>
      </c>
      <c r="I88" s="3" t="s">
        <v>839</v>
      </c>
      <c r="J88">
        <v>8</v>
      </c>
    </row>
    <row r="89" spans="1:10" x14ac:dyDescent="0.35">
      <c r="A89" s="47">
        <v>9</v>
      </c>
      <c r="B89" s="49"/>
      <c r="C89" s="46" t="s">
        <v>840</v>
      </c>
      <c r="D89" s="46">
        <v>197.75</v>
      </c>
      <c r="E89" s="46">
        <v>219.5</v>
      </c>
      <c r="F89" s="46">
        <f t="shared" si="8"/>
        <v>197.75</v>
      </c>
      <c r="G89" s="44" t="s">
        <v>522</v>
      </c>
      <c r="H89" s="3" t="str">
        <f>TRIM(SUBSTITUTE(Sheet2!$C89, "كيسيل", "")) &amp; " " &amp; "كيسيل"</f>
        <v>يارده 110 مم 100 سم كيسيل</v>
      </c>
      <c r="I89" s="3" t="s">
        <v>840</v>
      </c>
      <c r="J89">
        <v>9</v>
      </c>
    </row>
    <row r="90" spans="1:10" x14ac:dyDescent="0.35">
      <c r="A90" s="42">
        <v>10</v>
      </c>
      <c r="B90" s="50"/>
      <c r="C90" s="43" t="s">
        <v>841</v>
      </c>
      <c r="D90" s="43">
        <v>104</v>
      </c>
      <c r="E90" s="43">
        <v>115.5</v>
      </c>
      <c r="F90" s="43">
        <f t="shared" si="8"/>
        <v>104</v>
      </c>
      <c r="G90" s="48" t="s">
        <v>522</v>
      </c>
      <c r="H90" s="3" t="str">
        <f>TRIM(SUBSTITUTE(Sheet2!$C90, "كيسيل", "")) &amp; " " &amp; "كيسيل"</f>
        <v>يارده 110 مم 50 سم كيسيل</v>
      </c>
      <c r="I90" s="3" t="s">
        <v>841</v>
      </c>
      <c r="J90">
        <v>10</v>
      </c>
    </row>
    <row r="91" spans="1:10" x14ac:dyDescent="0.35">
      <c r="A91" s="47">
        <v>11</v>
      </c>
      <c r="B91" s="49"/>
      <c r="C91" s="46" t="s">
        <v>776</v>
      </c>
      <c r="D91" s="46">
        <v>23</v>
      </c>
      <c r="E91" s="46">
        <v>25.5</v>
      </c>
      <c r="F91" s="46">
        <f t="shared" si="8"/>
        <v>23</v>
      </c>
      <c r="G91" s="44" t="s">
        <v>522</v>
      </c>
      <c r="H91" s="3" t="str">
        <f>TRIM(SUBSTITUTE(Sheet2!$C91, "كيسيل", "")) &amp; " " &amp; "كيسيل"</f>
        <v>کوع 32 مم 45 كيسيل</v>
      </c>
      <c r="I91" s="3" t="s">
        <v>776</v>
      </c>
      <c r="J91">
        <v>11</v>
      </c>
    </row>
    <row r="92" spans="1:10" x14ac:dyDescent="0.35">
      <c r="A92" s="42">
        <v>12</v>
      </c>
      <c r="B92" s="50"/>
      <c r="C92" s="43" t="s">
        <v>525</v>
      </c>
      <c r="D92" s="43">
        <v>31</v>
      </c>
      <c r="E92" s="43">
        <v>34.5</v>
      </c>
      <c r="F92" s="43">
        <f t="shared" si="8"/>
        <v>31</v>
      </c>
      <c r="G92" s="48" t="s">
        <v>522</v>
      </c>
      <c r="H92" s="3" t="str">
        <f>TRIM(SUBSTITUTE(Sheet2!$C92, "كيسيل", "")) &amp; " " &amp; "كيسيل"</f>
        <v>كوع 50 مم 45 كيسيل</v>
      </c>
      <c r="I92" s="3" t="s">
        <v>525</v>
      </c>
      <c r="J92">
        <v>12</v>
      </c>
    </row>
    <row r="93" spans="1:10" x14ac:dyDescent="0.35">
      <c r="A93" s="47">
        <v>13</v>
      </c>
      <c r="B93" s="49"/>
      <c r="C93" s="46" t="s">
        <v>526</v>
      </c>
      <c r="D93" s="46">
        <v>43.75</v>
      </c>
      <c r="E93" s="46">
        <v>48.5</v>
      </c>
      <c r="F93" s="46">
        <f t="shared" si="8"/>
        <v>43.75</v>
      </c>
      <c r="G93" s="44" t="s">
        <v>522</v>
      </c>
      <c r="H93" s="3" t="str">
        <f>TRIM(SUBSTITUTE(Sheet2!$C93, "كيسيل", "")) &amp; " " &amp; "كيسيل"</f>
        <v>كوع 63 مم 45 كيسيل</v>
      </c>
      <c r="I93" s="3" t="s">
        <v>526</v>
      </c>
      <c r="J93">
        <v>13</v>
      </c>
    </row>
    <row r="94" spans="1:10" x14ac:dyDescent="0.35">
      <c r="A94" s="42">
        <v>14</v>
      </c>
      <c r="B94" s="50"/>
      <c r="C94" s="43" t="s">
        <v>527</v>
      </c>
      <c r="D94" s="43">
        <v>48</v>
      </c>
      <c r="E94" s="43">
        <v>53.25</v>
      </c>
      <c r="F94" s="43">
        <f t="shared" si="8"/>
        <v>48</v>
      </c>
      <c r="G94" s="48" t="s">
        <v>522</v>
      </c>
      <c r="H94" s="3" t="str">
        <f>TRIM(SUBSTITUTE(Sheet2!$C94, "كيسيل", "")) &amp; " " &amp; "كيسيل"</f>
        <v>كوع 75 مم 45 كيسيل</v>
      </c>
      <c r="I94" s="3" t="s">
        <v>527</v>
      </c>
      <c r="J94">
        <v>14</v>
      </c>
    </row>
    <row r="95" spans="1:10" x14ac:dyDescent="0.35">
      <c r="A95" s="47">
        <v>15</v>
      </c>
      <c r="B95" s="49"/>
      <c r="C95" s="46" t="s">
        <v>528</v>
      </c>
      <c r="D95" s="46">
        <v>75.25</v>
      </c>
      <c r="E95" s="46">
        <v>83.5</v>
      </c>
      <c r="F95" s="46">
        <f t="shared" si="8"/>
        <v>75.25</v>
      </c>
      <c r="G95" s="44" t="s">
        <v>522</v>
      </c>
      <c r="H95" s="3" t="str">
        <f>TRIM(SUBSTITUTE(Sheet2!$C95, "كيسيل", "")) &amp; " " &amp; "كيسيل"</f>
        <v>كوع 110 مم 45 كيسيل</v>
      </c>
      <c r="I95" s="3" t="s">
        <v>528</v>
      </c>
      <c r="J95">
        <v>15</v>
      </c>
    </row>
    <row r="96" spans="1:10" x14ac:dyDescent="0.35">
      <c r="A96" s="42">
        <v>16</v>
      </c>
      <c r="B96" s="50"/>
      <c r="C96" s="43" t="s">
        <v>529</v>
      </c>
      <c r="D96" s="43">
        <v>166</v>
      </c>
      <c r="E96" s="43">
        <v>184.25</v>
      </c>
      <c r="F96" s="43">
        <f t="shared" si="8"/>
        <v>166</v>
      </c>
      <c r="G96" s="48" t="s">
        <v>522</v>
      </c>
      <c r="H96" s="3" t="str">
        <f>TRIM(SUBSTITUTE(Sheet2!$C96, "كيسيل", "")) &amp; " " &amp; "كيسيل"</f>
        <v>كوع 160 مم 45 كيسيل</v>
      </c>
      <c r="I96" s="3" t="s">
        <v>529</v>
      </c>
      <c r="J96">
        <v>16</v>
      </c>
    </row>
    <row r="97" spans="1:10" x14ac:dyDescent="0.35">
      <c r="A97" s="47">
        <v>17</v>
      </c>
      <c r="B97" s="49"/>
      <c r="C97" s="46" t="s">
        <v>530</v>
      </c>
      <c r="D97" s="46">
        <v>21.25</v>
      </c>
      <c r="E97" s="46">
        <v>23.5</v>
      </c>
      <c r="F97" s="46">
        <f t="shared" si="8"/>
        <v>21.25</v>
      </c>
      <c r="G97" s="44" t="s">
        <v>522</v>
      </c>
      <c r="H97" s="3" t="str">
        <f>TRIM(SUBSTITUTE(Sheet2!$C97, "كيسيل", "")) &amp; " " &amp; "كيسيل"</f>
        <v>كوع 32 مم 87.5 كيسيل</v>
      </c>
      <c r="I97" s="3" t="s">
        <v>530</v>
      </c>
      <c r="J97">
        <v>17</v>
      </c>
    </row>
    <row r="98" spans="1:10" x14ac:dyDescent="0.35">
      <c r="A98" s="42">
        <v>18</v>
      </c>
      <c r="B98" s="50"/>
      <c r="C98" s="43" t="s">
        <v>959</v>
      </c>
      <c r="D98" s="43">
        <v>30</v>
      </c>
      <c r="E98" s="43">
        <v>33.25</v>
      </c>
      <c r="F98" s="43">
        <f t="shared" si="8"/>
        <v>30</v>
      </c>
      <c r="G98" s="48" t="s">
        <v>522</v>
      </c>
      <c r="H98" s="3" t="str">
        <f>TRIM(SUBSTITUTE(Sheet2!$C98, "كيسيل", "")) &amp; " " &amp; "كيسيل"</f>
        <v>كوع 50 مم 90درجه كيسيل</v>
      </c>
      <c r="I98" s="3" t="s">
        <v>1042</v>
      </c>
      <c r="J98">
        <v>18</v>
      </c>
    </row>
    <row r="99" spans="1:10" x14ac:dyDescent="0.35">
      <c r="A99" s="47">
        <v>19</v>
      </c>
      <c r="B99" s="49"/>
      <c r="C99" s="46" t="s">
        <v>531</v>
      </c>
      <c r="D99" s="46">
        <v>46.5</v>
      </c>
      <c r="E99" s="46">
        <v>51.5</v>
      </c>
      <c r="F99" s="46">
        <f t="shared" si="8"/>
        <v>46.5</v>
      </c>
      <c r="G99" s="44" t="s">
        <v>522</v>
      </c>
      <c r="H99" s="3" t="str">
        <f>TRIM(SUBSTITUTE(Sheet2!$C99, "كيسيل", "")) &amp; " " &amp; "كيسيل"</f>
        <v>كوع 63 مم 87.5 كيسيل</v>
      </c>
      <c r="I99" s="3" t="s">
        <v>531</v>
      </c>
      <c r="J99">
        <v>19</v>
      </c>
    </row>
    <row r="100" spans="1:10" x14ac:dyDescent="0.35">
      <c r="A100" s="42">
        <v>20</v>
      </c>
      <c r="B100" s="50"/>
      <c r="C100" s="43" t="s">
        <v>960</v>
      </c>
      <c r="D100" s="43">
        <v>61</v>
      </c>
      <c r="E100" s="43">
        <v>67.75</v>
      </c>
      <c r="F100" s="43">
        <f t="shared" si="8"/>
        <v>61</v>
      </c>
      <c r="G100" s="48" t="s">
        <v>522</v>
      </c>
      <c r="H100" s="3" t="str">
        <f>TRIM(SUBSTITUTE(Sheet2!$C100, "كيسيل", "")) &amp; " " &amp; "كيسيل"</f>
        <v>كوع 75 مم 90درجه كيسيل</v>
      </c>
      <c r="I100" s="3" t="s">
        <v>1043</v>
      </c>
      <c r="J100">
        <v>20</v>
      </c>
    </row>
    <row r="101" spans="1:10" x14ac:dyDescent="0.35">
      <c r="A101" s="47">
        <v>21</v>
      </c>
      <c r="B101" s="49"/>
      <c r="C101" s="46" t="s">
        <v>961</v>
      </c>
      <c r="D101" s="46">
        <v>74.75</v>
      </c>
      <c r="E101" s="46">
        <v>83</v>
      </c>
      <c r="F101" s="46">
        <f t="shared" si="8"/>
        <v>74.75</v>
      </c>
      <c r="G101" s="44" t="s">
        <v>522</v>
      </c>
      <c r="H101" s="3" t="str">
        <f>TRIM(SUBSTITUTE(Sheet2!$C101, "كيسيل", "")) &amp; " " &amp; "كيسيل"</f>
        <v>كوع 110 مم 90درجه كيسيل</v>
      </c>
      <c r="I101" s="3" t="s">
        <v>1044</v>
      </c>
      <c r="J101">
        <v>21</v>
      </c>
    </row>
    <row r="102" spans="1:10" x14ac:dyDescent="0.35">
      <c r="A102" s="42">
        <v>22</v>
      </c>
      <c r="B102" s="50"/>
      <c r="C102" s="43" t="s">
        <v>962</v>
      </c>
      <c r="D102" s="43">
        <v>177</v>
      </c>
      <c r="E102" s="43">
        <v>196.5</v>
      </c>
      <c r="F102" s="43">
        <f t="shared" ref="F102:F156" si="9">D102</f>
        <v>177</v>
      </c>
      <c r="G102" s="48" t="s">
        <v>522</v>
      </c>
      <c r="H102" s="3" t="str">
        <f>TRIM(SUBSTITUTE(Sheet2!$C102, "كيسيل", "")) &amp; " " &amp; "كيسيل"</f>
        <v>كوع 160 مم 90درجه كيسيل</v>
      </c>
      <c r="I102" s="3" t="s">
        <v>1045</v>
      </c>
      <c r="J102">
        <v>22</v>
      </c>
    </row>
    <row r="103" spans="1:10" x14ac:dyDescent="0.35">
      <c r="A103" s="47">
        <v>23</v>
      </c>
      <c r="B103" s="49"/>
      <c r="C103" s="46" t="s">
        <v>777</v>
      </c>
      <c r="D103" s="46">
        <v>69.75</v>
      </c>
      <c r="E103" s="46">
        <v>77.5</v>
      </c>
      <c r="F103" s="46">
        <f t="shared" si="9"/>
        <v>69.75</v>
      </c>
      <c r="G103" s="44" t="s">
        <v>522</v>
      </c>
      <c r="H103" s="3" t="str">
        <f>TRIM(SUBSTITUTE(Sheet2!$C103, "كيسيل", "")) &amp; " " &amp; "كيسيل"</f>
        <v>كوع بباب كشف 75 مم 87.5 كيسيل</v>
      </c>
      <c r="I103" s="3" t="s">
        <v>777</v>
      </c>
      <c r="J103">
        <v>23</v>
      </c>
    </row>
    <row r="104" spans="1:10" x14ac:dyDescent="0.35">
      <c r="A104" s="42">
        <v>24</v>
      </c>
      <c r="B104" s="50"/>
      <c r="C104" s="43" t="s">
        <v>963</v>
      </c>
      <c r="D104" s="43">
        <v>109.25</v>
      </c>
      <c r="E104" s="43">
        <v>121.25</v>
      </c>
      <c r="F104" s="43">
        <f t="shared" si="9"/>
        <v>109.25</v>
      </c>
      <c r="G104" s="48" t="s">
        <v>522</v>
      </c>
      <c r="H104" s="3" t="str">
        <f>TRIM(SUBSTITUTE(Sheet2!$C104, "كيسيل", "")) &amp; " " &amp; "كيسيل"</f>
        <v>كوع بباب 110 مم 90درجه كيسيل</v>
      </c>
      <c r="I104" s="3" t="s">
        <v>1046</v>
      </c>
      <c r="J104">
        <v>24</v>
      </c>
    </row>
    <row r="105" spans="1:10" x14ac:dyDescent="0.35">
      <c r="A105" s="47">
        <v>25</v>
      </c>
      <c r="B105" s="49"/>
      <c r="C105" s="46" t="s">
        <v>964</v>
      </c>
      <c r="D105" s="46">
        <v>229.5</v>
      </c>
      <c r="E105" s="46">
        <v>254.75</v>
      </c>
      <c r="F105" s="46">
        <f t="shared" si="9"/>
        <v>229.5</v>
      </c>
      <c r="G105" s="44" t="s">
        <v>522</v>
      </c>
      <c r="H105" s="3" t="str">
        <f>TRIM(SUBSTITUTE(Sheet2!$C105, "كيسيل", "")) &amp; " " &amp; "كيسيل"</f>
        <v>كوع بباب 160 مم 90درجه كيسيل</v>
      </c>
      <c r="I105" s="3" t="s">
        <v>1047</v>
      </c>
      <c r="J105">
        <v>25</v>
      </c>
    </row>
    <row r="106" spans="1:10" x14ac:dyDescent="0.35">
      <c r="A106" s="42">
        <v>26</v>
      </c>
      <c r="B106" s="50"/>
      <c r="C106" s="43" t="s">
        <v>778</v>
      </c>
      <c r="D106" s="43">
        <v>47.75</v>
      </c>
      <c r="E106" s="43">
        <v>53</v>
      </c>
      <c r="F106" s="43">
        <f t="shared" si="9"/>
        <v>47.75</v>
      </c>
      <c r="G106" s="44" t="s">
        <v>522</v>
      </c>
      <c r="H106" s="3" t="str">
        <f>TRIM(SUBSTITUTE(Sheet2!$C106, "كيسيل", "")) &amp; " " &amp; "كيسيل"</f>
        <v>مشترك 32 مم 45 كيسيل</v>
      </c>
      <c r="I106" s="3" t="s">
        <v>778</v>
      </c>
      <c r="J106">
        <v>26</v>
      </c>
    </row>
    <row r="107" spans="1:10" x14ac:dyDescent="0.35">
      <c r="A107" s="42">
        <v>27</v>
      </c>
      <c r="B107" s="50"/>
      <c r="C107" s="43" t="s">
        <v>802</v>
      </c>
      <c r="D107" s="43">
        <v>64</v>
      </c>
      <c r="E107" s="43">
        <v>71</v>
      </c>
      <c r="F107" s="43">
        <f t="shared" si="9"/>
        <v>64</v>
      </c>
      <c r="G107" s="48" t="s">
        <v>522</v>
      </c>
      <c r="H107" s="3" t="str">
        <f>TRIM(SUBSTITUTE(Sheet2!$C107, "كيسيل", "")) &amp; " " &amp; "كيسيل"</f>
        <v>مشترك 50/50 45 كيسيل</v>
      </c>
      <c r="I107" s="3" t="s">
        <v>1048</v>
      </c>
      <c r="J107">
        <v>27</v>
      </c>
    </row>
    <row r="108" spans="1:10" x14ac:dyDescent="0.35">
      <c r="A108" s="42">
        <v>28</v>
      </c>
      <c r="B108" s="50"/>
      <c r="C108" s="43" t="s">
        <v>803</v>
      </c>
      <c r="D108" s="43">
        <v>77.5</v>
      </c>
      <c r="E108" s="43">
        <v>86</v>
      </c>
      <c r="F108" s="43">
        <f t="shared" si="9"/>
        <v>77.5</v>
      </c>
      <c r="G108" s="44" t="s">
        <v>522</v>
      </c>
      <c r="H108" s="3" t="str">
        <f>TRIM(SUBSTITUTE(Sheet2!$C108, "كيسيل", "")) &amp; " " &amp; "كيسيل"</f>
        <v>مشترك 75/50 45 كيسيل</v>
      </c>
      <c r="I108" s="3" t="s">
        <v>1049</v>
      </c>
      <c r="J108">
        <v>28</v>
      </c>
    </row>
    <row r="109" spans="1:10" x14ac:dyDescent="0.35">
      <c r="A109" s="42">
        <v>29</v>
      </c>
      <c r="B109" s="50"/>
      <c r="C109" s="43" t="s">
        <v>779</v>
      </c>
      <c r="D109" s="43">
        <v>77.25</v>
      </c>
      <c r="E109" s="43">
        <v>85.75</v>
      </c>
      <c r="F109" s="43">
        <f t="shared" si="9"/>
        <v>77.25</v>
      </c>
      <c r="G109" s="48" t="s">
        <v>522</v>
      </c>
      <c r="H109" s="3" t="str">
        <f>TRIM(SUBSTITUTE(Sheet2!$C109, "كيسيل", "")) &amp; " " &amp; "كيسيل"</f>
        <v>مشترك 63 مم 45 كيسيل</v>
      </c>
      <c r="I109" s="3" t="s">
        <v>779</v>
      </c>
      <c r="J109">
        <v>29</v>
      </c>
    </row>
    <row r="110" spans="1:10" x14ac:dyDescent="0.35">
      <c r="A110" s="42">
        <v>30</v>
      </c>
      <c r="B110" s="50"/>
      <c r="C110" s="43" t="s">
        <v>804</v>
      </c>
      <c r="D110" s="43">
        <v>86</v>
      </c>
      <c r="E110" s="43">
        <v>95.5</v>
      </c>
      <c r="F110" s="43">
        <f t="shared" si="9"/>
        <v>86</v>
      </c>
      <c r="G110" s="44" t="s">
        <v>522</v>
      </c>
      <c r="H110" s="3" t="str">
        <f>TRIM(SUBSTITUTE(Sheet2!$C110, "كيسيل", "")) &amp; " " &amp; "كيسيل"</f>
        <v>مشترك 75/75 45 كيسيل</v>
      </c>
      <c r="I110" s="3" t="s">
        <v>1050</v>
      </c>
      <c r="J110">
        <v>30</v>
      </c>
    </row>
    <row r="111" spans="1:10" x14ac:dyDescent="0.35">
      <c r="A111" s="42">
        <v>31</v>
      </c>
      <c r="B111" s="50"/>
      <c r="C111" s="43" t="s">
        <v>805</v>
      </c>
      <c r="D111" s="43">
        <v>112.5</v>
      </c>
      <c r="E111" s="43">
        <v>125</v>
      </c>
      <c r="F111" s="43">
        <f t="shared" si="9"/>
        <v>112.5</v>
      </c>
      <c r="G111" s="48" t="s">
        <v>522</v>
      </c>
      <c r="H111" s="3" t="str">
        <f>TRIM(SUBSTITUTE(Sheet2!$C111, "كيسيل", "")) &amp; " " &amp; "كيسيل"</f>
        <v>مشترك 110/50 45 كيسيل</v>
      </c>
      <c r="I111" s="3" t="s">
        <v>1051</v>
      </c>
      <c r="J111">
        <v>31</v>
      </c>
    </row>
    <row r="112" spans="1:10" x14ac:dyDescent="0.35">
      <c r="A112" s="42">
        <v>32</v>
      </c>
      <c r="B112" s="50"/>
      <c r="C112" s="43" t="s">
        <v>806</v>
      </c>
      <c r="D112" s="43">
        <v>126.75</v>
      </c>
      <c r="E112" s="43">
        <v>140.75</v>
      </c>
      <c r="F112" s="43">
        <f t="shared" si="9"/>
        <v>126.75</v>
      </c>
      <c r="G112" s="44" t="s">
        <v>522</v>
      </c>
      <c r="H112" s="3" t="str">
        <f>TRIM(SUBSTITUTE(Sheet2!$C112, "كيسيل", "")) &amp; " " &amp; "كيسيل"</f>
        <v>مشترك 110/75 45 كيسيل</v>
      </c>
      <c r="I112" s="3" t="s">
        <v>1052</v>
      </c>
      <c r="J112">
        <v>32</v>
      </c>
    </row>
    <row r="113" spans="1:10" x14ac:dyDescent="0.35">
      <c r="A113" s="42">
        <v>33</v>
      </c>
      <c r="B113" s="50"/>
      <c r="C113" s="43" t="s">
        <v>842</v>
      </c>
      <c r="D113" s="43">
        <v>132.75</v>
      </c>
      <c r="E113" s="43">
        <v>147.25</v>
      </c>
      <c r="F113" s="43">
        <f t="shared" si="9"/>
        <v>132.75</v>
      </c>
      <c r="G113" s="48" t="s">
        <v>522</v>
      </c>
      <c r="H113" s="3" t="str">
        <f>TRIM(SUBSTITUTE(Sheet2!$C113, "كيسيل", "")) &amp; " " &amp; "كيسيل"</f>
        <v>مشترك 45 درجه 110/110 كيسيل</v>
      </c>
      <c r="I113" s="3" t="s">
        <v>842</v>
      </c>
      <c r="J113">
        <v>33</v>
      </c>
    </row>
    <row r="114" spans="1:10" x14ac:dyDescent="0.35">
      <c r="A114" s="42">
        <v>34</v>
      </c>
      <c r="B114" s="50"/>
      <c r="C114" s="43" t="s">
        <v>807</v>
      </c>
      <c r="D114" s="43">
        <v>294.75</v>
      </c>
      <c r="E114" s="43">
        <v>327.25</v>
      </c>
      <c r="F114" s="43">
        <f t="shared" si="9"/>
        <v>294.75</v>
      </c>
      <c r="G114" s="44" t="s">
        <v>522</v>
      </c>
      <c r="H114" s="3" t="str">
        <f>TRIM(SUBSTITUTE(Sheet2!$C114, "كيسيل", "")) &amp; " " &amp; "كيسيل"</f>
        <v>مشترك 160/110 45 كيسيل</v>
      </c>
      <c r="I114" s="3" t="s">
        <v>1053</v>
      </c>
      <c r="J114">
        <v>34</v>
      </c>
    </row>
    <row r="115" spans="1:10" x14ac:dyDescent="0.35">
      <c r="A115" s="42">
        <v>35</v>
      </c>
      <c r="B115" s="50"/>
      <c r="C115" s="43" t="s">
        <v>780</v>
      </c>
      <c r="D115" s="43">
        <v>382.25</v>
      </c>
      <c r="E115" s="43">
        <v>424.25</v>
      </c>
      <c r="F115" s="43">
        <f t="shared" si="9"/>
        <v>382.25</v>
      </c>
      <c r="G115" s="48" t="s">
        <v>522</v>
      </c>
      <c r="H115" s="3" t="str">
        <f>TRIM(SUBSTITUTE(Sheet2!$C115, "كيسيل", "")) &amp; " " &amp; "كيسيل"</f>
        <v>مشترك 160/160 45 كيسيل</v>
      </c>
      <c r="I115" s="3" t="s">
        <v>780</v>
      </c>
      <c r="J115">
        <v>35</v>
      </c>
    </row>
    <row r="116" spans="1:10" x14ac:dyDescent="0.35">
      <c r="A116" s="42">
        <v>36</v>
      </c>
      <c r="B116" s="50"/>
      <c r="C116" s="43" t="s">
        <v>781</v>
      </c>
      <c r="D116" s="43">
        <v>46</v>
      </c>
      <c r="E116" s="43">
        <v>51</v>
      </c>
      <c r="F116" s="43">
        <f t="shared" si="9"/>
        <v>46</v>
      </c>
      <c r="G116" s="44" t="s">
        <v>522</v>
      </c>
      <c r="H116" s="3" t="str">
        <f>TRIM(SUBSTITUTE(Sheet2!$C116, "كيسيل", "")) &amp; " " &amp; "كيسيل"</f>
        <v>مشترك 32 مم 87.5 كيسيل</v>
      </c>
      <c r="I116" s="3" t="s">
        <v>781</v>
      </c>
      <c r="J116">
        <v>36</v>
      </c>
    </row>
    <row r="117" spans="1:10" x14ac:dyDescent="0.35">
      <c r="A117" s="42">
        <v>37</v>
      </c>
      <c r="B117" s="50"/>
      <c r="C117" s="43" t="s">
        <v>965</v>
      </c>
      <c r="D117" s="43">
        <v>62</v>
      </c>
      <c r="E117" s="43">
        <v>68.75</v>
      </c>
      <c r="F117" s="43">
        <f t="shared" si="9"/>
        <v>62</v>
      </c>
      <c r="G117" s="48" t="s">
        <v>522</v>
      </c>
      <c r="H117" s="3" t="str">
        <f>TRIM(SUBSTITUTE(Sheet2!$C117, "كيسيل", "")) &amp; " " &amp; "كيسيل"</f>
        <v>مشترك 50/50 90درجه كيسيل</v>
      </c>
      <c r="I117" s="3" t="s">
        <v>965</v>
      </c>
      <c r="J117">
        <v>37</v>
      </c>
    </row>
    <row r="118" spans="1:10" x14ac:dyDescent="0.35">
      <c r="A118" s="42">
        <v>38</v>
      </c>
      <c r="B118" s="50"/>
      <c r="C118" s="43" t="s">
        <v>966</v>
      </c>
      <c r="D118" s="43">
        <v>78</v>
      </c>
      <c r="E118" s="43">
        <v>86.5</v>
      </c>
      <c r="F118" s="43">
        <f t="shared" si="9"/>
        <v>78</v>
      </c>
      <c r="G118" s="44" t="s">
        <v>522</v>
      </c>
      <c r="H118" s="3" t="str">
        <f>TRIM(SUBSTITUTE(Sheet2!$C118, "كيسيل", "")) &amp; " " &amp; "كيسيل"</f>
        <v>مشترك 75/50 90درجه كيسيل</v>
      </c>
      <c r="I118" s="3" t="s">
        <v>966</v>
      </c>
      <c r="J118">
        <v>38</v>
      </c>
    </row>
    <row r="119" spans="1:10" x14ac:dyDescent="0.35">
      <c r="A119" s="42">
        <v>39</v>
      </c>
      <c r="B119" s="50"/>
      <c r="C119" s="43" t="s">
        <v>782</v>
      </c>
      <c r="D119" s="43">
        <v>74.25</v>
      </c>
      <c r="E119" s="43">
        <v>82.5</v>
      </c>
      <c r="F119" s="43">
        <f t="shared" si="9"/>
        <v>74.25</v>
      </c>
      <c r="G119" s="48" t="s">
        <v>522</v>
      </c>
      <c r="H119" s="3" t="str">
        <f>TRIM(SUBSTITUTE(Sheet2!$C119, "كيسيل", "")) &amp; " " &amp; "كيسيل"</f>
        <v>مشترك 63م 87.5 كيسيل</v>
      </c>
      <c r="I119" s="3" t="s">
        <v>782</v>
      </c>
      <c r="J119">
        <v>39</v>
      </c>
    </row>
    <row r="120" spans="1:10" x14ac:dyDescent="0.35">
      <c r="A120" s="42">
        <v>40</v>
      </c>
      <c r="B120" s="50"/>
      <c r="C120" s="43" t="s">
        <v>967</v>
      </c>
      <c r="D120" s="43">
        <v>79.75</v>
      </c>
      <c r="E120" s="43">
        <v>88.5</v>
      </c>
      <c r="F120" s="43">
        <f t="shared" si="9"/>
        <v>79.75</v>
      </c>
      <c r="G120" s="44" t="s">
        <v>522</v>
      </c>
      <c r="H120" s="3" t="str">
        <f>TRIM(SUBSTITUTE(Sheet2!$C120, "كيسيل", "")) &amp; " " &amp; "كيسيل"</f>
        <v>مشترك 75/63 90درجه كيسيل</v>
      </c>
      <c r="I120" s="3" t="s">
        <v>967</v>
      </c>
      <c r="J120">
        <v>40</v>
      </c>
    </row>
    <row r="121" spans="1:10" x14ac:dyDescent="0.35">
      <c r="A121" s="42">
        <v>41</v>
      </c>
      <c r="B121" s="50"/>
      <c r="C121" s="43" t="s">
        <v>968</v>
      </c>
      <c r="D121" s="43">
        <v>84</v>
      </c>
      <c r="E121" s="43">
        <v>93.25</v>
      </c>
      <c r="F121" s="43">
        <f t="shared" si="9"/>
        <v>84</v>
      </c>
      <c r="G121" s="48" t="s">
        <v>522</v>
      </c>
      <c r="H121" s="3" t="str">
        <f>TRIM(SUBSTITUTE(Sheet2!$C121, "كيسيل", "")) &amp; " " &amp; "كيسيل"</f>
        <v>مشترك 75/75 90درجه كيسيل</v>
      </c>
      <c r="I121" s="3" t="s">
        <v>968</v>
      </c>
      <c r="J121">
        <v>41</v>
      </c>
    </row>
    <row r="122" spans="1:10" x14ac:dyDescent="0.35">
      <c r="A122" s="42">
        <v>42</v>
      </c>
      <c r="B122" s="50"/>
      <c r="C122" s="43" t="s">
        <v>969</v>
      </c>
      <c r="D122" s="43">
        <v>112.5</v>
      </c>
      <c r="E122" s="43">
        <v>125</v>
      </c>
      <c r="F122" s="43">
        <f t="shared" si="9"/>
        <v>112.5</v>
      </c>
      <c r="G122" s="44" t="s">
        <v>522</v>
      </c>
      <c r="H122" s="3" t="str">
        <f>TRIM(SUBSTITUTE(Sheet2!$C122, "كيسيل", "")) &amp; " " &amp; "كيسيل"</f>
        <v>مشترك 110/50 90درجه كيسيل</v>
      </c>
      <c r="I122" s="35" t="s">
        <v>969</v>
      </c>
      <c r="J122">
        <v>42</v>
      </c>
    </row>
    <row r="123" spans="1:10" x14ac:dyDescent="0.35">
      <c r="A123" s="42">
        <v>43</v>
      </c>
      <c r="B123" s="50"/>
      <c r="C123" s="43" t="s">
        <v>970</v>
      </c>
      <c r="D123" s="43">
        <v>119.5</v>
      </c>
      <c r="E123" s="43">
        <v>132.75</v>
      </c>
      <c r="F123" s="43">
        <f t="shared" si="9"/>
        <v>119.5</v>
      </c>
      <c r="G123" s="48" t="s">
        <v>522</v>
      </c>
      <c r="H123" s="3" t="str">
        <f>TRIM(SUBSTITUTE(Sheet2!$C123, "كيسيل", "")) &amp; " " &amp; "كيسيل"</f>
        <v>مشترك 110/63 90درجه كيسيل</v>
      </c>
      <c r="I123" s="35" t="s">
        <v>1054</v>
      </c>
      <c r="J123">
        <v>43</v>
      </c>
    </row>
    <row r="124" spans="1:10" x14ac:dyDescent="0.35">
      <c r="A124" s="42">
        <v>44</v>
      </c>
      <c r="B124" s="50"/>
      <c r="C124" s="43" t="s">
        <v>971</v>
      </c>
      <c r="D124" s="43">
        <v>126.25</v>
      </c>
      <c r="E124" s="43">
        <v>140.25</v>
      </c>
      <c r="F124" s="43">
        <f t="shared" si="9"/>
        <v>126.25</v>
      </c>
      <c r="G124" s="44" t="s">
        <v>522</v>
      </c>
      <c r="H124" s="3" t="str">
        <f>TRIM(SUBSTITUTE(Sheet2!$C124, "كيسيل", "")) &amp; " " &amp; "كيسيل"</f>
        <v>مشترك 110/75 90درجه كيسيل</v>
      </c>
      <c r="I124" s="3" t="s">
        <v>1055</v>
      </c>
      <c r="J124">
        <v>44</v>
      </c>
    </row>
    <row r="125" spans="1:10" x14ac:dyDescent="0.35">
      <c r="A125" s="42">
        <v>45</v>
      </c>
      <c r="B125" s="50"/>
      <c r="C125" s="43" t="s">
        <v>972</v>
      </c>
      <c r="D125" s="43">
        <v>131.5</v>
      </c>
      <c r="E125" s="43">
        <v>146</v>
      </c>
      <c r="F125" s="43">
        <f t="shared" si="9"/>
        <v>131.5</v>
      </c>
      <c r="G125" s="48" t="s">
        <v>522</v>
      </c>
      <c r="H125" s="3" t="str">
        <f>TRIM(SUBSTITUTE(Sheet2!$C125, "كيسيل", "")) &amp; " " &amp; "كيسيل"</f>
        <v>مشترك 90درجه درجه 110/110 كيسيل</v>
      </c>
      <c r="I125" s="3" t="s">
        <v>1056</v>
      </c>
      <c r="J125">
        <v>45</v>
      </c>
    </row>
    <row r="126" spans="1:10" x14ac:dyDescent="0.35">
      <c r="A126" s="42">
        <v>46</v>
      </c>
      <c r="B126" s="50"/>
      <c r="C126" s="43" t="s">
        <v>973</v>
      </c>
      <c r="D126" s="43">
        <v>294.75</v>
      </c>
      <c r="E126" s="43">
        <v>327.25</v>
      </c>
      <c r="F126" s="43">
        <f t="shared" si="9"/>
        <v>294.75</v>
      </c>
      <c r="G126" s="44" t="s">
        <v>522</v>
      </c>
      <c r="H126" s="3" t="str">
        <f>TRIM(SUBSTITUTE(Sheet2!$C126, "كيسيل", "")) &amp; " " &amp; "كيسيل"</f>
        <v>مشترك 160/110 90درجه كيسيل</v>
      </c>
      <c r="I126" s="3" t="s">
        <v>973</v>
      </c>
      <c r="J126">
        <v>46</v>
      </c>
    </row>
    <row r="127" spans="1:10" x14ac:dyDescent="0.35">
      <c r="A127" s="42">
        <v>47</v>
      </c>
      <c r="B127" s="50"/>
      <c r="C127" s="43" t="s">
        <v>974</v>
      </c>
      <c r="D127" s="43">
        <v>374</v>
      </c>
      <c r="E127" s="43">
        <v>415.25</v>
      </c>
      <c r="F127" s="43">
        <f t="shared" si="9"/>
        <v>374</v>
      </c>
      <c r="G127" s="48" t="s">
        <v>522</v>
      </c>
      <c r="H127" s="3" t="str">
        <f>TRIM(SUBSTITUTE(Sheet2!$C127, "كيسيل", "")) &amp; " " &amp; "كيسيل"</f>
        <v>مشترك 160/160 90درجه كيسيل</v>
      </c>
      <c r="I127" s="3" t="s">
        <v>1057</v>
      </c>
      <c r="J127">
        <v>47</v>
      </c>
    </row>
    <row r="128" spans="1:10" x14ac:dyDescent="0.35">
      <c r="A128" s="42">
        <v>48</v>
      </c>
      <c r="B128" s="50"/>
      <c r="C128" s="43" t="s">
        <v>783</v>
      </c>
      <c r="D128" s="43">
        <v>134.75</v>
      </c>
      <c r="E128" s="43">
        <v>149.5</v>
      </c>
      <c r="F128" s="43">
        <f t="shared" si="9"/>
        <v>134.75</v>
      </c>
      <c r="G128" s="44" t="s">
        <v>522</v>
      </c>
      <c r="H128" s="3" t="str">
        <f>TRIM(SUBSTITUTE(Sheet2!$C128, "كيسيل", "")) &amp; " " &amp; "كيسيل"</f>
        <v>مشترك بباب كشف 75/75 مم 87.5 كيسيل</v>
      </c>
      <c r="I128" s="3" t="s">
        <v>783</v>
      </c>
      <c r="J128">
        <v>48</v>
      </c>
    </row>
    <row r="129" spans="1:10" x14ac:dyDescent="0.35">
      <c r="A129" s="42">
        <v>49</v>
      </c>
      <c r="B129" s="50"/>
      <c r="C129" s="43" t="s">
        <v>975</v>
      </c>
      <c r="D129" s="43">
        <v>153.25</v>
      </c>
      <c r="E129" s="43">
        <v>170</v>
      </c>
      <c r="F129" s="43">
        <f t="shared" si="9"/>
        <v>153.25</v>
      </c>
      <c r="G129" s="48" t="s">
        <v>522</v>
      </c>
      <c r="H129" s="3" t="str">
        <f>TRIM(SUBSTITUTE(Sheet2!$C129, "كيسيل", "")) &amp; " " &amp; "كيسيل"</f>
        <v>مشترك بباب 50/110 90درجه كيسيل</v>
      </c>
      <c r="I129" s="3" t="s">
        <v>1058</v>
      </c>
      <c r="J129">
        <v>49</v>
      </c>
    </row>
    <row r="130" spans="1:10" x14ac:dyDescent="0.35">
      <c r="A130" s="42">
        <v>50</v>
      </c>
      <c r="B130" s="50"/>
      <c r="C130" s="43" t="s">
        <v>784</v>
      </c>
      <c r="D130" s="43">
        <v>139.75</v>
      </c>
      <c r="E130" s="43">
        <v>155</v>
      </c>
      <c r="F130" s="43">
        <f t="shared" si="9"/>
        <v>139.75</v>
      </c>
      <c r="G130" s="44" t="s">
        <v>522</v>
      </c>
      <c r="H130" s="3" t="str">
        <f>TRIM(SUBSTITUTE(Sheet2!$C130, "كيسيل", "")) &amp; " " &amp; "كيسيل"</f>
        <v>مشترك بباب كشف 110/75 مم 87.5 كيسيل</v>
      </c>
      <c r="I130" s="3" t="s">
        <v>784</v>
      </c>
      <c r="J130">
        <v>50</v>
      </c>
    </row>
    <row r="131" spans="1:10" x14ac:dyDescent="0.35">
      <c r="A131" s="42">
        <v>51</v>
      </c>
      <c r="B131" s="50"/>
      <c r="C131" s="43" t="s">
        <v>976</v>
      </c>
      <c r="D131" s="43">
        <v>178.5</v>
      </c>
      <c r="E131" s="43">
        <v>198.25</v>
      </c>
      <c r="F131" s="43">
        <f t="shared" si="9"/>
        <v>178.5</v>
      </c>
      <c r="G131" s="48" t="s">
        <v>522</v>
      </c>
      <c r="H131" s="3" t="str">
        <f>TRIM(SUBSTITUTE(Sheet2!$C131, "كيسيل", "")) &amp; " " &amp; "كيسيل"</f>
        <v>مشترك بباب 110/110 90درجه كيسيل</v>
      </c>
      <c r="I131" s="3" t="s">
        <v>976</v>
      </c>
      <c r="J131">
        <v>51</v>
      </c>
    </row>
    <row r="132" spans="1:10" x14ac:dyDescent="0.35">
      <c r="A132" s="42">
        <v>52</v>
      </c>
      <c r="B132" s="50"/>
      <c r="C132" s="43" t="s">
        <v>977</v>
      </c>
      <c r="D132" s="43">
        <v>324.5</v>
      </c>
      <c r="E132" s="43">
        <v>360.25</v>
      </c>
      <c r="F132" s="43">
        <f t="shared" si="9"/>
        <v>324.5</v>
      </c>
      <c r="G132" s="44" t="s">
        <v>522</v>
      </c>
      <c r="H132" s="3" t="str">
        <f>TRIM(SUBSTITUTE(Sheet2!$C132, "كيسيل", "")) &amp; " " &amp; "كيسيل"</f>
        <v>مشترك بباب 110/160 90درجه كيسيل</v>
      </c>
      <c r="I132" s="3" t="s">
        <v>977</v>
      </c>
      <c r="J132">
        <v>52</v>
      </c>
    </row>
    <row r="133" spans="1:10" x14ac:dyDescent="0.35">
      <c r="A133" s="42">
        <v>53</v>
      </c>
      <c r="B133" s="50"/>
      <c r="C133" s="43" t="s">
        <v>978</v>
      </c>
      <c r="D133" s="43">
        <v>419.5</v>
      </c>
      <c r="E133" s="43">
        <v>465.75</v>
      </c>
      <c r="F133" s="43">
        <f t="shared" si="9"/>
        <v>419.5</v>
      </c>
      <c r="G133" s="48" t="s">
        <v>522</v>
      </c>
      <c r="H133" s="3" t="str">
        <f>TRIM(SUBSTITUTE(Sheet2!$C133, "كيسيل", "")) &amp; " " &amp; "كيسيل"</f>
        <v>مشترك بباب 160/160 90درجه كيسيل</v>
      </c>
      <c r="I133" s="3" t="s">
        <v>1059</v>
      </c>
      <c r="J133">
        <v>53</v>
      </c>
    </row>
    <row r="134" spans="1:10" x14ac:dyDescent="0.35">
      <c r="A134" s="42">
        <v>54</v>
      </c>
      <c r="B134" s="50"/>
      <c r="C134" s="43" t="s">
        <v>843</v>
      </c>
      <c r="D134" s="43">
        <v>27.5</v>
      </c>
      <c r="E134" s="43">
        <v>30.5</v>
      </c>
      <c r="F134" s="43">
        <f t="shared" si="9"/>
        <v>27.5</v>
      </c>
      <c r="G134" s="44" t="s">
        <v>522</v>
      </c>
      <c r="H134" s="3" t="str">
        <f>TRIM(SUBSTITUTE(Sheet2!$C134, "كيسيل", "")) &amp; " " &amp; "كيسيل"</f>
        <v>جلبه 32 مم كيسيل</v>
      </c>
      <c r="I134" s="3" t="s">
        <v>843</v>
      </c>
      <c r="J134">
        <v>54</v>
      </c>
    </row>
    <row r="135" spans="1:10" x14ac:dyDescent="0.35">
      <c r="A135" s="42">
        <v>55</v>
      </c>
      <c r="B135" s="50"/>
      <c r="C135" s="43" t="s">
        <v>844</v>
      </c>
      <c r="D135" s="43">
        <v>36.5</v>
      </c>
      <c r="E135" s="43">
        <v>40.5</v>
      </c>
      <c r="F135" s="43">
        <f t="shared" si="9"/>
        <v>36.5</v>
      </c>
      <c r="G135" s="48" t="s">
        <v>522</v>
      </c>
      <c r="H135" s="3" t="str">
        <f>TRIM(SUBSTITUTE(Sheet2!$C135, "كيسيل", "")) &amp; " " &amp; "كيسيل"</f>
        <v>جلبه 50 مم كيسيل</v>
      </c>
      <c r="I135" s="3" t="s">
        <v>844</v>
      </c>
      <c r="J135">
        <v>55</v>
      </c>
    </row>
    <row r="136" spans="1:10" x14ac:dyDescent="0.35">
      <c r="A136" s="42">
        <v>56</v>
      </c>
      <c r="B136" s="50"/>
      <c r="C136" s="43" t="s">
        <v>845</v>
      </c>
      <c r="D136" s="43">
        <v>55</v>
      </c>
      <c r="E136" s="43">
        <v>61</v>
      </c>
      <c r="F136" s="43">
        <f t="shared" si="9"/>
        <v>55</v>
      </c>
      <c r="G136" s="44" t="s">
        <v>522</v>
      </c>
      <c r="H136" s="3" t="str">
        <f>TRIM(SUBSTITUTE(Sheet2!$C136, "كيسيل", "")) &amp; " " &amp; "كيسيل"</f>
        <v>جلبه 63 مم كيسيل</v>
      </c>
      <c r="I136" s="3" t="s">
        <v>845</v>
      </c>
      <c r="J136">
        <v>56</v>
      </c>
    </row>
    <row r="137" spans="1:10" x14ac:dyDescent="0.35">
      <c r="A137" s="42">
        <v>57</v>
      </c>
      <c r="B137" s="50"/>
      <c r="C137" s="43" t="s">
        <v>846</v>
      </c>
      <c r="D137" s="43">
        <v>61</v>
      </c>
      <c r="E137" s="43">
        <v>67.75</v>
      </c>
      <c r="F137" s="43">
        <f t="shared" si="9"/>
        <v>61</v>
      </c>
      <c r="G137" s="48" t="s">
        <v>522</v>
      </c>
      <c r="H137" s="3" t="str">
        <f>TRIM(SUBSTITUTE(Sheet2!$C137, "كيسيل", "")) &amp; " " &amp; "كيسيل"</f>
        <v>جلبه 75 مم كيسيل</v>
      </c>
      <c r="I137" s="3" t="s">
        <v>846</v>
      </c>
      <c r="J137">
        <v>57</v>
      </c>
    </row>
    <row r="138" spans="1:10" x14ac:dyDescent="0.35">
      <c r="A138" s="42">
        <v>58</v>
      </c>
      <c r="B138" s="50"/>
      <c r="C138" s="43" t="s">
        <v>847</v>
      </c>
      <c r="D138" s="43">
        <v>75</v>
      </c>
      <c r="E138" s="43">
        <v>83.25</v>
      </c>
      <c r="F138" s="43">
        <f t="shared" si="9"/>
        <v>75</v>
      </c>
      <c r="G138" s="44" t="s">
        <v>522</v>
      </c>
      <c r="H138" s="3" t="str">
        <f>TRIM(SUBSTITUTE(Sheet2!$C138, "كيسيل", "")) &amp; " " &amp; "كيسيل"</f>
        <v>جلبه 110 مم كيسيل</v>
      </c>
      <c r="I138" s="3" t="s">
        <v>847</v>
      </c>
      <c r="J138">
        <v>58</v>
      </c>
    </row>
    <row r="139" spans="1:10" x14ac:dyDescent="0.35">
      <c r="A139" s="42">
        <v>59</v>
      </c>
      <c r="B139" s="50"/>
      <c r="C139" s="43" t="s">
        <v>848</v>
      </c>
      <c r="D139" s="43">
        <v>178.5</v>
      </c>
      <c r="E139" s="43">
        <v>198.25</v>
      </c>
      <c r="F139" s="43">
        <f t="shared" si="9"/>
        <v>178.5</v>
      </c>
      <c r="G139" s="48" t="s">
        <v>522</v>
      </c>
      <c r="H139" s="3" t="str">
        <f>TRIM(SUBSTITUTE(Sheet2!$C139, "كيسيل", "")) &amp; " " &amp; "كيسيل"</f>
        <v>جلبه 160 مم كيسيل</v>
      </c>
      <c r="I139" s="3" t="s">
        <v>848</v>
      </c>
      <c r="J139">
        <v>59</v>
      </c>
    </row>
    <row r="140" spans="1:10" x14ac:dyDescent="0.35">
      <c r="A140" s="42">
        <v>60</v>
      </c>
      <c r="B140" s="50"/>
      <c r="C140" s="43" t="s">
        <v>946</v>
      </c>
      <c r="D140" s="43">
        <v>41.75</v>
      </c>
      <c r="E140" s="43">
        <v>46.25</v>
      </c>
      <c r="F140" s="43">
        <f t="shared" si="9"/>
        <v>41.75</v>
      </c>
      <c r="G140" s="48" t="s">
        <v>522</v>
      </c>
      <c r="H140" s="3" t="str">
        <f>TRIM(SUBSTITUTE(Sheet2!$C140, "كيسيل", "")) &amp; " " &amp; "كيسيل"</f>
        <v>جلبه اصلاح 50 مم كيسيل</v>
      </c>
      <c r="I140" s="3" t="s">
        <v>946</v>
      </c>
      <c r="J140">
        <v>60</v>
      </c>
    </row>
    <row r="141" spans="1:10" x14ac:dyDescent="0.35">
      <c r="A141" s="47">
        <v>61</v>
      </c>
      <c r="B141" s="49"/>
      <c r="C141" s="46" t="s">
        <v>947</v>
      </c>
      <c r="D141" s="46">
        <v>64.5</v>
      </c>
      <c r="E141" s="46">
        <v>71.5</v>
      </c>
      <c r="F141" s="46">
        <f t="shared" si="9"/>
        <v>64.5</v>
      </c>
      <c r="G141" s="44" t="s">
        <v>522</v>
      </c>
      <c r="H141" s="3" t="str">
        <f>TRIM(SUBSTITUTE(Sheet2!$C141, "كيسيل", "")) &amp; " " &amp; "كيسيل"</f>
        <v>جلبه اصلاح 63 مم كيسيل</v>
      </c>
      <c r="I141" s="3" t="s">
        <v>947</v>
      </c>
      <c r="J141">
        <v>61</v>
      </c>
    </row>
    <row r="142" spans="1:10" x14ac:dyDescent="0.35">
      <c r="A142" s="42">
        <v>62</v>
      </c>
      <c r="B142" s="50"/>
      <c r="C142" s="43" t="s">
        <v>948</v>
      </c>
      <c r="D142" s="43">
        <v>71.25</v>
      </c>
      <c r="E142" s="43">
        <v>79</v>
      </c>
      <c r="F142" s="43">
        <f t="shared" si="9"/>
        <v>71.25</v>
      </c>
      <c r="G142" s="48" t="s">
        <v>522</v>
      </c>
      <c r="H142" s="3" t="str">
        <f>TRIM(SUBSTITUTE(Sheet2!$C142, "كيسيل", "")) &amp; " " &amp; "كيسيل"</f>
        <v>جلبه اصلاح 75 مم كيسيل</v>
      </c>
      <c r="I142" s="3" t="s">
        <v>948</v>
      </c>
      <c r="J142">
        <v>62</v>
      </c>
    </row>
    <row r="143" spans="1:10" x14ac:dyDescent="0.35">
      <c r="A143" s="47">
        <v>63</v>
      </c>
      <c r="B143" s="49"/>
      <c r="C143" s="46" t="s">
        <v>849</v>
      </c>
      <c r="D143" s="46">
        <v>119.25</v>
      </c>
      <c r="E143" s="46">
        <v>132.25</v>
      </c>
      <c r="F143" s="46">
        <f t="shared" si="9"/>
        <v>119.25</v>
      </c>
      <c r="G143" s="44" t="s">
        <v>522</v>
      </c>
      <c r="H143" s="3" t="str">
        <f>TRIM(SUBSTITUTE(Sheet2!$C143, "كيسيل", "")) &amp; " " &amp; "كيسيل"</f>
        <v>جلبه اصلاح 110م طول 20 سم كيسيل</v>
      </c>
      <c r="I143" s="3" t="s">
        <v>849</v>
      </c>
      <c r="J143">
        <v>63</v>
      </c>
    </row>
    <row r="144" spans="1:10" x14ac:dyDescent="0.35">
      <c r="A144" s="42">
        <v>64</v>
      </c>
      <c r="B144" s="50"/>
      <c r="C144" s="43" t="s">
        <v>850</v>
      </c>
      <c r="D144" s="43">
        <v>211.25</v>
      </c>
      <c r="E144" s="43">
        <v>234.5</v>
      </c>
      <c r="F144" s="43">
        <f t="shared" si="9"/>
        <v>211.25</v>
      </c>
      <c r="G144" s="48" t="s">
        <v>522</v>
      </c>
      <c r="H144" s="3" t="str">
        <f>TRIM(SUBSTITUTE(Sheet2!$C144, "كيسيل", "")) &amp; " " &amp; "كيسيل"</f>
        <v>جلبه اصلاح 160 مم طول 20 سم كيسيل</v>
      </c>
      <c r="I144" s="3" t="s">
        <v>850</v>
      </c>
      <c r="J144">
        <v>64</v>
      </c>
    </row>
    <row r="145" spans="1:10" x14ac:dyDescent="0.35">
      <c r="A145" s="42">
        <v>65</v>
      </c>
      <c r="B145" s="50"/>
      <c r="C145" s="43" t="s">
        <v>851</v>
      </c>
      <c r="D145" s="43">
        <v>11.5</v>
      </c>
      <c r="E145" s="43">
        <v>12.75</v>
      </c>
      <c r="F145" s="43">
        <f t="shared" si="9"/>
        <v>11.5</v>
      </c>
      <c r="G145" s="48" t="s">
        <v>522</v>
      </c>
      <c r="H145" s="3" t="str">
        <f>TRIM(SUBSTITUTE(Sheet2!$C145, "كيسيل", "")) &amp; " " &amp; "كيسيل"</f>
        <v>طبه 32 مم كيسيل</v>
      </c>
      <c r="I145" s="3" t="s">
        <v>851</v>
      </c>
      <c r="J145">
        <v>65</v>
      </c>
    </row>
    <row r="146" spans="1:10" x14ac:dyDescent="0.35">
      <c r="A146" s="42">
        <v>66</v>
      </c>
      <c r="B146" s="50"/>
      <c r="C146" s="43" t="s">
        <v>852</v>
      </c>
      <c r="D146" s="43">
        <v>31.5</v>
      </c>
      <c r="E146" s="43">
        <v>35</v>
      </c>
      <c r="F146" s="43">
        <f t="shared" si="9"/>
        <v>31.5</v>
      </c>
      <c r="G146" s="44" t="s">
        <v>522</v>
      </c>
      <c r="H146" s="3" t="str">
        <f>TRIM(SUBSTITUTE(Sheet2!$C146, "كيسيل", "")) &amp; " " &amp; "كيسيل"</f>
        <v>طبه 50 مم كيسيل</v>
      </c>
      <c r="I146" s="3" t="s">
        <v>852</v>
      </c>
      <c r="J146">
        <v>66</v>
      </c>
    </row>
    <row r="147" spans="1:10" x14ac:dyDescent="0.35">
      <c r="A147" s="42">
        <v>67</v>
      </c>
      <c r="B147" s="50"/>
      <c r="C147" s="43" t="s">
        <v>853</v>
      </c>
      <c r="D147" s="43">
        <v>36</v>
      </c>
      <c r="E147" s="43">
        <v>40</v>
      </c>
      <c r="F147" s="43">
        <f t="shared" si="9"/>
        <v>36</v>
      </c>
      <c r="G147" s="48" t="s">
        <v>522</v>
      </c>
      <c r="H147" s="3" t="str">
        <f>TRIM(SUBSTITUTE(Sheet2!$C147, "كيسيل", "")) &amp; " " &amp; "كيسيل"</f>
        <v>طبه بيبه 63 مم كيسيل</v>
      </c>
      <c r="I147" s="3" t="s">
        <v>853</v>
      </c>
      <c r="J147">
        <v>67</v>
      </c>
    </row>
    <row r="148" spans="1:10" x14ac:dyDescent="0.35">
      <c r="A148" s="42">
        <v>68</v>
      </c>
      <c r="B148" s="50"/>
      <c r="C148" s="43" t="s">
        <v>854</v>
      </c>
      <c r="D148" s="43">
        <v>41.5</v>
      </c>
      <c r="E148" s="43">
        <v>46</v>
      </c>
      <c r="F148" s="43">
        <f t="shared" si="9"/>
        <v>41.5</v>
      </c>
      <c r="G148" s="44" t="s">
        <v>522</v>
      </c>
      <c r="H148" s="3" t="str">
        <f>TRIM(SUBSTITUTE(Sheet2!$C148, "كيسيل", "")) &amp; " " &amp; "كيسيل"</f>
        <v>طبه 75 مم كيسيل</v>
      </c>
      <c r="I148" s="3" t="s">
        <v>854</v>
      </c>
      <c r="J148">
        <v>68</v>
      </c>
    </row>
    <row r="149" spans="1:10" x14ac:dyDescent="0.35">
      <c r="A149" s="42">
        <v>69</v>
      </c>
      <c r="B149" s="50"/>
      <c r="C149" s="43" t="s">
        <v>855</v>
      </c>
      <c r="D149" s="43">
        <v>61.5</v>
      </c>
      <c r="E149" s="43">
        <v>68.25</v>
      </c>
      <c r="F149" s="43">
        <f t="shared" si="9"/>
        <v>61.5</v>
      </c>
      <c r="G149" s="48" t="s">
        <v>522</v>
      </c>
      <c r="H149" s="3" t="str">
        <f>TRIM(SUBSTITUTE(Sheet2!$C149, "كيسيل", "")) &amp; " " &amp; "كيسيل"</f>
        <v>طبه 110 مم كيسيل</v>
      </c>
      <c r="I149" s="3" t="s">
        <v>855</v>
      </c>
      <c r="J149">
        <v>69</v>
      </c>
    </row>
    <row r="150" spans="1:10" x14ac:dyDescent="0.35">
      <c r="A150" s="42">
        <v>70</v>
      </c>
      <c r="B150" s="50"/>
      <c r="C150" s="43" t="s">
        <v>856</v>
      </c>
      <c r="D150" s="43">
        <v>113.75</v>
      </c>
      <c r="E150" s="43">
        <v>126.25</v>
      </c>
      <c r="F150" s="43">
        <f t="shared" si="9"/>
        <v>113.75</v>
      </c>
      <c r="G150" s="44" t="s">
        <v>522</v>
      </c>
      <c r="H150" s="3" t="str">
        <f>TRIM(SUBSTITUTE(Sheet2!$C150, "كيسيل", "")) &amp; " " &amp; "كيسيل"</f>
        <v>طبه بيبه 160 مم كيسيل</v>
      </c>
      <c r="I150" s="3" t="s">
        <v>856</v>
      </c>
      <c r="J150">
        <v>70</v>
      </c>
    </row>
    <row r="151" spans="1:10" x14ac:dyDescent="0.35">
      <c r="A151" s="42">
        <v>71</v>
      </c>
      <c r="B151" s="50"/>
      <c r="C151" s="43" t="s">
        <v>744</v>
      </c>
      <c r="D151" s="43">
        <v>13.75</v>
      </c>
      <c r="E151" s="43">
        <v>15.25</v>
      </c>
      <c r="F151" s="43">
        <f t="shared" si="9"/>
        <v>13.75</v>
      </c>
      <c r="G151" s="48" t="s">
        <v>522</v>
      </c>
      <c r="H151" s="3" t="str">
        <f>TRIM(SUBSTITUTE(Sheet2!$C151, "كيسيل", "")) &amp; " " &amp; "كيسيل"</f>
        <v>غطاء ماسوره 32 مم كيسيل</v>
      </c>
      <c r="I151" s="3" t="s">
        <v>744</v>
      </c>
      <c r="J151">
        <v>71</v>
      </c>
    </row>
    <row r="152" spans="1:10" x14ac:dyDescent="0.35">
      <c r="A152" s="42">
        <v>72</v>
      </c>
      <c r="B152" s="50"/>
      <c r="C152" s="43" t="s">
        <v>808</v>
      </c>
      <c r="D152" s="43">
        <v>27.75</v>
      </c>
      <c r="E152" s="43">
        <v>30.75</v>
      </c>
      <c r="F152" s="43">
        <f t="shared" si="9"/>
        <v>27.75</v>
      </c>
      <c r="G152" s="44" t="s">
        <v>522</v>
      </c>
      <c r="H152" s="3" t="str">
        <f>TRIM(SUBSTITUTE(Sheet2!$C152, "كيسيل", "")) &amp; " " &amp; "كيسيل"</f>
        <v>غطاء ماسوره 50 مم كيسيل</v>
      </c>
      <c r="I152" s="3" t="s">
        <v>1060</v>
      </c>
      <c r="J152">
        <v>72</v>
      </c>
    </row>
    <row r="153" spans="1:10" x14ac:dyDescent="0.35">
      <c r="A153" s="42">
        <v>73</v>
      </c>
      <c r="B153" s="50"/>
      <c r="C153" s="43" t="s">
        <v>809</v>
      </c>
      <c r="D153" s="43">
        <v>32.5</v>
      </c>
      <c r="E153" s="43">
        <v>36</v>
      </c>
      <c r="F153" s="43">
        <f t="shared" si="9"/>
        <v>32.5</v>
      </c>
      <c r="G153" s="48" t="s">
        <v>522</v>
      </c>
      <c r="H153" s="3" t="str">
        <f>TRIM(SUBSTITUTE(Sheet2!$C153, "كيسيل", "")) &amp; " " &amp; "كيسيل"</f>
        <v>غطاء ماسوره 63 مم كيسيل</v>
      </c>
      <c r="I153" s="3" t="s">
        <v>1061</v>
      </c>
      <c r="J153">
        <v>73</v>
      </c>
    </row>
    <row r="154" spans="1:10" x14ac:dyDescent="0.35">
      <c r="A154" s="42">
        <v>74</v>
      </c>
      <c r="B154" s="50"/>
      <c r="C154" s="43" t="s">
        <v>810</v>
      </c>
      <c r="D154" s="43">
        <v>37.75</v>
      </c>
      <c r="E154" s="43">
        <v>42</v>
      </c>
      <c r="F154" s="43">
        <f t="shared" si="9"/>
        <v>37.75</v>
      </c>
      <c r="G154" s="44" t="s">
        <v>522</v>
      </c>
      <c r="H154" s="3" t="str">
        <f>TRIM(SUBSTITUTE(Sheet2!$C154, "كيسيل", "")) &amp; " " &amp; "كيسيل"</f>
        <v>غطاء ماسوره 75 مم كيسيل</v>
      </c>
      <c r="I154" s="3" t="s">
        <v>1062</v>
      </c>
      <c r="J154">
        <v>74</v>
      </c>
    </row>
    <row r="155" spans="1:10" x14ac:dyDescent="0.35">
      <c r="A155" s="42">
        <v>75</v>
      </c>
      <c r="B155" s="50"/>
      <c r="C155" s="43" t="s">
        <v>785</v>
      </c>
      <c r="D155" s="43">
        <v>54.25</v>
      </c>
      <c r="E155" s="43">
        <v>60.25</v>
      </c>
      <c r="F155" s="43">
        <f t="shared" si="9"/>
        <v>54.25</v>
      </c>
      <c r="G155" s="48" t="s">
        <v>522</v>
      </c>
      <c r="H155" s="3" t="str">
        <f>TRIM(SUBSTITUTE(Sheet2!$C155, "كيسيل", "")) &amp; " " &amp; "كيسيل"</f>
        <v>غطاء ماسوره 110 مم كيسيل</v>
      </c>
      <c r="I155" s="3" t="s">
        <v>785</v>
      </c>
      <c r="J155">
        <v>75</v>
      </c>
    </row>
    <row r="156" spans="1:10" x14ac:dyDescent="0.35">
      <c r="A156" s="42">
        <v>76</v>
      </c>
      <c r="B156" s="50"/>
      <c r="C156" s="43" t="s">
        <v>786</v>
      </c>
      <c r="D156" s="43">
        <v>102.25</v>
      </c>
      <c r="E156" s="43">
        <v>113.5</v>
      </c>
      <c r="F156" s="43">
        <f t="shared" si="9"/>
        <v>102.25</v>
      </c>
      <c r="G156" s="44" t="s">
        <v>522</v>
      </c>
      <c r="H156" s="3" t="str">
        <f>TRIM(SUBSTITUTE(Sheet2!$C156, "كيسيل", "")) &amp; " " &amp; "كيسيل"</f>
        <v>غطاء ماسوره 160 مم كيسيل</v>
      </c>
      <c r="I156" s="3" t="s">
        <v>786</v>
      </c>
      <c r="J156">
        <v>76</v>
      </c>
    </row>
    <row r="157" spans="1:10" x14ac:dyDescent="0.35">
      <c r="A157" s="42">
        <v>77</v>
      </c>
      <c r="B157" s="50"/>
      <c r="C157" s="43" t="s">
        <v>857</v>
      </c>
      <c r="D157" s="43">
        <v>30.5</v>
      </c>
      <c r="E157" s="43">
        <v>33.75</v>
      </c>
      <c r="F157" s="43">
        <f t="shared" ref="F157:F177" si="10">D157</f>
        <v>30.5</v>
      </c>
      <c r="G157" s="48" t="s">
        <v>522</v>
      </c>
      <c r="H157" s="3" t="str">
        <f>TRIM(SUBSTITUTE(Sheet2!$C157, "كيسيل", "")) &amp; " " &amp; "كيسيل"</f>
        <v>مسلوب لا مركزي 50 مم / 1 بوصه كيسيل</v>
      </c>
      <c r="I157" s="3" t="s">
        <v>1063</v>
      </c>
      <c r="J157">
        <v>77</v>
      </c>
    </row>
    <row r="158" spans="1:10" x14ac:dyDescent="0.35">
      <c r="A158" s="42">
        <v>78</v>
      </c>
      <c r="B158" s="50"/>
      <c r="C158" s="43" t="s">
        <v>532</v>
      </c>
      <c r="D158" s="43">
        <v>30.5</v>
      </c>
      <c r="E158" s="43">
        <v>33.75</v>
      </c>
      <c r="F158" s="43">
        <f t="shared" si="10"/>
        <v>30.5</v>
      </c>
      <c r="G158" s="44" t="s">
        <v>522</v>
      </c>
      <c r="H158" s="3" t="str">
        <f>TRIM(SUBSTITUTE(Sheet2!$C158, "كيسيل", "")) &amp; " " &amp; "كيسيل"</f>
        <v>مسلوب لا مركزي 50/32 مم كيسيل</v>
      </c>
      <c r="I158" s="3" t="s">
        <v>532</v>
      </c>
      <c r="J158">
        <v>78</v>
      </c>
    </row>
    <row r="159" spans="1:10" x14ac:dyDescent="0.35">
      <c r="A159" s="42">
        <v>79</v>
      </c>
      <c r="B159" s="50"/>
      <c r="C159" s="43" t="s">
        <v>811</v>
      </c>
      <c r="D159" s="43">
        <v>32.75</v>
      </c>
      <c r="E159" s="43">
        <v>36.25</v>
      </c>
      <c r="F159" s="43">
        <f t="shared" si="10"/>
        <v>32.75</v>
      </c>
      <c r="G159" s="48" t="s">
        <v>522</v>
      </c>
      <c r="H159" s="3" t="str">
        <f>TRIM(SUBSTITUTE(Sheet2!$C159, "كيسيل", "")) &amp; " " &amp; "كيسيل"</f>
        <v>مسلوب 40/50 كيسيل</v>
      </c>
      <c r="I159" s="3" t="s">
        <v>1064</v>
      </c>
      <c r="J159">
        <v>79</v>
      </c>
    </row>
    <row r="160" spans="1:10" x14ac:dyDescent="0.35">
      <c r="A160" s="42">
        <v>80</v>
      </c>
      <c r="B160" s="50"/>
      <c r="C160" s="43" t="s">
        <v>787</v>
      </c>
      <c r="D160" s="43">
        <v>46.5</v>
      </c>
      <c r="E160" s="43">
        <v>51.5</v>
      </c>
      <c r="F160" s="43">
        <f t="shared" si="10"/>
        <v>46.5</v>
      </c>
      <c r="G160" s="44" t="s">
        <v>522</v>
      </c>
      <c r="H160" s="3" t="str">
        <f>TRIM(SUBSTITUTE(Sheet2!$C160, "كيسيل", "")) &amp; " " &amp; "كيسيل"</f>
        <v>مسلوب 63/50 كيسيل</v>
      </c>
      <c r="I160" s="3" t="s">
        <v>787</v>
      </c>
      <c r="J160">
        <v>80</v>
      </c>
    </row>
    <row r="161" spans="1:10" x14ac:dyDescent="0.35">
      <c r="A161" s="42">
        <v>81</v>
      </c>
      <c r="B161" s="50"/>
      <c r="C161" s="43" t="s">
        <v>812</v>
      </c>
      <c r="D161" s="43">
        <v>54.5</v>
      </c>
      <c r="E161" s="43">
        <v>60.5</v>
      </c>
      <c r="F161" s="43">
        <f t="shared" si="10"/>
        <v>54.5</v>
      </c>
      <c r="G161" s="48" t="s">
        <v>522</v>
      </c>
      <c r="H161" s="3" t="str">
        <f>TRIM(SUBSTITUTE(Sheet2!$C161, "كيسيل", "")) &amp; " " &amp; "كيسيل"</f>
        <v>مسلوب 75/50 كيسيل</v>
      </c>
      <c r="I161" s="3" t="s">
        <v>1065</v>
      </c>
      <c r="J161">
        <v>81</v>
      </c>
    </row>
    <row r="162" spans="1:10" x14ac:dyDescent="0.35">
      <c r="A162" s="42">
        <v>82</v>
      </c>
      <c r="B162" s="50"/>
      <c r="C162" s="43" t="s">
        <v>813</v>
      </c>
      <c r="D162" s="43">
        <v>49.75</v>
      </c>
      <c r="E162" s="43">
        <v>55.25</v>
      </c>
      <c r="F162" s="43">
        <f t="shared" si="10"/>
        <v>49.75</v>
      </c>
      <c r="G162" s="44" t="s">
        <v>522</v>
      </c>
      <c r="H162" s="3" t="str">
        <f>TRIM(SUBSTITUTE(Sheet2!$C162, "كيسيل", "")) &amp; " " &amp; "كيسيل"</f>
        <v>مسلوب 63/75 كيسيل</v>
      </c>
      <c r="I162" s="3" t="s">
        <v>1066</v>
      </c>
      <c r="J162">
        <v>82</v>
      </c>
    </row>
    <row r="163" spans="1:10" x14ac:dyDescent="0.35">
      <c r="A163" s="42">
        <v>83</v>
      </c>
      <c r="B163" s="50"/>
      <c r="C163" s="43" t="s">
        <v>814</v>
      </c>
      <c r="D163" s="43">
        <v>71</v>
      </c>
      <c r="E163" s="43">
        <v>78.75</v>
      </c>
      <c r="F163" s="43">
        <f t="shared" si="10"/>
        <v>71</v>
      </c>
      <c r="G163" s="48" t="s">
        <v>522</v>
      </c>
      <c r="H163" s="3" t="str">
        <f>TRIM(SUBSTITUTE(Sheet2!$C163, "كيسيل", "")) &amp; " " &amp; "كيسيل"</f>
        <v>مسلوب 110/50 كيسيل</v>
      </c>
      <c r="I163" s="3" t="s">
        <v>1067</v>
      </c>
      <c r="J163">
        <v>83</v>
      </c>
    </row>
    <row r="164" spans="1:10" x14ac:dyDescent="0.35">
      <c r="A164" s="42">
        <v>84</v>
      </c>
      <c r="B164" s="50"/>
      <c r="C164" s="43" t="s">
        <v>815</v>
      </c>
      <c r="D164" s="43">
        <v>80.75</v>
      </c>
      <c r="E164" s="43">
        <v>89.75</v>
      </c>
      <c r="F164" s="43">
        <f t="shared" si="10"/>
        <v>80.75</v>
      </c>
      <c r="G164" s="44" t="s">
        <v>522</v>
      </c>
      <c r="H164" s="3" t="str">
        <f>TRIM(SUBSTITUTE(Sheet2!$C164, "كيسيل", "")) &amp; " " &amp; "كيسيل"</f>
        <v>مسلوب 110/75 كيسيل</v>
      </c>
      <c r="I164" s="3" t="s">
        <v>1068</v>
      </c>
      <c r="J164">
        <v>84</v>
      </c>
    </row>
    <row r="165" spans="1:10" x14ac:dyDescent="0.35">
      <c r="A165" s="42">
        <v>85</v>
      </c>
      <c r="B165" s="50"/>
      <c r="C165" s="43" t="s">
        <v>788</v>
      </c>
      <c r="D165" s="43">
        <v>134</v>
      </c>
      <c r="E165" s="43">
        <v>148.75</v>
      </c>
      <c r="F165" s="43">
        <f t="shared" si="10"/>
        <v>134</v>
      </c>
      <c r="G165" s="48" t="s">
        <v>522</v>
      </c>
      <c r="H165" s="3" t="str">
        <f>TRIM(SUBSTITUTE(Sheet2!$C165, "كيسيل", "")) &amp; " " &amp; "كيسيل"</f>
        <v>مسلوب 160/110 كيسيل</v>
      </c>
      <c r="I165" s="3" t="s">
        <v>788</v>
      </c>
      <c r="J165">
        <v>85</v>
      </c>
    </row>
    <row r="166" spans="1:10" x14ac:dyDescent="0.35">
      <c r="A166" s="42">
        <v>86</v>
      </c>
      <c r="B166" s="50"/>
      <c r="C166" s="43" t="s">
        <v>858</v>
      </c>
      <c r="D166" s="43">
        <v>31.5</v>
      </c>
      <c r="E166" s="43">
        <v>35</v>
      </c>
      <c r="F166" s="43">
        <f t="shared" si="10"/>
        <v>31.5</v>
      </c>
      <c r="G166" s="44" t="s">
        <v>522</v>
      </c>
      <c r="H166" s="3" t="str">
        <f>TRIM(SUBSTITUTE(Sheet2!$C166, "كيسيل", "")) &amp; " " &amp; "كيسيل"</f>
        <v>هوايه 50 مم كيسيل</v>
      </c>
      <c r="I166" s="3" t="s">
        <v>1069</v>
      </c>
      <c r="J166">
        <v>86</v>
      </c>
    </row>
    <row r="167" spans="1:10" x14ac:dyDescent="0.35">
      <c r="A167" s="42">
        <v>87</v>
      </c>
      <c r="B167" s="50"/>
      <c r="C167" s="43" t="s">
        <v>859</v>
      </c>
      <c r="D167" s="43">
        <v>39</v>
      </c>
      <c r="E167" s="43">
        <v>43.25</v>
      </c>
      <c r="F167" s="43">
        <f t="shared" si="10"/>
        <v>39</v>
      </c>
      <c r="G167" s="48" t="s">
        <v>522</v>
      </c>
      <c r="H167" s="3" t="str">
        <f>TRIM(SUBSTITUTE(Sheet2!$C167, "كيسيل", "")) &amp; " " &amp; "كيسيل"</f>
        <v>هوايه 75 مم كيسيل</v>
      </c>
      <c r="I167" s="3" t="s">
        <v>1070</v>
      </c>
      <c r="J167">
        <v>87</v>
      </c>
    </row>
    <row r="168" spans="1:10" x14ac:dyDescent="0.35">
      <c r="A168" s="42">
        <v>88</v>
      </c>
      <c r="B168" s="50"/>
      <c r="C168" s="43" t="s">
        <v>860</v>
      </c>
      <c r="D168" s="43">
        <v>57</v>
      </c>
      <c r="E168" s="43">
        <v>63.25</v>
      </c>
      <c r="F168" s="43">
        <f t="shared" si="10"/>
        <v>57</v>
      </c>
      <c r="G168" s="44" t="s">
        <v>522</v>
      </c>
      <c r="H168" s="3" t="str">
        <f>TRIM(SUBSTITUTE(Sheet2!$C168, "كيسيل", "")) &amp; " " &amp; "كيسيل"</f>
        <v>هوايه 110 مم كيسيل</v>
      </c>
      <c r="I168" s="3" t="s">
        <v>860</v>
      </c>
      <c r="J168">
        <v>88</v>
      </c>
    </row>
    <row r="169" spans="1:10" x14ac:dyDescent="0.35">
      <c r="A169" s="42">
        <v>89</v>
      </c>
      <c r="B169" s="50"/>
      <c r="C169" s="43" t="s">
        <v>861</v>
      </c>
      <c r="D169" s="43">
        <v>59</v>
      </c>
      <c r="E169" s="43">
        <v>65.5</v>
      </c>
      <c r="F169" s="43">
        <f t="shared" si="10"/>
        <v>59</v>
      </c>
      <c r="G169" s="48" t="s">
        <v>522</v>
      </c>
      <c r="H169" s="3" t="str">
        <f>TRIM(SUBSTITUTE(Sheet2!$C169, "كيسيل", "")) &amp; " " &amp; "كيسيل"</f>
        <v>طبه تسليك 75 مم كيسيل</v>
      </c>
      <c r="I169" s="3" t="s">
        <v>1071</v>
      </c>
      <c r="J169">
        <v>89</v>
      </c>
    </row>
    <row r="170" spans="1:10" x14ac:dyDescent="0.35">
      <c r="A170" s="42">
        <v>90</v>
      </c>
      <c r="B170" s="50"/>
      <c r="C170" s="43" t="s">
        <v>862</v>
      </c>
      <c r="D170" s="43">
        <v>87.5</v>
      </c>
      <c r="E170" s="43">
        <v>97.25</v>
      </c>
      <c r="F170" s="43">
        <f t="shared" si="10"/>
        <v>87.5</v>
      </c>
      <c r="G170" s="44" t="s">
        <v>522</v>
      </c>
      <c r="H170" s="3" t="str">
        <f>TRIM(SUBSTITUTE(Sheet2!$C170, "كيسيل", "")) &amp; " " &amp; "كيسيل"</f>
        <v>طبه تسليك 110 مم كيسيل</v>
      </c>
      <c r="I170" s="3" t="s">
        <v>862</v>
      </c>
      <c r="J170">
        <v>90</v>
      </c>
    </row>
    <row r="171" spans="1:10" x14ac:dyDescent="0.35">
      <c r="A171" s="42">
        <v>91</v>
      </c>
      <c r="B171" s="50"/>
      <c r="C171" s="43" t="s">
        <v>863</v>
      </c>
      <c r="D171" s="43">
        <v>131.25</v>
      </c>
      <c r="E171" s="43">
        <v>145.75</v>
      </c>
      <c r="F171" s="43">
        <f t="shared" si="10"/>
        <v>131.25</v>
      </c>
      <c r="G171" s="48" t="s">
        <v>522</v>
      </c>
      <c r="H171" s="3" t="str">
        <f>TRIM(SUBSTITUTE(Sheet2!$C171, "كيسيل", "")) &amp; " " &amp; "كيسيل"</f>
        <v>طبه تسليك 160 م كيسيل</v>
      </c>
      <c r="I171" s="3" t="s">
        <v>1072</v>
      </c>
      <c r="J171">
        <v>91</v>
      </c>
    </row>
    <row r="172" spans="1:10" x14ac:dyDescent="0.35">
      <c r="A172" s="42">
        <v>92</v>
      </c>
      <c r="B172" s="50"/>
      <c r="C172" s="43" t="s">
        <v>789</v>
      </c>
      <c r="D172" s="43">
        <v>221.5</v>
      </c>
      <c r="E172" s="43">
        <v>245.75</v>
      </c>
      <c r="F172" s="43">
        <f t="shared" si="10"/>
        <v>221.5</v>
      </c>
      <c r="G172" s="44" t="s">
        <v>522</v>
      </c>
      <c r="H172" s="3" t="str">
        <f>TRIM(SUBSTITUTE(Sheet2!$C172, "كيسيل", "")) &amp; " " &amp; "كيسيل"</f>
        <v>سيفون 110 مم كيسيل</v>
      </c>
      <c r="I172" s="3" t="s">
        <v>789</v>
      </c>
      <c r="J172">
        <v>92</v>
      </c>
    </row>
    <row r="173" spans="1:10" x14ac:dyDescent="0.35">
      <c r="A173" s="42">
        <v>93</v>
      </c>
      <c r="B173" s="50"/>
      <c r="C173" s="43" t="s">
        <v>864</v>
      </c>
      <c r="D173" s="43">
        <v>1695.75</v>
      </c>
      <c r="E173" s="43">
        <v>1882.25</v>
      </c>
      <c r="F173" s="43">
        <f t="shared" si="10"/>
        <v>1695.75</v>
      </c>
      <c r="G173" s="48" t="s">
        <v>522</v>
      </c>
      <c r="H173" s="3" t="str">
        <f>TRIM(SUBSTITUTE(Sheet2!$C173, "كيسيل", "")) &amp; " " &amp; "كيسيل"</f>
        <v>صفايه طوليه 300 كيسيل</v>
      </c>
      <c r="I173" s="3" t="s">
        <v>864</v>
      </c>
      <c r="J173">
        <v>93</v>
      </c>
    </row>
    <row r="174" spans="1:10" x14ac:dyDescent="0.35">
      <c r="A174" s="42">
        <v>94</v>
      </c>
      <c r="B174" s="50"/>
      <c r="C174" s="43" t="s">
        <v>865</v>
      </c>
      <c r="D174" s="43">
        <v>2067.75</v>
      </c>
      <c r="E174" s="43">
        <v>2295.25</v>
      </c>
      <c r="F174" s="43">
        <f t="shared" si="10"/>
        <v>2067.75</v>
      </c>
      <c r="G174" s="44" t="s">
        <v>522</v>
      </c>
      <c r="H174" s="3" t="str">
        <f>TRIM(SUBSTITUTE(Sheet2!$C174, "كيسيل", "")) &amp; " " &amp; "كيسيل"</f>
        <v>صفايه طوليه 650 كيسيل</v>
      </c>
      <c r="I174" s="3" t="s">
        <v>865</v>
      </c>
      <c r="J174">
        <v>94</v>
      </c>
    </row>
    <row r="175" spans="1:10" x14ac:dyDescent="0.35">
      <c r="A175" s="42">
        <v>95</v>
      </c>
      <c r="B175" s="50"/>
      <c r="C175" s="43" t="s">
        <v>866</v>
      </c>
      <c r="D175" s="43">
        <v>1041.5</v>
      </c>
      <c r="E175" s="43">
        <v>1156</v>
      </c>
      <c r="F175" s="43">
        <f t="shared" si="10"/>
        <v>1041.5</v>
      </c>
      <c r="G175" s="48" t="s">
        <v>522</v>
      </c>
      <c r="H175" s="3" t="str">
        <f>TRIM(SUBSTITUTE(Sheet2!$C175, "كيسيل", "")) &amp; " " &amp; "كيسيل"</f>
        <v>صفايه مربعه بلاطه 107*107 كيسيل</v>
      </c>
      <c r="I175" s="3" t="s">
        <v>866</v>
      </c>
      <c r="J175">
        <v>95</v>
      </c>
    </row>
    <row r="176" spans="1:10" x14ac:dyDescent="0.35">
      <c r="A176" s="42">
        <v>96</v>
      </c>
      <c r="B176" s="50"/>
      <c r="C176" s="43" t="s">
        <v>867</v>
      </c>
      <c r="D176" s="43">
        <v>265.25</v>
      </c>
      <c r="E176" s="43">
        <v>294.5</v>
      </c>
      <c r="F176" s="43">
        <f t="shared" si="10"/>
        <v>265.25</v>
      </c>
      <c r="G176" s="48" t="s">
        <v>522</v>
      </c>
      <c r="H176" s="3" t="str">
        <f>TRIM(SUBSTITUTE(Sheet2!$C176, "كيسيل", "")) &amp; " " &amp; "كيسيل"</f>
        <v>بيبه 3 مدخل 50 مم ومخرج 75 مم بجوان علوى كيسيل</v>
      </c>
      <c r="I176" s="3" t="s">
        <v>867</v>
      </c>
      <c r="J176">
        <v>96</v>
      </c>
    </row>
    <row r="177" spans="1:10" x14ac:dyDescent="0.35">
      <c r="A177" s="68">
        <v>97</v>
      </c>
      <c r="B177" s="49"/>
      <c r="C177" s="46" t="s">
        <v>868</v>
      </c>
      <c r="D177" s="46">
        <v>302.75</v>
      </c>
      <c r="E177" s="46">
        <v>336</v>
      </c>
      <c r="F177" s="46">
        <f t="shared" si="10"/>
        <v>302.75</v>
      </c>
      <c r="G177" s="44" t="s">
        <v>522</v>
      </c>
      <c r="H177" s="3" t="str">
        <f>TRIM(SUBSTITUTE(Sheet2!$C177, "كيسيل", "")) &amp; " " &amp; "كيسيل"</f>
        <v>بيبه 3 مدخل 63 مخرج 75 مم كيسيل</v>
      </c>
      <c r="I177" s="3" t="s">
        <v>868</v>
      </c>
      <c r="J177">
        <v>97</v>
      </c>
    </row>
    <row r="178" spans="1:10" x14ac:dyDescent="0.35">
      <c r="A178" s="64">
        <v>1</v>
      </c>
      <c r="B178" s="50"/>
      <c r="C178" s="43" t="s">
        <v>869</v>
      </c>
      <c r="D178" s="43">
        <v>51</v>
      </c>
      <c r="E178" s="52">
        <v>56.5</v>
      </c>
      <c r="F178" s="43">
        <f t="shared" ref="F178:F183" si="11">D178</f>
        <v>51</v>
      </c>
      <c r="G178" s="44" t="s">
        <v>523</v>
      </c>
      <c r="H178" s="3" t="str">
        <f>TRIM(SUBSTITUTE(Sheet2!$C178, "سمارت هوم", "")) &amp; " " &amp; "سمارت هوم"</f>
        <v>ماسوره 4/3 بوصه 2.9 مم 6 متر سمارت هوم</v>
      </c>
      <c r="I178" s="3" t="s">
        <v>869</v>
      </c>
      <c r="J178">
        <v>1</v>
      </c>
    </row>
    <row r="179" spans="1:10" x14ac:dyDescent="0.35">
      <c r="A179" s="42">
        <v>2</v>
      </c>
      <c r="B179" s="50"/>
      <c r="C179" s="43" t="s">
        <v>870</v>
      </c>
      <c r="D179" s="43">
        <v>35.25</v>
      </c>
      <c r="E179" s="53">
        <v>39.25</v>
      </c>
      <c r="F179" s="43">
        <f t="shared" si="11"/>
        <v>35.25</v>
      </c>
      <c r="G179" s="48" t="s">
        <v>523</v>
      </c>
      <c r="H179" s="3" t="str">
        <f>TRIM(SUBSTITUTE(Sheet2!$C179, "سمارت هوم", "")) &amp; " " &amp; "سمارت هوم"</f>
        <v>ماسوره 1 بوصه / 1.8 سمارت هوم</v>
      </c>
      <c r="I179" s="3" t="s">
        <v>870</v>
      </c>
      <c r="J179">
        <v>2</v>
      </c>
    </row>
    <row r="180" spans="1:10" x14ac:dyDescent="0.35">
      <c r="A180" s="42">
        <v>5</v>
      </c>
      <c r="B180" s="50"/>
      <c r="C180" s="43" t="s">
        <v>745</v>
      </c>
      <c r="D180" s="43" t="s">
        <v>533</v>
      </c>
      <c r="E180" s="52">
        <v>35.75</v>
      </c>
      <c r="F180" s="43" t="str">
        <f t="shared" si="11"/>
        <v>32 25</v>
      </c>
      <c r="G180" s="44" t="s">
        <v>523</v>
      </c>
      <c r="H180" s="3" t="str">
        <f>TRIM(SUBSTITUTE(Sheet2!$C180, "سمارت هوم", "")) &amp; " " &amp; "سمارت هوم"</f>
        <v>ماسوره 32 مم 1.8 سمارت هوم</v>
      </c>
      <c r="I180" s="3" t="s">
        <v>745</v>
      </c>
      <c r="J180">
        <v>5</v>
      </c>
    </row>
    <row r="181" spans="1:10" x14ac:dyDescent="0.35">
      <c r="A181" s="42">
        <v>8</v>
      </c>
      <c r="B181" s="50"/>
      <c r="C181" s="43" t="s">
        <v>746</v>
      </c>
      <c r="D181" s="43">
        <v>87</v>
      </c>
      <c r="E181" s="53">
        <v>96.5</v>
      </c>
      <c r="F181" s="43">
        <f t="shared" si="11"/>
        <v>87</v>
      </c>
      <c r="G181" s="48" t="s">
        <v>523</v>
      </c>
      <c r="H181" s="3" t="str">
        <f>TRIM(SUBSTITUTE(Sheet2!$C181, "سمارت هوم", "")) &amp; " " &amp; "سمارت هوم"</f>
        <v>ماسوره 48 مم 3.7 سمارت هوم</v>
      </c>
      <c r="I181" s="3" t="s">
        <v>746</v>
      </c>
      <c r="J181">
        <v>8</v>
      </c>
    </row>
    <row r="182" spans="1:10" x14ac:dyDescent="0.35">
      <c r="A182" s="42">
        <v>10</v>
      </c>
      <c r="B182" s="50"/>
      <c r="C182" s="43" t="s">
        <v>747</v>
      </c>
      <c r="D182" s="43">
        <v>118.5</v>
      </c>
      <c r="E182" s="53">
        <v>131.5</v>
      </c>
      <c r="F182" s="43">
        <f t="shared" si="11"/>
        <v>118.5</v>
      </c>
      <c r="G182" s="48" t="s">
        <v>523</v>
      </c>
      <c r="H182" s="3" t="str">
        <f>TRIM(SUBSTITUTE(Sheet2!$C182, "سمارت هوم", "")) &amp; " " &amp; "سمارت هوم"</f>
        <v>ماسوره 60 /3.9 سمارت هوم</v>
      </c>
      <c r="I182" s="3" t="s">
        <v>747</v>
      </c>
      <c r="J182">
        <v>10</v>
      </c>
    </row>
    <row r="183" spans="1:10" x14ac:dyDescent="0.35">
      <c r="A183" s="42">
        <v>17</v>
      </c>
      <c r="B183" s="50"/>
      <c r="C183" s="43" t="s">
        <v>790</v>
      </c>
      <c r="D183" s="43" t="s">
        <v>534</v>
      </c>
      <c r="E183" s="52">
        <v>268.25</v>
      </c>
      <c r="F183" s="43" t="str">
        <f t="shared" si="11"/>
        <v>241 75</v>
      </c>
      <c r="G183" s="44" t="s">
        <v>523</v>
      </c>
      <c r="H183" s="3" t="str">
        <f>TRIM(SUBSTITUTE(Sheet2!$C183, "سمارت هوم", "")) &amp; " " &amp; "سمارت هوم"</f>
        <v>ماسوره 110 مم/ 4 سمارت هوم</v>
      </c>
      <c r="I183" s="3" t="s">
        <v>790</v>
      </c>
      <c r="J183">
        <v>17</v>
      </c>
    </row>
    <row r="184" spans="1:10" x14ac:dyDescent="0.35">
      <c r="A184" s="42">
        <v>27</v>
      </c>
      <c r="B184" s="50"/>
      <c r="C184" s="43" t="s">
        <v>535</v>
      </c>
      <c r="D184" s="43">
        <v>14.25</v>
      </c>
      <c r="E184" s="52">
        <v>15.75</v>
      </c>
      <c r="F184" s="43">
        <f t="shared" ref="F184:F223" si="12">D184</f>
        <v>14.25</v>
      </c>
      <c r="G184" s="44" t="s">
        <v>523</v>
      </c>
      <c r="H184" s="3" t="str">
        <f>TRIM(SUBSTITUTE(Sheet2!$C184, "سمارت هوم", "")) &amp; " " &amp; "سمارت هوم"</f>
        <v>كوع 4*3 45 سمارت هوم</v>
      </c>
      <c r="I184" s="3" t="s">
        <v>535</v>
      </c>
      <c r="J184">
        <v>27</v>
      </c>
    </row>
    <row r="185" spans="1:10" x14ac:dyDescent="0.35">
      <c r="A185" s="42">
        <v>28</v>
      </c>
      <c r="B185" s="50"/>
      <c r="C185" s="43" t="s">
        <v>871</v>
      </c>
      <c r="D185" s="43">
        <v>17</v>
      </c>
      <c r="E185" s="53">
        <v>18.75</v>
      </c>
      <c r="F185" s="43">
        <f t="shared" si="12"/>
        <v>17</v>
      </c>
      <c r="G185" s="48" t="s">
        <v>523</v>
      </c>
      <c r="H185" s="3" t="str">
        <f>TRIM(SUBSTITUTE(Sheet2!$C185, "سمارت هوم", "")) &amp; " " &amp; "سمارت هوم"</f>
        <v>كوع 45 درجه 1 بوصه سمارت هوم</v>
      </c>
      <c r="I185" s="3" t="s">
        <v>871</v>
      </c>
      <c r="J185">
        <v>28</v>
      </c>
    </row>
    <row r="186" spans="1:10" x14ac:dyDescent="0.35">
      <c r="A186" s="42">
        <v>29</v>
      </c>
      <c r="B186" s="50"/>
      <c r="C186" s="43" t="s">
        <v>872</v>
      </c>
      <c r="D186" s="43">
        <v>16.5</v>
      </c>
      <c r="E186" s="52">
        <v>18.25</v>
      </c>
      <c r="F186" s="43">
        <f t="shared" si="12"/>
        <v>16.5</v>
      </c>
      <c r="G186" s="44" t="s">
        <v>523</v>
      </c>
      <c r="H186" s="3" t="str">
        <f>TRIM(SUBSTITUTE(Sheet2!$C186, "سمارت هوم", "")) &amp; " " &amp; "سمارت هوم"</f>
        <v>كوع 45 درجه 32 مم سمارت هوم</v>
      </c>
      <c r="I186" s="3" t="s">
        <v>872</v>
      </c>
      <c r="J186">
        <v>29</v>
      </c>
    </row>
    <row r="187" spans="1:10" x14ac:dyDescent="0.35">
      <c r="A187" s="42">
        <v>30</v>
      </c>
      <c r="B187" s="50"/>
      <c r="C187" s="43" t="s">
        <v>873</v>
      </c>
      <c r="D187" s="43">
        <v>30.75</v>
      </c>
      <c r="E187" s="53">
        <v>34.25</v>
      </c>
      <c r="F187" s="43">
        <f t="shared" si="12"/>
        <v>30.75</v>
      </c>
      <c r="G187" s="48" t="s">
        <v>523</v>
      </c>
      <c r="H187" s="3" t="str">
        <f>TRIM(SUBSTITUTE(Sheet2!$C187, "سمارت هوم", "")) &amp; " " &amp; "سمارت هوم"</f>
        <v>كوع 45 درجه 48 مم سمارت هوم</v>
      </c>
      <c r="I187" s="3" t="s">
        <v>873</v>
      </c>
      <c r="J187">
        <v>30</v>
      </c>
    </row>
    <row r="188" spans="1:10" x14ac:dyDescent="0.35">
      <c r="A188" s="42">
        <v>31</v>
      </c>
      <c r="B188" s="50"/>
      <c r="C188" s="43" t="s">
        <v>874</v>
      </c>
      <c r="D188" s="43">
        <v>46.25</v>
      </c>
      <c r="E188" s="52">
        <v>51.25</v>
      </c>
      <c r="F188" s="43">
        <f t="shared" si="12"/>
        <v>46.25</v>
      </c>
      <c r="G188" s="44" t="s">
        <v>523</v>
      </c>
      <c r="H188" s="3" t="str">
        <f>TRIM(SUBSTITUTE(Sheet2!$C188, "سمارت هوم", "")) &amp; " " &amp; "سمارت هوم"</f>
        <v>كوع 45 درجه 60 مم سمارت هوم</v>
      </c>
      <c r="I188" s="3" t="s">
        <v>874</v>
      </c>
      <c r="J188">
        <v>31</v>
      </c>
    </row>
    <row r="189" spans="1:10" x14ac:dyDescent="0.35">
      <c r="A189" s="42">
        <v>32</v>
      </c>
      <c r="B189" s="50"/>
      <c r="C189" s="43" t="s">
        <v>875</v>
      </c>
      <c r="D189" s="43">
        <v>47.25</v>
      </c>
      <c r="E189" s="53">
        <v>52.5</v>
      </c>
      <c r="F189" s="43">
        <f t="shared" si="12"/>
        <v>47.25</v>
      </c>
      <c r="G189" s="48" t="s">
        <v>523</v>
      </c>
      <c r="H189" s="3" t="str">
        <f>TRIM(SUBSTITUTE(Sheet2!$C189, "سمارت هوم", "")) &amp; " " &amp; "سمارت هوم"</f>
        <v>كوع 45 درجه 63 مم سمارت هوم</v>
      </c>
      <c r="I189" s="3" t="s">
        <v>875</v>
      </c>
      <c r="J189">
        <v>32</v>
      </c>
    </row>
    <row r="190" spans="1:10" x14ac:dyDescent="0.35">
      <c r="A190" s="42">
        <v>33</v>
      </c>
      <c r="B190" s="50"/>
      <c r="C190" s="43" t="s">
        <v>876</v>
      </c>
      <c r="D190" s="43">
        <v>68</v>
      </c>
      <c r="E190" s="52">
        <v>75.5</v>
      </c>
      <c r="F190" s="43">
        <f t="shared" si="12"/>
        <v>68</v>
      </c>
      <c r="G190" s="44" t="s">
        <v>523</v>
      </c>
      <c r="H190" s="3" t="str">
        <f>TRIM(SUBSTITUTE(Sheet2!$C190, "سمارت هوم", "")) &amp; " " &amp; "سمارت هوم"</f>
        <v>كوع 45 درجه 75 مم سمارت هوم</v>
      </c>
      <c r="I190" s="3" t="s">
        <v>876</v>
      </c>
      <c r="J190">
        <v>33</v>
      </c>
    </row>
    <row r="191" spans="1:10" x14ac:dyDescent="0.35">
      <c r="A191" s="42">
        <v>34</v>
      </c>
      <c r="B191" s="50"/>
      <c r="C191" s="43" t="s">
        <v>979</v>
      </c>
      <c r="D191" s="43">
        <v>93.75</v>
      </c>
      <c r="E191" s="53">
        <v>104</v>
      </c>
      <c r="F191" s="43">
        <f t="shared" si="12"/>
        <v>93.75</v>
      </c>
      <c r="G191" s="48" t="s">
        <v>523</v>
      </c>
      <c r="H191" s="3" t="str">
        <f>TRIM(SUBSTITUTE(Sheet2!$C191, "سمارت هوم", "")) &amp; " " &amp; "سمارت هوم"</f>
        <v>كوع 45 درجه 90درجه مم سمارت هوم</v>
      </c>
      <c r="I191" s="3" t="s">
        <v>1073</v>
      </c>
      <c r="J191">
        <v>34</v>
      </c>
    </row>
    <row r="192" spans="1:10" x14ac:dyDescent="0.35">
      <c r="A192" s="42">
        <v>35</v>
      </c>
      <c r="B192" s="50"/>
      <c r="C192" s="43" t="s">
        <v>877</v>
      </c>
      <c r="D192" s="43">
        <v>116.25</v>
      </c>
      <c r="E192" s="52">
        <v>129</v>
      </c>
      <c r="F192" s="43">
        <f t="shared" si="12"/>
        <v>116.25</v>
      </c>
      <c r="G192" s="44" t="s">
        <v>523</v>
      </c>
      <c r="H192" s="3" t="str">
        <f>TRIM(SUBSTITUTE(Sheet2!$C192, "سمارت هوم", "")) &amp; " " &amp; "سمارت هوم"</f>
        <v>كوع 45 درجه 110 مم سمارت هوم</v>
      </c>
      <c r="I192" s="3" t="s">
        <v>877</v>
      </c>
      <c r="J192">
        <v>35</v>
      </c>
    </row>
    <row r="193" spans="1:10" x14ac:dyDescent="0.35">
      <c r="A193" s="42">
        <v>36</v>
      </c>
      <c r="B193" s="50"/>
      <c r="C193" s="43" t="s">
        <v>878</v>
      </c>
      <c r="D193" s="43">
        <v>280</v>
      </c>
      <c r="E193" s="53">
        <v>310.75</v>
      </c>
      <c r="F193" s="43">
        <f t="shared" si="12"/>
        <v>280</v>
      </c>
      <c r="G193" s="48" t="s">
        <v>523</v>
      </c>
      <c r="H193" s="3" t="str">
        <f>TRIM(SUBSTITUTE(Sheet2!$C193, "سمارت هوم", "")) &amp; " " &amp; "سمارت هوم"</f>
        <v>كوع 45 درجه 160 مم سمارت هوم</v>
      </c>
      <c r="I193" s="3" t="s">
        <v>878</v>
      </c>
      <c r="J193">
        <v>36</v>
      </c>
    </row>
    <row r="194" spans="1:10" x14ac:dyDescent="0.35">
      <c r="A194" s="42">
        <v>37</v>
      </c>
      <c r="B194" s="50"/>
      <c r="C194" s="69" t="s">
        <v>536</v>
      </c>
      <c r="D194" s="43">
        <v>13.75</v>
      </c>
      <c r="E194" s="52">
        <v>15.25</v>
      </c>
      <c r="F194" s="43">
        <f t="shared" si="12"/>
        <v>13.75</v>
      </c>
      <c r="G194" s="44" t="s">
        <v>523</v>
      </c>
      <c r="H194" s="3" t="str">
        <f>TRIM(SUBSTITUTE(Sheet2!$C194, "سمارت هوم", "")) &amp; " " &amp; "سمارت هوم"</f>
        <v>كوع 4*3 87.5 سمارت هوم</v>
      </c>
      <c r="I194" s="3" t="s">
        <v>536</v>
      </c>
      <c r="J194">
        <v>37</v>
      </c>
    </row>
    <row r="195" spans="1:10" x14ac:dyDescent="0.35">
      <c r="A195" s="42">
        <v>38</v>
      </c>
      <c r="B195" s="50"/>
      <c r="C195" s="43" t="s">
        <v>980</v>
      </c>
      <c r="D195" s="43">
        <v>16.5</v>
      </c>
      <c r="E195" s="53">
        <v>18.25</v>
      </c>
      <c r="F195" s="43">
        <f t="shared" si="12"/>
        <v>16.5</v>
      </c>
      <c r="G195" s="48" t="s">
        <v>523</v>
      </c>
      <c r="H195" s="3" t="str">
        <f>TRIM(SUBSTITUTE(Sheet2!$C195, "سمارت هوم", "")) &amp; " " &amp; "سمارت هوم"</f>
        <v>كوع 90درجه درجه 32 مم سمارت هوم</v>
      </c>
      <c r="I195" s="3" t="s">
        <v>1074</v>
      </c>
      <c r="J195">
        <v>38</v>
      </c>
    </row>
    <row r="196" spans="1:10" x14ac:dyDescent="0.35">
      <c r="A196" s="42">
        <v>39</v>
      </c>
      <c r="B196" s="50"/>
      <c r="C196" s="43" t="s">
        <v>981</v>
      </c>
      <c r="D196" s="43">
        <v>17</v>
      </c>
      <c r="E196" s="52">
        <v>18.75</v>
      </c>
      <c r="F196" s="43">
        <f t="shared" si="12"/>
        <v>17</v>
      </c>
      <c r="G196" s="44" t="s">
        <v>523</v>
      </c>
      <c r="H196" s="3" t="str">
        <f>TRIM(SUBSTITUTE(Sheet2!$C196, "سمارت هوم", "")) &amp; " " &amp; "سمارت هوم"</f>
        <v>كوع 90درجه درجه 1 بوصه سمارت هوم</v>
      </c>
      <c r="I196" s="3" t="s">
        <v>1075</v>
      </c>
      <c r="J196">
        <v>39</v>
      </c>
    </row>
    <row r="197" spans="1:10" x14ac:dyDescent="0.35">
      <c r="A197" s="42">
        <v>40</v>
      </c>
      <c r="B197" s="50"/>
      <c r="C197" s="43" t="s">
        <v>982</v>
      </c>
      <c r="D197" s="43">
        <v>25.75</v>
      </c>
      <c r="E197" s="53">
        <v>28.5</v>
      </c>
      <c r="F197" s="43">
        <f t="shared" si="12"/>
        <v>25.75</v>
      </c>
      <c r="G197" s="48" t="s">
        <v>523</v>
      </c>
      <c r="H197" s="3" t="str">
        <f>TRIM(SUBSTITUTE(Sheet2!$C197, "سمارت هوم", "")) &amp; " " &amp; "سمارت هوم"</f>
        <v>كوع 90درجه درجه 48 مم سمارت هوم</v>
      </c>
      <c r="I197" s="3" t="s">
        <v>1076</v>
      </c>
      <c r="J197">
        <v>40</v>
      </c>
    </row>
    <row r="198" spans="1:10" x14ac:dyDescent="0.35">
      <c r="A198" s="42">
        <v>41</v>
      </c>
      <c r="B198" s="50"/>
      <c r="C198" s="43" t="s">
        <v>983</v>
      </c>
      <c r="D198" s="43">
        <v>41.25</v>
      </c>
      <c r="E198" s="52">
        <v>45.75</v>
      </c>
      <c r="F198" s="43">
        <f t="shared" si="12"/>
        <v>41.25</v>
      </c>
      <c r="G198" s="44" t="s">
        <v>523</v>
      </c>
      <c r="H198" s="3" t="str">
        <f>TRIM(SUBSTITUTE(Sheet2!$C198, "سمارت هوم", "")) &amp; " " &amp; "سمارت هوم"</f>
        <v>كوع 90درجه درجه 60 مم سمارت هوم</v>
      </c>
      <c r="I198" s="3" t="s">
        <v>1077</v>
      </c>
      <c r="J198">
        <v>41</v>
      </c>
    </row>
    <row r="199" spans="1:10" x14ac:dyDescent="0.35">
      <c r="A199" s="42">
        <v>42</v>
      </c>
      <c r="B199" s="50"/>
      <c r="C199" s="43" t="s">
        <v>984</v>
      </c>
      <c r="D199" s="43">
        <v>71.75</v>
      </c>
      <c r="E199" s="53">
        <v>79.75</v>
      </c>
      <c r="F199" s="43">
        <f t="shared" si="12"/>
        <v>71.75</v>
      </c>
      <c r="G199" s="48" t="s">
        <v>523</v>
      </c>
      <c r="H199" s="3" t="str">
        <f>TRIM(SUBSTITUTE(Sheet2!$C199, "سمارت هوم", "")) &amp; " " &amp; "سمارت هوم"</f>
        <v>كوع 90درجه درجه 75 مم سمارت هوم</v>
      </c>
      <c r="I199" s="3" t="s">
        <v>1078</v>
      </c>
      <c r="J199">
        <v>42</v>
      </c>
    </row>
    <row r="200" spans="1:10" x14ac:dyDescent="0.35">
      <c r="A200" s="42">
        <v>43</v>
      </c>
      <c r="B200" s="50"/>
      <c r="C200" s="43" t="s">
        <v>985</v>
      </c>
      <c r="D200" s="43">
        <v>135.5</v>
      </c>
      <c r="E200" s="52">
        <v>150.5</v>
      </c>
      <c r="F200" s="43">
        <f t="shared" si="12"/>
        <v>135.5</v>
      </c>
      <c r="G200" s="44" t="s">
        <v>523</v>
      </c>
      <c r="H200" s="3" t="str">
        <f>TRIM(SUBSTITUTE(Sheet2!$C200, "سمارت هوم", "")) &amp; " " &amp; "سمارت هوم"</f>
        <v>كوع 90درجه درجه 110 مم سمارت هوم</v>
      </c>
      <c r="I200" s="3" t="s">
        <v>1079</v>
      </c>
      <c r="J200">
        <v>43</v>
      </c>
    </row>
    <row r="201" spans="1:10" x14ac:dyDescent="0.35">
      <c r="A201" s="42">
        <v>44</v>
      </c>
      <c r="B201" s="50"/>
      <c r="C201" s="43" t="s">
        <v>986</v>
      </c>
      <c r="D201" s="43">
        <v>340.25</v>
      </c>
      <c r="E201" s="53">
        <v>377.75</v>
      </c>
      <c r="F201" s="43">
        <f t="shared" si="12"/>
        <v>340.25</v>
      </c>
      <c r="G201" s="48" t="s">
        <v>523</v>
      </c>
      <c r="H201" s="3" t="str">
        <f>TRIM(SUBSTITUTE(Sheet2!$C201, "سمارت هوم", "")) &amp; " " &amp; "سمارت هوم"</f>
        <v>كوع 90درجه درجه 160 مم سمارت هوم</v>
      </c>
      <c r="I201" s="3" t="s">
        <v>1080</v>
      </c>
      <c r="J201">
        <v>44</v>
      </c>
    </row>
    <row r="202" spans="1:10" x14ac:dyDescent="0.35">
      <c r="A202" s="42">
        <v>45</v>
      </c>
      <c r="B202" s="50"/>
      <c r="C202" s="43" t="s">
        <v>791</v>
      </c>
      <c r="D202" s="43">
        <v>76.25</v>
      </c>
      <c r="E202" s="52">
        <v>84.75</v>
      </c>
      <c r="F202" s="43">
        <f t="shared" si="12"/>
        <v>76.25</v>
      </c>
      <c r="G202" s="44" t="s">
        <v>523</v>
      </c>
      <c r="H202" s="3" t="str">
        <f>TRIM(SUBSTITUTE(Sheet2!$C202, "سمارت هوم", "")) &amp; " " &amp; "سمارت هوم"</f>
        <v>کوع بباب كشف 60 مم سمارت هوم</v>
      </c>
      <c r="I202" s="3" t="s">
        <v>791</v>
      </c>
      <c r="J202">
        <v>45</v>
      </c>
    </row>
    <row r="203" spans="1:10" x14ac:dyDescent="0.35">
      <c r="A203" s="42">
        <v>46</v>
      </c>
      <c r="B203" s="50"/>
      <c r="C203" s="43" t="s">
        <v>792</v>
      </c>
      <c r="D203" s="43">
        <v>108.25</v>
      </c>
      <c r="E203" s="53">
        <v>120.25</v>
      </c>
      <c r="F203" s="43">
        <f t="shared" si="12"/>
        <v>108.25</v>
      </c>
      <c r="G203" s="48" t="s">
        <v>523</v>
      </c>
      <c r="H203" s="3" t="str">
        <f>TRIM(SUBSTITUTE(Sheet2!$C203, "سمارت هوم", "")) &amp; " " &amp; "سمارت هوم"</f>
        <v>كوع بباب كشف 75 مم سمارت هوم</v>
      </c>
      <c r="I203" s="3" t="s">
        <v>792</v>
      </c>
      <c r="J203">
        <v>46</v>
      </c>
    </row>
    <row r="204" spans="1:10" x14ac:dyDescent="0.35">
      <c r="A204" s="42">
        <v>47</v>
      </c>
      <c r="B204" s="50"/>
      <c r="C204" s="43" t="s">
        <v>793</v>
      </c>
      <c r="D204" s="43">
        <v>200.75</v>
      </c>
      <c r="E204" s="52">
        <v>222.75</v>
      </c>
      <c r="F204" s="43">
        <f t="shared" si="12"/>
        <v>200.75</v>
      </c>
      <c r="G204" s="44" t="s">
        <v>523</v>
      </c>
      <c r="H204" s="3" t="str">
        <f>TRIM(SUBSTITUTE(Sheet2!$C204, "سمارت هوم", "")) &amp; " " &amp; "سمارت هوم"</f>
        <v>كوع بباب كشف 110 مم سمارت هوم</v>
      </c>
      <c r="I204" s="3" t="s">
        <v>793</v>
      </c>
      <c r="J204">
        <v>47</v>
      </c>
    </row>
    <row r="205" spans="1:10" x14ac:dyDescent="0.35">
      <c r="A205" s="42">
        <v>68</v>
      </c>
      <c r="B205" s="50"/>
      <c r="C205" s="43" t="s">
        <v>537</v>
      </c>
      <c r="D205" s="43">
        <v>22.25</v>
      </c>
      <c r="E205" s="53">
        <v>24.75</v>
      </c>
      <c r="F205" s="43">
        <f t="shared" si="12"/>
        <v>22.25</v>
      </c>
      <c r="G205" s="48" t="s">
        <v>523</v>
      </c>
      <c r="H205" s="3" t="str">
        <f>TRIM(SUBSTITUTE(Sheet2!$C205, "سمارت هوم", "")) &amp; " " &amp; "سمارت هوم"</f>
        <v>مشترك 4/3" 45 سمارت هوم</v>
      </c>
      <c r="I205" s="3" t="s">
        <v>537</v>
      </c>
      <c r="J205">
        <v>68</v>
      </c>
    </row>
    <row r="206" spans="1:10" x14ac:dyDescent="0.35">
      <c r="A206" s="42">
        <v>69</v>
      </c>
      <c r="B206" s="50"/>
      <c r="C206" s="43" t="s">
        <v>879</v>
      </c>
      <c r="D206" s="43">
        <v>28</v>
      </c>
      <c r="E206" s="52">
        <v>31</v>
      </c>
      <c r="F206" s="43">
        <f t="shared" si="12"/>
        <v>28</v>
      </c>
      <c r="G206" s="44" t="s">
        <v>523</v>
      </c>
      <c r="H206" s="3" t="str">
        <f>TRIM(SUBSTITUTE(Sheet2!$C206, "سمارت هوم", "")) &amp; " " &amp; "سمارت هوم"</f>
        <v>مشترك 45 درجه 1 بوصه سمارت هوم</v>
      </c>
      <c r="I206" s="3" t="s">
        <v>879</v>
      </c>
      <c r="J206">
        <v>69</v>
      </c>
    </row>
    <row r="207" spans="1:10" x14ac:dyDescent="0.35">
      <c r="A207" s="42">
        <v>70</v>
      </c>
      <c r="B207" s="50"/>
      <c r="C207" s="43" t="s">
        <v>880</v>
      </c>
      <c r="D207" s="43">
        <v>27.25</v>
      </c>
      <c r="E207" s="53">
        <v>30.25</v>
      </c>
      <c r="F207" s="43">
        <f t="shared" si="12"/>
        <v>27.25</v>
      </c>
      <c r="G207" s="48" t="s">
        <v>523</v>
      </c>
      <c r="H207" s="3" t="str">
        <f>TRIM(SUBSTITUTE(Sheet2!$C207, "سمارت هوم", "")) &amp; " " &amp; "سمارت هوم"</f>
        <v>مشترك 45 درجه 32 مم سمارت هوم</v>
      </c>
      <c r="I207" s="3" t="s">
        <v>880</v>
      </c>
      <c r="J207">
        <v>70</v>
      </c>
    </row>
    <row r="208" spans="1:10" x14ac:dyDescent="0.35">
      <c r="A208" s="42">
        <v>71</v>
      </c>
      <c r="B208" s="50"/>
      <c r="C208" s="43" t="s">
        <v>881</v>
      </c>
      <c r="D208" s="43">
        <v>62.25</v>
      </c>
      <c r="E208" s="52">
        <v>69</v>
      </c>
      <c r="F208" s="43">
        <f t="shared" si="12"/>
        <v>62.25</v>
      </c>
      <c r="G208" s="44" t="s">
        <v>523</v>
      </c>
      <c r="H208" s="3" t="str">
        <f>TRIM(SUBSTITUTE(Sheet2!$C208, "سمارت هوم", "")) &amp; " " &amp; "سمارت هوم"</f>
        <v>مشترك 45 درجه 48 مم سمارت هوم</v>
      </c>
      <c r="I208" s="3" t="s">
        <v>881</v>
      </c>
      <c r="J208">
        <v>71</v>
      </c>
    </row>
    <row r="209" spans="1:10" x14ac:dyDescent="0.35">
      <c r="A209" s="42">
        <v>72</v>
      </c>
      <c r="B209" s="50"/>
      <c r="C209" s="43" t="s">
        <v>882</v>
      </c>
      <c r="D209" s="43">
        <v>78.25</v>
      </c>
      <c r="E209" s="53">
        <v>86.75</v>
      </c>
      <c r="F209" s="43">
        <f t="shared" si="12"/>
        <v>78.25</v>
      </c>
      <c r="G209" s="48" t="s">
        <v>523</v>
      </c>
      <c r="H209" s="3" t="str">
        <f>TRIM(SUBSTITUTE(Sheet2!$C209, "سمارت هوم", "")) &amp; " " &amp; "سمارت هوم"</f>
        <v>مشترك 45 درجه 60 مم سمارت هوم</v>
      </c>
      <c r="I209" s="3" t="s">
        <v>882</v>
      </c>
      <c r="J209">
        <v>72</v>
      </c>
    </row>
    <row r="210" spans="1:10" x14ac:dyDescent="0.35">
      <c r="A210" s="42">
        <v>73</v>
      </c>
      <c r="B210" s="50"/>
      <c r="C210" s="43" t="s">
        <v>883</v>
      </c>
      <c r="D210" s="43">
        <v>84.25</v>
      </c>
      <c r="E210" s="52">
        <v>93.5</v>
      </c>
      <c r="F210" s="43">
        <f t="shared" si="12"/>
        <v>84.25</v>
      </c>
      <c r="G210" s="44" t="s">
        <v>523</v>
      </c>
      <c r="H210" s="3" t="str">
        <f>TRIM(SUBSTITUTE(Sheet2!$C210, "سمارت هوم", "")) &amp; " " &amp; "سمارت هوم"</f>
        <v>مشترك 63 مم زاويه 45 سمارت هوم</v>
      </c>
      <c r="I210" s="3" t="s">
        <v>883</v>
      </c>
      <c r="J210">
        <v>73</v>
      </c>
    </row>
    <row r="211" spans="1:10" x14ac:dyDescent="0.35">
      <c r="A211" s="42">
        <v>74</v>
      </c>
      <c r="B211" s="50"/>
      <c r="C211" s="43" t="s">
        <v>884</v>
      </c>
      <c r="D211" s="43">
        <v>139.25</v>
      </c>
      <c r="E211" s="53">
        <v>154.5</v>
      </c>
      <c r="F211" s="43">
        <f t="shared" si="12"/>
        <v>139.25</v>
      </c>
      <c r="G211" s="48" t="s">
        <v>523</v>
      </c>
      <c r="H211" s="3" t="str">
        <f>TRIM(SUBSTITUTE(Sheet2!$C211, "سمارت هوم", "")) &amp; " " &amp; "سمارت هوم"</f>
        <v>مشترك 45 درجه 75 مم سمارت هوم</v>
      </c>
      <c r="I211" s="3" t="s">
        <v>884</v>
      </c>
      <c r="J211">
        <v>74</v>
      </c>
    </row>
    <row r="212" spans="1:10" x14ac:dyDescent="0.35">
      <c r="A212" s="42">
        <v>75</v>
      </c>
      <c r="B212" s="50"/>
      <c r="C212" s="43" t="s">
        <v>987</v>
      </c>
      <c r="D212" s="43">
        <v>158.25</v>
      </c>
      <c r="E212" s="52">
        <v>175.75</v>
      </c>
      <c r="F212" s="43">
        <f t="shared" si="12"/>
        <v>158.25</v>
      </c>
      <c r="G212" s="44" t="s">
        <v>523</v>
      </c>
      <c r="H212" s="3" t="str">
        <f>TRIM(SUBSTITUTE(Sheet2!$C212, "سمارت هوم", "")) &amp; " " &amp; "سمارت هوم"</f>
        <v>مشترك 90درجه مم زاويه 45 سمارت هوم</v>
      </c>
      <c r="I212" s="3" t="s">
        <v>1081</v>
      </c>
      <c r="J212">
        <v>75</v>
      </c>
    </row>
    <row r="213" spans="1:10" x14ac:dyDescent="0.35">
      <c r="A213" s="42">
        <v>76</v>
      </c>
      <c r="B213" s="50"/>
      <c r="C213" s="43" t="s">
        <v>885</v>
      </c>
      <c r="D213" s="43">
        <v>242</v>
      </c>
      <c r="E213" s="53">
        <v>268.5</v>
      </c>
      <c r="F213" s="43">
        <f t="shared" si="12"/>
        <v>242</v>
      </c>
      <c r="G213" s="48" t="s">
        <v>523</v>
      </c>
      <c r="H213" s="3" t="str">
        <f>TRIM(SUBSTITUTE(Sheet2!$C213, "سمارت هوم", "")) &amp; " " &amp; "سمارت هوم"</f>
        <v>مشترك 45 درجه 110 مم سمارت هوم</v>
      </c>
      <c r="I213" s="3" t="s">
        <v>885</v>
      </c>
      <c r="J213">
        <v>76</v>
      </c>
    </row>
    <row r="214" spans="1:10" x14ac:dyDescent="0.35">
      <c r="A214" s="42">
        <v>77</v>
      </c>
      <c r="B214" s="50"/>
      <c r="C214" s="43" t="s">
        <v>886</v>
      </c>
      <c r="D214" s="43">
        <v>732.25</v>
      </c>
      <c r="E214" s="52">
        <v>812.75</v>
      </c>
      <c r="F214" s="43">
        <f t="shared" si="12"/>
        <v>732.25</v>
      </c>
      <c r="G214" s="44" t="s">
        <v>523</v>
      </c>
      <c r="H214" s="3" t="str">
        <f>TRIM(SUBSTITUTE(Sheet2!$C214, "سمارت هوم", "")) &amp; " " &amp; "سمارت هوم"</f>
        <v>مشترك 45 درجه 160 مم سمارت هوم</v>
      </c>
      <c r="I214" s="3" t="s">
        <v>886</v>
      </c>
      <c r="J214">
        <v>77</v>
      </c>
    </row>
    <row r="215" spans="1:10" x14ac:dyDescent="0.35">
      <c r="A215" s="42">
        <v>78</v>
      </c>
      <c r="B215" s="50"/>
      <c r="C215" s="43" t="s">
        <v>538</v>
      </c>
      <c r="D215" s="43">
        <v>19</v>
      </c>
      <c r="E215" s="53">
        <v>21</v>
      </c>
      <c r="F215" s="43">
        <f t="shared" si="12"/>
        <v>19</v>
      </c>
      <c r="G215" s="48" t="s">
        <v>523</v>
      </c>
      <c r="H215" s="3" t="str">
        <f>TRIM(SUBSTITUTE(Sheet2!$C215, "سمارت هوم", "")) &amp; " " &amp; "سمارت هوم"</f>
        <v>مشترك 4/387.5 سمارت هوم</v>
      </c>
      <c r="I215" s="3" t="s">
        <v>538</v>
      </c>
      <c r="J215">
        <v>78</v>
      </c>
    </row>
    <row r="216" spans="1:10" x14ac:dyDescent="0.35">
      <c r="A216" s="42">
        <v>79</v>
      </c>
      <c r="B216" s="50"/>
      <c r="C216" s="43" t="s">
        <v>988</v>
      </c>
      <c r="D216" s="43">
        <v>25</v>
      </c>
      <c r="E216" s="52">
        <v>27.75</v>
      </c>
      <c r="F216" s="43">
        <f t="shared" si="12"/>
        <v>25</v>
      </c>
      <c r="G216" s="44" t="s">
        <v>523</v>
      </c>
      <c r="H216" s="3" t="str">
        <f>TRIM(SUBSTITUTE(Sheet2!$C216, "سمارت هوم", "")) &amp; " " &amp; "سمارت هوم"</f>
        <v>مشترك 90درجه درجه 1 بوصه سمارت هوم</v>
      </c>
      <c r="I216" s="3" t="s">
        <v>1082</v>
      </c>
      <c r="J216">
        <v>79</v>
      </c>
    </row>
    <row r="217" spans="1:10" x14ac:dyDescent="0.35">
      <c r="A217" s="42">
        <v>80</v>
      </c>
      <c r="B217" s="50"/>
      <c r="C217" s="43" t="s">
        <v>989</v>
      </c>
      <c r="D217" s="43">
        <v>23.5</v>
      </c>
      <c r="E217" s="53">
        <v>26</v>
      </c>
      <c r="F217" s="43">
        <f t="shared" si="12"/>
        <v>23.5</v>
      </c>
      <c r="G217" s="48" t="s">
        <v>523</v>
      </c>
      <c r="H217" s="3" t="str">
        <f>TRIM(SUBSTITUTE(Sheet2!$C217, "سمارت هوم", "")) &amp; " " &amp; "سمارت هوم"</f>
        <v>مشترك 90درجه درجه 32 مم سمارت هوم</v>
      </c>
      <c r="I217" s="3" t="s">
        <v>1083</v>
      </c>
      <c r="J217">
        <v>80</v>
      </c>
    </row>
    <row r="218" spans="1:10" x14ac:dyDescent="0.35">
      <c r="A218" s="42">
        <v>81</v>
      </c>
      <c r="B218" s="50"/>
      <c r="C218" s="43" t="s">
        <v>990</v>
      </c>
      <c r="D218" s="43">
        <v>41.5</v>
      </c>
      <c r="E218" s="52">
        <v>46</v>
      </c>
      <c r="F218" s="43">
        <f t="shared" si="12"/>
        <v>41.5</v>
      </c>
      <c r="G218" s="44" t="s">
        <v>523</v>
      </c>
      <c r="H218" s="3" t="str">
        <f>TRIM(SUBSTITUTE(Sheet2!$C218, "سمارت هوم", "")) &amp; " " &amp; "سمارت هوم"</f>
        <v>مشترك 90درجه درجه 48 مم سمارت هوم</v>
      </c>
      <c r="I218" s="3" t="s">
        <v>1084</v>
      </c>
      <c r="J218">
        <v>81</v>
      </c>
    </row>
    <row r="219" spans="1:10" x14ac:dyDescent="0.35">
      <c r="A219" s="42">
        <v>82</v>
      </c>
      <c r="B219" s="50"/>
      <c r="C219" s="43" t="s">
        <v>991</v>
      </c>
      <c r="D219" s="43">
        <v>52.75</v>
      </c>
      <c r="E219" s="53">
        <v>58.5</v>
      </c>
      <c r="F219" s="43">
        <f t="shared" si="12"/>
        <v>52.75</v>
      </c>
      <c r="G219" s="48" t="s">
        <v>523</v>
      </c>
      <c r="H219" s="3" t="str">
        <f>TRIM(SUBSTITUTE(Sheet2!$C219, "سمارت هوم", "")) &amp; " " &amp; "سمارت هوم"</f>
        <v>مشترك 90درجه درجه 60 مم سمارت هوم</v>
      </c>
      <c r="I219" s="3" t="s">
        <v>1085</v>
      </c>
      <c r="J219">
        <v>82</v>
      </c>
    </row>
    <row r="220" spans="1:10" x14ac:dyDescent="0.35">
      <c r="A220" s="42">
        <v>83</v>
      </c>
      <c r="B220" s="50"/>
      <c r="C220" s="43" t="s">
        <v>887</v>
      </c>
      <c r="D220" s="43">
        <v>59.5</v>
      </c>
      <c r="E220" s="52">
        <v>66</v>
      </c>
      <c r="F220" s="43">
        <f t="shared" si="12"/>
        <v>59.5</v>
      </c>
      <c r="G220" s="44" t="s">
        <v>523</v>
      </c>
      <c r="H220" s="3" t="str">
        <f>TRIM(SUBSTITUTE(Sheet2!$C220, "سمارت هوم", "")) &amp; " " &amp; "سمارت هوم"</f>
        <v>مشترك 63 مم زاويه 87.5 سمارت هوم</v>
      </c>
      <c r="I220" s="3" t="s">
        <v>887</v>
      </c>
      <c r="J220">
        <v>83</v>
      </c>
    </row>
    <row r="221" spans="1:10" x14ac:dyDescent="0.35">
      <c r="A221" s="42">
        <v>84</v>
      </c>
      <c r="B221" s="50"/>
      <c r="C221" s="43" t="s">
        <v>992</v>
      </c>
      <c r="D221" s="43">
        <v>121</v>
      </c>
      <c r="E221" s="53">
        <v>134.25</v>
      </c>
      <c r="F221" s="43">
        <f t="shared" si="12"/>
        <v>121</v>
      </c>
      <c r="G221" s="48" t="s">
        <v>523</v>
      </c>
      <c r="H221" s="3" t="str">
        <f>TRIM(SUBSTITUTE(Sheet2!$C221, "سمارت هوم", "")) &amp; " " &amp; "سمارت هوم"</f>
        <v>مشترك 90درجه درجه 75 مم سمارت هوم</v>
      </c>
      <c r="I221" s="3" t="s">
        <v>1086</v>
      </c>
      <c r="J221">
        <v>84</v>
      </c>
    </row>
    <row r="222" spans="1:10" x14ac:dyDescent="0.35">
      <c r="A222" s="42">
        <v>86</v>
      </c>
      <c r="B222" s="50"/>
      <c r="C222" s="43" t="s">
        <v>993</v>
      </c>
      <c r="D222" s="43">
        <v>197.5</v>
      </c>
      <c r="E222" s="53">
        <v>219.25</v>
      </c>
      <c r="F222" s="43">
        <f t="shared" si="12"/>
        <v>197.5</v>
      </c>
      <c r="G222" s="48" t="s">
        <v>523</v>
      </c>
      <c r="H222" s="3" t="str">
        <f>TRIM(SUBSTITUTE(Sheet2!$C222, "سمارت هوم", "")) &amp; " " &amp; "سمارت هوم"</f>
        <v>مشترك 90درجه درجه 110 مم سمارت هوم</v>
      </c>
      <c r="I222" s="3" t="s">
        <v>1087</v>
      </c>
      <c r="J222">
        <v>86</v>
      </c>
    </row>
    <row r="223" spans="1:10" x14ac:dyDescent="0.35">
      <c r="A223" s="42">
        <v>87</v>
      </c>
      <c r="B223" s="50"/>
      <c r="C223" s="43" t="s">
        <v>994</v>
      </c>
      <c r="D223" s="43">
        <v>505.25</v>
      </c>
      <c r="E223" s="52">
        <v>560.75</v>
      </c>
      <c r="F223" s="43">
        <f t="shared" si="12"/>
        <v>505.25</v>
      </c>
      <c r="G223" s="44" t="s">
        <v>523</v>
      </c>
      <c r="H223" s="3" t="str">
        <f>TRIM(SUBSTITUTE(Sheet2!$C223, "سمارت هوم", "")) &amp; " " &amp; "سمارت هوم"</f>
        <v>مشترك 90درجه درجه 160 مم سمارت هوم</v>
      </c>
      <c r="I223" s="3" t="s">
        <v>1088</v>
      </c>
      <c r="J223">
        <v>87</v>
      </c>
    </row>
    <row r="224" spans="1:10" x14ac:dyDescent="0.35">
      <c r="A224" s="42">
        <v>95</v>
      </c>
      <c r="B224" s="50"/>
      <c r="C224" s="43" t="s">
        <v>995</v>
      </c>
      <c r="D224" s="43">
        <v>91.5</v>
      </c>
      <c r="E224" s="52">
        <v>101.5</v>
      </c>
      <c r="F224" s="43">
        <f t="shared" ref="F224:F247" si="13">D224</f>
        <v>91.5</v>
      </c>
      <c r="G224" s="44" t="s">
        <v>523</v>
      </c>
      <c r="H224" s="3" t="str">
        <f>TRIM(SUBSTITUTE(Sheet2!$C224, "سمارت هوم", "")) &amp; " " &amp; "سمارت هوم"</f>
        <v>مشترك بباب كشف 90درجه درجه 60 مم سمارت هوم</v>
      </c>
      <c r="I224" s="3" t="s">
        <v>1089</v>
      </c>
      <c r="J224">
        <v>95</v>
      </c>
    </row>
    <row r="225" spans="1:10" x14ac:dyDescent="0.35">
      <c r="A225" s="42">
        <v>96</v>
      </c>
      <c r="B225" s="50"/>
      <c r="C225" s="43" t="s">
        <v>996</v>
      </c>
      <c r="D225" s="43">
        <v>135</v>
      </c>
      <c r="E225" s="53">
        <v>149.75</v>
      </c>
      <c r="F225" s="43">
        <f t="shared" si="13"/>
        <v>135</v>
      </c>
      <c r="G225" s="48" t="s">
        <v>523</v>
      </c>
      <c r="H225" s="3" t="str">
        <f>TRIM(SUBSTITUTE(Sheet2!$C225, "سمارت هوم", "")) &amp; " " &amp; "سمارت هوم"</f>
        <v>مشترك بباب كشف 90درجه درجه 75 مم سمارت هوم</v>
      </c>
      <c r="I225" s="3" t="s">
        <v>1090</v>
      </c>
      <c r="J225">
        <v>96</v>
      </c>
    </row>
    <row r="226" spans="1:10" x14ac:dyDescent="0.35">
      <c r="A226" s="42">
        <v>97</v>
      </c>
      <c r="B226" s="50"/>
      <c r="C226" s="43" t="s">
        <v>997</v>
      </c>
      <c r="D226" s="43">
        <v>228.25</v>
      </c>
      <c r="E226" s="52">
        <v>253.25</v>
      </c>
      <c r="F226" s="43">
        <f t="shared" si="13"/>
        <v>228.25</v>
      </c>
      <c r="G226" s="44" t="s">
        <v>523</v>
      </c>
      <c r="H226" s="3" t="str">
        <f>TRIM(SUBSTITUTE(Sheet2!$C226, "سمارت هوم", "")) &amp; " " &amp; "سمارت هوم"</f>
        <v>مشترك بباب كشف 90درجه درجه 110 مم سمارت هوم</v>
      </c>
      <c r="I226" s="3" t="s">
        <v>1091</v>
      </c>
      <c r="J226">
        <v>97</v>
      </c>
    </row>
    <row r="227" spans="1:10" x14ac:dyDescent="0.35">
      <c r="A227" s="42">
        <v>109</v>
      </c>
      <c r="B227" s="50"/>
      <c r="C227" s="43" t="s">
        <v>888</v>
      </c>
      <c r="D227" s="43">
        <v>29.75</v>
      </c>
      <c r="E227" s="52">
        <v>33</v>
      </c>
      <c r="F227" s="43">
        <f t="shared" si="13"/>
        <v>29.75</v>
      </c>
      <c r="G227" s="44" t="s">
        <v>523</v>
      </c>
      <c r="H227" s="3" t="str">
        <f>TRIM(SUBSTITUTE(Sheet2!$C227, "سمارت هوم", "")) &amp; " " &amp; "سمارت هوم"</f>
        <v>جلبه صرف 48 مم بسن 1.5 سمارت هوم</v>
      </c>
      <c r="I227" s="3" t="s">
        <v>1092</v>
      </c>
      <c r="J227">
        <v>109</v>
      </c>
    </row>
    <row r="228" spans="1:10" x14ac:dyDescent="0.35">
      <c r="A228" s="42">
        <v>110</v>
      </c>
      <c r="B228" s="50"/>
      <c r="C228" s="43" t="s">
        <v>889</v>
      </c>
      <c r="D228" s="43">
        <v>54.5</v>
      </c>
      <c r="E228" s="53">
        <v>60.5</v>
      </c>
      <c r="F228" s="43">
        <f t="shared" si="13"/>
        <v>54.5</v>
      </c>
      <c r="G228" s="48" t="s">
        <v>523</v>
      </c>
      <c r="H228" s="3" t="str">
        <f>TRIM(SUBSTITUTE(Sheet2!$C228, "سمارت هوم", "")) &amp; " " &amp; "سمارت هوم"</f>
        <v>جلبه صرف 60 مم بسن 1.5 سمارت هوم</v>
      </c>
      <c r="I228" s="3" t="s">
        <v>889</v>
      </c>
      <c r="J228">
        <v>110</v>
      </c>
    </row>
    <row r="229" spans="1:10" x14ac:dyDescent="0.3">
      <c r="A229" s="42">
        <v>132</v>
      </c>
      <c r="B229" s="42"/>
      <c r="C229" s="43" t="s">
        <v>890</v>
      </c>
      <c r="D229" s="43">
        <v>129.25</v>
      </c>
      <c r="E229" s="53">
        <v>143.5</v>
      </c>
      <c r="F229" s="43">
        <f t="shared" si="13"/>
        <v>129.25</v>
      </c>
      <c r="G229" s="48" t="s">
        <v>523</v>
      </c>
      <c r="H229" s="3" t="str">
        <f>TRIM(SUBSTITUTE(Sheet2!$C229, "سمارت هوم", "")) &amp; " " &amp; "سمارت هوم"</f>
        <v>حنفيه غساله 3/4*1/2 بالاكره بدون روزيته سمارت هوم</v>
      </c>
      <c r="I229" s="3" t="s">
        <v>890</v>
      </c>
      <c r="J229">
        <v>132</v>
      </c>
    </row>
    <row r="230" spans="1:10" x14ac:dyDescent="0.3">
      <c r="A230" s="42">
        <v>135</v>
      </c>
      <c r="B230" s="42"/>
      <c r="C230" s="43" t="s">
        <v>891</v>
      </c>
      <c r="D230" s="43">
        <v>142.25</v>
      </c>
      <c r="E230" s="52">
        <v>158</v>
      </c>
      <c r="F230" s="43">
        <f t="shared" si="13"/>
        <v>142.25</v>
      </c>
      <c r="G230" s="44" t="s">
        <v>523</v>
      </c>
      <c r="H230" s="3" t="str">
        <f>TRIM(SUBSTITUTE(Sheet2!$C230, "سمارت هوم", "")) &amp; " " &amp; "سمارت هوم"</f>
        <v>محبس زاويه 1/2 * 1/2 بدون روزيته سمارت هوم</v>
      </c>
      <c r="I230" s="3" t="s">
        <v>891</v>
      </c>
      <c r="J230">
        <v>135</v>
      </c>
    </row>
    <row r="231" spans="1:10" x14ac:dyDescent="0.3">
      <c r="A231" s="42">
        <v>137</v>
      </c>
      <c r="B231" s="42"/>
      <c r="C231" s="43" t="s">
        <v>892</v>
      </c>
      <c r="D231" s="43">
        <v>75</v>
      </c>
      <c r="E231" s="52">
        <v>58</v>
      </c>
      <c r="F231" s="43">
        <f t="shared" si="13"/>
        <v>75</v>
      </c>
      <c r="G231" s="44" t="s">
        <v>523</v>
      </c>
      <c r="H231" s="3" t="str">
        <f>TRIM(SUBSTITUTE(Sheet2!$C231, "سمارت هوم", "")) &amp; " " &amp; "سمارت هوم"</f>
        <v>وصله مرنه 30 سم سمارت هوم</v>
      </c>
      <c r="I231" s="3" t="s">
        <v>892</v>
      </c>
      <c r="J231">
        <v>137</v>
      </c>
    </row>
    <row r="232" spans="1:10" x14ac:dyDescent="0.3">
      <c r="A232" s="42">
        <v>138</v>
      </c>
      <c r="B232" s="42"/>
      <c r="C232" s="43" t="s">
        <v>893</v>
      </c>
      <c r="D232" s="43">
        <v>75</v>
      </c>
      <c r="E232" s="53">
        <v>63.25</v>
      </c>
      <c r="F232" s="43">
        <f t="shared" si="13"/>
        <v>75</v>
      </c>
      <c r="G232" s="48" t="s">
        <v>523</v>
      </c>
      <c r="H232" s="3" t="str">
        <f>TRIM(SUBSTITUTE(Sheet2!$C232, "سمارت هوم", "")) &amp; " " &amp; "سمارت هوم"</f>
        <v>وصله مرنه 40 سم سمارت هوم</v>
      </c>
      <c r="I232" s="3" t="s">
        <v>893</v>
      </c>
      <c r="J232">
        <v>138</v>
      </c>
    </row>
    <row r="233" spans="1:10" x14ac:dyDescent="0.3">
      <c r="A233" s="42">
        <v>139</v>
      </c>
      <c r="B233" s="42"/>
      <c r="C233" s="43" t="s">
        <v>894</v>
      </c>
      <c r="D233" s="43">
        <v>75</v>
      </c>
      <c r="E233" s="52">
        <v>70.5</v>
      </c>
      <c r="F233" s="43">
        <f t="shared" si="13"/>
        <v>75</v>
      </c>
      <c r="G233" s="44" t="s">
        <v>523</v>
      </c>
      <c r="H233" s="3" t="str">
        <f>TRIM(SUBSTITUTE(Sheet2!$C233, "سمارت هوم", "")) &amp; " " &amp; "سمارت هوم"</f>
        <v>وصله مرنه 50 سم سمارت هوم</v>
      </c>
      <c r="I233" s="3" t="s">
        <v>894</v>
      </c>
      <c r="J233">
        <v>139</v>
      </c>
    </row>
    <row r="234" spans="1:10" x14ac:dyDescent="0.3">
      <c r="A234" s="42">
        <v>140</v>
      </c>
      <c r="B234" s="42"/>
      <c r="C234" s="43" t="s">
        <v>895</v>
      </c>
      <c r="D234" s="43">
        <v>90</v>
      </c>
      <c r="E234" s="53">
        <v>78</v>
      </c>
      <c r="F234" s="43">
        <f t="shared" si="13"/>
        <v>90</v>
      </c>
      <c r="G234" s="48" t="s">
        <v>523</v>
      </c>
      <c r="H234" s="3" t="str">
        <f>TRIM(SUBSTITUTE(Sheet2!$C234, "سمارت هوم", "")) &amp; " " &amp; "سمارت هوم"</f>
        <v>وصله مرنه 60 سم سمارت هوم</v>
      </c>
      <c r="I234" s="3" t="s">
        <v>895</v>
      </c>
      <c r="J234">
        <v>140</v>
      </c>
    </row>
    <row r="235" spans="1:10" x14ac:dyDescent="0.3">
      <c r="A235" s="42">
        <v>141</v>
      </c>
      <c r="B235" s="42"/>
      <c r="C235" s="43" t="s">
        <v>896</v>
      </c>
      <c r="D235" s="43">
        <v>120</v>
      </c>
      <c r="E235" s="52">
        <v>90.75</v>
      </c>
      <c r="F235" s="43">
        <f t="shared" si="13"/>
        <v>120</v>
      </c>
      <c r="G235" s="44" t="s">
        <v>523</v>
      </c>
      <c r="H235" s="3" t="str">
        <f>TRIM(SUBSTITUTE(Sheet2!$C235, "سمارت هوم", "")) &amp; " " &amp; "سمارت هوم"</f>
        <v>وصله مرنه 80 سم سمارت هوم</v>
      </c>
      <c r="I235" s="3" t="s">
        <v>896</v>
      </c>
      <c r="J235">
        <v>141</v>
      </c>
    </row>
    <row r="236" spans="1:10" x14ac:dyDescent="0.3">
      <c r="A236" s="42">
        <v>142</v>
      </c>
      <c r="B236" s="42"/>
      <c r="C236" s="43" t="s">
        <v>897</v>
      </c>
      <c r="D236" s="43">
        <v>120</v>
      </c>
      <c r="E236" s="53">
        <v>99.25</v>
      </c>
      <c r="F236" s="43">
        <f t="shared" si="13"/>
        <v>120</v>
      </c>
      <c r="G236" s="48" t="s">
        <v>523</v>
      </c>
      <c r="H236" s="3" t="str">
        <f>TRIM(SUBSTITUTE(Sheet2!$C236, "سمارت هوم", "")) &amp; " " &amp; "سمارت هوم"</f>
        <v>وصله مرنه 100 سم سمارت هوم</v>
      </c>
      <c r="I236" s="3" t="s">
        <v>897</v>
      </c>
      <c r="J236">
        <v>142</v>
      </c>
    </row>
    <row r="237" spans="1:10" x14ac:dyDescent="0.3">
      <c r="A237" s="42">
        <v>143</v>
      </c>
      <c r="B237" s="42"/>
      <c r="C237" s="43" t="s">
        <v>898</v>
      </c>
      <c r="D237" s="43">
        <v>75</v>
      </c>
      <c r="E237" s="51"/>
      <c r="F237" s="43">
        <f t="shared" si="13"/>
        <v>75</v>
      </c>
      <c r="G237" s="44" t="s">
        <v>523</v>
      </c>
      <c r="H237" s="3" t="str">
        <f>TRIM(SUBSTITUTE(Sheet2!$C237, "سمارت هوم", "")) &amp; " " &amp; "سمارت هوم"</f>
        <v>وصله شجره مرنه 40 سم سمارت هوم</v>
      </c>
      <c r="I237" s="3" t="s">
        <v>898</v>
      </c>
      <c r="J237">
        <v>143</v>
      </c>
    </row>
    <row r="238" spans="1:10" x14ac:dyDescent="0.3">
      <c r="A238" s="42">
        <v>144</v>
      </c>
      <c r="B238" s="42"/>
      <c r="C238" s="43" t="s">
        <v>899</v>
      </c>
      <c r="D238" s="43">
        <v>75</v>
      </c>
      <c r="E238" s="51"/>
      <c r="F238" s="43">
        <f t="shared" si="13"/>
        <v>75</v>
      </c>
      <c r="G238" s="48" t="s">
        <v>523</v>
      </c>
      <c r="H238" s="3" t="str">
        <f>TRIM(SUBSTITUTE(Sheet2!$C238, "سمارت هوم", "")) &amp; " " &amp; "سمارت هوم"</f>
        <v>وصله شجره مرنه 50 سم سمارت هوم</v>
      </c>
      <c r="I238" s="3" t="s">
        <v>899</v>
      </c>
      <c r="J238">
        <v>144</v>
      </c>
    </row>
    <row r="239" spans="1:10" x14ac:dyDescent="0.3">
      <c r="A239" s="42">
        <v>145</v>
      </c>
      <c r="B239" s="42"/>
      <c r="C239" s="43" t="s">
        <v>900</v>
      </c>
      <c r="D239" s="43">
        <v>90</v>
      </c>
      <c r="E239" s="51"/>
      <c r="F239" s="43">
        <f t="shared" si="13"/>
        <v>90</v>
      </c>
      <c r="G239" s="44" t="s">
        <v>523</v>
      </c>
      <c r="H239" s="3" t="str">
        <f>TRIM(SUBSTITUTE(Sheet2!$C239, "سمارت هوم", "")) &amp; " " &amp; "سمارت هوم"</f>
        <v>وصله شجره مرنه 60 سم سمارت هوم</v>
      </c>
      <c r="I239" s="3" t="s">
        <v>900</v>
      </c>
      <c r="J239">
        <v>145</v>
      </c>
    </row>
    <row r="240" spans="1:10" x14ac:dyDescent="0.3">
      <c r="A240" s="42">
        <v>146</v>
      </c>
      <c r="B240" s="42"/>
      <c r="C240" s="43" t="s">
        <v>901</v>
      </c>
      <c r="D240" s="43">
        <v>119</v>
      </c>
      <c r="E240" s="53">
        <v>132</v>
      </c>
      <c r="F240" s="43">
        <f t="shared" si="13"/>
        <v>119</v>
      </c>
      <c r="G240" s="48" t="s">
        <v>523</v>
      </c>
      <c r="H240" s="3" t="str">
        <f>TRIM(SUBSTITUTE(Sheet2!$C240, "سمارت هوم", "")) &amp; " " &amp; "سمارت هوم"</f>
        <v>وصله مرنه 40 سم بسن خلاط سمارت هوم</v>
      </c>
      <c r="I240" s="3" t="s">
        <v>901</v>
      </c>
      <c r="J240">
        <v>146</v>
      </c>
    </row>
    <row r="241" spans="1:10" x14ac:dyDescent="0.3">
      <c r="A241" s="42">
        <v>147</v>
      </c>
      <c r="B241" s="42"/>
      <c r="C241" s="43" t="s">
        <v>902</v>
      </c>
      <c r="D241" s="43">
        <v>129.25</v>
      </c>
      <c r="E241" s="52">
        <v>143.5</v>
      </c>
      <c r="F241" s="43">
        <f t="shared" si="13"/>
        <v>129.25</v>
      </c>
      <c r="G241" s="44" t="s">
        <v>523</v>
      </c>
      <c r="H241" s="3" t="str">
        <f>TRIM(SUBSTITUTE(Sheet2!$C241, "سمارت هوم", "")) &amp; " " &amp; "سمارت هوم"</f>
        <v>وصله مرنه 50 سم بسن خلاط سمارت هوم</v>
      </c>
      <c r="I241" s="3" t="s">
        <v>902</v>
      </c>
      <c r="J241">
        <v>147</v>
      </c>
    </row>
    <row r="242" spans="1:10" x14ac:dyDescent="0.3">
      <c r="A242" s="42">
        <v>148</v>
      </c>
      <c r="B242" s="42"/>
      <c r="C242" s="43" t="s">
        <v>903</v>
      </c>
      <c r="D242" s="43">
        <v>135.75</v>
      </c>
      <c r="E242" s="53">
        <v>150.75</v>
      </c>
      <c r="F242" s="43">
        <f t="shared" si="13"/>
        <v>135.75</v>
      </c>
      <c r="G242" s="48" t="s">
        <v>523</v>
      </c>
      <c r="H242" s="3" t="str">
        <f>TRIM(SUBSTITUTE(Sheet2!$C242, "سمارت هوم", "")) &amp; " " &amp; "سمارت هوم"</f>
        <v>وصله مرنه 60 سم بسن خلاط سمارت هوم</v>
      </c>
      <c r="I242" s="3" t="s">
        <v>903</v>
      </c>
      <c r="J242">
        <v>148</v>
      </c>
    </row>
    <row r="243" spans="1:10" x14ac:dyDescent="0.3">
      <c r="A243" s="42">
        <v>149</v>
      </c>
      <c r="B243" s="42"/>
      <c r="C243" s="43" t="s">
        <v>904</v>
      </c>
      <c r="D243" s="43">
        <v>10.75</v>
      </c>
      <c r="E243" s="52">
        <v>12</v>
      </c>
      <c r="F243" s="43">
        <f t="shared" si="13"/>
        <v>10.75</v>
      </c>
      <c r="G243" s="44" t="s">
        <v>523</v>
      </c>
      <c r="H243" s="3" t="str">
        <f>TRIM(SUBSTITUTE(Sheet2!$C243, "سمارت هوم", "")) &amp; " " &amp; "سمارت هوم"</f>
        <v>جلبه 4/3 سمارت هوم</v>
      </c>
      <c r="I243" s="3" t="s">
        <v>904</v>
      </c>
      <c r="J243">
        <v>149</v>
      </c>
    </row>
    <row r="244" spans="1:10" x14ac:dyDescent="0.3">
      <c r="A244" s="42">
        <v>150</v>
      </c>
      <c r="B244" s="42"/>
      <c r="C244" s="43" t="s">
        <v>905</v>
      </c>
      <c r="D244" s="43">
        <v>15.5</v>
      </c>
      <c r="E244" s="53">
        <v>17.25</v>
      </c>
      <c r="F244" s="43">
        <f t="shared" si="13"/>
        <v>15.5</v>
      </c>
      <c r="G244" s="48" t="s">
        <v>523</v>
      </c>
      <c r="H244" s="3" t="str">
        <f>TRIM(SUBSTITUTE(Sheet2!$C244, "سمارت هوم", "")) &amp; " " &amp; "سمارت هوم"</f>
        <v>جلبه صرف 1 بوصه سمارت هوم</v>
      </c>
      <c r="I244" s="3" t="s">
        <v>905</v>
      </c>
      <c r="J244">
        <v>150</v>
      </c>
    </row>
    <row r="245" spans="1:10" x14ac:dyDescent="0.3">
      <c r="A245" s="42">
        <v>151</v>
      </c>
      <c r="B245" s="42"/>
      <c r="C245" s="43" t="s">
        <v>906</v>
      </c>
      <c r="D245" s="43">
        <v>14.5</v>
      </c>
      <c r="E245" s="52">
        <v>16</v>
      </c>
      <c r="F245" s="43">
        <f t="shared" si="13"/>
        <v>14.5</v>
      </c>
      <c r="G245" s="44" t="s">
        <v>523</v>
      </c>
      <c r="H245" s="3" t="str">
        <f>TRIM(SUBSTITUTE(Sheet2!$C245, "سمارت هوم", "")) &amp; " " &amp; "سمارت هوم"</f>
        <v>جلبه صرف 32 مم سمارت هوم</v>
      </c>
      <c r="I245" s="3" t="s">
        <v>906</v>
      </c>
      <c r="J245">
        <v>151</v>
      </c>
    </row>
    <row r="246" spans="1:10" x14ac:dyDescent="0.3">
      <c r="A246" s="42">
        <v>152</v>
      </c>
      <c r="B246" s="42"/>
      <c r="C246" s="43" t="s">
        <v>907</v>
      </c>
      <c r="D246" s="43">
        <v>25.75</v>
      </c>
      <c r="E246" s="53">
        <v>28.5</v>
      </c>
      <c r="F246" s="43">
        <f t="shared" si="13"/>
        <v>25.75</v>
      </c>
      <c r="G246" s="48" t="s">
        <v>523</v>
      </c>
      <c r="H246" s="3" t="str">
        <f>TRIM(SUBSTITUTE(Sheet2!$C246, "سمارت هوم", "")) &amp; " " &amp; "سمارت هوم"</f>
        <v>جلبه صرف 48 مم سمارت هوم</v>
      </c>
      <c r="I246" s="3" t="s">
        <v>907</v>
      </c>
      <c r="J246">
        <v>152</v>
      </c>
    </row>
    <row r="247" spans="1:10" x14ac:dyDescent="0.3">
      <c r="A247" s="42">
        <v>153</v>
      </c>
      <c r="B247" s="42"/>
      <c r="C247" s="43" t="s">
        <v>908</v>
      </c>
      <c r="D247" s="43">
        <v>32.5</v>
      </c>
      <c r="E247" s="52">
        <v>36</v>
      </c>
      <c r="F247" s="43">
        <f t="shared" si="13"/>
        <v>32.5</v>
      </c>
      <c r="G247" s="44" t="s">
        <v>523</v>
      </c>
      <c r="H247" s="3" t="str">
        <f>TRIM(SUBSTITUTE(Sheet2!$C247, "سمارت هوم", "")) &amp; " " &amp; "سمارت هوم"</f>
        <v>جلبه صرف 60 مم سمارت هوم</v>
      </c>
      <c r="I247" s="3" t="s">
        <v>908</v>
      </c>
      <c r="J247">
        <v>153</v>
      </c>
    </row>
    <row r="248" spans="1:10" x14ac:dyDescent="0.3">
      <c r="A248" s="42">
        <v>154</v>
      </c>
      <c r="B248" s="42"/>
      <c r="C248" s="43" t="s">
        <v>909</v>
      </c>
      <c r="D248" s="43">
        <v>33.5</v>
      </c>
      <c r="E248" s="53">
        <v>37.25</v>
      </c>
      <c r="F248" s="43">
        <f t="shared" ref="F248:F267" si="14">D248</f>
        <v>33.5</v>
      </c>
      <c r="G248" s="48" t="s">
        <v>523</v>
      </c>
      <c r="H248" s="3" t="str">
        <f>TRIM(SUBSTITUTE(Sheet2!$C248, "سمارت هوم", "")) &amp; " " &amp; "سمارت هوم"</f>
        <v>جلبه صرف 63 مم سمارت هوم</v>
      </c>
      <c r="I248" s="3" t="s">
        <v>909</v>
      </c>
      <c r="J248">
        <v>154</v>
      </c>
    </row>
    <row r="249" spans="1:10" x14ac:dyDescent="0.3">
      <c r="A249" s="42">
        <v>155</v>
      </c>
      <c r="B249" s="42"/>
      <c r="C249" s="43" t="s">
        <v>998</v>
      </c>
      <c r="D249" s="43">
        <v>70.25</v>
      </c>
      <c r="E249" s="52">
        <v>78</v>
      </c>
      <c r="F249" s="43">
        <f t="shared" si="14"/>
        <v>70.25</v>
      </c>
      <c r="G249" s="44" t="s">
        <v>523</v>
      </c>
      <c r="H249" s="3" t="str">
        <f>TRIM(SUBSTITUTE(Sheet2!$C249, "سمارت هوم", "")) &amp; " " &amp; "سمارت هوم"</f>
        <v>جلبه صرف 90درجه مم سمارت هوم</v>
      </c>
      <c r="I249" s="3" t="s">
        <v>1093</v>
      </c>
      <c r="J249">
        <v>155</v>
      </c>
    </row>
    <row r="250" spans="1:10" x14ac:dyDescent="0.3">
      <c r="A250" s="42">
        <v>156</v>
      </c>
      <c r="B250" s="42"/>
      <c r="C250" s="43" t="s">
        <v>910</v>
      </c>
      <c r="D250" s="43">
        <v>57.5</v>
      </c>
      <c r="E250" s="53">
        <v>63.75</v>
      </c>
      <c r="F250" s="43">
        <f t="shared" si="14"/>
        <v>57.5</v>
      </c>
      <c r="G250" s="48" t="s">
        <v>523</v>
      </c>
      <c r="H250" s="3" t="str">
        <f>TRIM(SUBSTITUTE(Sheet2!$C250, "سمارت هوم", "")) &amp; " " &amp; "سمارت هوم"</f>
        <v>جلبه صرف 75 مم سمارت هوم</v>
      </c>
      <c r="I250" s="3" t="s">
        <v>910</v>
      </c>
      <c r="J250">
        <v>156</v>
      </c>
    </row>
    <row r="251" spans="1:10" x14ac:dyDescent="0.3">
      <c r="A251" s="42">
        <v>157</v>
      </c>
      <c r="B251" s="42"/>
      <c r="C251" s="43" t="s">
        <v>911</v>
      </c>
      <c r="D251" s="43">
        <v>90</v>
      </c>
      <c r="E251" s="52">
        <v>100</v>
      </c>
      <c r="F251" s="43">
        <f t="shared" si="14"/>
        <v>90</v>
      </c>
      <c r="G251" s="44" t="s">
        <v>523</v>
      </c>
      <c r="H251" s="3" t="str">
        <f>TRIM(SUBSTITUTE(Sheet2!$C251, "سمارت هوم", "")) &amp; " " &amp; "سمارت هوم"</f>
        <v>جلبه صرف 110 مم سمارت هوم</v>
      </c>
      <c r="I251" s="3" t="s">
        <v>911</v>
      </c>
      <c r="J251">
        <v>157</v>
      </c>
    </row>
    <row r="252" spans="1:10" x14ac:dyDescent="0.3">
      <c r="A252" s="42">
        <v>158</v>
      </c>
      <c r="B252" s="42"/>
      <c r="C252" s="43" t="s">
        <v>912</v>
      </c>
      <c r="D252" s="43">
        <v>227</v>
      </c>
      <c r="E252" s="53">
        <v>252</v>
      </c>
      <c r="F252" s="43">
        <f t="shared" si="14"/>
        <v>227</v>
      </c>
      <c r="G252" s="48" t="s">
        <v>523</v>
      </c>
      <c r="H252" s="3" t="str">
        <f>TRIM(SUBSTITUTE(Sheet2!$C252, "سمارت هوم", "")) &amp; " " &amp; "سمارت هوم"</f>
        <v>جلبه صرف 160 مم سمارت هوم</v>
      </c>
      <c r="I252" s="3" t="s">
        <v>912</v>
      </c>
      <c r="J252">
        <v>158</v>
      </c>
    </row>
    <row r="253" spans="1:10" x14ac:dyDescent="0.3">
      <c r="A253" s="42">
        <v>188</v>
      </c>
      <c r="B253" s="42"/>
      <c r="C253" s="69" t="s">
        <v>913</v>
      </c>
      <c r="D253" s="43">
        <v>64.25</v>
      </c>
      <c r="E253" s="53">
        <v>71.25</v>
      </c>
      <c r="F253" s="43">
        <f t="shared" si="14"/>
        <v>64.25</v>
      </c>
      <c r="G253" s="48" t="s">
        <v>523</v>
      </c>
      <c r="H253" s="3" t="str">
        <f>TRIM(SUBSTITUTE(Sheet2!$C253, "سمارت هوم", "")) &amp; " " &amp; "سمارت هوم"</f>
        <v>طبه تسليك 60 مم سمارت هوم</v>
      </c>
      <c r="I253" s="3" t="s">
        <v>913</v>
      </c>
      <c r="J253">
        <v>188</v>
      </c>
    </row>
    <row r="254" spans="1:10" x14ac:dyDescent="0.3">
      <c r="A254" s="42">
        <v>189</v>
      </c>
      <c r="B254" s="42"/>
      <c r="C254" s="69" t="s">
        <v>914</v>
      </c>
      <c r="D254" s="43">
        <v>70.25</v>
      </c>
      <c r="E254" s="52">
        <v>78</v>
      </c>
      <c r="F254" s="43">
        <f t="shared" si="14"/>
        <v>70.25</v>
      </c>
      <c r="G254" s="44" t="s">
        <v>523</v>
      </c>
      <c r="H254" s="3" t="str">
        <f>TRIM(SUBSTITUTE(Sheet2!$C254, "سمارت هوم", "")) &amp; " " &amp; "سمارت هوم"</f>
        <v>طبه تسليك 63 مم سمارت هوم</v>
      </c>
      <c r="I254" s="3" t="s">
        <v>914</v>
      </c>
      <c r="J254">
        <v>189</v>
      </c>
    </row>
    <row r="255" spans="1:10" x14ac:dyDescent="0.3">
      <c r="A255" s="42">
        <v>190</v>
      </c>
      <c r="B255" s="42"/>
      <c r="C255" s="69" t="s">
        <v>915</v>
      </c>
      <c r="D255" s="43">
        <v>114.5</v>
      </c>
      <c r="E255" s="53">
        <v>127</v>
      </c>
      <c r="F255" s="43">
        <f t="shared" si="14"/>
        <v>114.5</v>
      </c>
      <c r="G255" s="48" t="s">
        <v>523</v>
      </c>
      <c r="H255" s="3" t="str">
        <f>TRIM(SUBSTITUTE(Sheet2!$C255, "سمارت هوم", "")) &amp; " " &amp; "سمارت هوم"</f>
        <v>طبه تسليك 75 مم سمارت هوم</v>
      </c>
      <c r="I255" s="3" t="s">
        <v>1094</v>
      </c>
      <c r="J255">
        <v>190</v>
      </c>
    </row>
    <row r="256" spans="1:10" x14ac:dyDescent="0.3">
      <c r="A256" s="42">
        <v>191</v>
      </c>
      <c r="B256" s="42"/>
      <c r="C256" s="69" t="s">
        <v>916</v>
      </c>
      <c r="D256" s="43">
        <v>119.5</v>
      </c>
      <c r="E256" s="52">
        <v>132.75</v>
      </c>
      <c r="F256" s="43">
        <f t="shared" si="14"/>
        <v>119.5</v>
      </c>
      <c r="G256" s="44" t="s">
        <v>523</v>
      </c>
      <c r="H256" s="3" t="str">
        <f>TRIM(SUBSTITUTE(Sheet2!$C256, "سمارت هوم", "")) &amp; " " &amp; "سمارت هوم"</f>
        <v>طبه تسليك 90 مم سمارت هوم</v>
      </c>
      <c r="I256" s="3" t="s">
        <v>1095</v>
      </c>
      <c r="J256">
        <v>191</v>
      </c>
    </row>
    <row r="257" spans="1:10" x14ac:dyDescent="0.3">
      <c r="A257" s="42">
        <v>199</v>
      </c>
      <c r="B257" s="42"/>
      <c r="C257" s="43" t="s">
        <v>917</v>
      </c>
      <c r="D257" s="43">
        <v>12</v>
      </c>
      <c r="E257" s="52">
        <v>13.25</v>
      </c>
      <c r="F257" s="43">
        <f t="shared" si="14"/>
        <v>12</v>
      </c>
      <c r="G257" s="44" t="s">
        <v>523</v>
      </c>
      <c r="H257" s="3" t="str">
        <f>TRIM(SUBSTITUTE(Sheet2!$C257, "سمارت هوم", "")) &amp; " " &amp; "سمارت هوم"</f>
        <v>طبه ماسوره 4/3 بوصه سمارت هوم</v>
      </c>
      <c r="I257" s="3" t="s">
        <v>930</v>
      </c>
      <c r="J257">
        <v>199</v>
      </c>
    </row>
    <row r="258" spans="1:10" x14ac:dyDescent="0.3">
      <c r="A258" s="42">
        <v>200</v>
      </c>
      <c r="B258" s="42"/>
      <c r="C258" s="43" t="s">
        <v>918</v>
      </c>
      <c r="D258" s="43">
        <v>15.25</v>
      </c>
      <c r="E258" s="53">
        <v>17</v>
      </c>
      <c r="F258" s="43">
        <f t="shared" si="14"/>
        <v>15.25</v>
      </c>
      <c r="G258" s="48" t="s">
        <v>523</v>
      </c>
      <c r="H258" s="3" t="str">
        <f>TRIM(SUBSTITUTE(Sheet2!$C258, "سمارت هوم", "")) &amp; " " &amp; "سمارت هوم"</f>
        <v>طبه ماسوره 1 بوصه سمارت هوم</v>
      </c>
      <c r="I258" s="3" t="s">
        <v>918</v>
      </c>
      <c r="J258">
        <v>200</v>
      </c>
    </row>
    <row r="259" spans="1:10" x14ac:dyDescent="0.3">
      <c r="A259" s="42">
        <v>201</v>
      </c>
      <c r="B259" s="42"/>
      <c r="C259" s="43" t="s">
        <v>919</v>
      </c>
      <c r="D259" s="43">
        <v>15.25</v>
      </c>
      <c r="E259" s="52">
        <v>17</v>
      </c>
      <c r="F259" s="43">
        <f t="shared" si="14"/>
        <v>15.25</v>
      </c>
      <c r="G259" s="44" t="s">
        <v>523</v>
      </c>
      <c r="H259" s="3" t="str">
        <f>TRIM(SUBSTITUTE(Sheet2!$C259, "سمارت هوم", "")) &amp; " " &amp; "سمارت هوم"</f>
        <v>طبه ماسوره 32 مم سمارت هوم</v>
      </c>
      <c r="I259" s="3" t="s">
        <v>931</v>
      </c>
      <c r="J259">
        <v>201</v>
      </c>
    </row>
    <row r="260" spans="1:10" x14ac:dyDescent="0.3">
      <c r="A260" s="42">
        <v>202</v>
      </c>
      <c r="B260" s="42"/>
      <c r="C260" s="43" t="s">
        <v>920</v>
      </c>
      <c r="D260" s="43">
        <v>46</v>
      </c>
      <c r="E260" s="53">
        <v>51</v>
      </c>
      <c r="F260" s="43">
        <f t="shared" si="14"/>
        <v>46</v>
      </c>
      <c r="G260" s="48" t="s">
        <v>523</v>
      </c>
      <c r="H260" s="3" t="str">
        <f>TRIM(SUBSTITUTE(Sheet2!$C260, "سمارت هوم", "")) &amp; " " &amp; "سمارت هوم"</f>
        <v>طبه ماسوره 48 مم سمارت هوم</v>
      </c>
      <c r="I260" s="3" t="s">
        <v>920</v>
      </c>
      <c r="J260">
        <v>202</v>
      </c>
    </row>
    <row r="261" spans="1:10" x14ac:dyDescent="0.3">
      <c r="A261" s="42">
        <v>203</v>
      </c>
      <c r="B261" s="42"/>
      <c r="C261" s="43" t="s">
        <v>921</v>
      </c>
      <c r="D261" s="43">
        <v>55.25</v>
      </c>
      <c r="E261" s="52">
        <v>61.25</v>
      </c>
      <c r="F261" s="43">
        <f t="shared" si="14"/>
        <v>55.25</v>
      </c>
      <c r="G261" s="44" t="s">
        <v>523</v>
      </c>
      <c r="H261" s="3" t="str">
        <f>TRIM(SUBSTITUTE(Sheet2!$C261, "سمارت هوم", "")) &amp; " " &amp; "سمارت هوم"</f>
        <v>طبه ماسوره 60 مم سمارت هوم</v>
      </c>
      <c r="I261" s="3" t="s">
        <v>921</v>
      </c>
      <c r="J261">
        <v>203</v>
      </c>
    </row>
    <row r="262" spans="1:10" x14ac:dyDescent="0.3">
      <c r="A262" s="42">
        <v>204</v>
      </c>
      <c r="B262" s="42"/>
      <c r="C262" s="43" t="s">
        <v>922</v>
      </c>
      <c r="D262" s="43">
        <v>68.25</v>
      </c>
      <c r="E262" s="53">
        <v>75.75</v>
      </c>
      <c r="F262" s="43">
        <f t="shared" si="14"/>
        <v>68.25</v>
      </c>
      <c r="G262" s="48" t="s">
        <v>523</v>
      </c>
      <c r="H262" s="3" t="str">
        <f>TRIM(SUBSTITUTE(Sheet2!$C262, "سمارت هوم", "")) &amp; " " &amp; "سمارت هوم"</f>
        <v>طبه ماسوره 75 مم سمارت هوم</v>
      </c>
      <c r="I262" s="3" t="s">
        <v>932</v>
      </c>
      <c r="J262">
        <v>204</v>
      </c>
    </row>
    <row r="263" spans="1:10" x14ac:dyDescent="0.3">
      <c r="A263" s="42">
        <v>205</v>
      </c>
      <c r="B263" s="42"/>
      <c r="C263" s="43" t="s">
        <v>999</v>
      </c>
      <c r="D263" s="43">
        <v>106.75</v>
      </c>
      <c r="E263" s="52">
        <v>118.5</v>
      </c>
      <c r="F263" s="43">
        <f t="shared" si="14"/>
        <v>106.75</v>
      </c>
      <c r="G263" s="44" t="s">
        <v>523</v>
      </c>
      <c r="H263" s="3" t="str">
        <f>TRIM(SUBSTITUTE(Sheet2!$C263, "سمارت هوم", "")) &amp; " " &amp; "سمارت هوم"</f>
        <v>طبه ماسوره 90درجه مم سمارت هوم</v>
      </c>
      <c r="I263" s="3" t="s">
        <v>1096</v>
      </c>
      <c r="J263">
        <v>205</v>
      </c>
    </row>
    <row r="264" spans="1:10" x14ac:dyDescent="0.3">
      <c r="A264" s="42">
        <v>206</v>
      </c>
      <c r="B264" s="42"/>
      <c r="C264" s="43" t="s">
        <v>923</v>
      </c>
      <c r="D264" s="43">
        <v>121</v>
      </c>
      <c r="E264" s="53">
        <v>134.25</v>
      </c>
      <c r="F264" s="43">
        <f t="shared" si="14"/>
        <v>121</v>
      </c>
      <c r="G264" s="48" t="s">
        <v>523</v>
      </c>
      <c r="H264" s="3" t="str">
        <f>TRIM(SUBSTITUTE(Sheet2!$C264, "سمارت هوم", "")) &amp; " " &amp; "سمارت هوم"</f>
        <v>طبه ماسوره 110 مم سمارت هوم</v>
      </c>
      <c r="I264" s="3" t="s">
        <v>923</v>
      </c>
      <c r="J264">
        <v>206</v>
      </c>
    </row>
    <row r="265" spans="1:10" x14ac:dyDescent="0.3">
      <c r="A265" s="42">
        <v>207</v>
      </c>
      <c r="B265" s="42"/>
      <c r="C265" s="43" t="s">
        <v>924</v>
      </c>
      <c r="D265" s="43">
        <v>170</v>
      </c>
      <c r="E265" s="52">
        <v>188.75</v>
      </c>
      <c r="F265" s="43">
        <f t="shared" si="14"/>
        <v>170</v>
      </c>
      <c r="G265" s="44" t="s">
        <v>523</v>
      </c>
      <c r="H265" s="3" t="str">
        <f>TRIM(SUBSTITUTE(Sheet2!$C265, "سمارت هوم", "")) &amp; " " &amp; "سمارت هوم"</f>
        <v>طبه ماسوره 160 مم سمارت هوم</v>
      </c>
      <c r="I265" s="3" t="s">
        <v>924</v>
      </c>
      <c r="J265">
        <v>207</v>
      </c>
    </row>
    <row r="266" spans="1:10" x14ac:dyDescent="0.3">
      <c r="A266" s="42">
        <v>208</v>
      </c>
      <c r="B266" s="42"/>
      <c r="C266" s="43" t="s">
        <v>1097</v>
      </c>
      <c r="D266" s="43">
        <v>1332.25</v>
      </c>
      <c r="E266" s="53">
        <v>1478.75</v>
      </c>
      <c r="F266" s="43">
        <f t="shared" si="14"/>
        <v>1332.25</v>
      </c>
      <c r="G266" s="48" t="s">
        <v>523</v>
      </c>
      <c r="H266" s="3" t="str">
        <f>TRIM(SUBSTITUTE(Sheet2!$C266, "سمارت هوم", "")) &amp; " " &amp; "سمارت هوم"</f>
        <v>جيتراب 110/75/75 مخرج 110 مفتوح سمارت هوم</v>
      </c>
      <c r="I266" s="3" t="s">
        <v>1097</v>
      </c>
      <c r="J266">
        <v>208</v>
      </c>
    </row>
    <row r="267" spans="1:10" x14ac:dyDescent="0.3">
      <c r="A267" s="42">
        <v>209</v>
      </c>
      <c r="B267" s="42"/>
      <c r="C267" s="43" t="s">
        <v>1098</v>
      </c>
      <c r="D267" s="43">
        <v>1332.25</v>
      </c>
      <c r="E267" s="52">
        <v>1478.75</v>
      </c>
      <c r="F267" s="43">
        <f t="shared" si="14"/>
        <v>1332.25</v>
      </c>
      <c r="G267" s="44" t="s">
        <v>523</v>
      </c>
      <c r="H267" s="3" t="str">
        <f>TRIM(SUBSTITUTE(Sheet2!$C267, "سمارت هوم", "")) &amp; " " &amp; "سمارت هوم"</f>
        <v>جيتراب 110/75/75 مخرج 110 مغلق سمارت هوم</v>
      </c>
      <c r="I267" s="3" t="s">
        <v>1098</v>
      </c>
      <c r="J267">
        <v>209</v>
      </c>
    </row>
    <row r="268" spans="1:10" x14ac:dyDescent="0.3">
      <c r="A268" s="42">
        <v>226</v>
      </c>
      <c r="B268" s="42"/>
      <c r="C268" s="43" t="s">
        <v>925</v>
      </c>
      <c r="D268" s="43">
        <v>41.5</v>
      </c>
      <c r="E268" s="53">
        <v>46</v>
      </c>
      <c r="F268" s="43">
        <f t="shared" ref="F268:F298" si="15">D268</f>
        <v>41.5</v>
      </c>
      <c r="G268" s="48" t="s">
        <v>523</v>
      </c>
      <c r="H268" s="3" t="str">
        <f>TRIM(SUBSTITUTE(Sheet2!$C268, "سمارت هوم", "")) &amp; " " &amp; "سمارت هوم"</f>
        <v>هوايه 60 مم سمارت هوم</v>
      </c>
      <c r="I268" s="3" t="s">
        <v>925</v>
      </c>
      <c r="J268">
        <v>226</v>
      </c>
    </row>
    <row r="269" spans="1:10" x14ac:dyDescent="0.3">
      <c r="A269" s="42">
        <v>227</v>
      </c>
      <c r="B269" s="42"/>
      <c r="C269" s="43" t="s">
        <v>926</v>
      </c>
      <c r="D269" s="43">
        <v>53</v>
      </c>
      <c r="E269" s="52">
        <v>58.75</v>
      </c>
      <c r="F269" s="43">
        <f t="shared" si="15"/>
        <v>53</v>
      </c>
      <c r="G269" s="44" t="s">
        <v>523</v>
      </c>
      <c r="H269" s="3" t="str">
        <f>TRIM(SUBSTITUTE(Sheet2!$C269, "سمارت هوم", "")) &amp; " " &amp; "سمارت هوم"</f>
        <v>هوايه 75 مم سمارت هوم</v>
      </c>
      <c r="I269" s="3" t="s">
        <v>926</v>
      </c>
      <c r="J269">
        <v>227</v>
      </c>
    </row>
    <row r="270" spans="1:10" x14ac:dyDescent="0.3">
      <c r="A270" s="42">
        <v>228</v>
      </c>
      <c r="B270" s="42"/>
      <c r="C270" s="43" t="s">
        <v>927</v>
      </c>
      <c r="D270" s="43">
        <v>71</v>
      </c>
      <c r="E270" s="53">
        <v>78.75</v>
      </c>
      <c r="F270" s="43">
        <f t="shared" si="15"/>
        <v>71</v>
      </c>
      <c r="G270" s="48" t="s">
        <v>523</v>
      </c>
      <c r="H270" s="3" t="str">
        <f>TRIM(SUBSTITUTE(Sheet2!$C270, "سمارت هوم", "")) &amp; " " &amp; "سمارت هوم"</f>
        <v>هوايه 110 مم سمارت هوم</v>
      </c>
      <c r="I270" s="3" t="s">
        <v>927</v>
      </c>
      <c r="J270">
        <v>228</v>
      </c>
    </row>
    <row r="271" spans="1:10" x14ac:dyDescent="0.3">
      <c r="A271" s="42">
        <v>229</v>
      </c>
      <c r="B271" s="42"/>
      <c r="C271" s="43" t="s">
        <v>928</v>
      </c>
      <c r="D271" s="43">
        <v>64.25</v>
      </c>
      <c r="E271" s="52">
        <v>71.25</v>
      </c>
      <c r="F271" s="43">
        <f t="shared" si="15"/>
        <v>64.25</v>
      </c>
      <c r="G271" s="44" t="s">
        <v>523</v>
      </c>
      <c r="H271" s="3" t="str">
        <f>TRIM(SUBSTITUTE(Sheet2!$C271, "سمارت هوم", "")) &amp; " " &amp; "سمارت هوم"</f>
        <v>طبه تسليك صرف 60 مم سمارت هوم</v>
      </c>
      <c r="I271" s="3" t="s">
        <v>928</v>
      </c>
      <c r="J271">
        <v>229</v>
      </c>
    </row>
    <row r="272" spans="1:10" x14ac:dyDescent="0.3">
      <c r="A272" s="42">
        <v>230</v>
      </c>
      <c r="B272" s="42"/>
      <c r="C272" s="43" t="s">
        <v>914</v>
      </c>
      <c r="D272" s="43">
        <v>70.25</v>
      </c>
      <c r="E272" s="53">
        <v>78</v>
      </c>
      <c r="F272" s="43">
        <f t="shared" si="15"/>
        <v>70.25</v>
      </c>
      <c r="G272" s="48" t="s">
        <v>523</v>
      </c>
      <c r="H272" s="3" t="str">
        <f>TRIM(SUBSTITUTE(Sheet2!$C272, "سمارت هوم", "")) &amp; " " &amp; "سمارت هوم"</f>
        <v>طبه تسليك 63 مم سمارت هوم</v>
      </c>
      <c r="I272" s="3" t="s">
        <v>914</v>
      </c>
      <c r="J272">
        <v>230</v>
      </c>
    </row>
    <row r="273" spans="1:10" x14ac:dyDescent="0.3">
      <c r="A273" s="42">
        <v>231</v>
      </c>
      <c r="B273" s="42"/>
      <c r="C273" s="43" t="s">
        <v>929</v>
      </c>
      <c r="D273" s="43">
        <v>114.5</v>
      </c>
      <c r="E273" s="52">
        <v>127</v>
      </c>
      <c r="F273" s="43">
        <f t="shared" si="15"/>
        <v>114.5</v>
      </c>
      <c r="G273" s="44" t="s">
        <v>523</v>
      </c>
      <c r="H273" s="3" t="str">
        <f>TRIM(SUBSTITUTE(Sheet2!$C273, "سمارت هوم", "")) &amp; " " &amp; "سمارت هوم"</f>
        <v>طبه تسليك صرف 75 مم سمارت هوم</v>
      </c>
      <c r="I273" s="3" t="s">
        <v>929</v>
      </c>
      <c r="J273">
        <v>231</v>
      </c>
    </row>
    <row r="274" spans="1:10" x14ac:dyDescent="0.3">
      <c r="A274" s="42">
        <v>232</v>
      </c>
      <c r="B274" s="42"/>
      <c r="C274" s="43" t="s">
        <v>916</v>
      </c>
      <c r="D274" s="43">
        <v>119.5</v>
      </c>
      <c r="E274" s="53">
        <v>132.75</v>
      </c>
      <c r="F274" s="43">
        <f t="shared" si="15"/>
        <v>119.5</v>
      </c>
      <c r="G274" s="48" t="s">
        <v>523</v>
      </c>
      <c r="H274" s="3" t="str">
        <f>TRIM(SUBSTITUTE(Sheet2!$C274, "سمارت هوم", "")) &amp; " " &amp; "سمارت هوم"</f>
        <v>طبه تسليك 90 مم سمارت هوم</v>
      </c>
      <c r="I274" s="3" t="s">
        <v>1095</v>
      </c>
      <c r="J274">
        <v>232</v>
      </c>
    </row>
    <row r="275" spans="1:10" x14ac:dyDescent="0.3">
      <c r="A275" s="42">
        <v>240</v>
      </c>
      <c r="B275" s="42"/>
      <c r="C275" s="43" t="s">
        <v>930</v>
      </c>
      <c r="D275" s="43">
        <v>12</v>
      </c>
      <c r="E275" s="53">
        <v>13.25</v>
      </c>
      <c r="F275" s="43">
        <f t="shared" si="15"/>
        <v>12</v>
      </c>
      <c r="G275" s="48" t="s">
        <v>523</v>
      </c>
      <c r="H275" s="3" t="str">
        <f>TRIM(SUBSTITUTE(Sheet2!$C275, "سمارت هوم", "")) &amp; " " &amp; "سمارت هوم"</f>
        <v>طبه ماسوره 4/3 بوصه سمارت هوم</v>
      </c>
      <c r="I275" s="3" t="s">
        <v>930</v>
      </c>
      <c r="J275">
        <v>240</v>
      </c>
    </row>
    <row r="276" spans="1:10" x14ac:dyDescent="0.3">
      <c r="A276" s="42">
        <v>241</v>
      </c>
      <c r="B276" s="42"/>
      <c r="C276" s="43" t="s">
        <v>918</v>
      </c>
      <c r="D276" s="43">
        <v>15.25</v>
      </c>
      <c r="E276" s="52">
        <v>17</v>
      </c>
      <c r="F276" s="43">
        <f t="shared" si="15"/>
        <v>15.25</v>
      </c>
      <c r="G276" s="44" t="s">
        <v>523</v>
      </c>
      <c r="H276" s="3" t="str">
        <f>TRIM(SUBSTITUTE(Sheet2!$C276, "سمارت هوم", "")) &amp; " " &amp; "سمارت هوم"</f>
        <v>طبه ماسوره 1 بوصه سمارت هوم</v>
      </c>
      <c r="I276" s="3" t="s">
        <v>918</v>
      </c>
      <c r="J276">
        <v>241</v>
      </c>
    </row>
    <row r="277" spans="1:10" x14ac:dyDescent="0.3">
      <c r="A277" s="42">
        <v>242</v>
      </c>
      <c r="B277" s="42"/>
      <c r="C277" s="43" t="s">
        <v>931</v>
      </c>
      <c r="D277" s="43">
        <v>15.25</v>
      </c>
      <c r="E277" s="53">
        <v>17</v>
      </c>
      <c r="F277" s="43">
        <f t="shared" si="15"/>
        <v>15.25</v>
      </c>
      <c r="G277" s="48" t="s">
        <v>523</v>
      </c>
      <c r="H277" s="3" t="str">
        <f>TRIM(SUBSTITUTE(Sheet2!$C277, "سمارت هوم", "")) &amp; " " &amp; "سمارت هوم"</f>
        <v>طبه ماسوره 32 مم سمارت هوم</v>
      </c>
      <c r="I277" s="3" t="s">
        <v>931</v>
      </c>
      <c r="J277">
        <v>242</v>
      </c>
    </row>
    <row r="278" spans="1:10" x14ac:dyDescent="0.3">
      <c r="A278" s="42">
        <v>243</v>
      </c>
      <c r="B278" s="42"/>
      <c r="C278" s="43" t="s">
        <v>920</v>
      </c>
      <c r="D278" s="43">
        <v>46</v>
      </c>
      <c r="E278" s="52">
        <v>51</v>
      </c>
      <c r="F278" s="43">
        <f t="shared" si="15"/>
        <v>46</v>
      </c>
      <c r="G278" s="44" t="s">
        <v>523</v>
      </c>
      <c r="H278" s="3" t="str">
        <f>TRIM(SUBSTITUTE(Sheet2!$C278, "سمارت هوم", "")) &amp; " " &amp; "سمارت هوم"</f>
        <v>طبه ماسوره 48 مم سمارت هوم</v>
      </c>
      <c r="I278" s="3" t="s">
        <v>920</v>
      </c>
      <c r="J278">
        <v>243</v>
      </c>
    </row>
    <row r="279" spans="1:10" x14ac:dyDescent="0.3">
      <c r="A279" s="42">
        <v>244</v>
      </c>
      <c r="B279" s="42"/>
      <c r="C279" s="43" t="s">
        <v>921</v>
      </c>
      <c r="D279" s="43">
        <v>55.25</v>
      </c>
      <c r="E279" s="53">
        <v>61.25</v>
      </c>
      <c r="F279" s="43">
        <f t="shared" si="15"/>
        <v>55.25</v>
      </c>
      <c r="G279" s="48" t="s">
        <v>523</v>
      </c>
      <c r="H279" s="3" t="str">
        <f>TRIM(SUBSTITUTE(Sheet2!$C279, "سمارت هوم", "")) &amp; " " &amp; "سمارت هوم"</f>
        <v>طبه ماسوره 60 مم سمارت هوم</v>
      </c>
      <c r="I279" s="3" t="s">
        <v>921</v>
      </c>
      <c r="J279">
        <v>244</v>
      </c>
    </row>
    <row r="280" spans="1:10" x14ac:dyDescent="0.3">
      <c r="A280" s="42">
        <v>245</v>
      </c>
      <c r="B280" s="42"/>
      <c r="C280" s="43" t="s">
        <v>932</v>
      </c>
      <c r="D280" s="43">
        <v>68.25</v>
      </c>
      <c r="E280" s="52">
        <v>75.75</v>
      </c>
      <c r="F280" s="43">
        <f t="shared" si="15"/>
        <v>68.25</v>
      </c>
      <c r="G280" s="44" t="s">
        <v>523</v>
      </c>
      <c r="H280" s="3" t="str">
        <f>TRIM(SUBSTITUTE(Sheet2!$C280, "سمارت هوم", "")) &amp; " " &amp; "سمارت هوم"</f>
        <v>طبه ماسوره 75 مم سمارت هوم</v>
      </c>
      <c r="I280" s="3" t="s">
        <v>932</v>
      </c>
      <c r="J280">
        <v>245</v>
      </c>
    </row>
    <row r="281" spans="1:10" x14ac:dyDescent="0.3">
      <c r="A281" s="42">
        <v>246</v>
      </c>
      <c r="B281" s="42"/>
      <c r="C281" s="43" t="s">
        <v>1000</v>
      </c>
      <c r="D281" s="43">
        <v>106.75</v>
      </c>
      <c r="E281" s="53">
        <v>118.5</v>
      </c>
      <c r="F281" s="43">
        <f t="shared" si="15"/>
        <v>106.75</v>
      </c>
      <c r="G281" s="48" t="s">
        <v>523</v>
      </c>
      <c r="H281" s="3" t="str">
        <f>TRIM(SUBSTITUTE(Sheet2!$C281, "سمارت هوم", "")) &amp; " " &amp; "سمارت هوم"</f>
        <v>طبه ماسوره 90درجه مم سمارت هوم</v>
      </c>
      <c r="I281" s="3" t="s">
        <v>1096</v>
      </c>
      <c r="J281">
        <v>246</v>
      </c>
    </row>
    <row r="282" spans="1:10" x14ac:dyDescent="0.3">
      <c r="A282" s="42">
        <v>247</v>
      </c>
      <c r="B282" s="42"/>
      <c r="C282" s="43" t="s">
        <v>923</v>
      </c>
      <c r="D282" s="43">
        <v>121</v>
      </c>
      <c r="E282" s="52">
        <v>134.25</v>
      </c>
      <c r="F282" s="43">
        <f t="shared" si="15"/>
        <v>121</v>
      </c>
      <c r="G282" s="44" t="s">
        <v>523</v>
      </c>
      <c r="H282" s="3" t="str">
        <f>TRIM(SUBSTITUTE(Sheet2!$C282, "سمارت هوم", "")) &amp; " " &amp; "سمارت هوم"</f>
        <v>طبه ماسوره 110 مم سمارت هوم</v>
      </c>
      <c r="I282" s="3" t="s">
        <v>923</v>
      </c>
      <c r="J282">
        <v>247</v>
      </c>
    </row>
    <row r="283" spans="1:10" x14ac:dyDescent="0.3">
      <c r="A283" s="42">
        <v>248</v>
      </c>
      <c r="B283" s="42"/>
      <c r="C283" s="43" t="s">
        <v>924</v>
      </c>
      <c r="D283" s="43">
        <v>170</v>
      </c>
      <c r="E283" s="53">
        <v>188.75</v>
      </c>
      <c r="F283" s="43">
        <f t="shared" si="15"/>
        <v>170</v>
      </c>
      <c r="G283" s="48" t="s">
        <v>523</v>
      </c>
      <c r="H283" s="3" t="str">
        <f>TRIM(SUBSTITUTE(Sheet2!$C283, "سمارت هوم", "")) &amp; " " &amp; "سمارت هوم"</f>
        <v>طبه ماسوره 160 مم سمارت هوم</v>
      </c>
      <c r="I283" s="3" t="s">
        <v>924</v>
      </c>
      <c r="J283">
        <v>248</v>
      </c>
    </row>
    <row r="284" spans="1:10" x14ac:dyDescent="0.3">
      <c r="A284" s="42">
        <v>267</v>
      </c>
      <c r="B284" s="42"/>
      <c r="C284" s="43" t="s">
        <v>925</v>
      </c>
      <c r="D284" s="43">
        <v>41.5</v>
      </c>
      <c r="E284" s="52">
        <v>46</v>
      </c>
      <c r="F284" s="43">
        <f t="shared" si="15"/>
        <v>41.5</v>
      </c>
      <c r="G284" s="44" t="s">
        <v>523</v>
      </c>
      <c r="H284" s="3" t="str">
        <f>TRIM(SUBSTITUTE(Sheet2!$C284, "سمارت هوم", "")) &amp; " " &amp; "سمارت هوم"</f>
        <v>هوايه 60 مم سمارت هوم</v>
      </c>
      <c r="I284" s="3" t="s">
        <v>925</v>
      </c>
      <c r="J284">
        <v>267</v>
      </c>
    </row>
    <row r="285" spans="1:10" x14ac:dyDescent="0.3">
      <c r="A285" s="42">
        <v>268</v>
      </c>
      <c r="B285" s="42"/>
      <c r="C285" s="43" t="s">
        <v>926</v>
      </c>
      <c r="D285" s="43">
        <v>53</v>
      </c>
      <c r="E285" s="53">
        <v>58.75</v>
      </c>
      <c r="F285" s="43">
        <f t="shared" si="15"/>
        <v>53</v>
      </c>
      <c r="G285" s="48" t="s">
        <v>523</v>
      </c>
      <c r="H285" s="3" t="str">
        <f>TRIM(SUBSTITUTE(Sheet2!$C285, "سمارت هوم", "")) &amp; " " &amp; "سمارت هوم"</f>
        <v>هوايه 75 مم سمارت هوم</v>
      </c>
      <c r="I285" s="3" t="s">
        <v>926</v>
      </c>
      <c r="J285">
        <v>268</v>
      </c>
    </row>
    <row r="286" spans="1:10" x14ac:dyDescent="0.3">
      <c r="A286" s="42">
        <v>269</v>
      </c>
      <c r="B286" s="42"/>
      <c r="C286" s="43" t="s">
        <v>927</v>
      </c>
      <c r="D286" s="43">
        <v>71</v>
      </c>
      <c r="E286" s="52">
        <v>78.75</v>
      </c>
      <c r="F286" s="43">
        <f t="shared" si="15"/>
        <v>71</v>
      </c>
      <c r="G286" s="44" t="s">
        <v>523</v>
      </c>
      <c r="H286" s="3" t="str">
        <f>TRIM(SUBSTITUTE(Sheet2!$C286, "سمارت هوم", "")) &amp; " " &amp; "سمارت هوم"</f>
        <v>هوايه 110 مم سمارت هوم</v>
      </c>
      <c r="I286" s="3" t="s">
        <v>927</v>
      </c>
      <c r="J286">
        <v>269</v>
      </c>
    </row>
    <row r="287" spans="1:10" x14ac:dyDescent="0.3">
      <c r="A287" s="42">
        <v>270</v>
      </c>
      <c r="B287" s="42"/>
      <c r="C287" s="43" t="s">
        <v>816</v>
      </c>
      <c r="D287" s="43">
        <v>24.25</v>
      </c>
      <c r="E287" s="53">
        <v>27</v>
      </c>
      <c r="F287" s="43">
        <f t="shared" si="15"/>
        <v>24.25</v>
      </c>
      <c r="G287" s="48" t="s">
        <v>523</v>
      </c>
      <c r="H287" s="3" t="str">
        <f>TRIM(SUBSTITUTE(Sheet2!$C287, "سمارت هوم", "")) &amp; " " &amp; "سمارت هوم"</f>
        <v>مسلوب 4/3 * 32 سمارت هوم</v>
      </c>
      <c r="I287" s="3" t="s">
        <v>816</v>
      </c>
      <c r="J287">
        <v>270</v>
      </c>
    </row>
    <row r="288" spans="1:10" x14ac:dyDescent="0.3">
      <c r="A288" s="42">
        <v>271</v>
      </c>
      <c r="B288" s="42"/>
      <c r="C288" s="43" t="s">
        <v>539</v>
      </c>
      <c r="D288" s="43">
        <v>24.25</v>
      </c>
      <c r="E288" s="52">
        <v>27</v>
      </c>
      <c r="F288" s="43">
        <f t="shared" si="15"/>
        <v>24.25</v>
      </c>
      <c r="G288" s="44" t="s">
        <v>523</v>
      </c>
      <c r="H288" s="3" t="str">
        <f>TRIM(SUBSTITUTE(Sheet2!$C288, "سمارت هوم", "")) &amp; " " &amp; "سمارت هوم"</f>
        <v>مسلوب 4/3 * 1 سمارت هوم</v>
      </c>
      <c r="I288" s="3" t="s">
        <v>539</v>
      </c>
      <c r="J288">
        <v>271</v>
      </c>
    </row>
    <row r="289" spans="1:10" x14ac:dyDescent="0.3">
      <c r="A289" s="42">
        <v>272</v>
      </c>
      <c r="B289" s="42"/>
      <c r="C289" s="43" t="s">
        <v>794</v>
      </c>
      <c r="D289" s="43">
        <v>22.75</v>
      </c>
      <c r="E289" s="53">
        <v>25.25</v>
      </c>
      <c r="F289" s="43">
        <f t="shared" si="15"/>
        <v>22.75</v>
      </c>
      <c r="G289" s="48" t="s">
        <v>523</v>
      </c>
      <c r="H289" s="3" t="str">
        <f>TRIM(SUBSTITUTE(Sheet2!$C289, "سمارت هوم", "")) &amp; " " &amp; "سمارت هوم"</f>
        <v>48/50 مسلوب سمارت هوم</v>
      </c>
      <c r="I289" s="3" t="s">
        <v>794</v>
      </c>
      <c r="J289">
        <v>272</v>
      </c>
    </row>
    <row r="290" spans="1:10" x14ac:dyDescent="0.3">
      <c r="A290" s="42">
        <v>273</v>
      </c>
      <c r="B290" s="42"/>
      <c r="C290" s="43" t="s">
        <v>933</v>
      </c>
      <c r="D290" s="43">
        <v>29.25</v>
      </c>
      <c r="E290" s="52">
        <v>32.5</v>
      </c>
      <c r="F290" s="43">
        <f t="shared" si="15"/>
        <v>29.25</v>
      </c>
      <c r="G290" s="44" t="s">
        <v>523</v>
      </c>
      <c r="H290" s="3" t="str">
        <f>TRIM(SUBSTITUTE(Sheet2!$C290, "سمارت هوم", "")) &amp; " " &amp; "سمارت هوم"</f>
        <v>48 * مسلوب 1 بوصه سمارت هوم</v>
      </c>
      <c r="I290" s="3" t="s">
        <v>933</v>
      </c>
      <c r="J290">
        <v>273</v>
      </c>
    </row>
    <row r="291" spans="1:10" x14ac:dyDescent="0.3">
      <c r="A291" s="42">
        <v>274</v>
      </c>
      <c r="B291" s="42"/>
      <c r="C291" s="43" t="s">
        <v>934</v>
      </c>
      <c r="D291" s="43">
        <v>57.75</v>
      </c>
      <c r="E291" s="53">
        <v>64</v>
      </c>
      <c r="F291" s="43">
        <f t="shared" si="15"/>
        <v>57.75</v>
      </c>
      <c r="G291" s="48" t="s">
        <v>523</v>
      </c>
      <c r="H291" s="3" t="str">
        <f>TRIM(SUBSTITUTE(Sheet2!$C291, "سمارت هوم", "")) &amp; " " &amp; "سمارت هوم"</f>
        <v>مسلوب 3 بوصه * 75 سمارت هوم</v>
      </c>
      <c r="I291" s="3" t="s">
        <v>934</v>
      </c>
      <c r="J291">
        <v>274</v>
      </c>
    </row>
    <row r="292" spans="1:10" x14ac:dyDescent="0.3">
      <c r="A292" s="42">
        <v>275</v>
      </c>
      <c r="B292" s="42"/>
      <c r="C292" s="43" t="s">
        <v>1001</v>
      </c>
      <c r="D292" s="43">
        <v>82.75</v>
      </c>
      <c r="E292" s="52">
        <v>91.75</v>
      </c>
      <c r="F292" s="43">
        <f t="shared" si="15"/>
        <v>82.75</v>
      </c>
      <c r="G292" s="44" t="s">
        <v>523</v>
      </c>
      <c r="H292" s="3" t="str">
        <f>TRIM(SUBSTITUTE(Sheet2!$C292, "سمارت هوم", "")) &amp; " " &amp; "سمارت هوم"</f>
        <v>90درجه * مسلوب 3 بوصه سمارت هوم</v>
      </c>
      <c r="I292" s="3" t="s">
        <v>1099</v>
      </c>
      <c r="J292">
        <v>275</v>
      </c>
    </row>
    <row r="293" spans="1:10" x14ac:dyDescent="0.3">
      <c r="A293" s="42">
        <v>276</v>
      </c>
      <c r="B293" s="42"/>
      <c r="C293" s="43" t="s">
        <v>817</v>
      </c>
      <c r="D293" s="43">
        <v>29.25</v>
      </c>
      <c r="E293" s="53">
        <v>32.5</v>
      </c>
      <c r="F293" s="43">
        <f t="shared" si="15"/>
        <v>29.25</v>
      </c>
      <c r="G293" s="48" t="s">
        <v>523</v>
      </c>
      <c r="H293" s="3" t="str">
        <f>TRIM(SUBSTITUTE(Sheet2!$C293, "سمارت هوم", "")) &amp; " " &amp; "سمارت هوم"</f>
        <v>مسلوب 32/48 سمارت هوم</v>
      </c>
      <c r="I293" s="3" t="s">
        <v>1100</v>
      </c>
      <c r="J293">
        <v>276</v>
      </c>
    </row>
    <row r="294" spans="1:10" x14ac:dyDescent="0.3">
      <c r="A294" s="42">
        <v>277</v>
      </c>
      <c r="B294" s="42"/>
      <c r="C294" s="43" t="s">
        <v>818</v>
      </c>
      <c r="D294" s="43">
        <v>34</v>
      </c>
      <c r="E294" s="52">
        <v>37.75</v>
      </c>
      <c r="F294" s="43">
        <f t="shared" si="15"/>
        <v>34</v>
      </c>
      <c r="G294" s="44" t="s">
        <v>523</v>
      </c>
      <c r="H294" s="3" t="str">
        <f>TRIM(SUBSTITUTE(Sheet2!$C294, "سمارت هوم", "")) &amp; " " &amp; "سمارت هوم"</f>
        <v>مسلوب 48/60 سمارت هوم</v>
      </c>
      <c r="I294" s="3" t="s">
        <v>818</v>
      </c>
      <c r="J294">
        <v>277</v>
      </c>
    </row>
    <row r="295" spans="1:10" x14ac:dyDescent="0.3">
      <c r="A295" s="42">
        <v>278</v>
      </c>
      <c r="B295" s="42"/>
      <c r="C295" s="43" t="s">
        <v>819</v>
      </c>
      <c r="D295" s="43">
        <v>56.5</v>
      </c>
      <c r="E295" s="53">
        <v>62.75</v>
      </c>
      <c r="F295" s="43">
        <f t="shared" si="15"/>
        <v>56.5</v>
      </c>
      <c r="G295" s="48" t="s">
        <v>523</v>
      </c>
      <c r="H295" s="3" t="str">
        <f>TRIM(SUBSTITUTE(Sheet2!$C295, "سمارت هوم", "")) &amp; " " &amp; "سمارت هوم"</f>
        <v>مسلوب 48/75 سمارت هوم</v>
      </c>
      <c r="I295" s="3" t="s">
        <v>819</v>
      </c>
      <c r="J295">
        <v>278</v>
      </c>
    </row>
    <row r="296" spans="1:10" x14ac:dyDescent="0.3">
      <c r="A296" s="42">
        <v>279</v>
      </c>
      <c r="B296" s="42"/>
      <c r="C296" s="43" t="s">
        <v>540</v>
      </c>
      <c r="D296" s="43">
        <v>66.25</v>
      </c>
      <c r="E296" s="52">
        <v>73.5</v>
      </c>
      <c r="F296" s="43">
        <f t="shared" si="15"/>
        <v>66.25</v>
      </c>
      <c r="G296" s="44" t="s">
        <v>523</v>
      </c>
      <c r="H296" s="3" t="str">
        <f>TRIM(SUBSTITUTE(Sheet2!$C296, "سمارت هوم", "")) &amp; " " &amp; "سمارت هوم"</f>
        <v>مسلوب مرکز 60/63 سمارت هوم</v>
      </c>
      <c r="I296" s="3" t="s">
        <v>540</v>
      </c>
      <c r="J296">
        <v>279</v>
      </c>
    </row>
    <row r="297" spans="1:10" x14ac:dyDescent="0.3">
      <c r="A297" s="42">
        <v>280</v>
      </c>
      <c r="B297" s="42"/>
      <c r="C297" s="43" t="s">
        <v>820</v>
      </c>
      <c r="D297" s="43">
        <v>74.75</v>
      </c>
      <c r="E297" s="53">
        <v>83</v>
      </c>
      <c r="F297" s="43">
        <f t="shared" si="15"/>
        <v>74.75</v>
      </c>
      <c r="G297" s="48" t="s">
        <v>523</v>
      </c>
      <c r="H297" s="3" t="str">
        <f>TRIM(SUBSTITUTE(Sheet2!$C297, "سمارت هوم", "")) &amp; " " &amp; "سمارت هوم"</f>
        <v>مسلوب 75/60 سمارت هوم</v>
      </c>
      <c r="I297" s="3" t="s">
        <v>820</v>
      </c>
      <c r="J297">
        <v>280</v>
      </c>
    </row>
    <row r="298" spans="1:10" x14ac:dyDescent="0.3">
      <c r="A298" s="42">
        <v>281</v>
      </c>
      <c r="B298" s="42"/>
      <c r="C298" s="43" t="s">
        <v>1002</v>
      </c>
      <c r="D298" s="43">
        <v>94.25</v>
      </c>
      <c r="E298" s="52">
        <v>104.5</v>
      </c>
      <c r="F298" s="43">
        <f t="shared" si="15"/>
        <v>94.25</v>
      </c>
      <c r="G298" s="44" t="s">
        <v>523</v>
      </c>
      <c r="H298" s="3" t="str">
        <f>TRIM(SUBSTITUTE(Sheet2!$C298, "سمارت هوم", "")) &amp; " " &amp; "سمارت هوم"</f>
        <v>مسلوب مرکزی 75/90درجه سمارت هوم</v>
      </c>
      <c r="I298" s="3" t="s">
        <v>1002</v>
      </c>
      <c r="J298">
        <v>281</v>
      </c>
    </row>
    <row r="299" spans="1:10" x14ac:dyDescent="0.3">
      <c r="A299" s="42">
        <v>282</v>
      </c>
      <c r="B299" s="42"/>
      <c r="C299" s="43" t="s">
        <v>821</v>
      </c>
      <c r="D299" s="43">
        <v>99</v>
      </c>
      <c r="E299" s="53">
        <v>110</v>
      </c>
      <c r="F299" s="43">
        <f t="shared" ref="F299:F320" si="16">D299</f>
        <v>99</v>
      </c>
      <c r="G299" s="48" t="s">
        <v>523</v>
      </c>
      <c r="H299" s="3" t="str">
        <f>TRIM(SUBSTITUTE(Sheet2!$C299, "سمارت هوم", "")) &amp; " " &amp; "سمارت هوم"</f>
        <v>مسلوب مرکزی 110/48 سمارت هوم</v>
      </c>
      <c r="I299" s="3" t="s">
        <v>821</v>
      </c>
      <c r="J299">
        <v>282</v>
      </c>
    </row>
    <row r="300" spans="1:10" x14ac:dyDescent="0.3">
      <c r="A300" s="42">
        <v>283</v>
      </c>
      <c r="B300" s="42"/>
      <c r="C300" s="43" t="s">
        <v>822</v>
      </c>
      <c r="D300" s="43">
        <v>107.25</v>
      </c>
      <c r="E300" s="52">
        <v>119</v>
      </c>
      <c r="F300" s="43">
        <f t="shared" si="16"/>
        <v>107.25</v>
      </c>
      <c r="G300" s="44" t="s">
        <v>523</v>
      </c>
      <c r="H300" s="3" t="str">
        <f>TRIM(SUBSTITUTE(Sheet2!$C300, "سمارت هوم", "")) &amp; " " &amp; "سمارت هوم"</f>
        <v>مسلوب 60/110 سمارت هوم</v>
      </c>
      <c r="I300" s="3" t="s">
        <v>1101</v>
      </c>
      <c r="J300">
        <v>283</v>
      </c>
    </row>
    <row r="301" spans="1:10" x14ac:dyDescent="0.3">
      <c r="A301" s="42">
        <v>284</v>
      </c>
      <c r="B301" s="42"/>
      <c r="C301" s="43" t="s">
        <v>823</v>
      </c>
      <c r="D301" s="43">
        <v>107.25</v>
      </c>
      <c r="E301" s="53">
        <v>119</v>
      </c>
      <c r="F301" s="43">
        <f t="shared" si="16"/>
        <v>107.25</v>
      </c>
      <c r="G301" s="48" t="s">
        <v>523</v>
      </c>
      <c r="H301" s="3" t="str">
        <f>TRIM(SUBSTITUTE(Sheet2!$C301, "سمارت هوم", "")) &amp; " " &amp; "سمارت هوم"</f>
        <v>مسلوب 110/75 سمارت هوم</v>
      </c>
      <c r="I301" s="3" t="s">
        <v>1102</v>
      </c>
      <c r="J301">
        <v>284</v>
      </c>
    </row>
    <row r="302" spans="1:10" x14ac:dyDescent="0.3">
      <c r="A302" s="42">
        <v>288</v>
      </c>
      <c r="B302" s="42"/>
      <c r="C302" s="43" t="s">
        <v>1103</v>
      </c>
      <c r="D302" s="43">
        <v>142.75</v>
      </c>
      <c r="E302" s="53">
        <v>158.5</v>
      </c>
      <c r="F302" s="43">
        <f t="shared" si="16"/>
        <v>142.75</v>
      </c>
      <c r="G302" s="48" t="s">
        <v>523</v>
      </c>
      <c r="H302" s="3" t="str">
        <f>TRIM(SUBSTITUTE(Sheet2!$C302, "سمارت هوم", "")) &amp; " " &amp; "سمارت هوم"</f>
        <v>مجمع 110/48 مفتوح المخارج سمارت هوم</v>
      </c>
      <c r="I302" s="3" t="s">
        <v>1103</v>
      </c>
      <c r="J302">
        <v>288</v>
      </c>
    </row>
    <row r="303" spans="1:10" x14ac:dyDescent="0.3">
      <c r="A303" s="42">
        <v>289</v>
      </c>
      <c r="B303" s="42"/>
      <c r="C303" s="43" t="s">
        <v>1104</v>
      </c>
      <c r="D303" s="43">
        <v>162.75</v>
      </c>
      <c r="E303" s="52">
        <v>180.75</v>
      </c>
      <c r="F303" s="43">
        <f t="shared" si="16"/>
        <v>162.75</v>
      </c>
      <c r="G303" s="44" t="s">
        <v>523</v>
      </c>
      <c r="H303" s="3" t="str">
        <f>TRIM(SUBSTITUTE(Sheet2!$C303, "سمارت هوم", "")) &amp; " " &amp; "سمارت هوم"</f>
        <v>مجمع 110/60 مفتوح المخارج سمارت هوم</v>
      </c>
      <c r="I303" s="3" t="s">
        <v>1104</v>
      </c>
      <c r="J303">
        <v>289</v>
      </c>
    </row>
    <row r="304" spans="1:10" x14ac:dyDescent="0.3">
      <c r="A304" s="42">
        <v>290</v>
      </c>
      <c r="B304" s="42"/>
      <c r="C304" s="43" t="s">
        <v>1105</v>
      </c>
      <c r="D304" s="43">
        <v>260.25</v>
      </c>
      <c r="E304" s="53">
        <v>289</v>
      </c>
      <c r="F304" s="43">
        <f t="shared" si="16"/>
        <v>260.25</v>
      </c>
      <c r="G304" s="48" t="s">
        <v>523</v>
      </c>
      <c r="H304" s="3" t="str">
        <f>TRIM(SUBSTITUTE(Sheet2!$C304, "سمارت هوم", "")) &amp; " " &amp; "سمارت هوم"</f>
        <v>مجمع بيبه 75/110 مفتوحه المخارج سمارت هوم</v>
      </c>
      <c r="I304" s="3" t="s">
        <v>1105</v>
      </c>
      <c r="J304">
        <v>290</v>
      </c>
    </row>
    <row r="305" spans="1:10" x14ac:dyDescent="0.3">
      <c r="A305" s="42">
        <v>303</v>
      </c>
      <c r="B305" s="42"/>
      <c r="C305" s="43" t="s">
        <v>1106</v>
      </c>
      <c r="D305" s="43">
        <v>203.5</v>
      </c>
      <c r="E305" s="52">
        <v>226</v>
      </c>
      <c r="F305" s="43">
        <f t="shared" si="16"/>
        <v>203.5</v>
      </c>
      <c r="G305" s="44" t="s">
        <v>523</v>
      </c>
      <c r="H305" s="3" t="str">
        <f>TRIM(SUBSTITUTE(Sheet2!$C305, "سمارت هوم", "")) &amp; " " &amp; "سمارت هوم"</f>
        <v>بيبه بالبرقع 48/60 مفتوحه المخارج سمارت هوم</v>
      </c>
      <c r="I305" s="3" t="s">
        <v>1106</v>
      </c>
      <c r="J305">
        <v>303</v>
      </c>
    </row>
    <row r="306" spans="1:10" x14ac:dyDescent="0.3">
      <c r="A306" s="42">
        <v>304</v>
      </c>
      <c r="B306" s="42"/>
      <c r="C306" s="43" t="s">
        <v>1107</v>
      </c>
      <c r="D306" s="43">
        <v>203.5</v>
      </c>
      <c r="E306" s="53">
        <v>226</v>
      </c>
      <c r="F306" s="43">
        <f t="shared" si="16"/>
        <v>203.5</v>
      </c>
      <c r="G306" s="48" t="s">
        <v>523</v>
      </c>
      <c r="H306" s="3" t="str">
        <f>TRIM(SUBSTITUTE(Sheet2!$C306, "سمارت هوم", "")) &amp; " " &amp; "سمارت هوم"</f>
        <v>بيبه بالبرقع 75/48 مفتوحه المخارج سمارت هوم</v>
      </c>
      <c r="I306" s="3" t="s">
        <v>1107</v>
      </c>
      <c r="J306">
        <v>304</v>
      </c>
    </row>
    <row r="307" spans="1:10" x14ac:dyDescent="0.3">
      <c r="A307" s="42">
        <v>305</v>
      </c>
      <c r="B307" s="42"/>
      <c r="C307" s="43" t="s">
        <v>1108</v>
      </c>
      <c r="D307" s="43">
        <v>203.5</v>
      </c>
      <c r="E307" s="52">
        <v>226</v>
      </c>
      <c r="F307" s="43">
        <f t="shared" si="16"/>
        <v>203.5</v>
      </c>
      <c r="G307" s="44" t="s">
        <v>523</v>
      </c>
      <c r="H307" s="3" t="str">
        <f>TRIM(SUBSTITUTE(Sheet2!$C307, "سمارت هوم", "")) &amp; " " &amp; "سمارت هوم"</f>
        <v>بيبه بالبرقع 60/60 مفتوحه المخارج سمارت هوم</v>
      </c>
      <c r="I307" s="3" t="s">
        <v>1108</v>
      </c>
      <c r="J307">
        <v>305</v>
      </c>
    </row>
    <row r="308" spans="1:10" x14ac:dyDescent="0.3">
      <c r="A308" s="42">
        <v>306</v>
      </c>
      <c r="B308" s="42"/>
      <c r="C308" s="43" t="s">
        <v>1109</v>
      </c>
      <c r="D308" s="43">
        <v>203.5</v>
      </c>
      <c r="E308" s="53">
        <v>226</v>
      </c>
      <c r="F308" s="43">
        <f t="shared" si="16"/>
        <v>203.5</v>
      </c>
      <c r="G308" s="48" t="s">
        <v>523</v>
      </c>
      <c r="H308" s="3" t="str">
        <f>TRIM(SUBSTITUTE(Sheet2!$C308, "سمارت هوم", "")) &amp; " " &amp; "سمارت هوم"</f>
        <v>بيبه بالبرقع 75/60 مفتوحه المخارج سمارت هوم</v>
      </c>
      <c r="I308" s="3" t="s">
        <v>1109</v>
      </c>
      <c r="J308">
        <v>306</v>
      </c>
    </row>
    <row r="309" spans="1:10" x14ac:dyDescent="0.3">
      <c r="A309" s="42">
        <v>308</v>
      </c>
      <c r="B309" s="42"/>
      <c r="C309" s="43" t="s">
        <v>1110</v>
      </c>
      <c r="D309" s="43">
        <v>143.5</v>
      </c>
      <c r="E309" s="53">
        <v>159.25</v>
      </c>
      <c r="F309" s="43">
        <f t="shared" si="16"/>
        <v>143.5</v>
      </c>
      <c r="G309" s="48" t="s">
        <v>523</v>
      </c>
      <c r="H309" s="3" t="str">
        <f>TRIM(SUBSTITUTE(Sheet2!$C309, "سمارت هوم", "")) &amp; " " &amp; "سمارت هوم"</f>
        <v>بيبه 48/60 مم مفتوحه ارتفاع 7 سم سمارت هوم</v>
      </c>
      <c r="I309" s="3" t="s">
        <v>1110</v>
      </c>
      <c r="J309">
        <v>308</v>
      </c>
    </row>
    <row r="310" spans="1:10" x14ac:dyDescent="0.3">
      <c r="A310" s="42">
        <v>309</v>
      </c>
      <c r="B310" s="42"/>
      <c r="C310" s="43" t="s">
        <v>1111</v>
      </c>
      <c r="D310" s="43">
        <v>143.5</v>
      </c>
      <c r="E310" s="52">
        <v>159.25</v>
      </c>
      <c r="F310" s="43">
        <f t="shared" si="16"/>
        <v>143.5</v>
      </c>
      <c r="G310" s="44" t="s">
        <v>523</v>
      </c>
      <c r="H310" s="3" t="str">
        <f>TRIM(SUBSTITUTE(Sheet2!$C310, "سمارت هوم", "")) &amp; " " &amp; "سمارت هوم"</f>
        <v>بيبه 50/63 مم مفتوحه ارتفاع 7 سم سمارت هوم</v>
      </c>
      <c r="I310" s="3" t="s">
        <v>1111</v>
      </c>
      <c r="J310">
        <v>309</v>
      </c>
    </row>
    <row r="311" spans="1:10" x14ac:dyDescent="0.3">
      <c r="A311" s="42">
        <v>310</v>
      </c>
      <c r="B311" s="42"/>
      <c r="C311" s="43" t="s">
        <v>1112</v>
      </c>
      <c r="D311" s="43">
        <v>160</v>
      </c>
      <c r="E311" s="53">
        <v>177.5</v>
      </c>
      <c r="F311" s="43">
        <f t="shared" si="16"/>
        <v>160</v>
      </c>
      <c r="G311" s="48" t="s">
        <v>523</v>
      </c>
      <c r="H311" s="3" t="str">
        <f>TRIM(SUBSTITUTE(Sheet2!$C311, "سمارت هوم", "")) &amp; " " &amp; "سمارت هوم"</f>
        <v>بيبه 60/75 مم مفتوحه ارتفاع 8.8 سم سمارت هوم</v>
      </c>
      <c r="I311" s="3" t="s">
        <v>1112</v>
      </c>
      <c r="J311">
        <v>310</v>
      </c>
    </row>
    <row r="312" spans="1:10" x14ac:dyDescent="0.3">
      <c r="A312" s="42">
        <v>311</v>
      </c>
      <c r="B312" s="42"/>
      <c r="C312" s="43" t="s">
        <v>1113</v>
      </c>
      <c r="D312" s="43">
        <v>192.25</v>
      </c>
      <c r="E312" s="52">
        <v>213.5</v>
      </c>
      <c r="F312" s="43">
        <f t="shared" si="16"/>
        <v>192.25</v>
      </c>
      <c r="G312" s="44" t="s">
        <v>523</v>
      </c>
      <c r="H312" s="3" t="str">
        <f>TRIM(SUBSTITUTE(Sheet2!$C312, "سمارت هوم", "")) &amp; " " &amp; "سمارت هوم"</f>
        <v>بيبه 125 * 48/60/75 مم مفتوحه المخارج سمارت هوم</v>
      </c>
      <c r="I312" s="3" t="s">
        <v>1113</v>
      </c>
      <c r="J312">
        <v>311</v>
      </c>
    </row>
    <row r="313" spans="1:10" x14ac:dyDescent="0.3">
      <c r="A313" s="42">
        <v>315</v>
      </c>
      <c r="B313" s="42"/>
      <c r="C313" s="43" t="s">
        <v>1114</v>
      </c>
      <c r="D313" s="43">
        <v>167.25</v>
      </c>
      <c r="E313" s="52">
        <v>185.75</v>
      </c>
      <c r="F313" s="43">
        <f t="shared" si="16"/>
        <v>167.25</v>
      </c>
      <c r="G313" s="44" t="s">
        <v>523</v>
      </c>
      <c r="H313" s="3" t="str">
        <f>TRIM(SUBSTITUTE(Sheet2!$C313, "سمارت هوم", "")) &amp; " " &amp; "سمارت هوم"</f>
        <v>صفايه 48 مم سمارت هوم</v>
      </c>
      <c r="I313" s="3" t="s">
        <v>1114</v>
      </c>
      <c r="J313">
        <v>315</v>
      </c>
    </row>
    <row r="314" spans="1:10" x14ac:dyDescent="0.3">
      <c r="A314" s="42">
        <v>316</v>
      </c>
      <c r="B314" s="42"/>
      <c r="C314" s="43" t="s">
        <v>1115</v>
      </c>
      <c r="D314" s="43">
        <v>2660</v>
      </c>
      <c r="E314" s="53">
        <v>2952.5</v>
      </c>
      <c r="F314" s="43">
        <f t="shared" si="16"/>
        <v>2660</v>
      </c>
      <c r="G314" s="48" t="s">
        <v>523</v>
      </c>
      <c r="H314" s="3" t="str">
        <f>TRIM(SUBSTITUTE(Sheet2!$C314, "سمارت هوم", "")) &amp; " " &amp; "سمارت هوم"</f>
        <v>غرفه تفتيش 50*50 سم سمارت هوم</v>
      </c>
      <c r="I314" s="3" t="s">
        <v>1115</v>
      </c>
      <c r="J314">
        <v>316</v>
      </c>
    </row>
    <row r="315" spans="1:10" x14ac:dyDescent="0.35">
      <c r="A315" s="42">
        <v>335</v>
      </c>
      <c r="B315" s="50"/>
      <c r="C315" s="43" t="s">
        <v>824</v>
      </c>
      <c r="D315" s="43">
        <v>569.75</v>
      </c>
      <c r="E315" s="52">
        <v>632.5</v>
      </c>
      <c r="F315" s="43">
        <f t="shared" si="16"/>
        <v>569.75</v>
      </c>
      <c r="G315" s="44" t="s">
        <v>523</v>
      </c>
      <c r="H315" s="3" t="str">
        <f>TRIM(SUBSTITUTE(Sheet2!$C315, "سمارت هوم", "")) &amp; " " &amp; "سمارت هوم"</f>
        <v>مجرى بطول 1 متر بالغطاء سمارت هوم</v>
      </c>
      <c r="I315" s="3" t="s">
        <v>824</v>
      </c>
      <c r="J315">
        <v>335</v>
      </c>
    </row>
    <row r="316" spans="1:10" x14ac:dyDescent="0.35">
      <c r="A316" s="42">
        <v>337</v>
      </c>
      <c r="B316" s="50"/>
      <c r="C316" s="43" t="s">
        <v>935</v>
      </c>
      <c r="D316" s="43">
        <v>272.5</v>
      </c>
      <c r="E316" s="52">
        <v>302.5</v>
      </c>
      <c r="F316" s="43">
        <f t="shared" si="16"/>
        <v>272.5</v>
      </c>
      <c r="G316" s="44" t="s">
        <v>523</v>
      </c>
      <c r="H316" s="3" t="str">
        <f>TRIM(SUBSTITUTE(Sheet2!$C316, "سمارت هوم", "")) &amp; " " &amp; "سمارت هوم"</f>
        <v>كيس بدايه ونهايه + مخرج سمارت هوم</v>
      </c>
      <c r="I316" s="3" t="s">
        <v>935</v>
      </c>
      <c r="J316">
        <v>337</v>
      </c>
    </row>
    <row r="317" spans="1:10" x14ac:dyDescent="0.35">
      <c r="A317" s="42">
        <v>338</v>
      </c>
      <c r="B317" s="50"/>
      <c r="C317" s="43" t="s">
        <v>1116</v>
      </c>
      <c r="D317" s="43">
        <v>85</v>
      </c>
      <c r="E317" s="53">
        <v>94.25</v>
      </c>
      <c r="F317" s="43">
        <f t="shared" si="16"/>
        <v>85</v>
      </c>
      <c r="G317" s="48" t="s">
        <v>523</v>
      </c>
      <c r="H317" s="3" t="str">
        <f>TRIM(SUBSTITUTE(Sheet2!$C317, "سمارت هوم", "")) &amp; " " &amp; "سمارت هوم"</f>
        <v>غطاء مجرى مائی 50 سم سمارت هوم</v>
      </c>
      <c r="I317" s="3" t="s">
        <v>1116</v>
      </c>
      <c r="J317">
        <v>338</v>
      </c>
    </row>
    <row r="318" spans="1:10" x14ac:dyDescent="0.35">
      <c r="A318" s="42">
        <v>339</v>
      </c>
      <c r="B318" s="50"/>
      <c r="C318" s="43" t="s">
        <v>1117</v>
      </c>
      <c r="D318" s="43">
        <v>307.25</v>
      </c>
      <c r="E318" s="52">
        <v>341</v>
      </c>
      <c r="F318" s="43">
        <f t="shared" si="16"/>
        <v>307.25</v>
      </c>
      <c r="G318" s="44" t="s">
        <v>523</v>
      </c>
      <c r="H318" s="3" t="str">
        <f>TRIM(SUBSTITUTE(Sheet2!$C318, "سمارت هوم", "")) &amp; " " &amp; "سمارت هوم"</f>
        <v>كيس بدايه ونهايه ومخرج مجری 1متر 20 سم سمارت هوم</v>
      </c>
      <c r="I318" s="3" t="s">
        <v>1117</v>
      </c>
      <c r="J318">
        <v>339</v>
      </c>
    </row>
    <row r="319" spans="1:10" x14ac:dyDescent="0.35">
      <c r="A319" s="42">
        <v>340</v>
      </c>
      <c r="B319" s="50"/>
      <c r="C319" s="43" t="s">
        <v>825</v>
      </c>
      <c r="D319" s="43">
        <v>58</v>
      </c>
      <c r="E319" s="53">
        <v>64.5</v>
      </c>
      <c r="F319" s="43">
        <f t="shared" si="16"/>
        <v>58</v>
      </c>
      <c r="G319" s="48" t="s">
        <v>523</v>
      </c>
      <c r="H319" s="3" t="str">
        <f>TRIM(SUBSTITUTE(Sheet2!$C319, "سمارت هوم", "")) &amp; " " &amp; "سمارت هوم"</f>
        <v>مخرج جانبی 75 مم للمجرى المائي سمارت هوم</v>
      </c>
      <c r="I319" s="3" t="s">
        <v>825</v>
      </c>
      <c r="J319">
        <v>340</v>
      </c>
    </row>
    <row r="320" spans="1:10" x14ac:dyDescent="0.35">
      <c r="A320" s="42">
        <v>341</v>
      </c>
      <c r="B320" s="50"/>
      <c r="C320" s="43" t="s">
        <v>795</v>
      </c>
      <c r="D320" s="43">
        <v>66</v>
      </c>
      <c r="E320" s="52">
        <v>73.25</v>
      </c>
      <c r="F320" s="43">
        <f t="shared" si="16"/>
        <v>66</v>
      </c>
      <c r="G320" s="44" t="s">
        <v>523</v>
      </c>
      <c r="H320" s="3" t="str">
        <f>TRIM(SUBSTITUTE(Sheet2!$C320, "سمارت هوم", "")) &amp; " " &amp; "سمارت هوم"</f>
        <v>مخرج جانبی 110 مم للمجرى المائي سمارت هوم</v>
      </c>
      <c r="I320" s="3" t="s">
        <v>795</v>
      </c>
      <c r="J320">
        <v>341</v>
      </c>
    </row>
    <row r="321" spans="1:10" x14ac:dyDescent="0.35">
      <c r="A321" s="42">
        <v>352</v>
      </c>
      <c r="B321" s="50"/>
      <c r="C321" s="43" t="s">
        <v>936</v>
      </c>
      <c r="D321" s="43">
        <v>160.5</v>
      </c>
      <c r="E321" s="54">
        <v>178.25</v>
      </c>
      <c r="F321" s="43">
        <f t="shared" ref="F321:F330" si="17">D321</f>
        <v>160.5</v>
      </c>
      <c r="G321" s="48" t="s">
        <v>523</v>
      </c>
      <c r="H321" s="3" t="str">
        <f>TRIM(SUBSTITUTE(Sheet2!$C321, "سمارت هوم", "")) &amp; " " &amp; "سمارت هوم"</f>
        <v>عازل بيتوكوت بستله 3 كيلو سمارت هوم</v>
      </c>
      <c r="I321" s="3" t="s">
        <v>936</v>
      </c>
      <c r="J321">
        <v>352</v>
      </c>
    </row>
    <row r="322" spans="1:10" x14ac:dyDescent="0.35">
      <c r="A322" s="42">
        <v>353</v>
      </c>
      <c r="B322" s="50"/>
      <c r="C322" s="43" t="s">
        <v>937</v>
      </c>
      <c r="D322" s="43">
        <v>443.75</v>
      </c>
      <c r="E322" s="54">
        <v>492.5</v>
      </c>
      <c r="F322" s="43">
        <f t="shared" si="17"/>
        <v>443.75</v>
      </c>
      <c r="G322" s="44" t="s">
        <v>523</v>
      </c>
      <c r="H322" s="3" t="str">
        <f>TRIM(SUBSTITUTE(Sheet2!$C322, "سمارت هوم", "")) &amp; " " &amp; "سمارت هوم"</f>
        <v>عازل بيتوكوت بستله 12 كيلو سمارت هوم</v>
      </c>
      <c r="I322" s="3" t="s">
        <v>937</v>
      </c>
      <c r="J322">
        <v>353</v>
      </c>
    </row>
    <row r="323" spans="1:10" x14ac:dyDescent="0.35">
      <c r="A323" s="42">
        <v>354</v>
      </c>
      <c r="B323" s="50"/>
      <c r="C323" s="43" t="s">
        <v>737</v>
      </c>
      <c r="D323" s="43">
        <v>270.75</v>
      </c>
      <c r="E323" s="54">
        <v>751</v>
      </c>
      <c r="F323" s="43">
        <f t="shared" si="17"/>
        <v>270.75</v>
      </c>
      <c r="G323" s="48" t="s">
        <v>523</v>
      </c>
      <c r="H323" s="3" t="str">
        <f>TRIM(SUBSTITUTE(Sheet2!$C323, "سمارت هوم", "")) &amp; " " &amp; "سمارت هوم"</f>
        <v>مجموعه عازل سمارت هوم</v>
      </c>
      <c r="I323" s="3" t="s">
        <v>737</v>
      </c>
      <c r="J323">
        <v>354</v>
      </c>
    </row>
    <row r="324" spans="1:10" x14ac:dyDescent="0.35">
      <c r="A324" s="42">
        <v>361</v>
      </c>
      <c r="B324" s="50"/>
      <c r="C324" s="43" t="s">
        <v>938</v>
      </c>
      <c r="D324" s="43">
        <v>9176.5</v>
      </c>
      <c r="E324" s="43">
        <v>9176.5</v>
      </c>
      <c r="F324" s="43">
        <f t="shared" si="17"/>
        <v>9176.5</v>
      </c>
      <c r="G324" s="48" t="s">
        <v>523</v>
      </c>
      <c r="H324" s="3" t="str">
        <f>TRIM(SUBSTITUTE(Sheet2!$C324, "سمارت هوم", "")) &amp; " " &amp; "سمارت هوم"</f>
        <v>طلمبه مياه 1 حصان EG100 سمارت هوم</v>
      </c>
      <c r="I324" s="3" t="s">
        <v>938</v>
      </c>
      <c r="J324">
        <v>361</v>
      </c>
    </row>
    <row r="325" spans="1:10" x14ac:dyDescent="0.35">
      <c r="A325" s="42">
        <v>362</v>
      </c>
      <c r="B325" s="50"/>
      <c r="C325" s="43" t="s">
        <v>939</v>
      </c>
      <c r="D325" s="43">
        <v>17062.75</v>
      </c>
      <c r="E325" s="43">
        <v>17062.75</v>
      </c>
      <c r="F325" s="43">
        <f t="shared" si="17"/>
        <v>17062.75</v>
      </c>
      <c r="G325" s="44" t="s">
        <v>523</v>
      </c>
      <c r="H325" s="3" t="str">
        <f>TRIM(SUBSTITUTE(Sheet2!$C325, "سمارت هوم", "")) &amp; " " &amp; "سمارت هوم"</f>
        <v>طلمبه مياه 2 حصان EG200 سمارت هوم</v>
      </c>
      <c r="I325" s="3" t="s">
        <v>939</v>
      </c>
      <c r="J325">
        <v>362</v>
      </c>
    </row>
    <row r="326" spans="1:10" x14ac:dyDescent="0.35">
      <c r="A326" s="42">
        <v>363</v>
      </c>
      <c r="B326" s="50"/>
      <c r="C326" s="43" t="s">
        <v>940</v>
      </c>
      <c r="D326" s="43">
        <v>26480.25</v>
      </c>
      <c r="E326" s="43">
        <v>26480.25</v>
      </c>
      <c r="F326" s="43">
        <f t="shared" si="17"/>
        <v>26480.25</v>
      </c>
      <c r="G326" s="48" t="s">
        <v>523</v>
      </c>
      <c r="H326" s="3" t="str">
        <f>TRIM(SUBSTITUTE(Sheet2!$C326, "سمارت هوم", "")) &amp; " " &amp; "سمارت هوم"</f>
        <v>طلمبه مياه 3 حصان EG300 سمارت هوم</v>
      </c>
      <c r="I326" s="3" t="s">
        <v>940</v>
      </c>
      <c r="J326">
        <v>363</v>
      </c>
    </row>
    <row r="327" spans="1:10" x14ac:dyDescent="0.35">
      <c r="A327" s="42">
        <v>364</v>
      </c>
      <c r="B327" s="50"/>
      <c r="C327" s="43" t="s">
        <v>796</v>
      </c>
      <c r="D327" s="43">
        <v>96</v>
      </c>
      <c r="E327" s="52">
        <v>106.5</v>
      </c>
      <c r="F327" s="43">
        <f t="shared" si="17"/>
        <v>96</v>
      </c>
      <c r="G327" s="44" t="s">
        <v>523</v>
      </c>
      <c r="H327" s="3" t="str">
        <f>TRIM(SUBSTITUTE(Sheet2!$C327, "سمارت هوم", "")) &amp; " " &amp; "سمارت هوم"</f>
        <v>شحم ماسوره 150 مل سمارت هوم</v>
      </c>
      <c r="I327" s="3" t="s">
        <v>796</v>
      </c>
      <c r="J327">
        <v>364</v>
      </c>
    </row>
    <row r="328" spans="1:10" x14ac:dyDescent="0.35">
      <c r="A328" s="42">
        <v>365</v>
      </c>
      <c r="B328" s="50"/>
      <c r="C328" s="43" t="s">
        <v>797</v>
      </c>
      <c r="D328" s="43">
        <v>159.25</v>
      </c>
      <c r="E328" s="53">
        <v>176.75</v>
      </c>
      <c r="F328" s="43">
        <f t="shared" si="17"/>
        <v>159.25</v>
      </c>
      <c r="G328" s="48" t="s">
        <v>523</v>
      </c>
      <c r="H328" s="3" t="str">
        <f>TRIM(SUBSTITUTE(Sheet2!$C328, "سمارت هوم", "")) &amp; " " &amp; "سمارت هوم"</f>
        <v>شحم ماسوره 250 مل سمارت هوم</v>
      </c>
      <c r="I328" s="3" t="s">
        <v>797</v>
      </c>
      <c r="J328">
        <v>365</v>
      </c>
    </row>
    <row r="329" spans="1:10" x14ac:dyDescent="0.35">
      <c r="A329" s="67">
        <v>366</v>
      </c>
      <c r="B329" s="50"/>
      <c r="C329" s="43" t="s">
        <v>748</v>
      </c>
      <c r="D329" s="43">
        <v>251</v>
      </c>
      <c r="E329" s="52">
        <v>278.5</v>
      </c>
      <c r="F329" s="43">
        <f t="shared" si="17"/>
        <v>251</v>
      </c>
      <c r="G329" s="44" t="s">
        <v>523</v>
      </c>
      <c r="H329" s="3" t="str">
        <f>TRIM(SUBSTITUTE(Sheet2!$C329, "سمارت هوم", "")) &amp; " " &amp; "سمارت هوم"</f>
        <v>شحم ماسوره 500 مل سمارت هوم</v>
      </c>
      <c r="I329" s="3" t="s">
        <v>748</v>
      </c>
      <c r="J329">
        <v>366</v>
      </c>
    </row>
    <row r="330" spans="1:10" x14ac:dyDescent="0.35">
      <c r="A330" s="42"/>
      <c r="B330" s="50"/>
      <c r="C330" s="43"/>
      <c r="D330" s="43"/>
      <c r="E330" s="43"/>
      <c r="F330" s="43">
        <f t="shared" si="17"/>
        <v>0</v>
      </c>
      <c r="G330" s="48"/>
    </row>
    <row r="331" spans="1:10" x14ac:dyDescent="0.35">
      <c r="A331" s="65">
        <v>1</v>
      </c>
      <c r="B331" s="50"/>
      <c r="C331" s="43" t="s">
        <v>541</v>
      </c>
      <c r="D331" s="43">
        <v>65.11</v>
      </c>
      <c r="E331" s="43"/>
      <c r="F331" s="43">
        <f>(Sheet2!$D331*15/100) +Sheet2!$D331</f>
        <v>74.876499999999993</v>
      </c>
      <c r="G331" s="44" t="s">
        <v>736</v>
      </c>
      <c r="J331" s="3">
        <v>1</v>
      </c>
    </row>
    <row r="332" spans="1:10" x14ac:dyDescent="0.35">
      <c r="A332" s="42">
        <v>2</v>
      </c>
      <c r="B332" s="50"/>
      <c r="C332" s="43" t="s">
        <v>542</v>
      </c>
      <c r="D332" s="43">
        <v>197.39</v>
      </c>
      <c r="E332" s="43"/>
      <c r="F332" s="43">
        <f>(Sheet2!$D332*15/100) +Sheet2!$D332</f>
        <v>226.99849999999998</v>
      </c>
      <c r="G332" s="48" t="s">
        <v>736</v>
      </c>
      <c r="J332" s="3">
        <v>2</v>
      </c>
    </row>
    <row r="333" spans="1:10" x14ac:dyDescent="0.35">
      <c r="A333" s="42">
        <v>3</v>
      </c>
      <c r="B333" s="50"/>
      <c r="C333" s="43" t="s">
        <v>543</v>
      </c>
      <c r="D333" s="43">
        <v>253.78</v>
      </c>
      <c r="E333" s="43"/>
      <c r="F333" s="43">
        <f>(Sheet2!$D333*15/100) +Sheet2!$D333</f>
        <v>291.84699999999998</v>
      </c>
      <c r="G333" s="44" t="s">
        <v>736</v>
      </c>
      <c r="J333" s="3">
        <v>3</v>
      </c>
    </row>
    <row r="334" spans="1:10" x14ac:dyDescent="0.35">
      <c r="A334" s="42">
        <v>4</v>
      </c>
      <c r="B334" s="50"/>
      <c r="C334" s="43" t="s">
        <v>544</v>
      </c>
      <c r="D334" s="43">
        <v>537.66999999999996</v>
      </c>
      <c r="E334" s="43"/>
      <c r="F334" s="43">
        <f>(Sheet2!$D334*15/100) +Sheet2!$D334</f>
        <v>618.32049999999992</v>
      </c>
      <c r="G334" s="48" t="s">
        <v>736</v>
      </c>
      <c r="J334" s="3">
        <v>4</v>
      </c>
    </row>
    <row r="335" spans="1:10" x14ac:dyDescent="0.35">
      <c r="A335" s="42">
        <v>5</v>
      </c>
      <c r="B335" s="50"/>
      <c r="C335" s="43" t="s">
        <v>545</v>
      </c>
      <c r="D335" s="43">
        <v>62.23</v>
      </c>
      <c r="E335" s="43"/>
      <c r="F335" s="43">
        <f>(Sheet2!$D335*15/100) +Sheet2!$D335</f>
        <v>71.564499999999995</v>
      </c>
      <c r="G335" s="44" t="s">
        <v>736</v>
      </c>
      <c r="J335" s="3">
        <v>5</v>
      </c>
    </row>
    <row r="336" spans="1:10" x14ac:dyDescent="0.35">
      <c r="A336" s="42">
        <v>6</v>
      </c>
      <c r="B336" s="50"/>
      <c r="C336" s="43" t="s">
        <v>1200</v>
      </c>
      <c r="D336" s="43">
        <v>11.35</v>
      </c>
      <c r="E336" s="43"/>
      <c r="F336" s="43">
        <f>(Sheet2!$D336*15/100) +Sheet2!$D336</f>
        <v>13.0525</v>
      </c>
      <c r="G336" s="48" t="s">
        <v>736</v>
      </c>
      <c r="J336" s="3">
        <v>6</v>
      </c>
    </row>
    <row r="337" spans="1:10" x14ac:dyDescent="0.35">
      <c r="A337" s="42">
        <v>7</v>
      </c>
      <c r="B337" s="50"/>
      <c r="C337" s="43" t="s">
        <v>1201</v>
      </c>
      <c r="D337" s="43">
        <v>23.47</v>
      </c>
      <c r="E337" s="43"/>
      <c r="F337" s="43">
        <f>(Sheet2!$D337*15/100) +Sheet2!$D337</f>
        <v>26.990499999999997</v>
      </c>
      <c r="G337" s="44" t="s">
        <v>736</v>
      </c>
      <c r="J337" s="3">
        <v>7</v>
      </c>
    </row>
    <row r="338" spans="1:10" x14ac:dyDescent="0.35">
      <c r="A338" s="42">
        <v>8</v>
      </c>
      <c r="B338" s="50"/>
      <c r="C338" s="43" t="s">
        <v>548</v>
      </c>
      <c r="D338" s="43">
        <v>12.66</v>
      </c>
      <c r="E338" s="43"/>
      <c r="F338" s="43">
        <f>(Sheet2!$D338*15/100) +Sheet2!$D338</f>
        <v>14.559000000000001</v>
      </c>
      <c r="G338" s="48" t="s">
        <v>736</v>
      </c>
      <c r="J338" s="3">
        <v>8</v>
      </c>
    </row>
    <row r="339" spans="1:10" x14ac:dyDescent="0.35">
      <c r="A339" s="42">
        <v>9</v>
      </c>
      <c r="B339" s="50"/>
      <c r="C339" s="43" t="s">
        <v>549</v>
      </c>
      <c r="D339" s="43">
        <v>40.08</v>
      </c>
      <c r="E339" s="43"/>
      <c r="F339" s="43">
        <f>(Sheet2!$D339*15/100) +Sheet2!$D339</f>
        <v>46.091999999999999</v>
      </c>
      <c r="G339" s="44" t="s">
        <v>736</v>
      </c>
      <c r="J339" s="3">
        <v>9</v>
      </c>
    </row>
    <row r="340" spans="1:10" x14ac:dyDescent="0.35">
      <c r="A340" s="42">
        <v>10</v>
      </c>
      <c r="B340" s="50"/>
      <c r="C340" s="43" t="s">
        <v>550</v>
      </c>
      <c r="D340" s="43">
        <v>166.96</v>
      </c>
      <c r="E340" s="43"/>
      <c r="F340" s="43">
        <f>(Sheet2!$D340*15/100) +Sheet2!$D340</f>
        <v>192.00400000000002</v>
      </c>
      <c r="G340" s="48" t="s">
        <v>736</v>
      </c>
      <c r="J340" s="3">
        <v>10</v>
      </c>
    </row>
    <row r="341" spans="1:10" x14ac:dyDescent="0.35">
      <c r="A341" s="42">
        <v>11</v>
      </c>
      <c r="B341" s="50"/>
      <c r="C341" s="43" t="s">
        <v>551</v>
      </c>
      <c r="D341" s="43">
        <v>50.3</v>
      </c>
      <c r="E341" s="43"/>
      <c r="F341" s="43">
        <f>(Sheet2!$D341*15/100) +Sheet2!$D341</f>
        <v>57.844999999999999</v>
      </c>
      <c r="G341" s="44" t="s">
        <v>736</v>
      </c>
      <c r="J341" s="3">
        <v>11</v>
      </c>
    </row>
    <row r="342" spans="1:10" x14ac:dyDescent="0.35">
      <c r="A342" s="42">
        <v>12</v>
      </c>
      <c r="B342" s="50"/>
      <c r="C342" s="43" t="s">
        <v>552</v>
      </c>
      <c r="D342" s="43">
        <v>143.54</v>
      </c>
      <c r="E342" s="43"/>
      <c r="F342" s="43">
        <f>(Sheet2!$D342*15/100) +Sheet2!$D342</f>
        <v>165.071</v>
      </c>
      <c r="G342" s="48" t="s">
        <v>736</v>
      </c>
      <c r="J342" s="3">
        <v>12</v>
      </c>
    </row>
    <row r="343" spans="1:10" x14ac:dyDescent="0.35">
      <c r="A343" s="42">
        <v>13</v>
      </c>
      <c r="B343" s="50"/>
      <c r="C343" s="43" t="s">
        <v>553</v>
      </c>
      <c r="D343" s="43">
        <v>19.29</v>
      </c>
      <c r="E343" s="43"/>
      <c r="F343" s="43">
        <f>(Sheet2!$D343*15/100) +Sheet2!$D343</f>
        <v>22.183499999999999</v>
      </c>
      <c r="G343" s="44" t="s">
        <v>736</v>
      </c>
      <c r="J343" s="3">
        <v>13</v>
      </c>
    </row>
    <row r="344" spans="1:10" x14ac:dyDescent="0.35">
      <c r="A344" s="42">
        <v>14</v>
      </c>
      <c r="B344" s="50"/>
      <c r="C344" s="43" t="s">
        <v>554</v>
      </c>
      <c r="D344" s="43">
        <v>19.29</v>
      </c>
      <c r="E344" s="43"/>
      <c r="F344" s="43">
        <f>(Sheet2!$D344*15/100) +Sheet2!$D344</f>
        <v>22.183499999999999</v>
      </c>
      <c r="G344" s="48" t="s">
        <v>736</v>
      </c>
      <c r="J344" s="3">
        <v>14</v>
      </c>
    </row>
    <row r="345" spans="1:10" x14ac:dyDescent="0.35">
      <c r="A345" s="42">
        <v>15</v>
      </c>
      <c r="B345" s="50"/>
      <c r="C345" s="43" t="s">
        <v>555</v>
      </c>
      <c r="D345" s="43">
        <v>77.180000000000007</v>
      </c>
      <c r="E345" s="43"/>
      <c r="F345" s="43">
        <f>(Sheet2!$D345*15/100) +Sheet2!$D345</f>
        <v>88.757000000000005</v>
      </c>
      <c r="G345" s="44" t="s">
        <v>736</v>
      </c>
      <c r="J345" s="3">
        <v>15</v>
      </c>
    </row>
    <row r="346" spans="1:10" x14ac:dyDescent="0.35">
      <c r="A346" s="42">
        <v>16</v>
      </c>
      <c r="B346" s="50"/>
      <c r="C346" s="43" t="s">
        <v>556</v>
      </c>
      <c r="D346" s="43">
        <v>96.17</v>
      </c>
      <c r="E346" s="43"/>
      <c r="F346" s="43">
        <f>(Sheet2!$D346*15/100) +Sheet2!$D346</f>
        <v>110.5955</v>
      </c>
      <c r="G346" s="48" t="s">
        <v>736</v>
      </c>
      <c r="J346" s="3">
        <v>16</v>
      </c>
    </row>
    <row r="347" spans="1:10" x14ac:dyDescent="0.35">
      <c r="A347" s="42">
        <v>17</v>
      </c>
      <c r="B347" s="50"/>
      <c r="C347" s="43" t="s">
        <v>557</v>
      </c>
      <c r="D347" s="43">
        <v>57.88</v>
      </c>
      <c r="E347" s="43"/>
      <c r="F347" s="43">
        <f>(Sheet2!$D347*15/100) +Sheet2!$D347</f>
        <v>66.561999999999998</v>
      </c>
      <c r="G347" s="44" t="s">
        <v>736</v>
      </c>
      <c r="J347" s="3">
        <v>17</v>
      </c>
    </row>
    <row r="348" spans="1:10" x14ac:dyDescent="0.35">
      <c r="A348" s="42">
        <v>18</v>
      </c>
      <c r="B348" s="50"/>
      <c r="C348" s="43" t="s">
        <v>558</v>
      </c>
      <c r="D348" s="43">
        <v>66.89</v>
      </c>
      <c r="E348" s="43"/>
      <c r="F348" s="43">
        <f>(Sheet2!$D348*15/100) +Sheet2!$D348</f>
        <v>76.923500000000004</v>
      </c>
      <c r="G348" s="48" t="s">
        <v>736</v>
      </c>
      <c r="J348" s="3">
        <v>18</v>
      </c>
    </row>
    <row r="349" spans="1:10" x14ac:dyDescent="0.35">
      <c r="A349" s="42">
        <v>19</v>
      </c>
      <c r="B349" s="50"/>
      <c r="C349" s="43" t="s">
        <v>559</v>
      </c>
      <c r="D349" s="43">
        <v>25.73</v>
      </c>
      <c r="E349" s="43"/>
      <c r="F349" s="43">
        <f>(Sheet2!$D349*15/100) +Sheet2!$D349</f>
        <v>29.589500000000001</v>
      </c>
      <c r="G349" s="44" t="s">
        <v>736</v>
      </c>
      <c r="J349" s="3">
        <v>19</v>
      </c>
    </row>
    <row r="350" spans="1:10" x14ac:dyDescent="0.35">
      <c r="A350" s="42">
        <v>20</v>
      </c>
      <c r="B350" s="50"/>
      <c r="C350" s="43" t="s">
        <v>560</v>
      </c>
      <c r="D350" s="43">
        <v>55.31</v>
      </c>
      <c r="E350" s="43"/>
      <c r="F350" s="43">
        <f>(Sheet2!$D350*15/100) +Sheet2!$D350</f>
        <v>63.606500000000004</v>
      </c>
      <c r="G350" s="48" t="s">
        <v>736</v>
      </c>
      <c r="J350" s="3">
        <v>20</v>
      </c>
    </row>
    <row r="351" spans="1:10" x14ac:dyDescent="0.35">
      <c r="A351" s="42">
        <v>21</v>
      </c>
      <c r="B351" s="50"/>
      <c r="C351" s="43" t="s">
        <v>561</v>
      </c>
      <c r="D351" s="43">
        <v>38.590000000000003</v>
      </c>
      <c r="E351" s="43"/>
      <c r="F351" s="43">
        <f>(Sheet2!$D351*15/100) +Sheet2!$D351</f>
        <v>44.378500000000003</v>
      </c>
      <c r="G351" s="44" t="s">
        <v>736</v>
      </c>
      <c r="J351" s="3">
        <v>21</v>
      </c>
    </row>
    <row r="352" spans="1:10" x14ac:dyDescent="0.35">
      <c r="A352" s="42">
        <v>22</v>
      </c>
      <c r="B352" s="50"/>
      <c r="C352" s="43" t="s">
        <v>562</v>
      </c>
      <c r="D352" s="43">
        <v>105.48</v>
      </c>
      <c r="E352" s="43"/>
      <c r="F352" s="43">
        <f>(Sheet2!$D352*15/100) +Sheet2!$D352</f>
        <v>121.30200000000001</v>
      </c>
      <c r="G352" s="48" t="s">
        <v>736</v>
      </c>
      <c r="J352" s="3">
        <v>22</v>
      </c>
    </row>
    <row r="353" spans="1:10" x14ac:dyDescent="0.35">
      <c r="A353" s="42">
        <v>23</v>
      </c>
      <c r="B353" s="50"/>
      <c r="C353" s="43" t="s">
        <v>563</v>
      </c>
      <c r="D353" s="43">
        <v>178.09</v>
      </c>
      <c r="E353" s="43"/>
      <c r="F353" s="43">
        <f>(Sheet2!$D353*15/100) +Sheet2!$D353</f>
        <v>204.80350000000001</v>
      </c>
      <c r="G353" s="44" t="s">
        <v>736</v>
      </c>
      <c r="J353" s="3">
        <v>23</v>
      </c>
    </row>
    <row r="354" spans="1:10" x14ac:dyDescent="0.35">
      <c r="A354" s="42">
        <v>24</v>
      </c>
      <c r="B354" s="50"/>
      <c r="C354" s="43" t="s">
        <v>564</v>
      </c>
      <c r="D354" s="43">
        <v>145.63999999999999</v>
      </c>
      <c r="E354" s="43"/>
      <c r="F354" s="43">
        <f>(Sheet2!$D354*15/100) +Sheet2!$D354</f>
        <v>167.48599999999999</v>
      </c>
      <c r="G354" s="48" t="s">
        <v>736</v>
      </c>
      <c r="J354" s="3">
        <v>24</v>
      </c>
    </row>
    <row r="355" spans="1:10" x14ac:dyDescent="0.35">
      <c r="A355" s="42">
        <v>25</v>
      </c>
      <c r="B355" s="50"/>
      <c r="C355" s="43" t="s">
        <v>565</v>
      </c>
      <c r="D355" s="43">
        <v>182.05</v>
      </c>
      <c r="E355" s="43"/>
      <c r="F355" s="43">
        <f>(Sheet2!$D355*15/100) +Sheet2!$D355</f>
        <v>209.35750000000002</v>
      </c>
      <c r="G355" s="44" t="s">
        <v>736</v>
      </c>
      <c r="J355" s="3">
        <v>25</v>
      </c>
    </row>
    <row r="356" spans="1:10" x14ac:dyDescent="0.35">
      <c r="A356" s="42">
        <v>26</v>
      </c>
      <c r="B356" s="50"/>
      <c r="C356" s="43" t="s">
        <v>566</v>
      </c>
      <c r="D356" s="43">
        <v>109.23</v>
      </c>
      <c r="E356" s="43"/>
      <c r="F356" s="43">
        <f>(Sheet2!$D356*15/100) +Sheet2!$D356</f>
        <v>125.61450000000001</v>
      </c>
      <c r="G356" s="48" t="s">
        <v>736</v>
      </c>
      <c r="J356" s="3">
        <v>26</v>
      </c>
    </row>
    <row r="357" spans="1:10" x14ac:dyDescent="0.35">
      <c r="A357" s="42">
        <v>27</v>
      </c>
      <c r="B357" s="50"/>
      <c r="C357" s="43" t="s">
        <v>567</v>
      </c>
      <c r="D357" s="43">
        <v>68.27</v>
      </c>
      <c r="E357" s="43"/>
      <c r="F357" s="43">
        <f>(Sheet2!$D357*15/100) +Sheet2!$D357</f>
        <v>78.510499999999993</v>
      </c>
      <c r="G357" s="44" t="s">
        <v>736</v>
      </c>
      <c r="J357" s="3">
        <v>27</v>
      </c>
    </row>
    <row r="358" spans="1:10" x14ac:dyDescent="0.35">
      <c r="A358" s="42">
        <v>28</v>
      </c>
      <c r="B358" s="50"/>
      <c r="C358" s="43" t="s">
        <v>568</v>
      </c>
      <c r="D358" s="43">
        <v>60.45</v>
      </c>
      <c r="E358" s="43"/>
      <c r="F358" s="43">
        <f>(Sheet2!$D358*15/100) +Sheet2!$D358</f>
        <v>69.517499999999998</v>
      </c>
      <c r="G358" s="48" t="s">
        <v>736</v>
      </c>
      <c r="J358" s="3">
        <v>28</v>
      </c>
    </row>
    <row r="359" spans="1:10" x14ac:dyDescent="0.35">
      <c r="A359" s="42">
        <v>29</v>
      </c>
      <c r="B359" s="50"/>
      <c r="C359" s="43" t="s">
        <v>569</v>
      </c>
      <c r="D359" s="43">
        <v>299.19</v>
      </c>
      <c r="E359" s="43"/>
      <c r="F359" s="43">
        <f>(Sheet2!$D359*15/100) +Sheet2!$D359</f>
        <v>344.06849999999997</v>
      </c>
      <c r="G359" s="44" t="s">
        <v>736</v>
      </c>
      <c r="J359" s="3">
        <v>29</v>
      </c>
    </row>
    <row r="360" spans="1:10" x14ac:dyDescent="0.35">
      <c r="A360" s="42">
        <v>30</v>
      </c>
      <c r="B360" s="50"/>
      <c r="C360" s="43" t="s">
        <v>570</v>
      </c>
      <c r="D360" s="43">
        <v>214.17</v>
      </c>
      <c r="E360" s="43"/>
      <c r="F360" s="43">
        <f>(Sheet2!$D360*15/100) +Sheet2!$D360</f>
        <v>246.29549999999998</v>
      </c>
      <c r="G360" s="48" t="s">
        <v>736</v>
      </c>
      <c r="J360" s="3">
        <v>30</v>
      </c>
    </row>
    <row r="361" spans="1:10" x14ac:dyDescent="0.35">
      <c r="A361" s="42">
        <v>31</v>
      </c>
      <c r="B361" s="50"/>
      <c r="C361" s="43" t="s">
        <v>571</v>
      </c>
      <c r="D361" s="43">
        <v>43.93</v>
      </c>
      <c r="E361" s="43"/>
      <c r="F361" s="43">
        <f>(Sheet2!$D361*15/100) +Sheet2!$D361</f>
        <v>50.519500000000001</v>
      </c>
      <c r="G361" s="44" t="s">
        <v>736</v>
      </c>
      <c r="J361" s="3">
        <v>31</v>
      </c>
    </row>
    <row r="362" spans="1:10" x14ac:dyDescent="0.35">
      <c r="A362" s="42">
        <v>32</v>
      </c>
      <c r="B362" s="50"/>
      <c r="C362" s="43" t="s">
        <v>572</v>
      </c>
      <c r="D362" s="43">
        <v>71.39</v>
      </c>
      <c r="E362" s="43"/>
      <c r="F362" s="43">
        <f>(Sheet2!$D362*15/100) +Sheet2!$D362</f>
        <v>82.098500000000001</v>
      </c>
      <c r="G362" s="48" t="s">
        <v>736</v>
      </c>
      <c r="J362" s="3">
        <v>32</v>
      </c>
    </row>
    <row r="363" spans="1:10" x14ac:dyDescent="0.35">
      <c r="A363" s="42">
        <v>33</v>
      </c>
      <c r="B363" s="50"/>
      <c r="C363" s="43" t="s">
        <v>573</v>
      </c>
      <c r="D363" s="43">
        <v>22.88</v>
      </c>
      <c r="E363" s="43"/>
      <c r="F363" s="43">
        <f>(Sheet2!$D363*15/100) +Sheet2!$D363</f>
        <v>26.311999999999998</v>
      </c>
      <c r="G363" s="44" t="s">
        <v>736</v>
      </c>
      <c r="J363" s="3">
        <v>33</v>
      </c>
    </row>
    <row r="364" spans="1:10" x14ac:dyDescent="0.35">
      <c r="A364" s="42">
        <v>34</v>
      </c>
      <c r="B364" s="50"/>
      <c r="C364" s="43" t="s">
        <v>574</v>
      </c>
      <c r="D364" s="43">
        <v>14.55</v>
      </c>
      <c r="E364" s="43"/>
      <c r="F364" s="43">
        <f>(Sheet2!$D364*15/100) +Sheet2!$D364</f>
        <v>16.732500000000002</v>
      </c>
      <c r="G364" s="48" t="s">
        <v>736</v>
      </c>
      <c r="J364" s="3">
        <v>34</v>
      </c>
    </row>
    <row r="365" spans="1:10" x14ac:dyDescent="0.35">
      <c r="A365" s="42">
        <v>35</v>
      </c>
      <c r="B365" s="50"/>
      <c r="C365" s="43" t="s">
        <v>575</v>
      </c>
      <c r="D365" s="43">
        <v>141.09</v>
      </c>
      <c r="E365" s="43"/>
      <c r="F365" s="43">
        <f>(Sheet2!$D365*15/100) +Sheet2!$D365</f>
        <v>162.2535</v>
      </c>
      <c r="G365" s="44" t="s">
        <v>736</v>
      </c>
      <c r="J365" s="3">
        <v>35</v>
      </c>
    </row>
    <row r="366" spans="1:10" x14ac:dyDescent="0.35">
      <c r="A366" s="42">
        <v>36</v>
      </c>
      <c r="B366" s="50"/>
      <c r="C366" s="43" t="s">
        <v>576</v>
      </c>
      <c r="D366" s="43">
        <v>213.71</v>
      </c>
      <c r="E366" s="43"/>
      <c r="F366" s="43">
        <f>(Sheet2!$D366*15/100) +Sheet2!$D366</f>
        <v>245.76650000000001</v>
      </c>
      <c r="G366" s="48" t="s">
        <v>736</v>
      </c>
      <c r="J366" s="3">
        <v>36</v>
      </c>
    </row>
    <row r="367" spans="1:10" x14ac:dyDescent="0.35">
      <c r="A367" s="42">
        <v>37</v>
      </c>
      <c r="B367" s="50"/>
      <c r="C367" s="43" t="s">
        <v>577</v>
      </c>
      <c r="D367" s="43">
        <v>195.9</v>
      </c>
      <c r="E367" s="43"/>
      <c r="F367" s="43">
        <f>(Sheet2!$D367*15/100) +Sheet2!$D367</f>
        <v>225.285</v>
      </c>
      <c r="G367" s="44" t="s">
        <v>736</v>
      </c>
      <c r="J367" s="3">
        <v>37</v>
      </c>
    </row>
    <row r="368" spans="1:10" x14ac:dyDescent="0.35">
      <c r="A368" s="42">
        <v>38</v>
      </c>
      <c r="B368" s="50"/>
      <c r="C368" s="43" t="s">
        <v>578</v>
      </c>
      <c r="D368" s="43">
        <v>201.84</v>
      </c>
      <c r="E368" s="43"/>
      <c r="F368" s="43">
        <f>(Sheet2!$D368*15/100) +Sheet2!$D368</f>
        <v>232.11600000000001</v>
      </c>
      <c r="G368" s="48" t="s">
        <v>736</v>
      </c>
      <c r="J368" s="3">
        <v>38</v>
      </c>
    </row>
    <row r="369" spans="1:10" x14ac:dyDescent="0.35">
      <c r="A369" s="42">
        <v>39</v>
      </c>
      <c r="B369" s="50"/>
      <c r="C369" s="43" t="s">
        <v>579</v>
      </c>
      <c r="D369" s="43">
        <v>133.52000000000001</v>
      </c>
      <c r="E369" s="43"/>
      <c r="F369" s="43">
        <f>(Sheet2!$D369*15/100) +Sheet2!$D369</f>
        <v>153.548</v>
      </c>
      <c r="G369" s="44" t="s">
        <v>736</v>
      </c>
      <c r="J369" s="3">
        <v>39</v>
      </c>
    </row>
    <row r="370" spans="1:10" x14ac:dyDescent="0.35">
      <c r="A370" s="42">
        <v>40</v>
      </c>
      <c r="B370" s="50"/>
      <c r="C370" s="43" t="s">
        <v>580</v>
      </c>
      <c r="D370" s="43">
        <v>19.39</v>
      </c>
      <c r="E370" s="43"/>
      <c r="F370" s="43">
        <f>(Sheet2!$D370*15/100) +Sheet2!$D370</f>
        <v>22.298500000000001</v>
      </c>
      <c r="G370" s="48" t="s">
        <v>736</v>
      </c>
      <c r="J370" s="3">
        <v>40</v>
      </c>
    </row>
    <row r="371" spans="1:10" x14ac:dyDescent="0.35">
      <c r="A371" s="42">
        <v>41</v>
      </c>
      <c r="B371" s="50"/>
      <c r="C371" s="43" t="s">
        <v>581</v>
      </c>
      <c r="D371" s="43">
        <v>19.39</v>
      </c>
      <c r="E371" s="43"/>
      <c r="F371" s="43">
        <f>(Sheet2!$D371*15/100) +Sheet2!$D371</f>
        <v>22.298500000000001</v>
      </c>
      <c r="G371" s="44" t="s">
        <v>736</v>
      </c>
      <c r="J371" s="3">
        <v>41</v>
      </c>
    </row>
    <row r="372" spans="1:10" x14ac:dyDescent="0.35">
      <c r="A372" s="42">
        <v>42</v>
      </c>
      <c r="B372" s="50"/>
      <c r="C372" s="43" t="s">
        <v>583</v>
      </c>
      <c r="D372" s="43">
        <v>18.010000000000002</v>
      </c>
      <c r="E372" s="43"/>
      <c r="F372" s="43">
        <f>(Sheet2!$D372*15/100) +Sheet2!$D372</f>
        <v>20.711500000000001</v>
      </c>
      <c r="G372" s="44" t="s">
        <v>736</v>
      </c>
      <c r="J372" s="3">
        <v>42</v>
      </c>
    </row>
    <row r="373" spans="1:10" x14ac:dyDescent="0.35">
      <c r="A373" s="47">
        <v>43</v>
      </c>
      <c r="B373" s="49"/>
      <c r="C373" s="46" t="s">
        <v>584</v>
      </c>
      <c r="D373" s="46">
        <v>54.14</v>
      </c>
      <c r="E373" s="46"/>
      <c r="F373" s="46">
        <f>(Sheet2!$D373*15/100) +Sheet2!$D373</f>
        <v>62.261000000000003</v>
      </c>
      <c r="G373" s="48" t="s">
        <v>736</v>
      </c>
      <c r="J373" s="3">
        <v>43</v>
      </c>
    </row>
    <row r="374" spans="1:10" x14ac:dyDescent="0.35">
      <c r="A374" s="42">
        <v>44</v>
      </c>
      <c r="B374" s="50"/>
      <c r="C374" s="43" t="s">
        <v>590</v>
      </c>
      <c r="D374" s="43">
        <v>12.37</v>
      </c>
      <c r="E374" s="43"/>
      <c r="F374" s="43">
        <f>(Sheet2!$D374*15/100) +Sheet2!$D374</f>
        <v>14.225499999999998</v>
      </c>
      <c r="G374" s="48" t="s">
        <v>736</v>
      </c>
      <c r="J374" s="3">
        <v>44</v>
      </c>
    </row>
    <row r="375" spans="1:10" x14ac:dyDescent="0.35">
      <c r="A375" s="42">
        <v>45</v>
      </c>
      <c r="B375" s="50"/>
      <c r="C375" s="43" t="s">
        <v>591</v>
      </c>
      <c r="D375" s="43">
        <v>57.45</v>
      </c>
      <c r="E375" s="43"/>
      <c r="F375" s="43">
        <f>(Sheet2!$D375*15/100) +Sheet2!$D375</f>
        <v>66.067499999999995</v>
      </c>
      <c r="G375" s="44" t="s">
        <v>736</v>
      </c>
      <c r="H375" s="31"/>
      <c r="J375" s="3">
        <v>45</v>
      </c>
    </row>
    <row r="376" spans="1:10" x14ac:dyDescent="0.35">
      <c r="A376" s="42">
        <v>46</v>
      </c>
      <c r="B376" s="50"/>
      <c r="C376" s="43" t="s">
        <v>592</v>
      </c>
      <c r="D376" s="43">
        <v>18.55</v>
      </c>
      <c r="E376" s="43"/>
      <c r="F376" s="43">
        <f>(Sheet2!$D376*15/100) +Sheet2!$D376</f>
        <v>21.3325</v>
      </c>
      <c r="G376" s="48" t="s">
        <v>736</v>
      </c>
      <c r="J376" s="3">
        <v>46</v>
      </c>
    </row>
    <row r="377" spans="1:10" x14ac:dyDescent="0.35">
      <c r="A377" s="42">
        <v>47</v>
      </c>
      <c r="B377" s="50"/>
      <c r="C377" s="43" t="s">
        <v>593</v>
      </c>
      <c r="D377" s="43">
        <v>8.9</v>
      </c>
      <c r="E377" s="43"/>
      <c r="F377" s="43">
        <f>(Sheet2!$D377*15/100) +Sheet2!$D377</f>
        <v>10.234999999999999</v>
      </c>
      <c r="G377" s="44" t="s">
        <v>736</v>
      </c>
      <c r="J377" s="3">
        <v>47</v>
      </c>
    </row>
    <row r="378" spans="1:10" x14ac:dyDescent="0.35">
      <c r="A378" s="42">
        <v>48</v>
      </c>
      <c r="B378" s="50"/>
      <c r="C378" s="43" t="s">
        <v>594</v>
      </c>
      <c r="D378" s="43">
        <v>25.73</v>
      </c>
      <c r="E378" s="43"/>
      <c r="F378" s="43">
        <f>(Sheet2!$D378*15/100) +Sheet2!$D378</f>
        <v>29.589500000000001</v>
      </c>
      <c r="G378" s="48" t="s">
        <v>736</v>
      </c>
      <c r="J378" s="3">
        <v>48</v>
      </c>
    </row>
    <row r="379" spans="1:10" x14ac:dyDescent="0.35">
      <c r="A379" s="42">
        <v>49</v>
      </c>
      <c r="B379" s="50"/>
      <c r="C379" s="43" t="s">
        <v>595</v>
      </c>
      <c r="D379" s="43">
        <v>24.73</v>
      </c>
      <c r="E379" s="43"/>
      <c r="F379" s="43">
        <f>(Sheet2!$D379*15/100) +Sheet2!$D379</f>
        <v>28.439499999999999</v>
      </c>
      <c r="G379" s="44" t="s">
        <v>736</v>
      </c>
      <c r="J379" s="3">
        <v>49</v>
      </c>
    </row>
    <row r="380" spans="1:10" x14ac:dyDescent="0.35">
      <c r="A380" s="42">
        <v>50</v>
      </c>
      <c r="B380" s="50"/>
      <c r="C380" s="43" t="s">
        <v>596</v>
      </c>
      <c r="D380" s="43">
        <v>111.3</v>
      </c>
      <c r="E380" s="43"/>
      <c r="F380" s="43">
        <f>(Sheet2!$D380*15/100) +Sheet2!$D380</f>
        <v>127.995</v>
      </c>
      <c r="G380" s="48" t="s">
        <v>736</v>
      </c>
      <c r="J380" s="3">
        <v>50</v>
      </c>
    </row>
    <row r="381" spans="1:10" x14ac:dyDescent="0.35">
      <c r="A381" s="42">
        <v>51</v>
      </c>
      <c r="B381" s="50"/>
      <c r="C381" s="43" t="s">
        <v>597</v>
      </c>
      <c r="D381" s="43">
        <v>80.39</v>
      </c>
      <c r="E381" s="43"/>
      <c r="F381" s="43">
        <f>(Sheet2!$D381*15/100) +Sheet2!$D381</f>
        <v>92.448499999999996</v>
      </c>
      <c r="G381" s="44" t="s">
        <v>736</v>
      </c>
      <c r="J381" s="3">
        <v>51</v>
      </c>
    </row>
    <row r="382" spans="1:10" x14ac:dyDescent="0.35">
      <c r="A382" s="42">
        <v>52</v>
      </c>
      <c r="B382" s="50"/>
      <c r="C382" s="43" t="s">
        <v>598</v>
      </c>
      <c r="D382" s="43">
        <v>193.93</v>
      </c>
      <c r="E382" s="43"/>
      <c r="F382" s="43">
        <f>(Sheet2!$D382*15/100) +Sheet2!$D382</f>
        <v>223.01949999999999</v>
      </c>
      <c r="G382" s="48" t="s">
        <v>736</v>
      </c>
      <c r="J382" s="3">
        <v>52</v>
      </c>
    </row>
    <row r="383" spans="1:10" x14ac:dyDescent="0.35">
      <c r="A383" s="42">
        <v>53</v>
      </c>
      <c r="B383" s="50"/>
      <c r="C383" s="43" t="s">
        <v>599</v>
      </c>
      <c r="D383" s="43">
        <v>21.64</v>
      </c>
      <c r="E383" s="43"/>
      <c r="F383" s="43">
        <f>(Sheet2!$D383*15/100) +Sheet2!$D383</f>
        <v>24.886000000000003</v>
      </c>
      <c r="G383" s="44" t="s">
        <v>736</v>
      </c>
      <c r="J383" s="3">
        <v>53</v>
      </c>
    </row>
    <row r="384" spans="1:10" x14ac:dyDescent="0.35">
      <c r="A384" s="42">
        <v>54</v>
      </c>
      <c r="B384" s="50"/>
      <c r="C384" s="43" t="s">
        <v>604</v>
      </c>
      <c r="D384" s="55">
        <v>6216.33</v>
      </c>
      <c r="E384" s="43"/>
      <c r="F384" s="43">
        <f>(Sheet2!$D384*15/100) +Sheet2!$D384</f>
        <v>7148.7794999999996</v>
      </c>
      <c r="G384" s="48" t="s">
        <v>736</v>
      </c>
      <c r="J384" s="3">
        <v>54</v>
      </c>
    </row>
    <row r="385" spans="1:10" x14ac:dyDescent="0.35">
      <c r="A385" s="47">
        <v>55</v>
      </c>
      <c r="B385" s="49"/>
      <c r="C385" s="46" t="s">
        <v>606</v>
      </c>
      <c r="D385" s="46">
        <v>65.88</v>
      </c>
      <c r="E385" s="46"/>
      <c r="F385" s="46">
        <f>(Sheet2!$D385*15/100) +Sheet2!$D385</f>
        <v>75.762</v>
      </c>
      <c r="G385" s="48" t="s">
        <v>736</v>
      </c>
      <c r="J385" s="3">
        <v>55</v>
      </c>
    </row>
    <row r="386" spans="1:10" x14ac:dyDescent="0.35">
      <c r="A386" s="42">
        <v>56</v>
      </c>
      <c r="B386" s="50"/>
      <c r="C386" s="43" t="s">
        <v>607</v>
      </c>
      <c r="D386" s="43">
        <v>451.17</v>
      </c>
      <c r="E386" s="43"/>
      <c r="F386" s="43">
        <f>(Sheet2!$D386*15/100) +Sheet2!$D386</f>
        <v>518.84550000000002</v>
      </c>
      <c r="G386" s="44" t="s">
        <v>736</v>
      </c>
      <c r="J386" s="3">
        <v>56</v>
      </c>
    </row>
    <row r="387" spans="1:10" x14ac:dyDescent="0.35">
      <c r="A387" s="47">
        <v>57</v>
      </c>
      <c r="B387" s="49"/>
      <c r="C387" s="46" t="s">
        <v>608</v>
      </c>
      <c r="D387" s="46">
        <v>100.17</v>
      </c>
      <c r="E387" s="46"/>
      <c r="F387" s="46">
        <f>(Sheet2!$D387*15/100) +Sheet2!$D387</f>
        <v>115.1955</v>
      </c>
      <c r="G387" s="48" t="s">
        <v>736</v>
      </c>
      <c r="J387" s="3">
        <v>57</v>
      </c>
    </row>
    <row r="388" spans="1:10" x14ac:dyDescent="0.35">
      <c r="A388" s="42">
        <v>58</v>
      </c>
      <c r="B388" s="50"/>
      <c r="C388" s="43" t="s">
        <v>609</v>
      </c>
      <c r="D388" s="43">
        <v>73.459999999999994</v>
      </c>
      <c r="E388" s="43"/>
      <c r="F388" s="43">
        <f>(Sheet2!$D388*15/100) +Sheet2!$D388</f>
        <v>84.478999999999985</v>
      </c>
      <c r="G388" s="44" t="s">
        <v>736</v>
      </c>
      <c r="J388" s="3">
        <v>58</v>
      </c>
    </row>
    <row r="389" spans="1:10" x14ac:dyDescent="0.35">
      <c r="A389" s="47">
        <v>59</v>
      </c>
      <c r="B389" s="49"/>
      <c r="C389" s="46" t="s">
        <v>610</v>
      </c>
      <c r="D389" s="46">
        <v>105.52</v>
      </c>
      <c r="E389" s="46"/>
      <c r="F389" s="46">
        <f>(Sheet2!$D389*15/100) +Sheet2!$D389</f>
        <v>121.348</v>
      </c>
      <c r="G389" s="48" t="s">
        <v>736</v>
      </c>
      <c r="J389" s="3">
        <v>59</v>
      </c>
    </row>
    <row r="390" spans="1:10" x14ac:dyDescent="0.35">
      <c r="A390" s="42">
        <v>60</v>
      </c>
      <c r="B390" s="50"/>
      <c r="C390" s="43" t="s">
        <v>612</v>
      </c>
      <c r="D390" s="43">
        <v>66.489999999999995</v>
      </c>
      <c r="E390" s="43"/>
      <c r="F390" s="43">
        <f>(Sheet2!$D390*15/100) +Sheet2!$D390</f>
        <v>76.463499999999996</v>
      </c>
      <c r="G390" s="48" t="s">
        <v>736</v>
      </c>
      <c r="J390" s="3">
        <v>60</v>
      </c>
    </row>
    <row r="391" spans="1:10" x14ac:dyDescent="0.35">
      <c r="A391" s="42">
        <v>61</v>
      </c>
      <c r="B391" s="50"/>
      <c r="C391" s="43" t="s">
        <v>613</v>
      </c>
      <c r="D391" s="43">
        <v>382.68</v>
      </c>
      <c r="E391" s="43"/>
      <c r="F391" s="43">
        <f>(Sheet2!$D391*15/100) +Sheet2!$D391</f>
        <v>440.08199999999999</v>
      </c>
      <c r="G391" s="44" t="s">
        <v>736</v>
      </c>
      <c r="J391" s="3">
        <v>61</v>
      </c>
    </row>
    <row r="392" spans="1:10" x14ac:dyDescent="0.35">
      <c r="A392" s="42">
        <v>62</v>
      </c>
      <c r="B392" s="50"/>
      <c r="C392" s="43" t="s">
        <v>614</v>
      </c>
      <c r="D392" s="43">
        <v>426.41</v>
      </c>
      <c r="E392" s="43"/>
      <c r="F392" s="43">
        <f>(Sheet2!$D392*15/100) +Sheet2!$D392</f>
        <v>490.37150000000003</v>
      </c>
      <c r="G392" s="48" t="s">
        <v>736</v>
      </c>
      <c r="J392" s="3">
        <v>62</v>
      </c>
    </row>
    <row r="393" spans="1:10" x14ac:dyDescent="0.35">
      <c r="A393" s="42">
        <v>63</v>
      </c>
      <c r="B393" s="50"/>
      <c r="C393" s="43" t="s">
        <v>615</v>
      </c>
      <c r="D393" s="43">
        <v>448.28</v>
      </c>
      <c r="E393" s="43"/>
      <c r="F393" s="43">
        <f>(Sheet2!$D393*15/100) +Sheet2!$D393</f>
        <v>515.52199999999993</v>
      </c>
      <c r="G393" s="44" t="s">
        <v>736</v>
      </c>
      <c r="J393" s="3">
        <v>63</v>
      </c>
    </row>
    <row r="394" spans="1:10" x14ac:dyDescent="0.35">
      <c r="A394" s="42">
        <v>64</v>
      </c>
      <c r="B394" s="50"/>
      <c r="C394" s="43" t="s">
        <v>616</v>
      </c>
      <c r="D394" s="43">
        <v>234.08</v>
      </c>
      <c r="E394" s="43"/>
      <c r="F394" s="43">
        <f>(Sheet2!$D394*15/100) +Sheet2!$D394</f>
        <v>269.19200000000001</v>
      </c>
      <c r="G394" s="48" t="s">
        <v>736</v>
      </c>
      <c r="J394" s="3">
        <v>64</v>
      </c>
    </row>
    <row r="395" spans="1:10" x14ac:dyDescent="0.35">
      <c r="A395" s="42">
        <v>65</v>
      </c>
      <c r="B395" s="50"/>
      <c r="C395" s="43" t="s">
        <v>617</v>
      </c>
      <c r="D395" s="43">
        <v>527.33000000000004</v>
      </c>
      <c r="E395" s="43"/>
      <c r="F395" s="43">
        <f>(Sheet2!$D395*15/100) +Sheet2!$D395</f>
        <v>606.42950000000008</v>
      </c>
      <c r="G395" s="44" t="s">
        <v>736</v>
      </c>
      <c r="J395" s="3">
        <v>65</v>
      </c>
    </row>
    <row r="396" spans="1:10" x14ac:dyDescent="0.35">
      <c r="A396" s="42">
        <v>66</v>
      </c>
      <c r="B396" s="50"/>
      <c r="C396" s="43" t="s">
        <v>618</v>
      </c>
      <c r="D396" s="43">
        <v>319.14999999999998</v>
      </c>
      <c r="E396" s="43"/>
      <c r="F396" s="43">
        <f>(Sheet2!$D396*15/100) +Sheet2!$D396</f>
        <v>367.02249999999998</v>
      </c>
      <c r="G396" s="48" t="s">
        <v>736</v>
      </c>
      <c r="J396" s="3">
        <v>66</v>
      </c>
    </row>
    <row r="397" spans="1:10" x14ac:dyDescent="0.35">
      <c r="A397" s="42">
        <v>67</v>
      </c>
      <c r="B397" s="50"/>
      <c r="C397" s="43" t="s">
        <v>619</v>
      </c>
      <c r="D397" s="43">
        <v>563.96</v>
      </c>
      <c r="E397" s="43"/>
      <c r="F397" s="43">
        <f>(Sheet2!$D397*15/100) +Sheet2!$D397</f>
        <v>648.55400000000009</v>
      </c>
      <c r="G397" s="44" t="s">
        <v>736</v>
      </c>
      <c r="J397" s="3">
        <v>67</v>
      </c>
    </row>
    <row r="398" spans="1:10" x14ac:dyDescent="0.35">
      <c r="A398" s="42">
        <v>68</v>
      </c>
      <c r="B398" s="50"/>
      <c r="C398" s="43" t="s">
        <v>620</v>
      </c>
      <c r="D398" s="43">
        <v>54.02</v>
      </c>
      <c r="E398" s="43"/>
      <c r="F398" s="43">
        <f>(Sheet2!$D398*15/100) +Sheet2!$D398</f>
        <v>62.123000000000005</v>
      </c>
      <c r="G398" s="48" t="s">
        <v>736</v>
      </c>
      <c r="J398" s="3">
        <v>68</v>
      </c>
    </row>
    <row r="399" spans="1:10" x14ac:dyDescent="0.35">
      <c r="A399" s="42">
        <v>69</v>
      </c>
      <c r="B399" s="50"/>
      <c r="C399" s="43" t="s">
        <v>621</v>
      </c>
      <c r="D399" s="43">
        <v>707.82</v>
      </c>
      <c r="E399" s="43"/>
      <c r="F399" s="43">
        <f>(Sheet2!$D399*15/100) +Sheet2!$D399</f>
        <v>813.99300000000005</v>
      </c>
      <c r="G399" s="44" t="s">
        <v>736</v>
      </c>
      <c r="J399" s="3">
        <v>69</v>
      </c>
    </row>
    <row r="400" spans="1:10" x14ac:dyDescent="0.35">
      <c r="A400" s="42">
        <v>70</v>
      </c>
      <c r="B400" s="50"/>
      <c r="C400" s="43" t="s">
        <v>622</v>
      </c>
      <c r="D400" s="43">
        <v>52.74</v>
      </c>
      <c r="E400" s="43"/>
      <c r="F400" s="43">
        <f>(Sheet2!$D400*15/100) +Sheet2!$D400</f>
        <v>60.651000000000003</v>
      </c>
      <c r="G400" s="48" t="s">
        <v>736</v>
      </c>
      <c r="J400" s="3">
        <v>70</v>
      </c>
    </row>
    <row r="401" spans="1:10" x14ac:dyDescent="0.35">
      <c r="A401" s="42">
        <v>71</v>
      </c>
      <c r="B401" s="50"/>
      <c r="C401" s="43" t="s">
        <v>623</v>
      </c>
      <c r="D401" s="43">
        <v>484.6</v>
      </c>
      <c r="E401" s="43"/>
      <c r="F401" s="43">
        <f>(Sheet2!$D401*15/100) +Sheet2!$D401</f>
        <v>557.29</v>
      </c>
      <c r="G401" s="44" t="s">
        <v>736</v>
      </c>
      <c r="J401" s="3">
        <v>71</v>
      </c>
    </row>
    <row r="402" spans="1:10" x14ac:dyDescent="0.35">
      <c r="A402" s="42">
        <v>72</v>
      </c>
      <c r="B402" s="50"/>
      <c r="C402" s="43" t="s">
        <v>624</v>
      </c>
      <c r="D402" s="43">
        <v>437.06</v>
      </c>
      <c r="E402" s="43"/>
      <c r="F402" s="43">
        <f>(Sheet2!$D402*15/100) +Sheet2!$D402</f>
        <v>502.61900000000003</v>
      </c>
      <c r="G402" s="48" t="s">
        <v>736</v>
      </c>
      <c r="J402" s="3">
        <v>72</v>
      </c>
    </row>
    <row r="403" spans="1:10" x14ac:dyDescent="0.35">
      <c r="A403" s="42">
        <v>73</v>
      </c>
      <c r="B403" s="50"/>
      <c r="C403" s="43" t="s">
        <v>625</v>
      </c>
      <c r="D403" s="43">
        <v>215.49</v>
      </c>
      <c r="E403" s="43"/>
      <c r="F403" s="43">
        <f>(Sheet2!$D403*15/100) +Sheet2!$D403</f>
        <v>247.8135</v>
      </c>
      <c r="G403" s="44" t="s">
        <v>736</v>
      </c>
      <c r="J403" s="3">
        <v>73</v>
      </c>
    </row>
    <row r="404" spans="1:10" x14ac:dyDescent="0.35">
      <c r="A404" s="42">
        <v>74</v>
      </c>
      <c r="B404" s="50"/>
      <c r="C404" s="43" t="s">
        <v>626</v>
      </c>
      <c r="D404" s="43">
        <v>215.49</v>
      </c>
      <c r="E404" s="43"/>
      <c r="F404" s="43">
        <f>(Sheet2!$D404*15/100) +Sheet2!$D404</f>
        <v>247.8135</v>
      </c>
      <c r="G404" s="48" t="s">
        <v>736</v>
      </c>
      <c r="J404" s="3">
        <v>74</v>
      </c>
    </row>
    <row r="405" spans="1:10" x14ac:dyDescent="0.35">
      <c r="A405" s="42">
        <v>75</v>
      </c>
      <c r="B405" s="50"/>
      <c r="C405" s="43" t="s">
        <v>627</v>
      </c>
      <c r="D405" s="43">
        <v>148.01</v>
      </c>
      <c r="E405" s="43"/>
      <c r="F405" s="43">
        <f>(Sheet2!$D405*15/100) +Sheet2!$D405</f>
        <v>170.2115</v>
      </c>
      <c r="G405" s="44" t="s">
        <v>736</v>
      </c>
      <c r="J405" s="3">
        <v>75</v>
      </c>
    </row>
    <row r="406" spans="1:10" x14ac:dyDescent="0.35">
      <c r="A406" s="42">
        <v>76</v>
      </c>
      <c r="B406" s="50"/>
      <c r="C406" s="43" t="s">
        <v>628</v>
      </c>
      <c r="D406" s="43">
        <v>174.92</v>
      </c>
      <c r="E406" s="43"/>
      <c r="F406" s="43">
        <f>(Sheet2!$D406*15/100) +Sheet2!$D406</f>
        <v>201.15799999999999</v>
      </c>
      <c r="G406" s="48" t="s">
        <v>736</v>
      </c>
      <c r="J406" s="3">
        <v>76</v>
      </c>
    </row>
    <row r="407" spans="1:10" x14ac:dyDescent="0.35">
      <c r="A407" s="42">
        <v>77</v>
      </c>
      <c r="B407" s="50"/>
      <c r="C407" s="43" t="s">
        <v>629</v>
      </c>
      <c r="D407" s="43">
        <v>212.24</v>
      </c>
      <c r="E407" s="43"/>
      <c r="F407" s="43">
        <f>(Sheet2!$D407*15/100) +Sheet2!$D407</f>
        <v>244.07600000000002</v>
      </c>
      <c r="G407" s="44" t="s">
        <v>736</v>
      </c>
      <c r="J407" s="3">
        <v>77</v>
      </c>
    </row>
    <row r="408" spans="1:10" x14ac:dyDescent="0.35">
      <c r="A408" s="42">
        <v>78</v>
      </c>
      <c r="B408" s="50"/>
      <c r="C408" s="43" t="s">
        <v>630</v>
      </c>
      <c r="D408" s="43">
        <v>398.75</v>
      </c>
      <c r="E408" s="43"/>
      <c r="F408" s="43">
        <f>(Sheet2!$D408*15/100) +Sheet2!$D408</f>
        <v>458.5625</v>
      </c>
      <c r="G408" s="48" t="s">
        <v>736</v>
      </c>
      <c r="J408" s="3">
        <v>78</v>
      </c>
    </row>
    <row r="409" spans="1:10" x14ac:dyDescent="0.35">
      <c r="A409" s="42">
        <v>79</v>
      </c>
      <c r="B409" s="50"/>
      <c r="C409" s="43" t="s">
        <v>631</v>
      </c>
      <c r="D409" s="43">
        <v>81.05</v>
      </c>
      <c r="E409" s="43"/>
      <c r="F409" s="43">
        <f>(Sheet2!$D409*15/100) +Sheet2!$D409</f>
        <v>93.207499999999996</v>
      </c>
      <c r="G409" s="44" t="s">
        <v>736</v>
      </c>
      <c r="J409" s="3">
        <v>79</v>
      </c>
    </row>
    <row r="410" spans="1:10" x14ac:dyDescent="0.35">
      <c r="A410" s="42">
        <v>80</v>
      </c>
      <c r="B410" s="50"/>
      <c r="C410" s="43" t="s">
        <v>632</v>
      </c>
      <c r="D410" s="43">
        <v>4.34</v>
      </c>
      <c r="E410" s="43"/>
      <c r="F410" s="43">
        <f>(Sheet2!$D410*15/100) +Sheet2!$D410</f>
        <v>4.9909999999999997</v>
      </c>
      <c r="G410" s="48" t="s">
        <v>736</v>
      </c>
      <c r="J410" s="3">
        <v>80</v>
      </c>
    </row>
    <row r="411" spans="1:10" x14ac:dyDescent="0.35">
      <c r="A411" s="42">
        <v>81</v>
      </c>
      <c r="B411" s="50"/>
      <c r="C411" s="43" t="s">
        <v>633</v>
      </c>
      <c r="D411" s="43">
        <v>38.590000000000003</v>
      </c>
      <c r="E411" s="43"/>
      <c r="F411" s="43">
        <f>(Sheet2!$D411*15/100) +Sheet2!$D411</f>
        <v>44.378500000000003</v>
      </c>
      <c r="G411" s="44" t="s">
        <v>736</v>
      </c>
      <c r="J411" s="3">
        <v>81</v>
      </c>
    </row>
    <row r="412" spans="1:10" x14ac:dyDescent="0.35">
      <c r="A412" s="42">
        <v>82</v>
      </c>
      <c r="B412" s="50"/>
      <c r="C412" s="43" t="s">
        <v>634</v>
      </c>
      <c r="D412" s="43">
        <v>117.75</v>
      </c>
      <c r="E412" s="43"/>
      <c r="F412" s="43">
        <f>(Sheet2!$D412*15/100) +Sheet2!$D412</f>
        <v>135.41249999999999</v>
      </c>
      <c r="G412" s="48" t="s">
        <v>736</v>
      </c>
      <c r="J412" s="3">
        <v>82</v>
      </c>
    </row>
    <row r="413" spans="1:10" x14ac:dyDescent="0.35">
      <c r="A413" s="42">
        <v>83</v>
      </c>
      <c r="B413" s="50"/>
      <c r="C413" s="43" t="s">
        <v>635</v>
      </c>
      <c r="D413" s="43">
        <v>455.34</v>
      </c>
      <c r="E413" s="43"/>
      <c r="F413" s="43">
        <f>(Sheet2!$D413*15/100) +Sheet2!$D413</f>
        <v>523.64099999999996</v>
      </c>
      <c r="G413" s="44" t="s">
        <v>736</v>
      </c>
      <c r="J413" s="3">
        <v>83</v>
      </c>
    </row>
    <row r="414" spans="1:10" x14ac:dyDescent="0.35">
      <c r="A414" s="42">
        <v>84</v>
      </c>
      <c r="B414" s="50"/>
      <c r="C414" s="43" t="s">
        <v>636</v>
      </c>
      <c r="D414" s="43">
        <v>808.86</v>
      </c>
      <c r="E414" s="43"/>
      <c r="F414" s="43">
        <f>(Sheet2!$D414*15/100) +Sheet2!$D414</f>
        <v>930.18899999999996</v>
      </c>
      <c r="G414" s="48" t="s">
        <v>736</v>
      </c>
      <c r="J414" s="3">
        <v>84</v>
      </c>
    </row>
    <row r="415" spans="1:10" x14ac:dyDescent="0.35">
      <c r="A415" s="42">
        <v>85</v>
      </c>
      <c r="B415" s="50"/>
      <c r="C415" s="43" t="s">
        <v>637</v>
      </c>
      <c r="D415" s="43">
        <v>131.06</v>
      </c>
      <c r="E415" s="43"/>
      <c r="F415" s="43">
        <f>(Sheet2!$D415*15/100) +Sheet2!$D415</f>
        <v>150.71899999999999</v>
      </c>
      <c r="G415" s="44" t="s">
        <v>736</v>
      </c>
      <c r="J415" s="3">
        <v>85</v>
      </c>
    </row>
    <row r="416" spans="1:10" x14ac:dyDescent="0.35">
      <c r="A416" s="42">
        <v>86</v>
      </c>
      <c r="B416" s="50"/>
      <c r="C416" s="43" t="s">
        <v>638</v>
      </c>
      <c r="D416" s="43">
        <v>214.78</v>
      </c>
      <c r="E416" s="43"/>
      <c r="F416" s="43">
        <f>(Sheet2!$D416*15/100) +Sheet2!$D416</f>
        <v>246.99700000000001</v>
      </c>
      <c r="G416" s="48" t="s">
        <v>736</v>
      </c>
      <c r="J416" s="3">
        <v>86</v>
      </c>
    </row>
    <row r="417" spans="1:10" x14ac:dyDescent="0.35">
      <c r="A417" s="42">
        <v>87</v>
      </c>
      <c r="B417" s="50"/>
      <c r="C417" s="43" t="s">
        <v>941</v>
      </c>
      <c r="D417" s="43">
        <v>30.27</v>
      </c>
      <c r="E417" s="43"/>
      <c r="F417" s="43">
        <f>(Sheet2!$D417*15/100) +Sheet2!$D417</f>
        <v>34.810499999999998</v>
      </c>
      <c r="G417" s="44" t="s">
        <v>736</v>
      </c>
      <c r="J417" s="3">
        <v>87</v>
      </c>
    </row>
    <row r="418" spans="1:10" x14ac:dyDescent="0.35">
      <c r="A418" s="42">
        <v>88</v>
      </c>
      <c r="B418" s="50"/>
      <c r="C418" s="43" t="s">
        <v>640</v>
      </c>
      <c r="D418" s="43">
        <v>12.69</v>
      </c>
      <c r="E418" s="43"/>
      <c r="F418" s="43">
        <f>(Sheet2!$D418*15/100) +Sheet2!$D418</f>
        <v>14.593499999999999</v>
      </c>
      <c r="G418" s="48" t="s">
        <v>736</v>
      </c>
      <c r="J418" s="3">
        <v>88</v>
      </c>
    </row>
    <row r="419" spans="1:10" x14ac:dyDescent="0.35">
      <c r="A419" s="42">
        <v>89</v>
      </c>
      <c r="B419" s="50"/>
      <c r="C419" s="43" t="s">
        <v>641</v>
      </c>
      <c r="D419" s="43">
        <v>166.23</v>
      </c>
      <c r="E419" s="43"/>
      <c r="F419" s="43">
        <f>(Sheet2!$D419*15/100) +Sheet2!$D419</f>
        <v>191.16449999999998</v>
      </c>
      <c r="G419" s="44" t="s">
        <v>736</v>
      </c>
      <c r="J419" s="3">
        <v>89</v>
      </c>
    </row>
    <row r="420" spans="1:10" x14ac:dyDescent="0.35">
      <c r="A420" s="42">
        <v>90</v>
      </c>
      <c r="B420" s="50"/>
      <c r="C420" s="43" t="s">
        <v>642</v>
      </c>
      <c r="D420" s="43">
        <v>64.62</v>
      </c>
      <c r="E420" s="43"/>
      <c r="F420" s="43">
        <f>(Sheet2!$D420*15/100) +Sheet2!$D420</f>
        <v>74.313000000000002</v>
      </c>
      <c r="G420" s="48" t="s">
        <v>736</v>
      </c>
      <c r="J420" s="3">
        <v>90</v>
      </c>
    </row>
    <row r="421" spans="1:10" x14ac:dyDescent="0.35">
      <c r="A421" s="42">
        <v>91</v>
      </c>
      <c r="B421" s="50"/>
      <c r="C421" s="43" t="s">
        <v>643</v>
      </c>
      <c r="D421" s="55">
        <v>3191.85</v>
      </c>
      <c r="E421" s="43"/>
      <c r="F421" s="43">
        <f>(Sheet2!$D421*15/100) +Sheet2!$D421</f>
        <v>3670.6275000000001</v>
      </c>
      <c r="G421" s="44" t="s">
        <v>736</v>
      </c>
      <c r="J421" s="3">
        <v>91</v>
      </c>
    </row>
    <row r="422" spans="1:10" x14ac:dyDescent="0.35">
      <c r="A422" s="42">
        <v>92</v>
      </c>
      <c r="B422" s="50"/>
      <c r="C422" s="43" t="s">
        <v>644</v>
      </c>
      <c r="D422" s="43">
        <v>570.46</v>
      </c>
      <c r="E422" s="43"/>
      <c r="F422" s="43">
        <f>(Sheet2!$D422*15/100) +Sheet2!$D422</f>
        <v>656.029</v>
      </c>
      <c r="G422" s="48" t="s">
        <v>736</v>
      </c>
      <c r="J422" s="3">
        <v>92</v>
      </c>
    </row>
    <row r="423" spans="1:10" x14ac:dyDescent="0.35">
      <c r="A423" s="42">
        <v>93</v>
      </c>
      <c r="B423" s="50"/>
      <c r="C423" s="43" t="s">
        <v>645</v>
      </c>
      <c r="D423" s="43">
        <v>119.72</v>
      </c>
      <c r="E423" s="43"/>
      <c r="F423" s="43">
        <f>(Sheet2!$D423*15/100) +Sheet2!$D423</f>
        <v>137.678</v>
      </c>
      <c r="G423" s="44" t="s">
        <v>736</v>
      </c>
      <c r="J423" s="3">
        <v>93</v>
      </c>
    </row>
    <row r="424" spans="1:10" x14ac:dyDescent="0.35">
      <c r="A424" s="42">
        <v>94</v>
      </c>
      <c r="B424" s="50"/>
      <c r="C424" s="43" t="s">
        <v>646</v>
      </c>
      <c r="D424" s="43">
        <v>119.72</v>
      </c>
      <c r="E424" s="43"/>
      <c r="F424" s="43">
        <f>(Sheet2!$D424*15/100) +Sheet2!$D424</f>
        <v>137.678</v>
      </c>
      <c r="G424" s="48" t="s">
        <v>736</v>
      </c>
      <c r="J424" s="3">
        <v>94</v>
      </c>
    </row>
    <row r="425" spans="1:10" x14ac:dyDescent="0.35">
      <c r="A425" s="42">
        <v>95</v>
      </c>
      <c r="B425" s="50"/>
      <c r="C425" s="43" t="s">
        <v>647</v>
      </c>
      <c r="D425" s="43">
        <v>44.47</v>
      </c>
      <c r="E425" s="43"/>
      <c r="F425" s="43">
        <f>(Sheet2!$D425*15/100) +Sheet2!$D425</f>
        <v>51.140499999999996</v>
      </c>
      <c r="G425" s="44" t="s">
        <v>736</v>
      </c>
      <c r="J425" s="3">
        <v>95</v>
      </c>
    </row>
    <row r="426" spans="1:10" x14ac:dyDescent="0.35">
      <c r="A426" s="42">
        <v>96</v>
      </c>
      <c r="B426" s="50"/>
      <c r="C426" s="43" t="s">
        <v>648</v>
      </c>
      <c r="D426" s="43">
        <v>9.01</v>
      </c>
      <c r="E426" s="43"/>
      <c r="F426" s="43">
        <f>(Sheet2!$D426*15/100) +Sheet2!$D426</f>
        <v>10.361499999999999</v>
      </c>
      <c r="G426" s="48" t="s">
        <v>736</v>
      </c>
      <c r="J426" s="3">
        <v>96</v>
      </c>
    </row>
    <row r="427" spans="1:10" x14ac:dyDescent="0.35">
      <c r="A427" s="42">
        <v>97</v>
      </c>
      <c r="B427" s="50"/>
      <c r="C427" s="43" t="s">
        <v>649</v>
      </c>
      <c r="D427" s="43">
        <v>17.32</v>
      </c>
      <c r="E427" s="43"/>
      <c r="F427" s="43">
        <f>(Sheet2!$D427*15/100) +Sheet2!$D427</f>
        <v>19.917999999999999</v>
      </c>
      <c r="G427" s="44" t="s">
        <v>736</v>
      </c>
      <c r="J427" s="3">
        <v>97</v>
      </c>
    </row>
    <row r="428" spans="1:10" x14ac:dyDescent="0.35">
      <c r="A428" s="42">
        <v>98</v>
      </c>
      <c r="B428" s="50"/>
      <c r="C428" s="43" t="s">
        <v>650</v>
      </c>
      <c r="D428" s="43">
        <v>3.56</v>
      </c>
      <c r="E428" s="43"/>
      <c r="F428" s="43">
        <f>(Sheet2!$D428*15/100) +Sheet2!$D428</f>
        <v>4.0940000000000003</v>
      </c>
      <c r="G428" s="48" t="s">
        <v>736</v>
      </c>
      <c r="J428" s="3">
        <v>98</v>
      </c>
    </row>
    <row r="429" spans="1:10" x14ac:dyDescent="0.35">
      <c r="A429" s="42">
        <v>99</v>
      </c>
      <c r="B429" s="50"/>
      <c r="C429" s="43" t="s">
        <v>653</v>
      </c>
      <c r="D429" s="43">
        <v>7.92</v>
      </c>
      <c r="E429" s="43"/>
      <c r="F429" s="43">
        <f>(Sheet2!$D429*15/100) +Sheet2!$D429</f>
        <v>9.1080000000000005</v>
      </c>
      <c r="G429" s="44" t="s">
        <v>736</v>
      </c>
      <c r="J429" s="3">
        <v>99</v>
      </c>
    </row>
    <row r="430" spans="1:10" x14ac:dyDescent="0.35">
      <c r="A430" s="42">
        <v>100</v>
      </c>
      <c r="B430" s="50"/>
      <c r="C430" s="43" t="s">
        <v>654</v>
      </c>
      <c r="D430" s="43">
        <v>11.87</v>
      </c>
      <c r="E430" s="43"/>
      <c r="F430" s="43">
        <f>(Sheet2!$D430*15/100) +Sheet2!$D430</f>
        <v>13.650499999999999</v>
      </c>
      <c r="G430" s="48" t="s">
        <v>736</v>
      </c>
      <c r="J430" s="3">
        <v>100</v>
      </c>
    </row>
    <row r="431" spans="1:10" x14ac:dyDescent="0.35">
      <c r="A431" s="42">
        <v>101</v>
      </c>
      <c r="B431" s="50"/>
      <c r="C431" s="43" t="s">
        <v>655</v>
      </c>
      <c r="D431" s="43">
        <v>13.85</v>
      </c>
      <c r="E431" s="43"/>
      <c r="F431" s="43">
        <f>(Sheet2!$D431*15/100) +Sheet2!$D431</f>
        <v>15.9275</v>
      </c>
      <c r="G431" s="44" t="s">
        <v>736</v>
      </c>
      <c r="J431" s="3">
        <v>101</v>
      </c>
    </row>
    <row r="432" spans="1:10" x14ac:dyDescent="0.35">
      <c r="A432" s="42">
        <v>102</v>
      </c>
      <c r="B432" s="50"/>
      <c r="C432" s="43" t="s">
        <v>656</v>
      </c>
      <c r="D432" s="43">
        <v>10.39</v>
      </c>
      <c r="E432" s="43"/>
      <c r="F432" s="43">
        <f>(Sheet2!$D432*15/100) +Sheet2!$D432</f>
        <v>11.948500000000001</v>
      </c>
      <c r="G432" s="48" t="s">
        <v>736</v>
      </c>
      <c r="J432" s="3">
        <v>102</v>
      </c>
    </row>
    <row r="433" spans="1:10" x14ac:dyDescent="0.35">
      <c r="A433" s="47">
        <v>103</v>
      </c>
      <c r="B433" s="49"/>
      <c r="C433" s="46" t="s">
        <v>658</v>
      </c>
      <c r="D433" s="46">
        <v>38.590000000000003</v>
      </c>
      <c r="E433" s="46"/>
      <c r="F433" s="46">
        <f>(Sheet2!$D433*15/100) +Sheet2!$D433</f>
        <v>44.378500000000003</v>
      </c>
      <c r="G433" s="48" t="s">
        <v>736</v>
      </c>
      <c r="J433" s="3">
        <v>103</v>
      </c>
    </row>
    <row r="434" spans="1:10" x14ac:dyDescent="0.35">
      <c r="A434" s="42">
        <v>104</v>
      </c>
      <c r="B434" s="50"/>
      <c r="C434" s="43" t="s">
        <v>659</v>
      </c>
      <c r="D434" s="43">
        <v>77.17</v>
      </c>
      <c r="E434" s="43"/>
      <c r="F434" s="43">
        <f>(Sheet2!$D434*15/100) +Sheet2!$D434</f>
        <v>88.745500000000007</v>
      </c>
      <c r="G434" s="44" t="s">
        <v>736</v>
      </c>
      <c r="J434" s="3">
        <v>104</v>
      </c>
    </row>
    <row r="435" spans="1:10" x14ac:dyDescent="0.35">
      <c r="A435" s="42">
        <v>105</v>
      </c>
      <c r="B435" s="50"/>
      <c r="C435" s="43" t="s">
        <v>661</v>
      </c>
      <c r="D435" s="43">
        <v>23.5</v>
      </c>
      <c r="E435" s="43"/>
      <c r="F435" s="43">
        <f>(Sheet2!$D435*15/100) +Sheet2!$D435</f>
        <v>27.024999999999999</v>
      </c>
      <c r="G435" s="44" t="s">
        <v>736</v>
      </c>
      <c r="J435" s="3">
        <v>105</v>
      </c>
    </row>
    <row r="436" spans="1:10" x14ac:dyDescent="0.35">
      <c r="A436" s="42">
        <v>106</v>
      </c>
      <c r="B436" s="50"/>
      <c r="C436" s="43" t="s">
        <v>662</v>
      </c>
      <c r="D436" s="43">
        <v>40.19</v>
      </c>
      <c r="E436" s="43"/>
      <c r="F436" s="43">
        <f>(Sheet2!$D436*15/100) +Sheet2!$D436</f>
        <v>46.218499999999999</v>
      </c>
      <c r="G436" s="48" t="s">
        <v>736</v>
      </c>
      <c r="J436" s="3">
        <v>106</v>
      </c>
    </row>
    <row r="437" spans="1:10" x14ac:dyDescent="0.35">
      <c r="A437" s="42">
        <v>107</v>
      </c>
      <c r="B437" s="50"/>
      <c r="C437" s="43" t="s">
        <v>663</v>
      </c>
      <c r="D437" s="43">
        <v>15.59</v>
      </c>
      <c r="E437" s="43"/>
      <c r="F437" s="43">
        <f>(Sheet2!$D437*15/100) +Sheet2!$D437</f>
        <v>17.9285</v>
      </c>
      <c r="G437" s="44" t="s">
        <v>736</v>
      </c>
      <c r="J437" s="3">
        <v>107</v>
      </c>
    </row>
    <row r="438" spans="1:10" x14ac:dyDescent="0.35">
      <c r="A438" s="42">
        <v>108</v>
      </c>
      <c r="B438" s="50"/>
      <c r="C438" s="43" t="s">
        <v>664</v>
      </c>
      <c r="D438" s="43">
        <v>90.04</v>
      </c>
      <c r="E438" s="43"/>
      <c r="F438" s="43">
        <f>(Sheet2!$D438*15/100) +Sheet2!$D438</f>
        <v>103.54600000000001</v>
      </c>
      <c r="G438" s="48" t="s">
        <v>736</v>
      </c>
      <c r="J438" s="3">
        <v>108</v>
      </c>
    </row>
    <row r="439" spans="1:10" x14ac:dyDescent="0.35">
      <c r="A439" s="42">
        <v>109</v>
      </c>
      <c r="B439" s="50"/>
      <c r="C439" s="43" t="s">
        <v>1203</v>
      </c>
      <c r="D439" s="43">
        <v>16.62</v>
      </c>
      <c r="E439" s="43"/>
      <c r="F439" s="43">
        <f>(Sheet2!$D439*15/100) +Sheet2!$D439</f>
        <v>19.113</v>
      </c>
      <c r="G439" s="44" t="s">
        <v>736</v>
      </c>
      <c r="J439" s="3">
        <v>109</v>
      </c>
    </row>
    <row r="440" spans="1:10" x14ac:dyDescent="0.35">
      <c r="A440" s="42">
        <v>110</v>
      </c>
      <c r="B440" s="50"/>
      <c r="C440" s="43" t="s">
        <v>666</v>
      </c>
      <c r="D440" s="43">
        <v>16.079999999999998</v>
      </c>
      <c r="E440" s="43"/>
      <c r="F440" s="43">
        <f>(Sheet2!$D440*15/100) +Sheet2!$D440</f>
        <v>18.491999999999997</v>
      </c>
      <c r="G440" s="48" t="s">
        <v>736</v>
      </c>
      <c r="J440" s="3">
        <v>110</v>
      </c>
    </row>
    <row r="441" spans="1:10" x14ac:dyDescent="0.35">
      <c r="A441" s="42">
        <v>111</v>
      </c>
      <c r="B441" s="50"/>
      <c r="C441" s="43" t="s">
        <v>667</v>
      </c>
      <c r="D441" s="43">
        <v>23.8</v>
      </c>
      <c r="E441" s="43"/>
      <c r="F441" s="43">
        <f>(Sheet2!$D441*15/100) +Sheet2!$D441</f>
        <v>27.37</v>
      </c>
      <c r="G441" s="44" t="s">
        <v>736</v>
      </c>
      <c r="J441" s="3">
        <v>111</v>
      </c>
    </row>
    <row r="442" spans="1:10" x14ac:dyDescent="0.35">
      <c r="A442" s="42">
        <v>112</v>
      </c>
      <c r="B442" s="50"/>
      <c r="C442" s="43" t="s">
        <v>668</v>
      </c>
      <c r="D442" s="55">
        <v>1164.49</v>
      </c>
      <c r="E442" s="43"/>
      <c r="F442" s="43">
        <f>(Sheet2!$D442*15/100) +Sheet2!$D442</f>
        <v>1339.1635000000001</v>
      </c>
      <c r="G442" s="48" t="s">
        <v>736</v>
      </c>
      <c r="J442" s="3">
        <v>112</v>
      </c>
    </row>
    <row r="443" spans="1:10" x14ac:dyDescent="0.35">
      <c r="A443" s="42">
        <v>113</v>
      </c>
      <c r="B443" s="50"/>
      <c r="C443" s="43" t="s">
        <v>669</v>
      </c>
      <c r="D443" s="55">
        <v>1958.47</v>
      </c>
      <c r="E443" s="43"/>
      <c r="F443" s="43">
        <f>(Sheet2!$D443*15/100) +Sheet2!$D443</f>
        <v>2252.2404999999999</v>
      </c>
      <c r="G443" s="44" t="s">
        <v>736</v>
      </c>
      <c r="J443" s="3">
        <v>113</v>
      </c>
    </row>
    <row r="444" spans="1:10" x14ac:dyDescent="0.35">
      <c r="A444" s="42">
        <v>114</v>
      </c>
      <c r="B444" s="50"/>
      <c r="C444" s="43" t="s">
        <v>670</v>
      </c>
      <c r="D444" s="43">
        <v>902.87</v>
      </c>
      <c r="E444" s="43"/>
      <c r="F444" s="43">
        <f>(Sheet2!$D444*15/100) +Sheet2!$D444</f>
        <v>1038.3005000000001</v>
      </c>
      <c r="G444" s="48" t="s">
        <v>736</v>
      </c>
      <c r="J444" s="3">
        <v>114</v>
      </c>
    </row>
    <row r="445" spans="1:10" x14ac:dyDescent="0.35">
      <c r="A445" s="47">
        <v>115</v>
      </c>
      <c r="B445" s="49"/>
      <c r="C445" s="46" t="s">
        <v>672</v>
      </c>
      <c r="D445" s="46">
        <v>90.04</v>
      </c>
      <c r="E445" s="46"/>
      <c r="F445" s="46">
        <f>(Sheet2!$D445*15/100) +Sheet2!$D445</f>
        <v>103.54600000000001</v>
      </c>
      <c r="G445" s="48" t="s">
        <v>736</v>
      </c>
      <c r="J445" s="3">
        <v>115</v>
      </c>
    </row>
    <row r="446" spans="1:10" x14ac:dyDescent="0.35">
      <c r="A446" s="42">
        <v>116</v>
      </c>
      <c r="B446" s="50"/>
      <c r="C446" s="43" t="s">
        <v>673</v>
      </c>
      <c r="D446" s="43">
        <v>16.5</v>
      </c>
      <c r="E446" s="43"/>
      <c r="F446" s="43">
        <f>(Sheet2!$D446*15/100) +Sheet2!$D446</f>
        <v>18.975000000000001</v>
      </c>
      <c r="G446" s="44" t="s">
        <v>736</v>
      </c>
      <c r="J446" s="3">
        <v>116</v>
      </c>
    </row>
    <row r="447" spans="1:10" x14ac:dyDescent="0.35">
      <c r="A447" s="47">
        <v>117</v>
      </c>
      <c r="B447" s="49"/>
      <c r="C447" s="46" t="s">
        <v>674</v>
      </c>
      <c r="D447" s="46">
        <v>20.7</v>
      </c>
      <c r="E447" s="46"/>
      <c r="F447" s="46">
        <f>(Sheet2!$D447*15/100) +Sheet2!$D447</f>
        <v>23.805</v>
      </c>
      <c r="G447" s="48" t="s">
        <v>736</v>
      </c>
      <c r="J447" s="3">
        <v>117</v>
      </c>
    </row>
    <row r="448" spans="1:10" x14ac:dyDescent="0.35">
      <c r="A448" s="42">
        <v>118</v>
      </c>
      <c r="B448" s="50"/>
      <c r="C448" s="43" t="s">
        <v>942</v>
      </c>
      <c r="D448" s="43">
        <v>14.25</v>
      </c>
      <c r="E448" s="43"/>
      <c r="F448" s="43">
        <f>(Sheet2!$D448*15/100) +Sheet2!$D448</f>
        <v>16.387499999999999</v>
      </c>
      <c r="G448" s="44" t="s">
        <v>736</v>
      </c>
      <c r="J448" s="3">
        <v>118</v>
      </c>
    </row>
    <row r="449" spans="1:10" x14ac:dyDescent="0.35">
      <c r="A449" s="47">
        <v>119</v>
      </c>
      <c r="B449" s="49"/>
      <c r="C449" s="46" t="s">
        <v>676</v>
      </c>
      <c r="D449" s="46">
        <v>23.35</v>
      </c>
      <c r="E449" s="46"/>
      <c r="F449" s="46">
        <f>(Sheet2!$D449*15/100) +Sheet2!$D449</f>
        <v>26.852500000000003</v>
      </c>
      <c r="G449" s="48" t="s">
        <v>736</v>
      </c>
      <c r="J449" s="3">
        <v>119</v>
      </c>
    </row>
    <row r="450" spans="1:10" x14ac:dyDescent="0.35">
      <c r="A450" s="42">
        <v>120</v>
      </c>
      <c r="B450" s="50"/>
      <c r="C450" s="43" t="s">
        <v>677</v>
      </c>
      <c r="D450" s="43">
        <v>29.68</v>
      </c>
      <c r="E450" s="43"/>
      <c r="F450" s="43">
        <f>(Sheet2!$D450*15/100) +Sheet2!$D450</f>
        <v>34.131999999999998</v>
      </c>
      <c r="G450" s="44" t="s">
        <v>736</v>
      </c>
      <c r="J450" s="3">
        <v>120</v>
      </c>
    </row>
    <row r="451" spans="1:10" x14ac:dyDescent="0.35">
      <c r="A451" s="47">
        <v>121</v>
      </c>
      <c r="B451" s="49"/>
      <c r="C451" s="46" t="s">
        <v>678</v>
      </c>
      <c r="D451" s="46">
        <v>17.809999999999999</v>
      </c>
      <c r="E451" s="46"/>
      <c r="F451" s="46">
        <f>(Sheet2!$D451*15/100) +Sheet2!$D451</f>
        <v>20.481499999999997</v>
      </c>
      <c r="G451" s="48" t="s">
        <v>736</v>
      </c>
      <c r="J451" s="3">
        <v>121</v>
      </c>
    </row>
    <row r="452" spans="1:10" x14ac:dyDescent="0.35">
      <c r="A452" s="42">
        <v>122</v>
      </c>
      <c r="B452" s="50"/>
      <c r="C452" s="43" t="s">
        <v>679</v>
      </c>
      <c r="D452" s="43">
        <v>97.36</v>
      </c>
      <c r="E452" s="43"/>
      <c r="F452" s="43">
        <f>(Sheet2!$D452*15/100) +Sheet2!$D452</f>
        <v>111.964</v>
      </c>
      <c r="G452" s="44" t="s">
        <v>736</v>
      </c>
      <c r="J452" s="3">
        <v>122</v>
      </c>
    </row>
    <row r="453" spans="1:10" x14ac:dyDescent="0.35">
      <c r="A453" s="47">
        <v>123</v>
      </c>
      <c r="B453" s="49"/>
      <c r="C453" s="46" t="s">
        <v>680</v>
      </c>
      <c r="D453" s="46">
        <v>65.11</v>
      </c>
      <c r="E453" s="46"/>
      <c r="F453" s="46">
        <f>(Sheet2!$D453*15/100) +Sheet2!$D453</f>
        <v>74.876499999999993</v>
      </c>
      <c r="G453" s="48" t="s">
        <v>736</v>
      </c>
      <c r="J453" s="3">
        <v>123</v>
      </c>
    </row>
    <row r="454" spans="1:10" x14ac:dyDescent="0.35">
      <c r="A454" s="42">
        <v>124</v>
      </c>
      <c r="B454" s="50"/>
      <c r="C454" s="43" t="s">
        <v>681</v>
      </c>
      <c r="D454" s="43">
        <v>253.78</v>
      </c>
      <c r="E454" s="43"/>
      <c r="F454" s="43">
        <f>(Sheet2!$D454*15/100) +Sheet2!$D454</f>
        <v>291.84699999999998</v>
      </c>
      <c r="G454" s="44" t="s">
        <v>736</v>
      </c>
      <c r="J454" s="3">
        <v>124</v>
      </c>
    </row>
    <row r="455" spans="1:10" x14ac:dyDescent="0.35">
      <c r="A455" s="47">
        <v>125</v>
      </c>
      <c r="B455" s="49"/>
      <c r="C455" s="46" t="s">
        <v>580</v>
      </c>
      <c r="D455" s="46">
        <v>19.39</v>
      </c>
      <c r="E455" s="46"/>
      <c r="F455" s="46">
        <f>(Sheet2!$D455*15/100) +Sheet2!$D455</f>
        <v>22.298500000000001</v>
      </c>
      <c r="G455" s="48" t="s">
        <v>736</v>
      </c>
      <c r="J455" s="3">
        <v>125</v>
      </c>
    </row>
    <row r="456" spans="1:10" x14ac:dyDescent="0.35">
      <c r="A456" s="42">
        <v>126</v>
      </c>
      <c r="B456" s="50"/>
      <c r="C456" s="43" t="s">
        <v>581</v>
      </c>
      <c r="D456" s="43">
        <v>19.39</v>
      </c>
      <c r="E456" s="43"/>
      <c r="F456" s="43">
        <f>(Sheet2!$D456*15/100) +Sheet2!$D456</f>
        <v>22.298500000000001</v>
      </c>
      <c r="G456" s="44" t="s">
        <v>736</v>
      </c>
      <c r="J456" s="3">
        <v>126</v>
      </c>
    </row>
    <row r="457" spans="1:10" x14ac:dyDescent="0.35">
      <c r="A457" s="42">
        <v>127</v>
      </c>
      <c r="B457" s="50"/>
      <c r="C457" s="43" t="s">
        <v>684</v>
      </c>
      <c r="D457" s="43">
        <v>88.81</v>
      </c>
      <c r="E457" s="43"/>
      <c r="F457" s="43">
        <f>(Sheet2!$D457*15/100) +Sheet2!$D457</f>
        <v>102.1315</v>
      </c>
      <c r="G457" s="44" t="s">
        <v>736</v>
      </c>
      <c r="J457" s="3">
        <v>127</v>
      </c>
    </row>
    <row r="458" spans="1:10" x14ac:dyDescent="0.35">
      <c r="A458" s="42">
        <v>128</v>
      </c>
      <c r="B458" s="50"/>
      <c r="C458" s="43" t="s">
        <v>685</v>
      </c>
      <c r="D458" s="43">
        <v>26.58</v>
      </c>
      <c r="E458" s="43"/>
      <c r="F458" s="43">
        <f>(Sheet2!$D458*15/100) +Sheet2!$D458</f>
        <v>30.567</v>
      </c>
      <c r="G458" s="48" t="s">
        <v>736</v>
      </c>
      <c r="J458" s="3">
        <v>128</v>
      </c>
    </row>
    <row r="459" spans="1:10" x14ac:dyDescent="0.35">
      <c r="A459" s="42">
        <v>129</v>
      </c>
      <c r="B459" s="50"/>
      <c r="C459" s="43" t="s">
        <v>686</v>
      </c>
      <c r="D459" s="43">
        <v>38.22</v>
      </c>
      <c r="E459" s="43"/>
      <c r="F459" s="43">
        <f>(Sheet2!$D459*15/100) +Sheet2!$D459</f>
        <v>43.952999999999996</v>
      </c>
      <c r="G459" s="44" t="s">
        <v>736</v>
      </c>
      <c r="J459" s="3">
        <v>129</v>
      </c>
    </row>
    <row r="460" spans="1:10" x14ac:dyDescent="0.35">
      <c r="A460" s="42">
        <v>130</v>
      </c>
      <c r="B460" s="50"/>
      <c r="C460" s="43" t="s">
        <v>687</v>
      </c>
      <c r="D460" s="43">
        <v>40.14</v>
      </c>
      <c r="E460" s="43"/>
      <c r="F460" s="43">
        <f>(Sheet2!$D460*15/100) +Sheet2!$D460</f>
        <v>46.161000000000001</v>
      </c>
      <c r="G460" s="48" t="s">
        <v>736</v>
      </c>
      <c r="J460" s="3">
        <v>130</v>
      </c>
    </row>
    <row r="461" spans="1:10" x14ac:dyDescent="0.35">
      <c r="A461" s="42">
        <v>131</v>
      </c>
      <c r="B461" s="50"/>
      <c r="C461" s="43" t="s">
        <v>688</v>
      </c>
      <c r="D461" s="43">
        <v>429.71</v>
      </c>
      <c r="E461" s="43"/>
      <c r="F461" s="43">
        <f>(Sheet2!$D461*15/100) +Sheet2!$D461</f>
        <v>494.16649999999998</v>
      </c>
      <c r="G461" s="48" t="s">
        <v>1202</v>
      </c>
      <c r="J461" s="3">
        <v>131</v>
      </c>
    </row>
    <row r="462" spans="1:10" x14ac:dyDescent="0.35">
      <c r="A462" s="42">
        <v>132</v>
      </c>
      <c r="B462" s="50"/>
      <c r="C462" s="43" t="s">
        <v>689</v>
      </c>
      <c r="D462" s="43">
        <v>11.5</v>
      </c>
      <c r="E462" s="43"/>
      <c r="F462" s="43">
        <f>(Sheet2!$D462*15/100) +Sheet2!$D462</f>
        <v>13.225</v>
      </c>
      <c r="G462" s="48" t="s">
        <v>1202</v>
      </c>
      <c r="J462" s="3">
        <v>132</v>
      </c>
    </row>
    <row r="463" spans="1:10" x14ac:dyDescent="0.35">
      <c r="A463" s="42">
        <v>133</v>
      </c>
      <c r="B463" s="50"/>
      <c r="C463" s="43" t="s">
        <v>690</v>
      </c>
      <c r="D463" s="43">
        <v>12.22</v>
      </c>
      <c r="E463" s="43"/>
      <c r="F463" s="43">
        <f>(Sheet2!$D463*15/100) +Sheet2!$D463</f>
        <v>14.053000000000001</v>
      </c>
      <c r="G463" s="48" t="s">
        <v>1202</v>
      </c>
      <c r="J463" s="3">
        <v>133</v>
      </c>
    </row>
    <row r="464" spans="1:10" x14ac:dyDescent="0.35">
      <c r="A464" s="42">
        <v>134</v>
      </c>
      <c r="B464" s="50"/>
      <c r="C464" s="43" t="s">
        <v>691</v>
      </c>
      <c r="D464" s="43">
        <v>14.57</v>
      </c>
      <c r="E464" s="43"/>
      <c r="F464" s="43">
        <f>(Sheet2!$D464*15/100) +Sheet2!$D464</f>
        <v>16.755500000000001</v>
      </c>
      <c r="G464" s="48" t="s">
        <v>1202</v>
      </c>
      <c r="J464" s="3">
        <v>134</v>
      </c>
    </row>
    <row r="465" spans="1:10" x14ac:dyDescent="0.35">
      <c r="A465" s="42">
        <v>135</v>
      </c>
      <c r="B465" s="50"/>
      <c r="C465" s="43" t="s">
        <v>692</v>
      </c>
      <c r="D465" s="43">
        <v>16.25</v>
      </c>
      <c r="E465" s="43"/>
      <c r="F465" s="43">
        <f>(Sheet2!$D465*15/100) +Sheet2!$D465</f>
        <v>18.6875</v>
      </c>
      <c r="G465" s="48" t="s">
        <v>1202</v>
      </c>
      <c r="J465" s="3">
        <v>135</v>
      </c>
    </row>
    <row r="466" spans="1:10" x14ac:dyDescent="0.35">
      <c r="A466" s="42">
        <v>136</v>
      </c>
      <c r="B466" s="50"/>
      <c r="C466" s="43" t="s">
        <v>693</v>
      </c>
      <c r="D466" s="43">
        <v>24.26</v>
      </c>
      <c r="E466" s="43"/>
      <c r="F466" s="43">
        <f>(Sheet2!$D466*15/100) +Sheet2!$D466</f>
        <v>27.899000000000001</v>
      </c>
      <c r="G466" s="48" t="s">
        <v>1202</v>
      </c>
      <c r="J466" s="3">
        <v>136</v>
      </c>
    </row>
    <row r="467" spans="1:10" x14ac:dyDescent="0.35">
      <c r="A467" s="42">
        <v>137</v>
      </c>
      <c r="B467" s="50"/>
      <c r="C467" s="43" t="s">
        <v>694</v>
      </c>
      <c r="D467" s="43">
        <v>32.19</v>
      </c>
      <c r="E467" s="43"/>
      <c r="F467" s="43">
        <f>(Sheet2!$D467*15/100) +Sheet2!$D467</f>
        <v>37.018499999999996</v>
      </c>
      <c r="G467" s="48" t="s">
        <v>1202</v>
      </c>
      <c r="J467" s="3">
        <v>137</v>
      </c>
    </row>
    <row r="468" spans="1:10" x14ac:dyDescent="0.35">
      <c r="A468" s="42">
        <v>138</v>
      </c>
      <c r="B468" s="50"/>
      <c r="C468" s="43" t="s">
        <v>695</v>
      </c>
      <c r="D468" s="43">
        <v>44.81</v>
      </c>
      <c r="E468" s="43"/>
      <c r="F468" s="43">
        <f>(Sheet2!$D468*15/100) +Sheet2!$D468</f>
        <v>51.531500000000001</v>
      </c>
      <c r="G468" s="48" t="s">
        <v>1202</v>
      </c>
      <c r="J468" s="3">
        <v>138</v>
      </c>
    </row>
    <row r="469" spans="1:10" x14ac:dyDescent="0.35">
      <c r="A469" s="42">
        <v>139</v>
      </c>
      <c r="B469" s="50"/>
      <c r="C469" s="43" t="s">
        <v>696</v>
      </c>
      <c r="D469" s="43">
        <v>30</v>
      </c>
      <c r="E469" s="43"/>
      <c r="F469" s="43">
        <f>(Sheet2!$D469*15/100) +Sheet2!$D469</f>
        <v>34.5</v>
      </c>
      <c r="G469" s="48" t="s">
        <v>1202</v>
      </c>
      <c r="J469" s="3">
        <v>139</v>
      </c>
    </row>
    <row r="470" spans="1:10" x14ac:dyDescent="0.35">
      <c r="A470" s="42">
        <v>140</v>
      </c>
      <c r="B470" s="50"/>
      <c r="C470" s="43" t="s">
        <v>943</v>
      </c>
      <c r="D470" s="43">
        <v>12.76</v>
      </c>
      <c r="E470" s="43"/>
      <c r="F470" s="43">
        <f>(Sheet2!$D470*15/100) +Sheet2!$D470</f>
        <v>14.673999999999999</v>
      </c>
      <c r="G470" s="48" t="s">
        <v>1202</v>
      </c>
      <c r="J470" s="3">
        <v>140</v>
      </c>
    </row>
    <row r="471" spans="1:10" x14ac:dyDescent="0.35">
      <c r="A471" s="42">
        <v>141</v>
      </c>
      <c r="B471" s="50"/>
      <c r="C471" s="43" t="s">
        <v>944</v>
      </c>
      <c r="D471" s="43">
        <v>21.09</v>
      </c>
      <c r="E471" s="43"/>
      <c r="F471" s="43">
        <f>(Sheet2!$D471*15/100) +Sheet2!$D471</f>
        <v>24.253499999999999</v>
      </c>
      <c r="G471" s="48" t="s">
        <v>1202</v>
      </c>
      <c r="J471" s="3">
        <v>141</v>
      </c>
    </row>
    <row r="472" spans="1:10" x14ac:dyDescent="0.35">
      <c r="A472" s="42">
        <v>142</v>
      </c>
      <c r="B472" s="50"/>
      <c r="C472" s="43" t="s">
        <v>521</v>
      </c>
      <c r="D472" s="43">
        <v>39.35</v>
      </c>
      <c r="E472" s="43"/>
      <c r="F472" s="43">
        <f>(Sheet2!$D472*15/100) +Sheet2!$D472</f>
        <v>45.252499999999998</v>
      </c>
      <c r="G472" s="48" t="s">
        <v>1202</v>
      </c>
      <c r="J472" s="3">
        <v>142</v>
      </c>
    </row>
    <row r="473" spans="1:10" x14ac:dyDescent="0.35">
      <c r="A473" s="42">
        <v>143</v>
      </c>
      <c r="B473" s="50"/>
      <c r="C473" s="43" t="s">
        <v>699</v>
      </c>
      <c r="D473" s="43">
        <v>54.83</v>
      </c>
      <c r="E473" s="43"/>
      <c r="F473" s="43">
        <f>(Sheet2!$D473*15/100) +Sheet2!$D473</f>
        <v>63.054499999999997</v>
      </c>
      <c r="G473" s="48" t="s">
        <v>1202</v>
      </c>
      <c r="J473" s="3">
        <v>143</v>
      </c>
    </row>
    <row r="474" spans="1:10" x14ac:dyDescent="0.35">
      <c r="A474" s="42">
        <v>144</v>
      </c>
      <c r="B474" s="50"/>
      <c r="C474" s="43" t="s">
        <v>700</v>
      </c>
      <c r="D474" s="43">
        <v>56.18</v>
      </c>
      <c r="E474" s="43"/>
      <c r="F474" s="43">
        <f>(Sheet2!$D474*15/100) +Sheet2!$D474</f>
        <v>64.606999999999999</v>
      </c>
      <c r="G474" s="48" t="s">
        <v>1202</v>
      </c>
      <c r="J474" s="3">
        <v>144</v>
      </c>
    </row>
    <row r="475" spans="1:10" x14ac:dyDescent="0.35">
      <c r="A475" s="42">
        <v>145</v>
      </c>
      <c r="B475" s="50"/>
      <c r="C475" s="43" t="s">
        <v>701</v>
      </c>
      <c r="D475" s="43">
        <v>29.05</v>
      </c>
      <c r="E475" s="43"/>
      <c r="F475" s="43">
        <f>(Sheet2!$D475*15/100) +Sheet2!$D475</f>
        <v>33.407499999999999</v>
      </c>
      <c r="G475" s="48" t="s">
        <v>1202</v>
      </c>
      <c r="J475" s="3">
        <v>145</v>
      </c>
    </row>
    <row r="476" spans="1:10" x14ac:dyDescent="0.35">
      <c r="A476" s="42">
        <v>146</v>
      </c>
      <c r="B476" s="50"/>
      <c r="C476" s="43" t="s">
        <v>702</v>
      </c>
      <c r="D476" s="43">
        <v>16.75</v>
      </c>
      <c r="E476" s="43"/>
      <c r="F476" s="43">
        <f>(Sheet2!$D476*15/100) +Sheet2!$D476</f>
        <v>19.262499999999999</v>
      </c>
      <c r="G476" s="48" t="s">
        <v>1202</v>
      </c>
      <c r="J476" s="3">
        <v>146</v>
      </c>
    </row>
    <row r="477" spans="1:10" x14ac:dyDescent="0.35">
      <c r="A477" s="42">
        <v>147</v>
      </c>
      <c r="B477" s="50"/>
      <c r="C477" s="43" t="s">
        <v>703</v>
      </c>
      <c r="D477" s="43">
        <v>89.11</v>
      </c>
      <c r="E477" s="43"/>
      <c r="F477" s="43">
        <f>(Sheet2!$D477*15/100) +Sheet2!$D477</f>
        <v>102.4765</v>
      </c>
      <c r="G477" s="48" t="s">
        <v>1202</v>
      </c>
      <c r="J477" s="3">
        <v>147</v>
      </c>
    </row>
    <row r="478" spans="1:10" x14ac:dyDescent="0.35">
      <c r="A478" s="42">
        <v>148</v>
      </c>
      <c r="B478" s="50"/>
      <c r="C478" s="43" t="s">
        <v>704</v>
      </c>
      <c r="D478" s="43">
        <v>135.37</v>
      </c>
      <c r="E478" s="43"/>
      <c r="F478" s="43">
        <f>(Sheet2!$D478*15/100) +Sheet2!$D478</f>
        <v>155.6755</v>
      </c>
      <c r="G478" s="48" t="s">
        <v>1202</v>
      </c>
      <c r="J478" s="3">
        <v>148</v>
      </c>
    </row>
    <row r="479" spans="1:10" x14ac:dyDescent="0.35">
      <c r="A479" s="42">
        <v>149</v>
      </c>
      <c r="B479" s="50"/>
      <c r="C479" s="43" t="s">
        <v>705</v>
      </c>
      <c r="D479" s="43">
        <v>4.6900000000000004</v>
      </c>
      <c r="E479" s="43"/>
      <c r="F479" s="43">
        <f>(Sheet2!$D479*15/100) +Sheet2!$D479</f>
        <v>5.3935000000000004</v>
      </c>
      <c r="G479" s="48" t="s">
        <v>1202</v>
      </c>
      <c r="J479" s="3">
        <v>149</v>
      </c>
    </row>
    <row r="480" spans="1:10" x14ac:dyDescent="0.35">
      <c r="A480" s="42">
        <v>150</v>
      </c>
      <c r="B480" s="50"/>
      <c r="C480" s="43" t="s">
        <v>706</v>
      </c>
      <c r="D480" s="43">
        <v>16.8</v>
      </c>
      <c r="E480" s="43"/>
      <c r="F480" s="43">
        <f>(Sheet2!$D480*15/100) +Sheet2!$D480</f>
        <v>19.32</v>
      </c>
      <c r="G480" s="48" t="s">
        <v>1202</v>
      </c>
      <c r="J480" s="3">
        <v>150</v>
      </c>
    </row>
    <row r="481" spans="1:10" x14ac:dyDescent="0.35">
      <c r="A481" s="42">
        <v>151</v>
      </c>
      <c r="B481" s="50"/>
      <c r="C481" s="43" t="s">
        <v>707</v>
      </c>
      <c r="D481" s="43">
        <v>101.63</v>
      </c>
      <c r="E481" s="43"/>
      <c r="F481" s="43">
        <f>(Sheet2!$D481*15/100) +Sheet2!$D481</f>
        <v>116.8745</v>
      </c>
      <c r="G481" s="48" t="s">
        <v>1202</v>
      </c>
      <c r="J481" s="3">
        <v>151</v>
      </c>
    </row>
    <row r="482" spans="1:10" x14ac:dyDescent="0.35">
      <c r="A482" s="42">
        <v>152</v>
      </c>
      <c r="B482" s="50"/>
      <c r="C482" s="43" t="s">
        <v>708</v>
      </c>
      <c r="D482" s="43">
        <v>125.18</v>
      </c>
      <c r="E482" s="43"/>
      <c r="F482" s="43">
        <f>(Sheet2!$D482*15/100) +Sheet2!$D482</f>
        <v>143.95699999999999</v>
      </c>
      <c r="G482" s="48" t="s">
        <v>1202</v>
      </c>
      <c r="J482" s="3">
        <v>152</v>
      </c>
    </row>
    <row r="483" spans="1:10" x14ac:dyDescent="0.35">
      <c r="A483" s="42">
        <v>153</v>
      </c>
      <c r="B483" s="50"/>
      <c r="C483" s="43" t="s">
        <v>709</v>
      </c>
      <c r="D483" s="43">
        <v>20.69</v>
      </c>
      <c r="E483" s="43"/>
      <c r="F483" s="43">
        <f>(Sheet2!$D483*15/100) +Sheet2!$D483</f>
        <v>23.793500000000002</v>
      </c>
      <c r="G483" s="48" t="s">
        <v>1202</v>
      </c>
      <c r="J483" s="3">
        <v>153</v>
      </c>
    </row>
    <row r="484" spans="1:10" x14ac:dyDescent="0.35">
      <c r="A484" s="42">
        <v>154</v>
      </c>
      <c r="B484" s="50"/>
      <c r="C484" s="43" t="s">
        <v>710</v>
      </c>
      <c r="D484" s="43">
        <v>44.78</v>
      </c>
      <c r="E484" s="43"/>
      <c r="F484" s="43">
        <f>(Sheet2!$D484*15/100) +Sheet2!$D484</f>
        <v>51.497</v>
      </c>
      <c r="G484" s="48" t="s">
        <v>1202</v>
      </c>
      <c r="J484" s="3">
        <v>154</v>
      </c>
    </row>
    <row r="485" spans="1:10" x14ac:dyDescent="0.35">
      <c r="A485" s="42">
        <v>155</v>
      </c>
      <c r="B485" s="50"/>
      <c r="C485" s="43" t="s">
        <v>711</v>
      </c>
      <c r="D485" s="43">
        <v>47.52</v>
      </c>
      <c r="E485" s="43"/>
      <c r="F485" s="43">
        <f>(Sheet2!$D485*15/100) +Sheet2!$D485</f>
        <v>54.648000000000003</v>
      </c>
      <c r="G485" s="48" t="s">
        <v>1202</v>
      </c>
      <c r="J485" s="3">
        <v>155</v>
      </c>
    </row>
    <row r="486" spans="1:10" x14ac:dyDescent="0.35">
      <c r="A486" s="42">
        <v>156</v>
      </c>
      <c r="B486" s="50"/>
      <c r="C486" s="43" t="s">
        <v>712</v>
      </c>
      <c r="D486" s="43">
        <v>121.52</v>
      </c>
      <c r="E486" s="43"/>
      <c r="F486" s="43">
        <f>(Sheet2!$D486*15/100) +Sheet2!$D486</f>
        <v>139.74799999999999</v>
      </c>
      <c r="G486" s="48" t="s">
        <v>1202</v>
      </c>
      <c r="J486" s="3">
        <v>156</v>
      </c>
    </row>
    <row r="487" spans="1:10" x14ac:dyDescent="0.35">
      <c r="A487" s="42">
        <v>157</v>
      </c>
      <c r="B487" s="50"/>
      <c r="C487" s="43" t="s">
        <v>713</v>
      </c>
      <c r="D487" s="43">
        <v>149.06</v>
      </c>
      <c r="E487" s="43"/>
      <c r="F487" s="43">
        <f>(Sheet2!$D487*15/100) +Sheet2!$D487</f>
        <v>171.41900000000001</v>
      </c>
      <c r="G487" s="48" t="s">
        <v>1202</v>
      </c>
      <c r="J487" s="3">
        <v>157</v>
      </c>
    </row>
    <row r="488" spans="1:10" x14ac:dyDescent="0.35">
      <c r="A488" s="42">
        <v>158</v>
      </c>
      <c r="B488" s="50"/>
      <c r="C488" s="43" t="s">
        <v>714</v>
      </c>
      <c r="D488" s="43">
        <v>169.64</v>
      </c>
      <c r="E488" s="43"/>
      <c r="F488" s="43">
        <f>(Sheet2!$D488*15/100) +Sheet2!$D488</f>
        <v>195.08599999999998</v>
      </c>
      <c r="G488" s="48" t="s">
        <v>1202</v>
      </c>
      <c r="J488" s="3">
        <v>158</v>
      </c>
    </row>
    <row r="489" spans="1:10" x14ac:dyDescent="0.35">
      <c r="A489" s="42">
        <v>159</v>
      </c>
      <c r="B489" s="50"/>
      <c r="C489" s="43" t="s">
        <v>715</v>
      </c>
      <c r="D489" s="43">
        <v>251.4</v>
      </c>
      <c r="E489" s="43"/>
      <c r="F489" s="43">
        <f>(Sheet2!$D489*15/100) +Sheet2!$D489</f>
        <v>289.11</v>
      </c>
      <c r="G489" s="48" t="s">
        <v>1202</v>
      </c>
      <c r="J489" s="3">
        <v>159</v>
      </c>
    </row>
    <row r="490" spans="1:10" x14ac:dyDescent="0.35">
      <c r="A490" s="42">
        <v>160</v>
      </c>
      <c r="B490" s="50"/>
      <c r="C490" s="43" t="s">
        <v>716</v>
      </c>
      <c r="D490" s="43">
        <v>13.68</v>
      </c>
      <c r="E490" s="43"/>
      <c r="F490" s="43">
        <f>(Sheet2!$D490*15/100) +Sheet2!$D490</f>
        <v>15.731999999999999</v>
      </c>
      <c r="G490" s="48" t="s">
        <v>1202</v>
      </c>
      <c r="J490" s="3">
        <v>160</v>
      </c>
    </row>
    <row r="491" spans="1:10" x14ac:dyDescent="0.35">
      <c r="A491" s="42">
        <v>161</v>
      </c>
      <c r="B491" s="50"/>
      <c r="C491" s="43" t="s">
        <v>717</v>
      </c>
      <c r="D491" s="43">
        <v>45.57</v>
      </c>
      <c r="E491" s="43"/>
      <c r="F491" s="43">
        <f>(Sheet2!$D491*15/100) +Sheet2!$D491</f>
        <v>52.405500000000004</v>
      </c>
      <c r="G491" s="48" t="s">
        <v>1202</v>
      </c>
      <c r="J491" s="3">
        <v>161</v>
      </c>
    </row>
    <row r="492" spans="1:10" x14ac:dyDescent="0.35">
      <c r="A492" s="42">
        <v>162</v>
      </c>
      <c r="B492" s="50"/>
      <c r="C492" s="43" t="s">
        <v>1003</v>
      </c>
      <c r="D492" s="43">
        <v>825.54</v>
      </c>
      <c r="E492" s="43"/>
      <c r="F492" s="43">
        <f>(Sheet2!$D492*15/100) +Sheet2!$D492</f>
        <v>949.37099999999998</v>
      </c>
      <c r="G492" s="48" t="s">
        <v>1202</v>
      </c>
      <c r="J492" s="3">
        <v>162</v>
      </c>
    </row>
    <row r="493" spans="1:10" x14ac:dyDescent="0.35">
      <c r="A493" s="42">
        <v>163</v>
      </c>
      <c r="B493" s="50"/>
      <c r="C493" s="43" t="s">
        <v>719</v>
      </c>
      <c r="D493" s="43">
        <v>298.04000000000002</v>
      </c>
      <c r="E493" s="43"/>
      <c r="F493" s="43">
        <f>(Sheet2!$D493*15/100) +Sheet2!$D493</f>
        <v>342.74600000000004</v>
      </c>
      <c r="G493" s="48" t="s">
        <v>1202</v>
      </c>
      <c r="J493" s="3">
        <v>163</v>
      </c>
    </row>
    <row r="494" spans="1:10" x14ac:dyDescent="0.35">
      <c r="A494" s="42">
        <v>164</v>
      </c>
      <c r="B494" s="50"/>
      <c r="C494" s="43" t="s">
        <v>720</v>
      </c>
      <c r="D494" s="43">
        <v>88.38</v>
      </c>
      <c r="E494" s="43"/>
      <c r="F494" s="43">
        <f>(Sheet2!$D494*15/100) +Sheet2!$D494</f>
        <v>101.637</v>
      </c>
      <c r="G494" s="48" t="s">
        <v>1202</v>
      </c>
      <c r="J494" s="3">
        <v>164</v>
      </c>
    </row>
    <row r="495" spans="1:10" x14ac:dyDescent="0.35">
      <c r="A495" s="42">
        <v>165</v>
      </c>
      <c r="B495" s="50"/>
      <c r="C495" s="43" t="s">
        <v>721</v>
      </c>
      <c r="D495" s="43">
        <v>84.23</v>
      </c>
      <c r="E495" s="43"/>
      <c r="F495" s="43">
        <f>(Sheet2!$D495*15/100) +Sheet2!$D495</f>
        <v>96.864500000000007</v>
      </c>
      <c r="G495" s="44" t="s">
        <v>1202</v>
      </c>
      <c r="J495" s="3">
        <v>165</v>
      </c>
    </row>
    <row r="496" spans="1:10" x14ac:dyDescent="0.35">
      <c r="A496" s="42">
        <v>166</v>
      </c>
      <c r="B496" s="50"/>
      <c r="C496" s="43" t="s">
        <v>731</v>
      </c>
      <c r="D496" s="43">
        <v>526.85</v>
      </c>
      <c r="E496" s="43"/>
      <c r="F496" s="43">
        <f>(Sheet2!$D496*15/100) +Sheet2!$D496</f>
        <v>605.87750000000005</v>
      </c>
      <c r="G496" s="44" t="s">
        <v>1202</v>
      </c>
      <c r="J496" s="3">
        <v>166</v>
      </c>
    </row>
    <row r="497" spans="1:10" x14ac:dyDescent="0.35">
      <c r="A497" s="70">
        <v>167</v>
      </c>
      <c r="B497" s="58"/>
      <c r="C497" s="22" t="s">
        <v>732</v>
      </c>
      <c r="D497" s="22">
        <v>475.3</v>
      </c>
      <c r="E497" s="22"/>
      <c r="F497" s="22">
        <f>(Sheet2!$D497*15/100) +Sheet2!$D497</f>
        <v>546.59500000000003</v>
      </c>
      <c r="G497" s="71" t="s">
        <v>1202</v>
      </c>
      <c r="J497" s="3">
        <v>167</v>
      </c>
    </row>
    <row r="498" spans="1:10" x14ac:dyDescent="0.35">
      <c r="A498" s="50"/>
      <c r="B498" s="50"/>
      <c r="C498" s="43"/>
      <c r="D498" s="43"/>
      <c r="E498" s="56"/>
      <c r="F498" s="43">
        <f>(Sheet2!$D498*15/100) +Sheet2!$D498</f>
        <v>0</v>
      </c>
      <c r="G498" s="44"/>
    </row>
    <row r="499" spans="1:10" x14ac:dyDescent="0.35">
      <c r="A499" s="49"/>
      <c r="B499" s="49"/>
      <c r="C499" s="46"/>
      <c r="D499" s="46"/>
      <c r="E499" s="57"/>
      <c r="F499" s="46">
        <f>(Sheet2!$D499*15/100) +Sheet2!$D499</f>
        <v>0</v>
      </c>
      <c r="G499" s="48"/>
    </row>
    <row r="500" spans="1:10" x14ac:dyDescent="0.35">
      <c r="A500" s="50"/>
      <c r="B500" s="50"/>
      <c r="C500" s="43"/>
      <c r="D500" s="43"/>
      <c r="E500" s="56"/>
      <c r="F500" s="43">
        <f>(Sheet2!$D500*15/100) +Sheet2!$D500</f>
        <v>0</v>
      </c>
      <c r="G500" s="44"/>
    </row>
    <row r="501" spans="1:10" x14ac:dyDescent="0.35">
      <c r="A501" s="49"/>
      <c r="B501" s="49"/>
      <c r="C501" s="46"/>
      <c r="D501" s="46"/>
      <c r="E501" s="57"/>
      <c r="F501" s="46">
        <f>(Sheet2!$D501*15/100) +Sheet2!$D501</f>
        <v>0</v>
      </c>
      <c r="G501" s="48"/>
    </row>
    <row r="502" spans="1:10" x14ac:dyDescent="0.35">
      <c r="A502" s="50"/>
      <c r="B502" s="50"/>
      <c r="C502" s="43"/>
      <c r="D502" s="43"/>
      <c r="E502" s="56"/>
      <c r="F502" s="43">
        <f>(Sheet2!$D502*15/100) +Sheet2!$D502</f>
        <v>0</v>
      </c>
      <c r="G502" s="44"/>
    </row>
    <row r="503" spans="1:10" x14ac:dyDescent="0.35">
      <c r="A503" s="49"/>
      <c r="B503" s="49"/>
      <c r="C503" s="46"/>
      <c r="D503" s="46"/>
      <c r="E503" s="57"/>
      <c r="F503" s="46">
        <f>(Sheet2!$D503*15/100) +Sheet2!$D503</f>
        <v>0</v>
      </c>
      <c r="G503" s="48"/>
    </row>
    <row r="504" spans="1:10" x14ac:dyDescent="0.35">
      <c r="A504" s="50"/>
      <c r="B504" s="50"/>
      <c r="C504" s="43"/>
      <c r="D504" s="43"/>
      <c r="E504" s="56"/>
      <c r="F504" s="43">
        <f>(Sheet2!$D504*15/100) +Sheet2!$D504</f>
        <v>0</v>
      </c>
      <c r="G504" s="44"/>
    </row>
    <row r="505" spans="1:10" x14ac:dyDescent="0.35">
      <c r="A505" s="49"/>
      <c r="B505" s="49"/>
      <c r="C505" s="46"/>
      <c r="D505" s="46"/>
      <c r="E505" s="57"/>
      <c r="F505" s="46">
        <f>(Sheet2!$D505*15/100) +Sheet2!$D505</f>
        <v>0</v>
      </c>
      <c r="G505" s="48"/>
    </row>
    <row r="506" spans="1:10" x14ac:dyDescent="0.35">
      <c r="A506" s="50"/>
      <c r="B506" s="50"/>
      <c r="C506" s="43"/>
      <c r="D506" s="43"/>
      <c r="E506" s="56"/>
      <c r="F506" s="43">
        <f>(Sheet2!$D506*15/100) +Sheet2!$D506</f>
        <v>0</v>
      </c>
      <c r="G506" s="44"/>
    </row>
    <row r="507" spans="1:10" x14ac:dyDescent="0.35">
      <c r="A507" s="49"/>
      <c r="B507" s="49"/>
      <c r="C507" s="46"/>
      <c r="D507" s="46"/>
      <c r="E507" s="57"/>
      <c r="F507" s="46">
        <f>(Sheet2!$D507*15/100) +Sheet2!$D507</f>
        <v>0</v>
      </c>
      <c r="G507" s="48"/>
    </row>
    <row r="508" spans="1:10" x14ac:dyDescent="0.35">
      <c r="A508" s="50"/>
      <c r="B508" s="50"/>
      <c r="C508" s="43"/>
      <c r="D508" s="43"/>
      <c r="E508" s="56"/>
      <c r="F508" s="43">
        <f>(Sheet2!$D508*15/100) +Sheet2!$D508</f>
        <v>0</v>
      </c>
      <c r="G508" s="44"/>
    </row>
    <row r="509" spans="1:10" x14ac:dyDescent="0.35">
      <c r="A509" s="49"/>
      <c r="B509" s="49"/>
      <c r="C509" s="46"/>
      <c r="D509" s="46"/>
      <c r="E509" s="57"/>
      <c r="F509" s="46">
        <f>(Sheet2!$D509*15/100) +Sheet2!$D509</f>
        <v>0</v>
      </c>
      <c r="G509" s="48"/>
    </row>
    <row r="510" spans="1:10" x14ac:dyDescent="0.35">
      <c r="A510" s="50"/>
      <c r="B510" s="50"/>
      <c r="C510" s="43"/>
      <c r="D510" s="43"/>
      <c r="E510" s="56"/>
      <c r="F510" s="43">
        <f>(Sheet2!$D510*15/100) +Sheet2!$D510</f>
        <v>0</v>
      </c>
      <c r="G510" s="44"/>
    </row>
    <row r="511" spans="1:10" x14ac:dyDescent="0.35">
      <c r="A511" s="49"/>
      <c r="B511" s="49"/>
      <c r="C511" s="46"/>
      <c r="D511" s="46"/>
      <c r="E511" s="57"/>
      <c r="F511" s="46">
        <f>(Sheet2!$D511*15/100) +Sheet2!$D511</f>
        <v>0</v>
      </c>
      <c r="G511" s="48"/>
    </row>
    <row r="512" spans="1:10" x14ac:dyDescent="0.35">
      <c r="A512" s="50"/>
      <c r="B512" s="50"/>
      <c r="C512" s="43"/>
      <c r="D512" s="43"/>
      <c r="E512" s="56"/>
      <c r="F512" s="43">
        <f>(Sheet2!$D512*15/100) +Sheet2!$D512</f>
        <v>0</v>
      </c>
      <c r="G512" s="44"/>
    </row>
    <row r="513" spans="1:7" x14ac:dyDescent="0.35">
      <c r="A513" s="49"/>
      <c r="B513" s="49"/>
      <c r="C513" s="46"/>
      <c r="D513" s="46"/>
      <c r="E513" s="57"/>
      <c r="F513" s="46">
        <f>(Sheet2!$D513*15/100) +Sheet2!$D513</f>
        <v>0</v>
      </c>
      <c r="G513" s="48"/>
    </row>
    <row r="514" spans="1:7" x14ac:dyDescent="0.35">
      <c r="A514" s="50"/>
      <c r="B514" s="50"/>
      <c r="C514" s="43"/>
      <c r="D514" s="43"/>
      <c r="E514" s="56"/>
      <c r="F514" s="43">
        <f>(Sheet2!$D514*15/100) +Sheet2!$D514</f>
        <v>0</v>
      </c>
      <c r="G514" s="44"/>
    </row>
    <row r="515" spans="1:7" x14ac:dyDescent="0.35">
      <c r="A515" s="49"/>
      <c r="B515" s="49"/>
      <c r="C515" s="46"/>
      <c r="D515" s="46"/>
      <c r="E515" s="57"/>
      <c r="F515" s="46">
        <f>(Sheet2!$D515*15/100) +Sheet2!$D515</f>
        <v>0</v>
      </c>
      <c r="G515" s="48"/>
    </row>
    <row r="516" spans="1:7" x14ac:dyDescent="0.35">
      <c r="A516" s="50"/>
      <c r="B516" s="50"/>
      <c r="C516" s="43"/>
      <c r="D516" s="43"/>
      <c r="E516" s="56"/>
      <c r="F516" s="43">
        <f>(Sheet2!$D516*15/100) +Sheet2!$D516</f>
        <v>0</v>
      </c>
      <c r="G516" s="44"/>
    </row>
    <row r="517" spans="1:7" x14ac:dyDescent="0.35">
      <c r="A517" s="49"/>
      <c r="B517" s="49"/>
      <c r="C517" s="46"/>
      <c r="D517" s="46"/>
      <c r="E517" s="57"/>
      <c r="F517" s="46">
        <f>(Sheet2!$D517*15/100) +Sheet2!$D517</f>
        <v>0</v>
      </c>
      <c r="G517" s="48"/>
    </row>
    <row r="518" spans="1:7" x14ac:dyDescent="0.35">
      <c r="A518" s="50"/>
      <c r="B518" s="50"/>
      <c r="C518" s="43"/>
      <c r="D518" s="43"/>
      <c r="E518" s="56"/>
      <c r="F518" s="43">
        <f>(Sheet2!$D518*15/100) +Sheet2!$D518</f>
        <v>0</v>
      </c>
      <c r="G518" s="44"/>
    </row>
    <row r="519" spans="1:7" x14ac:dyDescent="0.35">
      <c r="A519" s="49"/>
      <c r="B519" s="49"/>
      <c r="C519" s="46"/>
      <c r="D519" s="46"/>
      <c r="E519" s="57"/>
      <c r="F519" s="46">
        <f>(Sheet2!$D519*15/100) +Sheet2!$D519</f>
        <v>0</v>
      </c>
      <c r="G519" s="48"/>
    </row>
    <row r="520" spans="1:7" x14ac:dyDescent="0.35">
      <c r="A520" s="50"/>
      <c r="B520" s="50"/>
      <c r="C520" s="43"/>
      <c r="D520" s="43"/>
      <c r="E520" s="56"/>
      <c r="F520" s="43">
        <f>(Sheet2!$D520*15/100) +Sheet2!$D520</f>
        <v>0</v>
      </c>
      <c r="G520" s="44"/>
    </row>
    <row r="521" spans="1:7" x14ac:dyDescent="0.35">
      <c r="A521" s="49"/>
      <c r="B521" s="49"/>
      <c r="C521" s="46"/>
      <c r="D521" s="46"/>
      <c r="E521" s="57"/>
      <c r="F521" s="46">
        <f>(Sheet2!$D521*15/100) +Sheet2!$D521</f>
        <v>0</v>
      </c>
      <c r="G521" s="48"/>
    </row>
    <row r="522" spans="1:7" x14ac:dyDescent="0.35">
      <c r="A522" s="50"/>
      <c r="B522" s="50"/>
      <c r="C522" s="43"/>
      <c r="D522" s="43"/>
      <c r="E522" s="56"/>
      <c r="F522" s="43">
        <f>(Sheet2!$D522*15/100) +Sheet2!$D522</f>
        <v>0</v>
      </c>
      <c r="G522" s="44"/>
    </row>
    <row r="523" spans="1:7" x14ac:dyDescent="0.35">
      <c r="A523" s="49"/>
      <c r="B523" s="49"/>
      <c r="C523" s="46"/>
      <c r="D523" s="46"/>
      <c r="E523" s="57"/>
      <c r="F523" s="46">
        <f>(Sheet2!$D523*15/100) +Sheet2!$D523</f>
        <v>0</v>
      </c>
      <c r="G523" s="48"/>
    </row>
    <row r="524" spans="1:7" x14ac:dyDescent="0.35">
      <c r="A524" s="50"/>
      <c r="B524" s="50"/>
      <c r="C524" s="43"/>
      <c r="D524" s="43"/>
      <c r="E524" s="56"/>
      <c r="F524" s="43">
        <f>(Sheet2!$D524*15/100) +Sheet2!$D524</f>
        <v>0</v>
      </c>
      <c r="G524" s="44"/>
    </row>
    <row r="525" spans="1:7" x14ac:dyDescent="0.35">
      <c r="A525" s="49"/>
      <c r="B525" s="49"/>
      <c r="C525" s="46"/>
      <c r="D525" s="46"/>
      <c r="E525" s="57"/>
      <c r="F525" s="46">
        <f>(Sheet2!$D525*15/100) +Sheet2!$D525</f>
        <v>0</v>
      </c>
      <c r="G525" s="48"/>
    </row>
    <row r="526" spans="1:7" x14ac:dyDescent="0.35">
      <c r="A526" s="50"/>
      <c r="B526" s="50"/>
      <c r="C526" s="43"/>
      <c r="D526" s="43"/>
      <c r="E526" s="56"/>
      <c r="F526" s="43">
        <f>(Sheet2!$D526*15/100) +Sheet2!$D526</f>
        <v>0</v>
      </c>
      <c r="G526" s="44"/>
    </row>
    <row r="527" spans="1:7" x14ac:dyDescent="0.35">
      <c r="A527" s="49"/>
      <c r="B527" s="49"/>
      <c r="C527" s="46"/>
      <c r="D527" s="46"/>
      <c r="E527" s="57"/>
      <c r="F527" s="46">
        <f>(Sheet2!$D527*15/100) +Sheet2!$D527</f>
        <v>0</v>
      </c>
      <c r="G527" s="48"/>
    </row>
    <row r="528" spans="1:7" x14ac:dyDescent="0.35">
      <c r="A528" s="50"/>
      <c r="B528" s="50"/>
      <c r="C528" s="43"/>
      <c r="D528" s="43"/>
      <c r="E528" s="56"/>
      <c r="F528" s="43">
        <f>(Sheet2!$D528*15/100) +Sheet2!$D528</f>
        <v>0</v>
      </c>
      <c r="G528" s="44"/>
    </row>
    <row r="529" spans="1:7" x14ac:dyDescent="0.35">
      <c r="A529" s="49"/>
      <c r="B529" s="49"/>
      <c r="C529" s="46"/>
      <c r="D529" s="46"/>
      <c r="E529" s="57"/>
      <c r="F529" s="46">
        <f>(Sheet2!$D529*15/100) +Sheet2!$D529</f>
        <v>0</v>
      </c>
      <c r="G529" s="48"/>
    </row>
    <row r="530" spans="1:7" x14ac:dyDescent="0.35">
      <c r="A530" s="50"/>
      <c r="B530" s="50"/>
      <c r="C530" s="43"/>
      <c r="D530" s="43"/>
      <c r="E530" s="56"/>
      <c r="F530" s="43">
        <f>(Sheet2!$D530*15/100) +Sheet2!$D530</f>
        <v>0</v>
      </c>
      <c r="G530" s="44"/>
    </row>
    <row r="531" spans="1:7" x14ac:dyDescent="0.35">
      <c r="A531" s="49"/>
      <c r="B531" s="49"/>
      <c r="C531" s="46"/>
      <c r="D531" s="46"/>
      <c r="E531" s="57"/>
      <c r="F531" s="46">
        <f>(Sheet2!$D531*15/100) +Sheet2!$D531</f>
        <v>0</v>
      </c>
      <c r="G531" s="48"/>
    </row>
    <row r="532" spans="1:7" x14ac:dyDescent="0.35">
      <c r="A532" s="50"/>
      <c r="B532" s="50"/>
      <c r="C532" s="43"/>
      <c r="D532" s="43"/>
      <c r="E532" s="56"/>
      <c r="F532" s="43">
        <f>(Sheet2!$D532*15/100) +Sheet2!$D532</f>
        <v>0</v>
      </c>
      <c r="G532" s="44"/>
    </row>
    <row r="533" spans="1:7" x14ac:dyDescent="0.35">
      <c r="A533" s="49"/>
      <c r="B533" s="49"/>
      <c r="C533" s="46"/>
      <c r="D533" s="46"/>
      <c r="E533" s="57"/>
      <c r="F533" s="46">
        <f>(Sheet2!$D533*15/100) +Sheet2!$D533</f>
        <v>0</v>
      </c>
      <c r="G533" s="48"/>
    </row>
    <row r="534" spans="1:7" x14ac:dyDescent="0.35">
      <c r="A534" s="50"/>
      <c r="B534" s="50"/>
      <c r="C534" s="43"/>
      <c r="D534" s="43"/>
      <c r="E534" s="56"/>
      <c r="F534" s="43">
        <f>(Sheet2!$D534*15/100) +Sheet2!$D534</f>
        <v>0</v>
      </c>
      <c r="G534" s="44"/>
    </row>
    <row r="535" spans="1:7" x14ac:dyDescent="0.35">
      <c r="A535" s="49"/>
      <c r="B535" s="49"/>
      <c r="C535" s="46"/>
      <c r="D535" s="46"/>
      <c r="E535" s="57"/>
      <c r="F535" s="46">
        <f>(Sheet2!$D535*15/100) +Sheet2!$D535</f>
        <v>0</v>
      </c>
      <c r="G535" s="48"/>
    </row>
    <row r="536" spans="1:7" x14ac:dyDescent="0.35">
      <c r="A536" s="50"/>
      <c r="B536" s="50"/>
      <c r="C536" s="43"/>
      <c r="D536" s="43"/>
      <c r="E536" s="56"/>
      <c r="F536" s="43">
        <f>(Sheet2!$D536*15/100) +Sheet2!$D536</f>
        <v>0</v>
      </c>
      <c r="G536" s="44"/>
    </row>
    <row r="537" spans="1:7" x14ac:dyDescent="0.35">
      <c r="A537" s="49"/>
      <c r="B537" s="49"/>
      <c r="C537" s="46"/>
      <c r="D537" s="46"/>
      <c r="E537" s="57"/>
      <c r="F537" s="46">
        <f>(Sheet2!$D537*15/100) +Sheet2!$D537</f>
        <v>0</v>
      </c>
      <c r="G537" s="48"/>
    </row>
    <row r="538" spans="1:7" x14ac:dyDescent="0.35">
      <c r="A538" s="50"/>
      <c r="B538" s="50"/>
      <c r="C538" s="43"/>
      <c r="D538" s="43"/>
      <c r="E538" s="56"/>
      <c r="F538" s="43">
        <f>(Sheet2!$D538*15/100) +Sheet2!$D538</f>
        <v>0</v>
      </c>
      <c r="G538" s="44"/>
    </row>
    <row r="539" spans="1:7" x14ac:dyDescent="0.35">
      <c r="A539" s="49"/>
      <c r="B539" s="49"/>
      <c r="C539" s="46"/>
      <c r="D539" s="46"/>
      <c r="E539" s="57"/>
      <c r="F539" s="46">
        <f>(Sheet2!$D539*15/100) +Sheet2!$D539</f>
        <v>0</v>
      </c>
      <c r="G539" s="48"/>
    </row>
    <row r="540" spans="1:7" x14ac:dyDescent="0.35">
      <c r="A540" s="50"/>
      <c r="B540" s="50"/>
      <c r="C540" s="43"/>
      <c r="D540" s="43"/>
      <c r="E540" s="56"/>
      <c r="F540" s="43">
        <f>(Sheet2!$D540*15/100) +Sheet2!$D540</f>
        <v>0</v>
      </c>
      <c r="G540" s="44"/>
    </row>
    <row r="541" spans="1:7" x14ac:dyDescent="0.35">
      <c r="A541" s="49"/>
      <c r="B541" s="49"/>
      <c r="C541" s="46"/>
      <c r="D541" s="46"/>
      <c r="E541" s="57"/>
      <c r="F541" s="46">
        <f>(Sheet2!$D541*15/100) +Sheet2!$D541</f>
        <v>0</v>
      </c>
      <c r="G541" s="48"/>
    </row>
    <row r="542" spans="1:7" x14ac:dyDescent="0.35">
      <c r="A542" s="50"/>
      <c r="B542" s="50"/>
      <c r="C542" s="43"/>
      <c r="D542" s="43"/>
      <c r="E542" s="56"/>
      <c r="F542" s="43">
        <f>(Sheet2!$D542*15/100) +Sheet2!$D542</f>
        <v>0</v>
      </c>
      <c r="G542" s="44"/>
    </row>
    <row r="543" spans="1:7" x14ac:dyDescent="0.35">
      <c r="A543" s="49"/>
      <c r="B543" s="49"/>
      <c r="C543" s="46"/>
      <c r="D543" s="46"/>
      <c r="E543" s="57"/>
      <c r="F543" s="46">
        <f>(Sheet2!$D543*15/100) +Sheet2!$D543</f>
        <v>0</v>
      </c>
      <c r="G543" s="48"/>
    </row>
    <row r="544" spans="1:7" x14ac:dyDescent="0.35">
      <c r="A544" s="50"/>
      <c r="B544" s="50"/>
      <c r="C544" s="43"/>
      <c r="D544" s="43"/>
      <c r="E544" s="56"/>
      <c r="F544" s="43">
        <f>(Sheet2!$D544*15/100) +Sheet2!$D544</f>
        <v>0</v>
      </c>
      <c r="G544" s="44"/>
    </row>
    <row r="545" spans="1:7" x14ac:dyDescent="0.35">
      <c r="A545" s="49"/>
      <c r="B545" s="49"/>
      <c r="C545" s="46"/>
      <c r="D545" s="46"/>
      <c r="E545" s="57"/>
      <c r="F545" s="46">
        <f>(Sheet2!$D545*15/100) +Sheet2!$D545</f>
        <v>0</v>
      </c>
      <c r="G545" s="48"/>
    </row>
    <row r="546" spans="1:7" x14ac:dyDescent="0.35">
      <c r="A546" s="50"/>
      <c r="B546" s="50"/>
      <c r="C546" s="43"/>
      <c r="D546" s="43"/>
      <c r="E546" s="56"/>
      <c r="F546" s="43">
        <f>(Sheet2!$D546*15/100) +Sheet2!$D546</f>
        <v>0</v>
      </c>
      <c r="G546" s="44"/>
    </row>
    <row r="547" spans="1:7" x14ac:dyDescent="0.35">
      <c r="A547" s="49"/>
      <c r="B547" s="49"/>
      <c r="C547" s="46"/>
      <c r="D547" s="46"/>
      <c r="E547" s="57"/>
      <c r="F547" s="46">
        <f>(Sheet2!$D547*15/100) +Sheet2!$D547</f>
        <v>0</v>
      </c>
      <c r="G547" s="48"/>
    </row>
    <row r="548" spans="1:7" x14ac:dyDescent="0.35">
      <c r="A548" s="50"/>
      <c r="B548" s="50"/>
      <c r="C548" s="43"/>
      <c r="D548" s="43"/>
      <c r="E548" s="56"/>
      <c r="F548" s="43">
        <f>(Sheet2!$D548*15/100) +Sheet2!$D548</f>
        <v>0</v>
      </c>
      <c r="G548" s="44"/>
    </row>
    <row r="549" spans="1:7" x14ac:dyDescent="0.35">
      <c r="A549" s="49"/>
      <c r="B549" s="49"/>
      <c r="C549" s="46"/>
      <c r="D549" s="46"/>
      <c r="E549" s="57"/>
      <c r="F549" s="46">
        <f>(Sheet2!$D549*15/100) +Sheet2!$D549</f>
        <v>0</v>
      </c>
      <c r="G549" s="48"/>
    </row>
    <row r="550" spans="1:7" x14ac:dyDescent="0.35">
      <c r="A550" s="50"/>
      <c r="B550" s="50"/>
      <c r="C550" s="43"/>
      <c r="D550" s="43"/>
      <c r="E550" s="56"/>
      <c r="F550" s="43">
        <f>(Sheet2!$D550*15/100) +Sheet2!$D550</f>
        <v>0</v>
      </c>
      <c r="G550" s="44"/>
    </row>
    <row r="551" spans="1:7" x14ac:dyDescent="0.35">
      <c r="A551" s="49"/>
      <c r="B551" s="49"/>
      <c r="C551" s="46"/>
      <c r="D551" s="46"/>
      <c r="E551" s="57"/>
      <c r="F551" s="46">
        <f t="shared" ref="F551:F598" si="18">D551</f>
        <v>0</v>
      </c>
      <c r="G551" s="48"/>
    </row>
    <row r="552" spans="1:7" x14ac:dyDescent="0.35">
      <c r="A552" s="50"/>
      <c r="B552" s="50"/>
      <c r="C552" s="43"/>
      <c r="D552" s="43"/>
      <c r="E552" s="56"/>
      <c r="F552" s="43">
        <f t="shared" si="18"/>
        <v>0</v>
      </c>
      <c r="G552" s="44"/>
    </row>
    <row r="553" spans="1:7" x14ac:dyDescent="0.35">
      <c r="A553" s="49"/>
      <c r="B553" s="49"/>
      <c r="C553" s="46"/>
      <c r="D553" s="46"/>
      <c r="E553" s="57"/>
      <c r="F553" s="46">
        <f t="shared" si="18"/>
        <v>0</v>
      </c>
      <c r="G553" s="48"/>
    </row>
    <row r="554" spans="1:7" x14ac:dyDescent="0.35">
      <c r="A554" s="50"/>
      <c r="B554" s="50"/>
      <c r="C554" s="43"/>
      <c r="D554" s="43"/>
      <c r="E554" s="56"/>
      <c r="F554" s="43">
        <f t="shared" si="18"/>
        <v>0</v>
      </c>
      <c r="G554" s="44"/>
    </row>
    <row r="555" spans="1:7" x14ac:dyDescent="0.35">
      <c r="A555" s="49"/>
      <c r="B555" s="49"/>
      <c r="C555" s="46"/>
      <c r="D555" s="46"/>
      <c r="E555" s="57"/>
      <c r="F555" s="46">
        <f t="shared" si="18"/>
        <v>0</v>
      </c>
      <c r="G555" s="48"/>
    </row>
    <row r="556" spans="1:7" x14ac:dyDescent="0.35">
      <c r="A556" s="50"/>
      <c r="B556" s="50"/>
      <c r="C556" s="43"/>
      <c r="D556" s="43"/>
      <c r="E556" s="56"/>
      <c r="F556" s="43">
        <f t="shared" si="18"/>
        <v>0</v>
      </c>
      <c r="G556" s="44"/>
    </row>
    <row r="557" spans="1:7" x14ac:dyDescent="0.35">
      <c r="A557" s="49"/>
      <c r="B557" s="49"/>
      <c r="C557" s="46"/>
      <c r="D557" s="46"/>
      <c r="E557" s="57"/>
      <c r="F557" s="46">
        <f t="shared" si="18"/>
        <v>0</v>
      </c>
      <c r="G557" s="48"/>
    </row>
    <row r="558" spans="1:7" x14ac:dyDescent="0.35">
      <c r="A558" s="50"/>
      <c r="B558" s="50"/>
      <c r="C558" s="43"/>
      <c r="D558" s="43"/>
      <c r="E558" s="56"/>
      <c r="F558" s="43">
        <f t="shared" si="18"/>
        <v>0</v>
      </c>
      <c r="G558" s="44"/>
    </row>
    <row r="559" spans="1:7" x14ac:dyDescent="0.35">
      <c r="A559" s="49"/>
      <c r="B559" s="49"/>
      <c r="C559" s="46"/>
      <c r="D559" s="46"/>
      <c r="E559" s="57"/>
      <c r="F559" s="46">
        <f t="shared" si="18"/>
        <v>0</v>
      </c>
      <c r="G559" s="48"/>
    </row>
    <row r="560" spans="1:7" x14ac:dyDescent="0.35">
      <c r="A560" s="50"/>
      <c r="B560" s="50"/>
      <c r="C560" s="43"/>
      <c r="D560" s="43"/>
      <c r="E560" s="56"/>
      <c r="F560" s="43">
        <f t="shared" si="18"/>
        <v>0</v>
      </c>
      <c r="G560" s="44"/>
    </row>
    <row r="561" spans="1:7" x14ac:dyDescent="0.35">
      <c r="A561" s="49"/>
      <c r="B561" s="49"/>
      <c r="C561" s="46"/>
      <c r="D561" s="46"/>
      <c r="E561" s="57"/>
      <c r="F561" s="46">
        <f t="shared" si="18"/>
        <v>0</v>
      </c>
      <c r="G561" s="48"/>
    </row>
    <row r="562" spans="1:7" x14ac:dyDescent="0.35">
      <c r="A562" s="50"/>
      <c r="B562" s="50"/>
      <c r="C562" s="43"/>
      <c r="D562" s="43"/>
      <c r="E562" s="56"/>
      <c r="F562" s="43">
        <f t="shared" si="18"/>
        <v>0</v>
      </c>
      <c r="G562" s="44"/>
    </row>
    <row r="563" spans="1:7" x14ac:dyDescent="0.35">
      <c r="A563" s="49"/>
      <c r="B563" s="49"/>
      <c r="C563" s="46"/>
      <c r="D563" s="46"/>
      <c r="E563" s="57"/>
      <c r="F563" s="46">
        <f t="shared" si="18"/>
        <v>0</v>
      </c>
      <c r="G563" s="48"/>
    </row>
    <row r="564" spans="1:7" x14ac:dyDescent="0.35">
      <c r="A564" s="50"/>
      <c r="B564" s="50"/>
      <c r="C564" s="43"/>
      <c r="D564" s="43"/>
      <c r="E564" s="56"/>
      <c r="F564" s="43">
        <f t="shared" si="18"/>
        <v>0</v>
      </c>
      <c r="G564" s="44"/>
    </row>
    <row r="565" spans="1:7" x14ac:dyDescent="0.35">
      <c r="A565" s="49"/>
      <c r="B565" s="49"/>
      <c r="C565" s="46"/>
      <c r="D565" s="46"/>
      <c r="E565" s="57"/>
      <c r="F565" s="46">
        <f t="shared" si="18"/>
        <v>0</v>
      </c>
      <c r="G565" s="48"/>
    </row>
    <row r="566" spans="1:7" x14ac:dyDescent="0.35">
      <c r="A566" s="50"/>
      <c r="B566" s="50"/>
      <c r="C566" s="43"/>
      <c r="D566" s="43"/>
      <c r="E566" s="56"/>
      <c r="F566" s="43">
        <f t="shared" si="18"/>
        <v>0</v>
      </c>
      <c r="G566" s="44"/>
    </row>
    <row r="567" spans="1:7" x14ac:dyDescent="0.35">
      <c r="A567" s="49"/>
      <c r="B567" s="49"/>
      <c r="C567" s="46"/>
      <c r="D567" s="46"/>
      <c r="E567" s="57"/>
      <c r="F567" s="46">
        <f t="shared" si="18"/>
        <v>0</v>
      </c>
      <c r="G567" s="48"/>
    </row>
    <row r="568" spans="1:7" x14ac:dyDescent="0.35">
      <c r="A568" s="50"/>
      <c r="B568" s="50"/>
      <c r="C568" s="43"/>
      <c r="D568" s="43"/>
      <c r="E568" s="56"/>
      <c r="F568" s="43">
        <f t="shared" si="18"/>
        <v>0</v>
      </c>
      <c r="G568" s="44"/>
    </row>
    <row r="569" spans="1:7" x14ac:dyDescent="0.35">
      <c r="A569" s="49"/>
      <c r="B569" s="49"/>
      <c r="C569" s="46"/>
      <c r="D569" s="46"/>
      <c r="E569" s="57"/>
      <c r="F569" s="46">
        <f t="shared" si="18"/>
        <v>0</v>
      </c>
      <c r="G569" s="48"/>
    </row>
    <row r="570" spans="1:7" x14ac:dyDescent="0.35">
      <c r="A570" s="50"/>
      <c r="B570" s="50"/>
      <c r="C570" s="43"/>
      <c r="D570" s="43"/>
      <c r="E570" s="56"/>
      <c r="F570" s="43">
        <f t="shared" si="18"/>
        <v>0</v>
      </c>
      <c r="G570" s="44"/>
    </row>
    <row r="571" spans="1:7" x14ac:dyDescent="0.35">
      <c r="A571" s="49"/>
      <c r="B571" s="49"/>
      <c r="C571" s="46"/>
      <c r="D571" s="46"/>
      <c r="E571" s="57"/>
      <c r="F571" s="46">
        <f t="shared" si="18"/>
        <v>0</v>
      </c>
      <c r="G571" s="48"/>
    </row>
    <row r="572" spans="1:7" x14ac:dyDescent="0.35">
      <c r="A572" s="50"/>
      <c r="B572" s="50"/>
      <c r="C572" s="43"/>
      <c r="D572" s="43"/>
      <c r="E572" s="56"/>
      <c r="F572" s="43">
        <f t="shared" si="18"/>
        <v>0</v>
      </c>
      <c r="G572" s="44"/>
    </row>
    <row r="573" spans="1:7" x14ac:dyDescent="0.35">
      <c r="A573" s="49"/>
      <c r="B573" s="49"/>
      <c r="C573" s="46"/>
      <c r="D573" s="46"/>
      <c r="E573" s="57"/>
      <c r="F573" s="46">
        <f t="shared" si="18"/>
        <v>0</v>
      </c>
      <c r="G573" s="48"/>
    </row>
    <row r="574" spans="1:7" x14ac:dyDescent="0.35">
      <c r="A574" s="50"/>
      <c r="B574" s="50"/>
      <c r="C574" s="43"/>
      <c r="D574" s="43"/>
      <c r="E574" s="56"/>
      <c r="F574" s="43">
        <f t="shared" si="18"/>
        <v>0</v>
      </c>
      <c r="G574" s="44"/>
    </row>
    <row r="575" spans="1:7" x14ac:dyDescent="0.35">
      <c r="A575" s="49"/>
      <c r="B575" s="49"/>
      <c r="C575" s="46"/>
      <c r="D575" s="46"/>
      <c r="E575" s="57"/>
      <c r="F575" s="46">
        <f t="shared" si="18"/>
        <v>0</v>
      </c>
      <c r="G575" s="48"/>
    </row>
    <row r="576" spans="1:7" x14ac:dyDescent="0.35">
      <c r="A576" s="50"/>
      <c r="B576" s="50"/>
      <c r="C576" s="43"/>
      <c r="D576" s="43"/>
      <c r="E576" s="56"/>
      <c r="F576" s="43">
        <f t="shared" si="18"/>
        <v>0</v>
      </c>
      <c r="G576" s="44"/>
    </row>
    <row r="577" spans="1:7" x14ac:dyDescent="0.35">
      <c r="A577" s="49"/>
      <c r="B577" s="49"/>
      <c r="C577" s="46"/>
      <c r="D577" s="46"/>
      <c r="E577" s="57"/>
      <c r="F577" s="46">
        <f t="shared" si="18"/>
        <v>0</v>
      </c>
      <c r="G577" s="48"/>
    </row>
    <row r="578" spans="1:7" x14ac:dyDescent="0.35">
      <c r="A578" s="50"/>
      <c r="B578" s="50"/>
      <c r="C578" s="43"/>
      <c r="D578" s="43"/>
      <c r="E578" s="56"/>
      <c r="F578" s="43">
        <f t="shared" si="18"/>
        <v>0</v>
      </c>
      <c r="G578" s="44"/>
    </row>
    <row r="579" spans="1:7" x14ac:dyDescent="0.35">
      <c r="A579" s="49"/>
      <c r="B579" s="49"/>
      <c r="C579" s="46"/>
      <c r="D579" s="46"/>
      <c r="E579" s="57"/>
      <c r="F579" s="46">
        <f t="shared" si="18"/>
        <v>0</v>
      </c>
      <c r="G579" s="48"/>
    </row>
    <row r="580" spans="1:7" x14ac:dyDescent="0.35">
      <c r="A580" s="50"/>
      <c r="B580" s="50"/>
      <c r="C580" s="43"/>
      <c r="D580" s="43"/>
      <c r="E580" s="56"/>
      <c r="F580" s="43">
        <f t="shared" si="18"/>
        <v>0</v>
      </c>
      <c r="G580" s="44"/>
    </row>
    <row r="581" spans="1:7" x14ac:dyDescent="0.35">
      <c r="A581" s="49"/>
      <c r="B581" s="49"/>
      <c r="C581" s="46"/>
      <c r="D581" s="46"/>
      <c r="E581" s="57"/>
      <c r="F581" s="46">
        <f t="shared" si="18"/>
        <v>0</v>
      </c>
      <c r="G581" s="48"/>
    </row>
    <row r="582" spans="1:7" x14ac:dyDescent="0.35">
      <c r="A582" s="50"/>
      <c r="B582" s="50"/>
      <c r="C582" s="43"/>
      <c r="D582" s="43"/>
      <c r="E582" s="56"/>
      <c r="F582" s="43">
        <f t="shared" si="18"/>
        <v>0</v>
      </c>
      <c r="G582" s="44"/>
    </row>
    <row r="583" spans="1:7" x14ac:dyDescent="0.35">
      <c r="A583" s="49"/>
      <c r="B583" s="49"/>
      <c r="C583" s="46"/>
      <c r="D583" s="46"/>
      <c r="E583" s="57"/>
      <c r="F583" s="46">
        <f t="shared" si="18"/>
        <v>0</v>
      </c>
      <c r="G583" s="48"/>
    </row>
    <row r="584" spans="1:7" x14ac:dyDescent="0.35">
      <c r="A584" s="50"/>
      <c r="B584" s="50"/>
      <c r="C584" s="43"/>
      <c r="D584" s="43"/>
      <c r="E584" s="56"/>
      <c r="F584" s="43">
        <f t="shared" si="18"/>
        <v>0</v>
      </c>
      <c r="G584" s="44"/>
    </row>
    <row r="585" spans="1:7" x14ac:dyDescent="0.35">
      <c r="A585" s="49"/>
      <c r="B585" s="49"/>
      <c r="C585" s="46"/>
      <c r="D585" s="46"/>
      <c r="E585" s="57"/>
      <c r="F585" s="46">
        <f t="shared" si="18"/>
        <v>0</v>
      </c>
      <c r="G585" s="48"/>
    </row>
    <row r="586" spans="1:7" x14ac:dyDescent="0.35">
      <c r="A586" s="50"/>
      <c r="B586" s="50"/>
      <c r="C586" s="43"/>
      <c r="D586" s="43"/>
      <c r="E586" s="56"/>
      <c r="F586" s="43">
        <f t="shared" si="18"/>
        <v>0</v>
      </c>
      <c r="G586" s="44"/>
    </row>
    <row r="587" spans="1:7" x14ac:dyDescent="0.35">
      <c r="A587" s="49"/>
      <c r="B587" s="49"/>
      <c r="C587" s="46"/>
      <c r="D587" s="46"/>
      <c r="E587" s="57"/>
      <c r="F587" s="46">
        <f t="shared" si="18"/>
        <v>0</v>
      </c>
      <c r="G587" s="48"/>
    </row>
    <row r="588" spans="1:7" x14ac:dyDescent="0.35">
      <c r="A588" s="50"/>
      <c r="B588" s="50"/>
      <c r="C588" s="43"/>
      <c r="D588" s="43"/>
      <c r="E588" s="56"/>
      <c r="F588" s="43">
        <f t="shared" si="18"/>
        <v>0</v>
      </c>
      <c r="G588" s="44"/>
    </row>
    <row r="589" spans="1:7" x14ac:dyDescent="0.35">
      <c r="A589" s="49"/>
      <c r="B589" s="49"/>
      <c r="C589" s="46"/>
      <c r="D589" s="46"/>
      <c r="E589" s="57"/>
      <c r="F589" s="46">
        <f t="shared" si="18"/>
        <v>0</v>
      </c>
      <c r="G589" s="48"/>
    </row>
    <row r="590" spans="1:7" x14ac:dyDescent="0.35">
      <c r="A590" s="50"/>
      <c r="B590" s="50"/>
      <c r="C590" s="43"/>
      <c r="D590" s="43"/>
      <c r="E590" s="56"/>
      <c r="F590" s="43">
        <f t="shared" si="18"/>
        <v>0</v>
      </c>
      <c r="G590" s="44"/>
    </row>
    <row r="591" spans="1:7" x14ac:dyDescent="0.35">
      <c r="A591" s="49"/>
      <c r="B591" s="49"/>
      <c r="C591" s="46"/>
      <c r="D591" s="46"/>
      <c r="E591" s="57"/>
      <c r="F591" s="46">
        <f t="shared" si="18"/>
        <v>0</v>
      </c>
      <c r="G591" s="48"/>
    </row>
    <row r="592" spans="1:7" x14ac:dyDescent="0.35">
      <c r="A592" s="50"/>
      <c r="B592" s="50"/>
      <c r="C592" s="43"/>
      <c r="D592" s="43"/>
      <c r="E592" s="56"/>
      <c r="F592" s="43">
        <f t="shared" si="18"/>
        <v>0</v>
      </c>
      <c r="G592" s="44"/>
    </row>
    <row r="593" spans="1:7" x14ac:dyDescent="0.35">
      <c r="A593" s="49"/>
      <c r="B593" s="49"/>
      <c r="C593" s="46"/>
      <c r="D593" s="46"/>
      <c r="E593" s="57"/>
      <c r="F593" s="46">
        <f t="shared" si="18"/>
        <v>0</v>
      </c>
      <c r="G593" s="48"/>
    </row>
    <row r="594" spans="1:7" x14ac:dyDescent="0.35">
      <c r="A594" s="50"/>
      <c r="B594" s="50"/>
      <c r="C594" s="43"/>
      <c r="D594" s="43"/>
      <c r="E594" s="56"/>
      <c r="F594" s="43">
        <f t="shared" si="18"/>
        <v>0</v>
      </c>
      <c r="G594" s="44"/>
    </row>
    <row r="595" spans="1:7" x14ac:dyDescent="0.35">
      <c r="A595" s="49"/>
      <c r="B595" s="49"/>
      <c r="C595" s="46"/>
      <c r="D595" s="46"/>
      <c r="E595" s="57"/>
      <c r="F595" s="46">
        <f t="shared" si="18"/>
        <v>0</v>
      </c>
      <c r="G595" s="48"/>
    </row>
    <row r="596" spans="1:7" x14ac:dyDescent="0.35">
      <c r="A596" s="50"/>
      <c r="B596" s="50"/>
      <c r="C596" s="43"/>
      <c r="D596" s="43"/>
      <c r="E596" s="56"/>
      <c r="F596" s="43">
        <f t="shared" si="18"/>
        <v>0</v>
      </c>
      <c r="G596" s="44"/>
    </row>
    <row r="597" spans="1:7" x14ac:dyDescent="0.35">
      <c r="A597" s="49"/>
      <c r="B597" s="49"/>
      <c r="C597" s="46"/>
      <c r="D597" s="46"/>
      <c r="E597" s="57"/>
      <c r="F597" s="46">
        <f t="shared" si="18"/>
        <v>0</v>
      </c>
      <c r="G597" s="48"/>
    </row>
    <row r="598" spans="1:7" x14ac:dyDescent="0.35">
      <c r="A598" s="50"/>
      <c r="B598" s="50"/>
      <c r="C598" s="43"/>
      <c r="D598" s="43"/>
      <c r="E598" s="56"/>
      <c r="F598" s="43">
        <f t="shared" si="18"/>
        <v>0</v>
      </c>
      <c r="G598" s="44"/>
    </row>
    <row r="599" spans="1:7" x14ac:dyDescent="0.35">
      <c r="A599" s="49"/>
      <c r="B599" s="49"/>
      <c r="C599" s="46"/>
      <c r="D599" s="46"/>
      <c r="E599" s="57"/>
      <c r="F599" s="46">
        <f t="shared" ref="F599:F662" si="19">D599</f>
        <v>0</v>
      </c>
      <c r="G599" s="48"/>
    </row>
    <row r="600" spans="1:7" x14ac:dyDescent="0.35">
      <c r="A600" s="50"/>
      <c r="B600" s="50"/>
      <c r="C600" s="43"/>
      <c r="D600" s="43"/>
      <c r="E600" s="56"/>
      <c r="F600" s="43">
        <f t="shared" si="19"/>
        <v>0</v>
      </c>
      <c r="G600" s="44"/>
    </row>
    <row r="601" spans="1:7" x14ac:dyDescent="0.35">
      <c r="A601" s="49"/>
      <c r="B601" s="49"/>
      <c r="C601" s="46"/>
      <c r="D601" s="46"/>
      <c r="E601" s="57"/>
      <c r="F601" s="46">
        <f t="shared" si="19"/>
        <v>0</v>
      </c>
      <c r="G601" s="48"/>
    </row>
    <row r="602" spans="1:7" x14ac:dyDescent="0.35">
      <c r="A602" s="50"/>
      <c r="B602" s="50"/>
      <c r="C602" s="43"/>
      <c r="D602" s="43"/>
      <c r="E602" s="56"/>
      <c r="F602" s="43">
        <f t="shared" si="19"/>
        <v>0</v>
      </c>
      <c r="G602" s="44"/>
    </row>
    <row r="603" spans="1:7" x14ac:dyDescent="0.35">
      <c r="A603" s="49"/>
      <c r="B603" s="49"/>
      <c r="C603" s="46"/>
      <c r="D603" s="46"/>
      <c r="E603" s="57"/>
      <c r="F603" s="46">
        <f t="shared" si="19"/>
        <v>0</v>
      </c>
      <c r="G603" s="48"/>
    </row>
    <row r="604" spans="1:7" x14ac:dyDescent="0.35">
      <c r="A604" s="50"/>
      <c r="B604" s="50"/>
      <c r="C604" s="43"/>
      <c r="D604" s="43"/>
      <c r="E604" s="56"/>
      <c r="F604" s="43">
        <f t="shared" si="19"/>
        <v>0</v>
      </c>
      <c r="G604" s="44"/>
    </row>
    <row r="605" spans="1:7" x14ac:dyDescent="0.35">
      <c r="A605" s="49"/>
      <c r="B605" s="49"/>
      <c r="C605" s="46"/>
      <c r="D605" s="46"/>
      <c r="E605" s="57"/>
      <c r="F605" s="46">
        <f t="shared" si="19"/>
        <v>0</v>
      </c>
      <c r="G605" s="48"/>
    </row>
    <row r="606" spans="1:7" x14ac:dyDescent="0.35">
      <c r="A606" s="50"/>
      <c r="B606" s="50"/>
      <c r="C606" s="43"/>
      <c r="D606" s="43"/>
      <c r="E606" s="56"/>
      <c r="F606" s="43">
        <f t="shared" si="19"/>
        <v>0</v>
      </c>
      <c r="G606" s="44"/>
    </row>
    <row r="607" spans="1:7" x14ac:dyDescent="0.35">
      <c r="A607" s="49"/>
      <c r="B607" s="49"/>
      <c r="C607" s="46"/>
      <c r="D607" s="46"/>
      <c r="E607" s="57"/>
      <c r="F607" s="46">
        <f t="shared" si="19"/>
        <v>0</v>
      </c>
      <c r="G607" s="48"/>
    </row>
    <row r="608" spans="1:7" x14ac:dyDescent="0.35">
      <c r="A608" s="50"/>
      <c r="B608" s="50"/>
      <c r="C608" s="43"/>
      <c r="D608" s="43"/>
      <c r="E608" s="56"/>
      <c r="F608" s="43">
        <f t="shared" si="19"/>
        <v>0</v>
      </c>
      <c r="G608" s="44"/>
    </row>
    <row r="609" spans="1:7" x14ac:dyDescent="0.35">
      <c r="A609" s="49"/>
      <c r="B609" s="49"/>
      <c r="C609" s="46"/>
      <c r="D609" s="46"/>
      <c r="E609" s="57"/>
      <c r="F609" s="46">
        <f t="shared" si="19"/>
        <v>0</v>
      </c>
      <c r="G609" s="48"/>
    </row>
    <row r="610" spans="1:7" x14ac:dyDescent="0.35">
      <c r="A610" s="50"/>
      <c r="B610" s="50"/>
      <c r="C610" s="43"/>
      <c r="D610" s="43"/>
      <c r="E610" s="56"/>
      <c r="F610" s="43">
        <f t="shared" si="19"/>
        <v>0</v>
      </c>
      <c r="G610" s="44"/>
    </row>
    <row r="611" spans="1:7" x14ac:dyDescent="0.35">
      <c r="A611" s="49"/>
      <c r="B611" s="49"/>
      <c r="C611" s="46"/>
      <c r="D611" s="46"/>
      <c r="E611" s="57"/>
      <c r="F611" s="46">
        <f t="shared" si="19"/>
        <v>0</v>
      </c>
      <c r="G611" s="48"/>
    </row>
    <row r="612" spans="1:7" x14ac:dyDescent="0.35">
      <c r="A612" s="50"/>
      <c r="B612" s="50"/>
      <c r="C612" s="43"/>
      <c r="D612" s="43"/>
      <c r="E612" s="56"/>
      <c r="F612" s="43">
        <f t="shared" si="19"/>
        <v>0</v>
      </c>
      <c r="G612" s="44"/>
    </row>
    <row r="613" spans="1:7" x14ac:dyDescent="0.35">
      <c r="A613" s="49"/>
      <c r="B613" s="49"/>
      <c r="C613" s="46"/>
      <c r="D613" s="46"/>
      <c r="E613" s="57"/>
      <c r="F613" s="46">
        <f t="shared" si="19"/>
        <v>0</v>
      </c>
      <c r="G613" s="48"/>
    </row>
    <row r="614" spans="1:7" x14ac:dyDescent="0.35">
      <c r="A614" s="50"/>
      <c r="B614" s="50"/>
      <c r="C614" s="43"/>
      <c r="D614" s="43"/>
      <c r="E614" s="56"/>
      <c r="F614" s="43">
        <f t="shared" si="19"/>
        <v>0</v>
      </c>
      <c r="G614" s="44"/>
    </row>
    <row r="615" spans="1:7" x14ac:dyDescent="0.35">
      <c r="A615" s="49"/>
      <c r="B615" s="49"/>
      <c r="C615" s="46"/>
      <c r="D615" s="46"/>
      <c r="E615" s="57"/>
      <c r="F615" s="46">
        <f t="shared" si="19"/>
        <v>0</v>
      </c>
      <c r="G615" s="48"/>
    </row>
    <row r="616" spans="1:7" x14ac:dyDescent="0.35">
      <c r="A616" s="50"/>
      <c r="B616" s="50"/>
      <c r="C616" s="43"/>
      <c r="D616" s="43"/>
      <c r="E616" s="56"/>
      <c r="F616" s="43">
        <f t="shared" si="19"/>
        <v>0</v>
      </c>
      <c r="G616" s="44"/>
    </row>
    <row r="617" spans="1:7" x14ac:dyDescent="0.35">
      <c r="A617" s="49"/>
      <c r="B617" s="49"/>
      <c r="C617" s="46"/>
      <c r="D617" s="46"/>
      <c r="E617" s="57"/>
      <c r="F617" s="46">
        <f t="shared" si="19"/>
        <v>0</v>
      </c>
      <c r="G617" s="48"/>
    </row>
    <row r="618" spans="1:7" x14ac:dyDescent="0.35">
      <c r="A618" s="50"/>
      <c r="B618" s="50"/>
      <c r="C618" s="43"/>
      <c r="D618" s="43"/>
      <c r="E618" s="56"/>
      <c r="F618" s="43">
        <f t="shared" si="19"/>
        <v>0</v>
      </c>
      <c r="G618" s="44"/>
    </row>
    <row r="619" spans="1:7" x14ac:dyDescent="0.35">
      <c r="A619" s="49"/>
      <c r="B619" s="49"/>
      <c r="C619" s="46"/>
      <c r="D619" s="46"/>
      <c r="E619" s="57"/>
      <c r="F619" s="46">
        <f t="shared" si="19"/>
        <v>0</v>
      </c>
      <c r="G619" s="48"/>
    </row>
    <row r="620" spans="1:7" x14ac:dyDescent="0.35">
      <c r="A620" s="50"/>
      <c r="B620" s="50"/>
      <c r="C620" s="43"/>
      <c r="D620" s="43"/>
      <c r="E620" s="56"/>
      <c r="F620" s="43">
        <f t="shared" si="19"/>
        <v>0</v>
      </c>
      <c r="G620" s="44"/>
    </row>
    <row r="621" spans="1:7" x14ac:dyDescent="0.35">
      <c r="A621" s="49"/>
      <c r="B621" s="49"/>
      <c r="C621" s="46"/>
      <c r="D621" s="46"/>
      <c r="E621" s="57"/>
      <c r="F621" s="46">
        <f t="shared" si="19"/>
        <v>0</v>
      </c>
      <c r="G621" s="48"/>
    </row>
    <row r="622" spans="1:7" x14ac:dyDescent="0.35">
      <c r="A622" s="50"/>
      <c r="B622" s="50"/>
      <c r="C622" s="43"/>
      <c r="D622" s="43"/>
      <c r="E622" s="56"/>
      <c r="F622" s="43">
        <f t="shared" si="19"/>
        <v>0</v>
      </c>
      <c r="G622" s="44"/>
    </row>
    <row r="623" spans="1:7" x14ac:dyDescent="0.35">
      <c r="A623" s="49"/>
      <c r="B623" s="49"/>
      <c r="C623" s="46"/>
      <c r="D623" s="46"/>
      <c r="E623" s="57"/>
      <c r="F623" s="46">
        <f t="shared" si="19"/>
        <v>0</v>
      </c>
      <c r="G623" s="48"/>
    </row>
    <row r="624" spans="1:7" x14ac:dyDescent="0.35">
      <c r="A624" s="50"/>
      <c r="B624" s="50"/>
      <c r="C624" s="43"/>
      <c r="D624" s="43"/>
      <c r="E624" s="56"/>
      <c r="F624" s="43">
        <f t="shared" si="19"/>
        <v>0</v>
      </c>
      <c r="G624" s="44"/>
    </row>
    <row r="625" spans="1:7" x14ac:dyDescent="0.35">
      <c r="A625" s="49"/>
      <c r="B625" s="49"/>
      <c r="C625" s="46"/>
      <c r="D625" s="46"/>
      <c r="E625" s="57"/>
      <c r="F625" s="46">
        <f t="shared" si="19"/>
        <v>0</v>
      </c>
      <c r="G625" s="48"/>
    </row>
    <row r="626" spans="1:7" x14ac:dyDescent="0.35">
      <c r="A626" s="50"/>
      <c r="B626" s="50"/>
      <c r="C626" s="43"/>
      <c r="D626" s="43"/>
      <c r="E626" s="56"/>
      <c r="F626" s="43">
        <f t="shared" si="19"/>
        <v>0</v>
      </c>
      <c r="G626" s="44"/>
    </row>
    <row r="627" spans="1:7" x14ac:dyDescent="0.35">
      <c r="A627" s="49"/>
      <c r="B627" s="49"/>
      <c r="C627" s="46"/>
      <c r="D627" s="46"/>
      <c r="E627" s="57"/>
      <c r="F627" s="46">
        <f t="shared" si="19"/>
        <v>0</v>
      </c>
      <c r="G627" s="48"/>
    </row>
    <row r="628" spans="1:7" x14ac:dyDescent="0.35">
      <c r="A628" s="50"/>
      <c r="B628" s="50"/>
      <c r="C628" s="43"/>
      <c r="D628" s="43"/>
      <c r="E628" s="56"/>
      <c r="F628" s="43">
        <f t="shared" si="19"/>
        <v>0</v>
      </c>
      <c r="G628" s="44"/>
    </row>
    <row r="629" spans="1:7" x14ac:dyDescent="0.35">
      <c r="A629" s="49"/>
      <c r="B629" s="49"/>
      <c r="C629" s="46"/>
      <c r="D629" s="46"/>
      <c r="E629" s="57"/>
      <c r="F629" s="46">
        <f t="shared" si="19"/>
        <v>0</v>
      </c>
      <c r="G629" s="48"/>
    </row>
    <row r="630" spans="1:7" x14ac:dyDescent="0.35">
      <c r="A630" s="50"/>
      <c r="B630" s="50"/>
      <c r="C630" s="43"/>
      <c r="D630" s="43"/>
      <c r="E630" s="56"/>
      <c r="F630" s="43">
        <f t="shared" si="19"/>
        <v>0</v>
      </c>
      <c r="G630" s="44"/>
    </row>
    <row r="631" spans="1:7" x14ac:dyDescent="0.35">
      <c r="A631" s="49"/>
      <c r="B631" s="49"/>
      <c r="C631" s="46"/>
      <c r="D631" s="46"/>
      <c r="E631" s="57"/>
      <c r="F631" s="46">
        <f t="shared" si="19"/>
        <v>0</v>
      </c>
      <c r="G631" s="48"/>
    </row>
    <row r="632" spans="1:7" x14ac:dyDescent="0.35">
      <c r="A632" s="50"/>
      <c r="B632" s="50"/>
      <c r="C632" s="43"/>
      <c r="D632" s="43"/>
      <c r="E632" s="56"/>
      <c r="F632" s="43">
        <f t="shared" si="19"/>
        <v>0</v>
      </c>
      <c r="G632" s="44"/>
    </row>
    <row r="633" spans="1:7" x14ac:dyDescent="0.35">
      <c r="A633" s="49"/>
      <c r="B633" s="49"/>
      <c r="C633" s="46"/>
      <c r="D633" s="46"/>
      <c r="E633" s="57"/>
      <c r="F633" s="46">
        <f t="shared" si="19"/>
        <v>0</v>
      </c>
      <c r="G633" s="48"/>
    </row>
    <row r="634" spans="1:7" x14ac:dyDescent="0.35">
      <c r="A634" s="50"/>
      <c r="B634" s="50"/>
      <c r="C634" s="43"/>
      <c r="D634" s="43"/>
      <c r="E634" s="56"/>
      <c r="F634" s="43">
        <f t="shared" si="19"/>
        <v>0</v>
      </c>
      <c r="G634" s="44"/>
    </row>
    <row r="635" spans="1:7" x14ac:dyDescent="0.35">
      <c r="A635" s="49"/>
      <c r="B635" s="49"/>
      <c r="C635" s="46"/>
      <c r="D635" s="46"/>
      <c r="E635" s="57"/>
      <c r="F635" s="46">
        <f t="shared" si="19"/>
        <v>0</v>
      </c>
      <c r="G635" s="48"/>
    </row>
    <row r="636" spans="1:7" x14ac:dyDescent="0.35">
      <c r="A636" s="50"/>
      <c r="B636" s="50"/>
      <c r="C636" s="43"/>
      <c r="D636" s="43"/>
      <c r="E636" s="56"/>
      <c r="F636" s="43">
        <f t="shared" si="19"/>
        <v>0</v>
      </c>
      <c r="G636" s="44"/>
    </row>
    <row r="637" spans="1:7" x14ac:dyDescent="0.35">
      <c r="A637" s="49"/>
      <c r="B637" s="49"/>
      <c r="C637" s="46"/>
      <c r="D637" s="46"/>
      <c r="E637" s="57"/>
      <c r="F637" s="46">
        <f t="shared" si="19"/>
        <v>0</v>
      </c>
      <c r="G637" s="48"/>
    </row>
    <row r="638" spans="1:7" x14ac:dyDescent="0.35">
      <c r="A638" s="50"/>
      <c r="B638" s="50"/>
      <c r="C638" s="43"/>
      <c r="D638" s="43"/>
      <c r="E638" s="56"/>
      <c r="F638" s="43">
        <f t="shared" si="19"/>
        <v>0</v>
      </c>
      <c r="G638" s="44"/>
    </row>
    <row r="639" spans="1:7" x14ac:dyDescent="0.35">
      <c r="A639" s="49"/>
      <c r="B639" s="49"/>
      <c r="C639" s="46"/>
      <c r="D639" s="46"/>
      <c r="E639" s="57"/>
      <c r="F639" s="46">
        <f t="shared" si="19"/>
        <v>0</v>
      </c>
      <c r="G639" s="48"/>
    </row>
    <row r="640" spans="1:7" x14ac:dyDescent="0.35">
      <c r="A640" s="50"/>
      <c r="B640" s="50"/>
      <c r="C640" s="43"/>
      <c r="D640" s="43"/>
      <c r="E640" s="56"/>
      <c r="F640" s="43">
        <f t="shared" si="19"/>
        <v>0</v>
      </c>
      <c r="G640" s="44"/>
    </row>
    <row r="641" spans="1:7" x14ac:dyDescent="0.35">
      <c r="A641" s="49"/>
      <c r="B641" s="49"/>
      <c r="C641" s="46"/>
      <c r="D641" s="46"/>
      <c r="E641" s="57"/>
      <c r="F641" s="46">
        <f t="shared" si="19"/>
        <v>0</v>
      </c>
      <c r="G641" s="48"/>
    </row>
    <row r="642" spans="1:7" x14ac:dyDescent="0.35">
      <c r="A642" s="50"/>
      <c r="B642" s="50"/>
      <c r="C642" s="43"/>
      <c r="D642" s="43"/>
      <c r="E642" s="56"/>
      <c r="F642" s="43">
        <f t="shared" si="19"/>
        <v>0</v>
      </c>
      <c r="G642" s="44"/>
    </row>
    <row r="643" spans="1:7" x14ac:dyDescent="0.35">
      <c r="A643" s="49"/>
      <c r="B643" s="49"/>
      <c r="C643" s="46"/>
      <c r="D643" s="46"/>
      <c r="E643" s="57"/>
      <c r="F643" s="46">
        <f t="shared" si="19"/>
        <v>0</v>
      </c>
      <c r="G643" s="48"/>
    </row>
    <row r="644" spans="1:7" x14ac:dyDescent="0.35">
      <c r="A644" s="50"/>
      <c r="B644" s="50"/>
      <c r="C644" s="43"/>
      <c r="D644" s="43"/>
      <c r="E644" s="56"/>
      <c r="F644" s="43">
        <f t="shared" si="19"/>
        <v>0</v>
      </c>
      <c r="G644" s="44"/>
    </row>
    <row r="645" spans="1:7" x14ac:dyDescent="0.35">
      <c r="A645" s="49"/>
      <c r="B645" s="49"/>
      <c r="C645" s="46"/>
      <c r="D645" s="46"/>
      <c r="E645" s="57"/>
      <c r="F645" s="46">
        <f t="shared" si="19"/>
        <v>0</v>
      </c>
      <c r="G645" s="48"/>
    </row>
    <row r="646" spans="1:7" x14ac:dyDescent="0.35">
      <c r="A646" s="50"/>
      <c r="B646" s="50"/>
      <c r="C646" s="43"/>
      <c r="D646" s="43"/>
      <c r="E646" s="56"/>
      <c r="F646" s="43">
        <f t="shared" si="19"/>
        <v>0</v>
      </c>
      <c r="G646" s="44"/>
    </row>
    <row r="647" spans="1:7" x14ac:dyDescent="0.35">
      <c r="A647" s="49"/>
      <c r="B647" s="49"/>
      <c r="C647" s="46"/>
      <c r="D647" s="46"/>
      <c r="E647" s="57"/>
      <c r="F647" s="46">
        <f t="shared" si="19"/>
        <v>0</v>
      </c>
      <c r="G647" s="48"/>
    </row>
    <row r="648" spans="1:7" x14ac:dyDescent="0.35">
      <c r="A648" s="50"/>
      <c r="B648" s="50"/>
      <c r="C648" s="43"/>
      <c r="D648" s="43"/>
      <c r="E648" s="56"/>
      <c r="F648" s="43">
        <f t="shared" si="19"/>
        <v>0</v>
      </c>
      <c r="G648" s="44"/>
    </row>
    <row r="649" spans="1:7" x14ac:dyDescent="0.35">
      <c r="A649" s="49"/>
      <c r="B649" s="49"/>
      <c r="C649" s="46"/>
      <c r="D649" s="46"/>
      <c r="E649" s="57"/>
      <c r="F649" s="46">
        <f t="shared" si="19"/>
        <v>0</v>
      </c>
      <c r="G649" s="48"/>
    </row>
    <row r="650" spans="1:7" x14ac:dyDescent="0.35">
      <c r="A650" s="50"/>
      <c r="B650" s="50"/>
      <c r="C650" s="43"/>
      <c r="D650" s="43"/>
      <c r="E650" s="56"/>
      <c r="F650" s="43">
        <f t="shared" si="19"/>
        <v>0</v>
      </c>
      <c r="G650" s="44"/>
    </row>
    <row r="651" spans="1:7" x14ac:dyDescent="0.35">
      <c r="A651" s="49"/>
      <c r="B651" s="49"/>
      <c r="C651" s="46"/>
      <c r="D651" s="46"/>
      <c r="E651" s="57"/>
      <c r="F651" s="46">
        <f t="shared" si="19"/>
        <v>0</v>
      </c>
      <c r="G651" s="48"/>
    </row>
    <row r="652" spans="1:7" x14ac:dyDescent="0.35">
      <c r="A652" s="50"/>
      <c r="B652" s="50"/>
      <c r="C652" s="43"/>
      <c r="D652" s="43"/>
      <c r="E652" s="56"/>
      <c r="F652" s="43">
        <f t="shared" si="19"/>
        <v>0</v>
      </c>
      <c r="G652" s="44"/>
    </row>
    <row r="653" spans="1:7" x14ac:dyDescent="0.35">
      <c r="A653" s="49"/>
      <c r="B653" s="49"/>
      <c r="C653" s="46"/>
      <c r="D653" s="46"/>
      <c r="E653" s="57"/>
      <c r="F653" s="46">
        <f t="shared" si="19"/>
        <v>0</v>
      </c>
      <c r="G653" s="48"/>
    </row>
    <row r="654" spans="1:7" x14ac:dyDescent="0.35">
      <c r="A654" s="50"/>
      <c r="B654" s="50"/>
      <c r="C654" s="43"/>
      <c r="D654" s="43"/>
      <c r="E654" s="56"/>
      <c r="F654" s="43">
        <f t="shared" si="19"/>
        <v>0</v>
      </c>
      <c r="G654" s="44"/>
    </row>
    <row r="655" spans="1:7" x14ac:dyDescent="0.35">
      <c r="A655" s="49"/>
      <c r="B655" s="49"/>
      <c r="C655" s="46"/>
      <c r="D655" s="46"/>
      <c r="E655" s="57"/>
      <c r="F655" s="46">
        <f t="shared" si="19"/>
        <v>0</v>
      </c>
      <c r="G655" s="48"/>
    </row>
    <row r="656" spans="1:7" x14ac:dyDescent="0.35">
      <c r="A656" s="50"/>
      <c r="B656" s="50"/>
      <c r="C656" s="43"/>
      <c r="D656" s="43"/>
      <c r="E656" s="56"/>
      <c r="F656" s="43">
        <f t="shared" si="19"/>
        <v>0</v>
      </c>
      <c r="G656" s="44"/>
    </row>
    <row r="657" spans="1:7" x14ac:dyDescent="0.35">
      <c r="A657" s="49"/>
      <c r="B657" s="49"/>
      <c r="C657" s="46"/>
      <c r="D657" s="46"/>
      <c r="E657" s="57"/>
      <c r="F657" s="46">
        <f t="shared" si="19"/>
        <v>0</v>
      </c>
      <c r="G657" s="48"/>
    </row>
    <row r="658" spans="1:7" x14ac:dyDescent="0.35">
      <c r="A658" s="50"/>
      <c r="B658" s="50"/>
      <c r="C658" s="43"/>
      <c r="D658" s="43"/>
      <c r="E658" s="56"/>
      <c r="F658" s="43">
        <f t="shared" si="19"/>
        <v>0</v>
      </c>
      <c r="G658" s="44"/>
    </row>
    <row r="659" spans="1:7" x14ac:dyDescent="0.35">
      <c r="A659" s="49"/>
      <c r="B659" s="49"/>
      <c r="C659" s="46"/>
      <c r="D659" s="46"/>
      <c r="E659" s="57"/>
      <c r="F659" s="46">
        <f t="shared" si="19"/>
        <v>0</v>
      </c>
      <c r="G659" s="48"/>
    </row>
    <row r="660" spans="1:7" x14ac:dyDescent="0.35">
      <c r="A660" s="50"/>
      <c r="B660" s="50"/>
      <c r="C660" s="43"/>
      <c r="D660" s="43"/>
      <c r="E660" s="56"/>
      <c r="F660" s="43">
        <f t="shared" si="19"/>
        <v>0</v>
      </c>
      <c r="G660" s="44"/>
    </row>
    <row r="661" spans="1:7" x14ac:dyDescent="0.35">
      <c r="A661" s="49"/>
      <c r="B661" s="49"/>
      <c r="C661" s="46"/>
      <c r="D661" s="46"/>
      <c r="E661" s="57"/>
      <c r="F661" s="46">
        <f t="shared" si="19"/>
        <v>0</v>
      </c>
      <c r="G661" s="48"/>
    </row>
    <row r="662" spans="1:7" x14ac:dyDescent="0.35">
      <c r="A662" s="50"/>
      <c r="B662" s="50"/>
      <c r="C662" s="43"/>
      <c r="D662" s="43"/>
      <c r="E662" s="56"/>
      <c r="F662" s="43">
        <f t="shared" si="19"/>
        <v>0</v>
      </c>
      <c r="G662" s="44"/>
    </row>
    <row r="663" spans="1:7" x14ac:dyDescent="0.35">
      <c r="A663" s="49"/>
      <c r="B663" s="49"/>
      <c r="C663" s="46"/>
      <c r="D663" s="46"/>
      <c r="E663" s="57"/>
      <c r="F663" s="46">
        <f t="shared" ref="F663:F726" si="20">D663</f>
        <v>0</v>
      </c>
      <c r="G663" s="48"/>
    </row>
    <row r="664" spans="1:7" x14ac:dyDescent="0.35">
      <c r="A664" s="50"/>
      <c r="B664" s="50"/>
      <c r="C664" s="43"/>
      <c r="D664" s="43"/>
      <c r="E664" s="56"/>
      <c r="F664" s="43">
        <f t="shared" si="20"/>
        <v>0</v>
      </c>
      <c r="G664" s="44"/>
    </row>
    <row r="665" spans="1:7" x14ac:dyDescent="0.35">
      <c r="A665" s="49"/>
      <c r="B665" s="49"/>
      <c r="C665" s="46"/>
      <c r="D665" s="46"/>
      <c r="E665" s="57"/>
      <c r="F665" s="46">
        <f t="shared" si="20"/>
        <v>0</v>
      </c>
      <c r="G665" s="48"/>
    </row>
    <row r="666" spans="1:7" x14ac:dyDescent="0.35">
      <c r="A666" s="50"/>
      <c r="B666" s="50"/>
      <c r="C666" s="43"/>
      <c r="D666" s="43"/>
      <c r="E666" s="56"/>
      <c r="F666" s="43">
        <f t="shared" si="20"/>
        <v>0</v>
      </c>
      <c r="G666" s="44"/>
    </row>
    <row r="667" spans="1:7" x14ac:dyDescent="0.35">
      <c r="A667" s="49"/>
      <c r="B667" s="49"/>
      <c r="C667" s="46"/>
      <c r="D667" s="46"/>
      <c r="E667" s="57"/>
      <c r="F667" s="46">
        <f t="shared" si="20"/>
        <v>0</v>
      </c>
      <c r="G667" s="48"/>
    </row>
    <row r="668" spans="1:7" x14ac:dyDescent="0.35">
      <c r="A668" s="50"/>
      <c r="B668" s="50"/>
      <c r="C668" s="43"/>
      <c r="D668" s="43"/>
      <c r="E668" s="56"/>
      <c r="F668" s="43">
        <f t="shared" si="20"/>
        <v>0</v>
      </c>
      <c r="G668" s="44"/>
    </row>
    <row r="669" spans="1:7" x14ac:dyDescent="0.35">
      <c r="A669" s="49"/>
      <c r="B669" s="49"/>
      <c r="C669" s="46"/>
      <c r="D669" s="46"/>
      <c r="E669" s="57"/>
      <c r="F669" s="46">
        <f t="shared" si="20"/>
        <v>0</v>
      </c>
      <c r="G669" s="48"/>
    </row>
    <row r="670" spans="1:7" x14ac:dyDescent="0.35">
      <c r="A670" s="50"/>
      <c r="B670" s="50"/>
      <c r="C670" s="43"/>
      <c r="D670" s="43"/>
      <c r="E670" s="56"/>
      <c r="F670" s="43">
        <f t="shared" si="20"/>
        <v>0</v>
      </c>
      <c r="G670" s="44"/>
    </row>
    <row r="671" spans="1:7" x14ac:dyDescent="0.35">
      <c r="A671" s="49"/>
      <c r="B671" s="49"/>
      <c r="C671" s="46"/>
      <c r="D671" s="46"/>
      <c r="E671" s="57"/>
      <c r="F671" s="46">
        <f t="shared" si="20"/>
        <v>0</v>
      </c>
      <c r="G671" s="48"/>
    </row>
    <row r="672" spans="1:7" x14ac:dyDescent="0.35">
      <c r="A672" s="50"/>
      <c r="B672" s="50"/>
      <c r="C672" s="43"/>
      <c r="D672" s="43"/>
      <c r="E672" s="56"/>
      <c r="F672" s="43">
        <f t="shared" si="20"/>
        <v>0</v>
      </c>
      <c r="G672" s="44"/>
    </row>
    <row r="673" spans="1:7" x14ac:dyDescent="0.35">
      <c r="A673" s="49"/>
      <c r="B673" s="49"/>
      <c r="C673" s="46"/>
      <c r="D673" s="46"/>
      <c r="E673" s="57"/>
      <c r="F673" s="46">
        <f t="shared" si="20"/>
        <v>0</v>
      </c>
      <c r="G673" s="48"/>
    </row>
    <row r="674" spans="1:7" x14ac:dyDescent="0.35">
      <c r="A674" s="50"/>
      <c r="B674" s="50"/>
      <c r="C674" s="43"/>
      <c r="D674" s="43"/>
      <c r="E674" s="56"/>
      <c r="F674" s="43">
        <f t="shared" si="20"/>
        <v>0</v>
      </c>
      <c r="G674" s="44"/>
    </row>
    <row r="675" spans="1:7" x14ac:dyDescent="0.35">
      <c r="A675" s="49"/>
      <c r="B675" s="49"/>
      <c r="C675" s="46"/>
      <c r="D675" s="46"/>
      <c r="E675" s="57"/>
      <c r="F675" s="46">
        <f t="shared" si="20"/>
        <v>0</v>
      </c>
      <c r="G675" s="48"/>
    </row>
    <row r="676" spans="1:7" x14ac:dyDescent="0.35">
      <c r="A676" s="50"/>
      <c r="B676" s="50"/>
      <c r="C676" s="43"/>
      <c r="D676" s="43"/>
      <c r="E676" s="56"/>
      <c r="F676" s="43">
        <f t="shared" si="20"/>
        <v>0</v>
      </c>
      <c r="G676" s="44"/>
    </row>
    <row r="677" spans="1:7" x14ac:dyDescent="0.35">
      <c r="A677" s="49"/>
      <c r="B677" s="49"/>
      <c r="C677" s="46"/>
      <c r="D677" s="46"/>
      <c r="E677" s="57"/>
      <c r="F677" s="46">
        <f t="shared" si="20"/>
        <v>0</v>
      </c>
      <c r="G677" s="48"/>
    </row>
    <row r="678" spans="1:7" x14ac:dyDescent="0.35">
      <c r="A678" s="50"/>
      <c r="B678" s="50"/>
      <c r="C678" s="43"/>
      <c r="D678" s="43"/>
      <c r="E678" s="56"/>
      <c r="F678" s="43">
        <f t="shared" si="20"/>
        <v>0</v>
      </c>
      <c r="G678" s="44"/>
    </row>
    <row r="679" spans="1:7" x14ac:dyDescent="0.35">
      <c r="A679" s="49"/>
      <c r="B679" s="49"/>
      <c r="C679" s="46"/>
      <c r="D679" s="46"/>
      <c r="E679" s="57"/>
      <c r="F679" s="46">
        <f t="shared" si="20"/>
        <v>0</v>
      </c>
      <c r="G679" s="48"/>
    </row>
    <row r="680" spans="1:7" x14ac:dyDescent="0.35">
      <c r="A680" s="50"/>
      <c r="B680" s="50"/>
      <c r="C680" s="43"/>
      <c r="D680" s="43"/>
      <c r="E680" s="56"/>
      <c r="F680" s="43">
        <f t="shared" si="20"/>
        <v>0</v>
      </c>
      <c r="G680" s="44"/>
    </row>
    <row r="681" spans="1:7" x14ac:dyDescent="0.35">
      <c r="A681" s="49"/>
      <c r="B681" s="49"/>
      <c r="C681" s="46"/>
      <c r="D681" s="46"/>
      <c r="E681" s="57"/>
      <c r="F681" s="46">
        <f t="shared" si="20"/>
        <v>0</v>
      </c>
      <c r="G681" s="48"/>
    </row>
    <row r="682" spans="1:7" x14ac:dyDescent="0.35">
      <c r="A682" s="50"/>
      <c r="B682" s="50"/>
      <c r="C682" s="43"/>
      <c r="D682" s="43"/>
      <c r="E682" s="56"/>
      <c r="F682" s="43">
        <f t="shared" si="20"/>
        <v>0</v>
      </c>
      <c r="G682" s="44"/>
    </row>
    <row r="683" spans="1:7" x14ac:dyDescent="0.35">
      <c r="A683" s="49"/>
      <c r="B683" s="49"/>
      <c r="C683" s="46"/>
      <c r="D683" s="46"/>
      <c r="E683" s="57"/>
      <c r="F683" s="46">
        <f t="shared" si="20"/>
        <v>0</v>
      </c>
      <c r="G683" s="48"/>
    </row>
    <row r="684" spans="1:7" x14ac:dyDescent="0.35">
      <c r="A684" s="50"/>
      <c r="B684" s="50"/>
      <c r="C684" s="43"/>
      <c r="D684" s="43"/>
      <c r="E684" s="56"/>
      <c r="F684" s="43">
        <f t="shared" si="20"/>
        <v>0</v>
      </c>
      <c r="G684" s="44"/>
    </row>
    <row r="685" spans="1:7" x14ac:dyDescent="0.35">
      <c r="A685" s="49"/>
      <c r="B685" s="49"/>
      <c r="C685" s="46"/>
      <c r="D685" s="46"/>
      <c r="E685" s="57"/>
      <c r="F685" s="46">
        <f t="shared" si="20"/>
        <v>0</v>
      </c>
      <c r="G685" s="48"/>
    </row>
    <row r="686" spans="1:7" x14ac:dyDescent="0.35">
      <c r="A686" s="50"/>
      <c r="B686" s="50"/>
      <c r="C686" s="43"/>
      <c r="D686" s="43"/>
      <c r="E686" s="56"/>
      <c r="F686" s="43">
        <f t="shared" si="20"/>
        <v>0</v>
      </c>
      <c r="G686" s="44"/>
    </row>
    <row r="687" spans="1:7" x14ac:dyDescent="0.35">
      <c r="A687" s="49"/>
      <c r="B687" s="49"/>
      <c r="C687" s="46"/>
      <c r="D687" s="46"/>
      <c r="E687" s="57"/>
      <c r="F687" s="46">
        <f t="shared" si="20"/>
        <v>0</v>
      </c>
      <c r="G687" s="48"/>
    </row>
    <row r="688" spans="1:7" x14ac:dyDescent="0.35">
      <c r="A688" s="50"/>
      <c r="B688" s="50"/>
      <c r="C688" s="43"/>
      <c r="D688" s="43"/>
      <c r="E688" s="56"/>
      <c r="F688" s="43">
        <f t="shared" si="20"/>
        <v>0</v>
      </c>
      <c r="G688" s="44"/>
    </row>
    <row r="689" spans="1:7" x14ac:dyDescent="0.35">
      <c r="A689" s="49"/>
      <c r="B689" s="49"/>
      <c r="C689" s="46"/>
      <c r="D689" s="46"/>
      <c r="E689" s="57"/>
      <c r="F689" s="46">
        <f t="shared" si="20"/>
        <v>0</v>
      </c>
      <c r="G689" s="48"/>
    </row>
    <row r="690" spans="1:7" x14ac:dyDescent="0.35">
      <c r="A690" s="50"/>
      <c r="B690" s="50"/>
      <c r="C690" s="43"/>
      <c r="D690" s="43"/>
      <c r="E690" s="56"/>
      <c r="F690" s="43">
        <f t="shared" si="20"/>
        <v>0</v>
      </c>
      <c r="G690" s="44"/>
    </row>
    <row r="691" spans="1:7" x14ac:dyDescent="0.35">
      <c r="A691" s="49"/>
      <c r="B691" s="49"/>
      <c r="C691" s="46"/>
      <c r="D691" s="46"/>
      <c r="E691" s="57"/>
      <c r="F691" s="46">
        <f t="shared" si="20"/>
        <v>0</v>
      </c>
      <c r="G691" s="48"/>
    </row>
    <row r="692" spans="1:7" x14ac:dyDescent="0.35">
      <c r="A692" s="50"/>
      <c r="B692" s="50"/>
      <c r="C692" s="43"/>
      <c r="D692" s="43"/>
      <c r="E692" s="56"/>
      <c r="F692" s="43">
        <f t="shared" si="20"/>
        <v>0</v>
      </c>
      <c r="G692" s="44"/>
    </row>
    <row r="693" spans="1:7" x14ac:dyDescent="0.35">
      <c r="A693" s="49"/>
      <c r="B693" s="49"/>
      <c r="C693" s="46"/>
      <c r="D693" s="46"/>
      <c r="E693" s="57"/>
      <c r="F693" s="46">
        <f t="shared" si="20"/>
        <v>0</v>
      </c>
      <c r="G693" s="48"/>
    </row>
    <row r="694" spans="1:7" x14ac:dyDescent="0.35">
      <c r="A694" s="50"/>
      <c r="B694" s="50"/>
      <c r="C694" s="43"/>
      <c r="D694" s="43"/>
      <c r="E694" s="56"/>
      <c r="F694" s="43">
        <f t="shared" si="20"/>
        <v>0</v>
      </c>
      <c r="G694" s="44"/>
    </row>
    <row r="695" spans="1:7" x14ac:dyDescent="0.35">
      <c r="A695" s="49"/>
      <c r="B695" s="49"/>
      <c r="C695" s="46"/>
      <c r="D695" s="46"/>
      <c r="E695" s="57"/>
      <c r="F695" s="46">
        <f t="shared" si="20"/>
        <v>0</v>
      </c>
      <c r="G695" s="48"/>
    </row>
    <row r="696" spans="1:7" x14ac:dyDescent="0.35">
      <c r="A696" s="50"/>
      <c r="B696" s="50"/>
      <c r="C696" s="43"/>
      <c r="D696" s="43"/>
      <c r="E696" s="56"/>
      <c r="F696" s="43">
        <f t="shared" si="20"/>
        <v>0</v>
      </c>
      <c r="G696" s="44"/>
    </row>
    <row r="697" spans="1:7" x14ac:dyDescent="0.35">
      <c r="A697" s="49"/>
      <c r="B697" s="49"/>
      <c r="C697" s="46"/>
      <c r="D697" s="46"/>
      <c r="E697" s="57"/>
      <c r="F697" s="46">
        <f t="shared" si="20"/>
        <v>0</v>
      </c>
      <c r="G697" s="48"/>
    </row>
    <row r="698" spans="1:7" x14ac:dyDescent="0.35">
      <c r="A698" s="50"/>
      <c r="B698" s="50"/>
      <c r="C698" s="43"/>
      <c r="D698" s="43"/>
      <c r="E698" s="56"/>
      <c r="F698" s="43">
        <f t="shared" si="20"/>
        <v>0</v>
      </c>
      <c r="G698" s="44"/>
    </row>
    <row r="699" spans="1:7" x14ac:dyDescent="0.35">
      <c r="A699" s="49"/>
      <c r="B699" s="49"/>
      <c r="C699" s="46"/>
      <c r="D699" s="46"/>
      <c r="E699" s="57"/>
      <c r="F699" s="46">
        <f t="shared" si="20"/>
        <v>0</v>
      </c>
      <c r="G699" s="48"/>
    </row>
    <row r="700" spans="1:7" x14ac:dyDescent="0.35">
      <c r="A700" s="50"/>
      <c r="B700" s="50"/>
      <c r="C700" s="43"/>
      <c r="D700" s="43"/>
      <c r="E700" s="56"/>
      <c r="F700" s="43">
        <f t="shared" si="20"/>
        <v>0</v>
      </c>
      <c r="G700" s="44"/>
    </row>
    <row r="701" spans="1:7" x14ac:dyDescent="0.35">
      <c r="A701" s="49"/>
      <c r="B701" s="49"/>
      <c r="C701" s="46"/>
      <c r="D701" s="46"/>
      <c r="E701" s="57"/>
      <c r="F701" s="46">
        <f t="shared" si="20"/>
        <v>0</v>
      </c>
      <c r="G701" s="48"/>
    </row>
    <row r="702" spans="1:7" x14ac:dyDescent="0.35">
      <c r="A702" s="50"/>
      <c r="B702" s="50"/>
      <c r="C702" s="43"/>
      <c r="D702" s="43"/>
      <c r="E702" s="56"/>
      <c r="F702" s="43">
        <f t="shared" si="20"/>
        <v>0</v>
      </c>
      <c r="G702" s="44"/>
    </row>
    <row r="703" spans="1:7" x14ac:dyDescent="0.35">
      <c r="A703" s="49"/>
      <c r="B703" s="49"/>
      <c r="C703" s="46"/>
      <c r="D703" s="46"/>
      <c r="E703" s="57"/>
      <c r="F703" s="46">
        <f t="shared" si="20"/>
        <v>0</v>
      </c>
      <c r="G703" s="48"/>
    </row>
    <row r="704" spans="1:7" x14ac:dyDescent="0.35">
      <c r="A704" s="50"/>
      <c r="B704" s="50"/>
      <c r="C704" s="43"/>
      <c r="D704" s="43"/>
      <c r="E704" s="56"/>
      <c r="F704" s="43">
        <f t="shared" si="20"/>
        <v>0</v>
      </c>
      <c r="G704" s="44"/>
    </row>
    <row r="705" spans="1:7" x14ac:dyDescent="0.35">
      <c r="A705" s="49"/>
      <c r="B705" s="49"/>
      <c r="C705" s="46"/>
      <c r="D705" s="46"/>
      <c r="E705" s="57"/>
      <c r="F705" s="46">
        <f t="shared" si="20"/>
        <v>0</v>
      </c>
      <c r="G705" s="48"/>
    </row>
    <row r="706" spans="1:7" x14ac:dyDescent="0.35">
      <c r="A706" s="50"/>
      <c r="B706" s="50"/>
      <c r="C706" s="43"/>
      <c r="D706" s="43"/>
      <c r="E706" s="56"/>
      <c r="F706" s="43">
        <f t="shared" si="20"/>
        <v>0</v>
      </c>
      <c r="G706" s="44"/>
    </row>
    <row r="707" spans="1:7" x14ac:dyDescent="0.35">
      <c r="A707" s="49"/>
      <c r="B707" s="49"/>
      <c r="C707" s="46"/>
      <c r="D707" s="46"/>
      <c r="E707" s="57"/>
      <c r="F707" s="46">
        <f t="shared" si="20"/>
        <v>0</v>
      </c>
      <c r="G707" s="48"/>
    </row>
    <row r="708" spans="1:7" x14ac:dyDescent="0.35">
      <c r="A708" s="50"/>
      <c r="B708" s="50"/>
      <c r="C708" s="43"/>
      <c r="D708" s="43"/>
      <c r="E708" s="56"/>
      <c r="F708" s="43">
        <f t="shared" si="20"/>
        <v>0</v>
      </c>
      <c r="G708" s="44"/>
    </row>
    <row r="709" spans="1:7" x14ac:dyDescent="0.35">
      <c r="A709" s="49"/>
      <c r="B709" s="49"/>
      <c r="C709" s="46"/>
      <c r="D709" s="46"/>
      <c r="E709" s="57"/>
      <c r="F709" s="46">
        <f t="shared" si="20"/>
        <v>0</v>
      </c>
      <c r="G709" s="48"/>
    </row>
    <row r="710" spans="1:7" x14ac:dyDescent="0.35">
      <c r="A710" s="50"/>
      <c r="B710" s="50"/>
      <c r="C710" s="43"/>
      <c r="D710" s="43"/>
      <c r="E710" s="56"/>
      <c r="F710" s="43">
        <f t="shared" si="20"/>
        <v>0</v>
      </c>
      <c r="G710" s="44"/>
    </row>
    <row r="711" spans="1:7" x14ac:dyDescent="0.35">
      <c r="A711" s="49"/>
      <c r="B711" s="49"/>
      <c r="C711" s="46"/>
      <c r="D711" s="46"/>
      <c r="E711" s="57"/>
      <c r="F711" s="46">
        <f t="shared" si="20"/>
        <v>0</v>
      </c>
      <c r="G711" s="48"/>
    </row>
    <row r="712" spans="1:7" x14ac:dyDescent="0.35">
      <c r="A712" s="50"/>
      <c r="B712" s="50"/>
      <c r="C712" s="43"/>
      <c r="D712" s="43"/>
      <c r="E712" s="56"/>
      <c r="F712" s="43">
        <f t="shared" si="20"/>
        <v>0</v>
      </c>
      <c r="G712" s="44"/>
    </row>
    <row r="713" spans="1:7" x14ac:dyDescent="0.35">
      <c r="A713" s="49"/>
      <c r="B713" s="49"/>
      <c r="C713" s="46"/>
      <c r="D713" s="46"/>
      <c r="E713" s="57"/>
      <c r="F713" s="46">
        <f t="shared" si="20"/>
        <v>0</v>
      </c>
      <c r="G713" s="48"/>
    </row>
    <row r="714" spans="1:7" x14ac:dyDescent="0.35">
      <c r="A714" s="50"/>
      <c r="B714" s="50"/>
      <c r="C714" s="43"/>
      <c r="D714" s="43"/>
      <c r="E714" s="56"/>
      <c r="F714" s="43">
        <f t="shared" si="20"/>
        <v>0</v>
      </c>
      <c r="G714" s="44"/>
    </row>
    <row r="715" spans="1:7" x14ac:dyDescent="0.35">
      <c r="A715" s="49"/>
      <c r="B715" s="49"/>
      <c r="C715" s="46"/>
      <c r="D715" s="46"/>
      <c r="E715" s="57"/>
      <c r="F715" s="46">
        <f t="shared" si="20"/>
        <v>0</v>
      </c>
      <c r="G715" s="48"/>
    </row>
    <row r="716" spans="1:7" x14ac:dyDescent="0.35">
      <c r="A716" s="50"/>
      <c r="B716" s="50"/>
      <c r="C716" s="43"/>
      <c r="D716" s="43"/>
      <c r="E716" s="56"/>
      <c r="F716" s="43">
        <f t="shared" si="20"/>
        <v>0</v>
      </c>
      <c r="G716" s="44"/>
    </row>
    <row r="717" spans="1:7" x14ac:dyDescent="0.35">
      <c r="A717" s="49"/>
      <c r="B717" s="49"/>
      <c r="C717" s="46"/>
      <c r="D717" s="46"/>
      <c r="E717" s="57"/>
      <c r="F717" s="46">
        <f t="shared" si="20"/>
        <v>0</v>
      </c>
      <c r="G717" s="48"/>
    </row>
    <row r="718" spans="1:7" x14ac:dyDescent="0.35">
      <c r="A718" s="50"/>
      <c r="B718" s="50"/>
      <c r="C718" s="43"/>
      <c r="D718" s="43"/>
      <c r="E718" s="56"/>
      <c r="F718" s="43">
        <f t="shared" si="20"/>
        <v>0</v>
      </c>
      <c r="G718" s="44"/>
    </row>
    <row r="719" spans="1:7" x14ac:dyDescent="0.35">
      <c r="A719" s="49"/>
      <c r="B719" s="49"/>
      <c r="C719" s="46"/>
      <c r="D719" s="46"/>
      <c r="E719" s="57"/>
      <c r="F719" s="46">
        <f t="shared" si="20"/>
        <v>0</v>
      </c>
      <c r="G719" s="48"/>
    </row>
    <row r="720" spans="1:7" x14ac:dyDescent="0.35">
      <c r="A720" s="50"/>
      <c r="B720" s="50"/>
      <c r="C720" s="43"/>
      <c r="D720" s="43"/>
      <c r="E720" s="56"/>
      <c r="F720" s="43">
        <f t="shared" si="20"/>
        <v>0</v>
      </c>
      <c r="G720" s="44"/>
    </row>
    <row r="721" spans="1:7" x14ac:dyDescent="0.35">
      <c r="A721" s="49"/>
      <c r="B721" s="49"/>
      <c r="C721" s="46"/>
      <c r="D721" s="46"/>
      <c r="E721" s="57"/>
      <c r="F721" s="46">
        <f t="shared" si="20"/>
        <v>0</v>
      </c>
      <c r="G721" s="48"/>
    </row>
    <row r="722" spans="1:7" x14ac:dyDescent="0.35">
      <c r="A722" s="50"/>
      <c r="B722" s="50"/>
      <c r="C722" s="43"/>
      <c r="D722" s="43"/>
      <c r="E722" s="56"/>
      <c r="F722" s="43">
        <f t="shared" si="20"/>
        <v>0</v>
      </c>
      <c r="G722" s="44"/>
    </row>
    <row r="723" spans="1:7" x14ac:dyDescent="0.35">
      <c r="A723" s="49"/>
      <c r="B723" s="49"/>
      <c r="C723" s="46"/>
      <c r="D723" s="46"/>
      <c r="E723" s="57"/>
      <c r="F723" s="46">
        <f t="shared" si="20"/>
        <v>0</v>
      </c>
      <c r="G723" s="48"/>
    </row>
    <row r="724" spans="1:7" x14ac:dyDescent="0.35">
      <c r="A724" s="50"/>
      <c r="B724" s="50"/>
      <c r="C724" s="43"/>
      <c r="D724" s="43"/>
      <c r="E724" s="56"/>
      <c r="F724" s="43">
        <f t="shared" si="20"/>
        <v>0</v>
      </c>
      <c r="G724" s="44"/>
    </row>
    <row r="725" spans="1:7" x14ac:dyDescent="0.35">
      <c r="A725" s="49"/>
      <c r="B725" s="49"/>
      <c r="C725" s="46"/>
      <c r="D725" s="46"/>
      <c r="E725" s="57"/>
      <c r="F725" s="46">
        <f t="shared" si="20"/>
        <v>0</v>
      </c>
      <c r="G725" s="48"/>
    </row>
    <row r="726" spans="1:7" x14ac:dyDescent="0.35">
      <c r="A726" s="50"/>
      <c r="B726" s="50"/>
      <c r="C726" s="43"/>
      <c r="D726" s="43"/>
      <c r="E726" s="56"/>
      <c r="F726" s="43">
        <f t="shared" si="20"/>
        <v>0</v>
      </c>
      <c r="G726" s="44"/>
    </row>
    <row r="727" spans="1:7" x14ac:dyDescent="0.35">
      <c r="A727" s="49"/>
      <c r="B727" s="49"/>
      <c r="C727" s="46"/>
      <c r="D727" s="46"/>
      <c r="E727" s="57"/>
      <c r="F727" s="46">
        <f t="shared" ref="F727:F790" si="21">D727</f>
        <v>0</v>
      </c>
      <c r="G727" s="48"/>
    </row>
    <row r="728" spans="1:7" x14ac:dyDescent="0.35">
      <c r="A728" s="50"/>
      <c r="B728" s="50"/>
      <c r="C728" s="43"/>
      <c r="D728" s="43"/>
      <c r="E728" s="56"/>
      <c r="F728" s="43">
        <f t="shared" si="21"/>
        <v>0</v>
      </c>
      <c r="G728" s="44"/>
    </row>
    <row r="729" spans="1:7" x14ac:dyDescent="0.35">
      <c r="A729" s="49"/>
      <c r="B729" s="49"/>
      <c r="C729" s="46"/>
      <c r="D729" s="46"/>
      <c r="E729" s="57"/>
      <c r="F729" s="46">
        <f t="shared" si="21"/>
        <v>0</v>
      </c>
      <c r="G729" s="48"/>
    </row>
    <row r="730" spans="1:7" x14ac:dyDescent="0.35">
      <c r="A730" s="50"/>
      <c r="B730" s="50"/>
      <c r="C730" s="43"/>
      <c r="D730" s="43"/>
      <c r="E730" s="56"/>
      <c r="F730" s="43">
        <f t="shared" si="21"/>
        <v>0</v>
      </c>
      <c r="G730" s="44"/>
    </row>
    <row r="731" spans="1:7" x14ac:dyDescent="0.35">
      <c r="A731" s="49"/>
      <c r="B731" s="49"/>
      <c r="C731" s="46"/>
      <c r="D731" s="46"/>
      <c r="E731" s="57"/>
      <c r="F731" s="46">
        <f t="shared" si="21"/>
        <v>0</v>
      </c>
      <c r="G731" s="48"/>
    </row>
    <row r="732" spans="1:7" x14ac:dyDescent="0.35">
      <c r="A732" s="50"/>
      <c r="B732" s="50"/>
      <c r="C732" s="43"/>
      <c r="D732" s="43"/>
      <c r="E732" s="56"/>
      <c r="F732" s="43">
        <f t="shared" si="21"/>
        <v>0</v>
      </c>
      <c r="G732" s="44"/>
    </row>
    <row r="733" spans="1:7" x14ac:dyDescent="0.35">
      <c r="A733" s="49"/>
      <c r="B733" s="49"/>
      <c r="C733" s="46"/>
      <c r="D733" s="46"/>
      <c r="E733" s="57"/>
      <c r="F733" s="46">
        <f t="shared" si="21"/>
        <v>0</v>
      </c>
      <c r="G733" s="48"/>
    </row>
    <row r="734" spans="1:7" x14ac:dyDescent="0.35">
      <c r="A734" s="50"/>
      <c r="B734" s="50"/>
      <c r="C734" s="43"/>
      <c r="D734" s="43"/>
      <c r="E734" s="56"/>
      <c r="F734" s="43">
        <f t="shared" si="21"/>
        <v>0</v>
      </c>
      <c r="G734" s="44"/>
    </row>
    <row r="735" spans="1:7" x14ac:dyDescent="0.35">
      <c r="A735" s="49"/>
      <c r="B735" s="49"/>
      <c r="C735" s="46"/>
      <c r="D735" s="46"/>
      <c r="E735" s="57"/>
      <c r="F735" s="46">
        <f t="shared" si="21"/>
        <v>0</v>
      </c>
      <c r="G735" s="48"/>
    </row>
    <row r="736" spans="1:7" x14ac:dyDescent="0.35">
      <c r="A736" s="50"/>
      <c r="B736" s="50"/>
      <c r="C736" s="43"/>
      <c r="D736" s="43"/>
      <c r="E736" s="56"/>
      <c r="F736" s="43">
        <f t="shared" si="21"/>
        <v>0</v>
      </c>
      <c r="G736" s="44"/>
    </row>
    <row r="737" spans="1:7" x14ac:dyDescent="0.35">
      <c r="A737" s="49"/>
      <c r="B737" s="49"/>
      <c r="C737" s="46"/>
      <c r="D737" s="46"/>
      <c r="E737" s="57"/>
      <c r="F737" s="46">
        <f t="shared" si="21"/>
        <v>0</v>
      </c>
      <c r="G737" s="48"/>
    </row>
    <row r="738" spans="1:7" x14ac:dyDescent="0.35">
      <c r="A738" s="50"/>
      <c r="B738" s="50"/>
      <c r="C738" s="43"/>
      <c r="D738" s="43"/>
      <c r="E738" s="56"/>
      <c r="F738" s="43">
        <f t="shared" si="21"/>
        <v>0</v>
      </c>
      <c r="G738" s="44"/>
    </row>
    <row r="739" spans="1:7" x14ac:dyDescent="0.35">
      <c r="A739" s="49"/>
      <c r="B739" s="49"/>
      <c r="C739" s="46"/>
      <c r="D739" s="46"/>
      <c r="E739" s="57"/>
      <c r="F739" s="46">
        <f t="shared" si="21"/>
        <v>0</v>
      </c>
      <c r="G739" s="48"/>
    </row>
    <row r="740" spans="1:7" x14ac:dyDescent="0.35">
      <c r="A740" s="50"/>
      <c r="B740" s="50"/>
      <c r="C740" s="43"/>
      <c r="D740" s="43"/>
      <c r="E740" s="56"/>
      <c r="F740" s="43">
        <f t="shared" si="21"/>
        <v>0</v>
      </c>
      <c r="G740" s="44"/>
    </row>
    <row r="741" spans="1:7" x14ac:dyDescent="0.35">
      <c r="A741" s="49"/>
      <c r="B741" s="49"/>
      <c r="C741" s="46"/>
      <c r="D741" s="46"/>
      <c r="E741" s="57"/>
      <c r="F741" s="46">
        <f t="shared" si="21"/>
        <v>0</v>
      </c>
      <c r="G741" s="48"/>
    </row>
    <row r="742" spans="1:7" x14ac:dyDescent="0.35">
      <c r="A742" s="50"/>
      <c r="B742" s="50"/>
      <c r="C742" s="43"/>
      <c r="D742" s="43"/>
      <c r="E742" s="56"/>
      <c r="F742" s="43">
        <f t="shared" si="21"/>
        <v>0</v>
      </c>
      <c r="G742" s="44"/>
    </row>
    <row r="743" spans="1:7" x14ac:dyDescent="0.35">
      <c r="A743" s="49"/>
      <c r="B743" s="49"/>
      <c r="C743" s="46"/>
      <c r="D743" s="46"/>
      <c r="E743" s="57"/>
      <c r="F743" s="46">
        <f t="shared" si="21"/>
        <v>0</v>
      </c>
      <c r="G743" s="48"/>
    </row>
    <row r="744" spans="1:7" x14ac:dyDescent="0.35">
      <c r="A744" s="50"/>
      <c r="B744" s="50"/>
      <c r="C744" s="43"/>
      <c r="D744" s="43"/>
      <c r="E744" s="56"/>
      <c r="F744" s="43">
        <f t="shared" si="21"/>
        <v>0</v>
      </c>
      <c r="G744" s="44"/>
    </row>
    <row r="745" spans="1:7" x14ac:dyDescent="0.35">
      <c r="A745" s="49"/>
      <c r="B745" s="49"/>
      <c r="C745" s="46"/>
      <c r="D745" s="46"/>
      <c r="E745" s="57"/>
      <c r="F745" s="46">
        <f t="shared" si="21"/>
        <v>0</v>
      </c>
      <c r="G745" s="48"/>
    </row>
    <row r="746" spans="1:7" x14ac:dyDescent="0.35">
      <c r="A746" s="50"/>
      <c r="B746" s="50"/>
      <c r="C746" s="43"/>
      <c r="D746" s="43"/>
      <c r="E746" s="56"/>
      <c r="F746" s="43">
        <f t="shared" si="21"/>
        <v>0</v>
      </c>
      <c r="G746" s="44"/>
    </row>
    <row r="747" spans="1:7" x14ac:dyDescent="0.35">
      <c r="A747" s="49"/>
      <c r="B747" s="49"/>
      <c r="C747" s="46"/>
      <c r="D747" s="46"/>
      <c r="E747" s="57"/>
      <c r="F747" s="46">
        <f t="shared" si="21"/>
        <v>0</v>
      </c>
      <c r="G747" s="48"/>
    </row>
    <row r="748" spans="1:7" x14ac:dyDescent="0.35">
      <c r="A748" s="50"/>
      <c r="B748" s="50"/>
      <c r="C748" s="43"/>
      <c r="D748" s="43"/>
      <c r="E748" s="56"/>
      <c r="F748" s="43">
        <f t="shared" si="21"/>
        <v>0</v>
      </c>
      <c r="G748" s="44"/>
    </row>
    <row r="749" spans="1:7" x14ac:dyDescent="0.35">
      <c r="A749" s="49"/>
      <c r="B749" s="49"/>
      <c r="C749" s="46"/>
      <c r="D749" s="46"/>
      <c r="E749" s="57"/>
      <c r="F749" s="46">
        <f t="shared" si="21"/>
        <v>0</v>
      </c>
      <c r="G749" s="48"/>
    </row>
    <row r="750" spans="1:7" x14ac:dyDescent="0.35">
      <c r="A750" s="50"/>
      <c r="B750" s="50"/>
      <c r="C750" s="43"/>
      <c r="D750" s="43"/>
      <c r="E750" s="56"/>
      <c r="F750" s="43">
        <f t="shared" si="21"/>
        <v>0</v>
      </c>
      <c r="G750" s="44"/>
    </row>
    <row r="751" spans="1:7" x14ac:dyDescent="0.35">
      <c r="A751" s="49"/>
      <c r="B751" s="49"/>
      <c r="C751" s="46"/>
      <c r="D751" s="46"/>
      <c r="E751" s="57"/>
      <c r="F751" s="46">
        <f t="shared" si="21"/>
        <v>0</v>
      </c>
      <c r="G751" s="48"/>
    </row>
    <row r="752" spans="1:7" x14ac:dyDescent="0.35">
      <c r="A752" s="50"/>
      <c r="B752" s="50"/>
      <c r="C752" s="43"/>
      <c r="D752" s="43"/>
      <c r="E752" s="56"/>
      <c r="F752" s="43">
        <f t="shared" si="21"/>
        <v>0</v>
      </c>
      <c r="G752" s="44"/>
    </row>
    <row r="753" spans="1:7" x14ac:dyDescent="0.35">
      <c r="A753" s="49"/>
      <c r="B753" s="49"/>
      <c r="C753" s="46"/>
      <c r="D753" s="46"/>
      <c r="E753" s="57"/>
      <c r="F753" s="46">
        <f t="shared" si="21"/>
        <v>0</v>
      </c>
      <c r="G753" s="48"/>
    </row>
    <row r="754" spans="1:7" x14ac:dyDescent="0.35">
      <c r="A754" s="50"/>
      <c r="B754" s="50"/>
      <c r="C754" s="43"/>
      <c r="D754" s="43"/>
      <c r="E754" s="56"/>
      <c r="F754" s="43">
        <f t="shared" si="21"/>
        <v>0</v>
      </c>
      <c r="G754" s="44"/>
    </row>
    <row r="755" spans="1:7" x14ac:dyDescent="0.35">
      <c r="A755" s="49"/>
      <c r="B755" s="49"/>
      <c r="C755" s="46"/>
      <c r="D755" s="46"/>
      <c r="E755" s="57"/>
      <c r="F755" s="46">
        <f t="shared" si="21"/>
        <v>0</v>
      </c>
      <c r="G755" s="48"/>
    </row>
    <row r="756" spans="1:7" x14ac:dyDescent="0.35">
      <c r="A756" s="50"/>
      <c r="B756" s="50"/>
      <c r="C756" s="43"/>
      <c r="D756" s="43"/>
      <c r="E756" s="56"/>
      <c r="F756" s="43">
        <f t="shared" si="21"/>
        <v>0</v>
      </c>
      <c r="G756" s="44"/>
    </row>
    <row r="757" spans="1:7" x14ac:dyDescent="0.35">
      <c r="A757" s="49"/>
      <c r="B757" s="49"/>
      <c r="C757" s="46"/>
      <c r="D757" s="46"/>
      <c r="E757" s="57"/>
      <c r="F757" s="46">
        <f t="shared" si="21"/>
        <v>0</v>
      </c>
      <c r="G757" s="48"/>
    </row>
    <row r="758" spans="1:7" x14ac:dyDescent="0.35">
      <c r="A758" s="50"/>
      <c r="B758" s="50"/>
      <c r="C758" s="43"/>
      <c r="D758" s="43"/>
      <c r="E758" s="56"/>
      <c r="F758" s="43">
        <f t="shared" si="21"/>
        <v>0</v>
      </c>
      <c r="G758" s="44"/>
    </row>
    <row r="759" spans="1:7" x14ac:dyDescent="0.35">
      <c r="A759" s="49"/>
      <c r="B759" s="49"/>
      <c r="C759" s="46"/>
      <c r="D759" s="46"/>
      <c r="E759" s="57"/>
      <c r="F759" s="46">
        <f t="shared" si="21"/>
        <v>0</v>
      </c>
      <c r="G759" s="48"/>
    </row>
    <row r="760" spans="1:7" x14ac:dyDescent="0.35">
      <c r="A760" s="50"/>
      <c r="B760" s="50"/>
      <c r="C760" s="43"/>
      <c r="D760" s="43"/>
      <c r="E760" s="56"/>
      <c r="F760" s="43">
        <f t="shared" si="21"/>
        <v>0</v>
      </c>
      <c r="G760" s="44"/>
    </row>
    <row r="761" spans="1:7" x14ac:dyDescent="0.35">
      <c r="A761" s="49"/>
      <c r="B761" s="49"/>
      <c r="C761" s="46"/>
      <c r="D761" s="46"/>
      <c r="E761" s="57"/>
      <c r="F761" s="46">
        <f t="shared" si="21"/>
        <v>0</v>
      </c>
      <c r="G761" s="48"/>
    </row>
    <row r="762" spans="1:7" x14ac:dyDescent="0.35">
      <c r="A762" s="50"/>
      <c r="B762" s="50"/>
      <c r="C762" s="43"/>
      <c r="D762" s="43"/>
      <c r="E762" s="56"/>
      <c r="F762" s="43">
        <f t="shared" si="21"/>
        <v>0</v>
      </c>
      <c r="G762" s="44"/>
    </row>
    <row r="763" spans="1:7" x14ac:dyDescent="0.35">
      <c r="A763" s="49"/>
      <c r="B763" s="49"/>
      <c r="C763" s="46"/>
      <c r="D763" s="46"/>
      <c r="E763" s="57"/>
      <c r="F763" s="46">
        <f t="shared" si="21"/>
        <v>0</v>
      </c>
      <c r="G763" s="48"/>
    </row>
    <row r="764" spans="1:7" x14ac:dyDescent="0.35">
      <c r="A764" s="50"/>
      <c r="B764" s="50"/>
      <c r="C764" s="43"/>
      <c r="D764" s="43"/>
      <c r="E764" s="56"/>
      <c r="F764" s="43">
        <f t="shared" si="21"/>
        <v>0</v>
      </c>
      <c r="G764" s="44"/>
    </row>
    <row r="765" spans="1:7" x14ac:dyDescent="0.35">
      <c r="A765" s="49"/>
      <c r="B765" s="49"/>
      <c r="C765" s="46"/>
      <c r="D765" s="46"/>
      <c r="E765" s="57"/>
      <c r="F765" s="46">
        <f t="shared" si="21"/>
        <v>0</v>
      </c>
      <c r="G765" s="48"/>
    </row>
    <row r="766" spans="1:7" x14ac:dyDescent="0.35">
      <c r="A766" s="50"/>
      <c r="B766" s="50"/>
      <c r="C766" s="43"/>
      <c r="D766" s="43"/>
      <c r="E766" s="56"/>
      <c r="F766" s="43">
        <f t="shared" si="21"/>
        <v>0</v>
      </c>
      <c r="G766" s="44"/>
    </row>
    <row r="767" spans="1:7" x14ac:dyDescent="0.35">
      <c r="A767" s="49"/>
      <c r="B767" s="49"/>
      <c r="C767" s="46"/>
      <c r="D767" s="46"/>
      <c r="E767" s="57"/>
      <c r="F767" s="46">
        <f t="shared" si="21"/>
        <v>0</v>
      </c>
      <c r="G767" s="48"/>
    </row>
    <row r="768" spans="1:7" x14ac:dyDescent="0.35">
      <c r="A768" s="50"/>
      <c r="B768" s="50"/>
      <c r="C768" s="43"/>
      <c r="D768" s="43"/>
      <c r="E768" s="56"/>
      <c r="F768" s="43">
        <f t="shared" si="21"/>
        <v>0</v>
      </c>
      <c r="G768" s="44"/>
    </row>
    <row r="769" spans="1:7" x14ac:dyDescent="0.35">
      <c r="A769" s="49"/>
      <c r="B769" s="49"/>
      <c r="C769" s="46"/>
      <c r="D769" s="46"/>
      <c r="E769" s="57"/>
      <c r="F769" s="46">
        <f t="shared" si="21"/>
        <v>0</v>
      </c>
      <c r="G769" s="48"/>
    </row>
    <row r="770" spans="1:7" x14ac:dyDescent="0.35">
      <c r="A770" s="50"/>
      <c r="B770" s="50"/>
      <c r="C770" s="43"/>
      <c r="D770" s="43"/>
      <c r="E770" s="56"/>
      <c r="F770" s="43">
        <f t="shared" si="21"/>
        <v>0</v>
      </c>
      <c r="G770" s="44"/>
    </row>
    <row r="771" spans="1:7" x14ac:dyDescent="0.35">
      <c r="A771" s="49"/>
      <c r="B771" s="49"/>
      <c r="C771" s="46"/>
      <c r="D771" s="46"/>
      <c r="E771" s="57"/>
      <c r="F771" s="46">
        <f t="shared" si="21"/>
        <v>0</v>
      </c>
      <c r="G771" s="48"/>
    </row>
    <row r="772" spans="1:7" x14ac:dyDescent="0.35">
      <c r="A772" s="50"/>
      <c r="B772" s="50"/>
      <c r="C772" s="43"/>
      <c r="D772" s="43"/>
      <c r="E772" s="56"/>
      <c r="F772" s="43">
        <f t="shared" si="21"/>
        <v>0</v>
      </c>
      <c r="G772" s="44"/>
    </row>
    <row r="773" spans="1:7" x14ac:dyDescent="0.35">
      <c r="A773" s="49"/>
      <c r="B773" s="49"/>
      <c r="C773" s="46"/>
      <c r="D773" s="46"/>
      <c r="E773" s="57"/>
      <c r="F773" s="46">
        <f t="shared" si="21"/>
        <v>0</v>
      </c>
      <c r="G773" s="48"/>
    </row>
    <row r="774" spans="1:7" x14ac:dyDescent="0.35">
      <c r="A774" s="50"/>
      <c r="B774" s="50"/>
      <c r="C774" s="43"/>
      <c r="D774" s="43"/>
      <c r="E774" s="56"/>
      <c r="F774" s="43">
        <f t="shared" si="21"/>
        <v>0</v>
      </c>
      <c r="G774" s="44"/>
    </row>
    <row r="775" spans="1:7" x14ac:dyDescent="0.35">
      <c r="A775" s="49"/>
      <c r="B775" s="49"/>
      <c r="C775" s="46"/>
      <c r="D775" s="46"/>
      <c r="E775" s="57"/>
      <c r="F775" s="46">
        <f t="shared" si="21"/>
        <v>0</v>
      </c>
      <c r="G775" s="48"/>
    </row>
    <row r="776" spans="1:7" x14ac:dyDescent="0.35">
      <c r="A776" s="50"/>
      <c r="B776" s="50"/>
      <c r="C776" s="43"/>
      <c r="D776" s="43"/>
      <c r="E776" s="56"/>
      <c r="F776" s="43">
        <f t="shared" si="21"/>
        <v>0</v>
      </c>
      <c r="G776" s="44"/>
    </row>
    <row r="777" spans="1:7" x14ac:dyDescent="0.35">
      <c r="A777" s="49"/>
      <c r="B777" s="49"/>
      <c r="C777" s="46"/>
      <c r="D777" s="46"/>
      <c r="E777" s="57"/>
      <c r="F777" s="46">
        <f t="shared" si="21"/>
        <v>0</v>
      </c>
      <c r="G777" s="48"/>
    </row>
    <row r="778" spans="1:7" x14ac:dyDescent="0.35">
      <c r="A778" s="50"/>
      <c r="B778" s="50"/>
      <c r="C778" s="43"/>
      <c r="D778" s="43"/>
      <c r="E778" s="56"/>
      <c r="F778" s="43">
        <f t="shared" si="21"/>
        <v>0</v>
      </c>
      <c r="G778" s="44"/>
    </row>
    <row r="779" spans="1:7" x14ac:dyDescent="0.35">
      <c r="A779" s="49"/>
      <c r="B779" s="49"/>
      <c r="C779" s="46"/>
      <c r="D779" s="46"/>
      <c r="E779" s="57"/>
      <c r="F779" s="46">
        <f t="shared" si="21"/>
        <v>0</v>
      </c>
      <c r="G779" s="48"/>
    </row>
    <row r="780" spans="1:7" x14ac:dyDescent="0.35">
      <c r="A780" s="50"/>
      <c r="B780" s="50"/>
      <c r="C780" s="43"/>
      <c r="D780" s="43"/>
      <c r="E780" s="56"/>
      <c r="F780" s="43">
        <f t="shared" si="21"/>
        <v>0</v>
      </c>
      <c r="G780" s="44"/>
    </row>
    <row r="781" spans="1:7" x14ac:dyDescent="0.35">
      <c r="A781" s="49"/>
      <c r="B781" s="49"/>
      <c r="C781" s="46"/>
      <c r="D781" s="46"/>
      <c r="E781" s="57"/>
      <c r="F781" s="46">
        <f t="shared" si="21"/>
        <v>0</v>
      </c>
      <c r="G781" s="48"/>
    </row>
    <row r="782" spans="1:7" x14ac:dyDescent="0.35">
      <c r="A782" s="50"/>
      <c r="B782" s="50"/>
      <c r="C782" s="43"/>
      <c r="D782" s="43"/>
      <c r="E782" s="56"/>
      <c r="F782" s="43">
        <f t="shared" si="21"/>
        <v>0</v>
      </c>
      <c r="G782" s="44"/>
    </row>
    <row r="783" spans="1:7" x14ac:dyDescent="0.35">
      <c r="A783" s="49"/>
      <c r="B783" s="49"/>
      <c r="C783" s="46"/>
      <c r="D783" s="46"/>
      <c r="E783" s="57"/>
      <c r="F783" s="46">
        <f t="shared" si="21"/>
        <v>0</v>
      </c>
      <c r="G783" s="48"/>
    </row>
    <row r="784" spans="1:7" x14ac:dyDescent="0.35">
      <c r="A784" s="50"/>
      <c r="B784" s="50"/>
      <c r="C784" s="43"/>
      <c r="D784" s="43"/>
      <c r="E784" s="56"/>
      <c r="F784" s="43">
        <f t="shared" si="21"/>
        <v>0</v>
      </c>
      <c r="G784" s="44"/>
    </row>
    <row r="785" spans="1:7" x14ac:dyDescent="0.35">
      <c r="A785" s="49"/>
      <c r="B785" s="49"/>
      <c r="C785" s="46"/>
      <c r="D785" s="46"/>
      <c r="E785" s="57"/>
      <c r="F785" s="46">
        <f t="shared" si="21"/>
        <v>0</v>
      </c>
      <c r="G785" s="48"/>
    </row>
    <row r="786" spans="1:7" x14ac:dyDescent="0.35">
      <c r="A786" s="50"/>
      <c r="B786" s="50"/>
      <c r="C786" s="43"/>
      <c r="D786" s="43"/>
      <c r="E786" s="56"/>
      <c r="F786" s="43">
        <f t="shared" si="21"/>
        <v>0</v>
      </c>
      <c r="G786" s="44"/>
    </row>
    <row r="787" spans="1:7" x14ac:dyDescent="0.35">
      <c r="A787" s="49"/>
      <c r="B787" s="49"/>
      <c r="C787" s="46"/>
      <c r="D787" s="46"/>
      <c r="E787" s="57"/>
      <c r="F787" s="46">
        <f t="shared" si="21"/>
        <v>0</v>
      </c>
      <c r="G787" s="48"/>
    </row>
    <row r="788" spans="1:7" x14ac:dyDescent="0.35">
      <c r="A788" s="50"/>
      <c r="B788" s="50"/>
      <c r="C788" s="43"/>
      <c r="D788" s="43"/>
      <c r="E788" s="56"/>
      <c r="F788" s="43">
        <f t="shared" si="21"/>
        <v>0</v>
      </c>
      <c r="G788" s="44"/>
    </row>
    <row r="789" spans="1:7" x14ac:dyDescent="0.35">
      <c r="A789" s="49"/>
      <c r="B789" s="49"/>
      <c r="C789" s="46"/>
      <c r="D789" s="46"/>
      <c r="E789" s="57"/>
      <c r="F789" s="46">
        <f t="shared" si="21"/>
        <v>0</v>
      </c>
      <c r="G789" s="48"/>
    </row>
    <row r="790" spans="1:7" x14ac:dyDescent="0.35">
      <c r="A790" s="50"/>
      <c r="B790" s="50"/>
      <c r="C790" s="43"/>
      <c r="D790" s="43"/>
      <c r="E790" s="56"/>
      <c r="F790" s="43">
        <f t="shared" si="21"/>
        <v>0</v>
      </c>
      <c r="G790" s="44"/>
    </row>
    <row r="791" spans="1:7" x14ac:dyDescent="0.35">
      <c r="A791" s="49"/>
      <c r="B791" s="49"/>
      <c r="C791" s="46"/>
      <c r="D791" s="46"/>
      <c r="E791" s="57"/>
      <c r="F791" s="46">
        <f t="shared" ref="F791:F854" si="22">D791</f>
        <v>0</v>
      </c>
      <c r="G791" s="48"/>
    </row>
    <row r="792" spans="1:7" x14ac:dyDescent="0.35">
      <c r="A792" s="50"/>
      <c r="B792" s="50"/>
      <c r="C792" s="43"/>
      <c r="D792" s="43"/>
      <c r="E792" s="56"/>
      <c r="F792" s="43">
        <f t="shared" si="22"/>
        <v>0</v>
      </c>
      <c r="G792" s="44"/>
    </row>
    <row r="793" spans="1:7" x14ac:dyDescent="0.35">
      <c r="A793" s="49"/>
      <c r="B793" s="49"/>
      <c r="C793" s="46"/>
      <c r="D793" s="46"/>
      <c r="E793" s="57"/>
      <c r="F793" s="46">
        <f t="shared" si="22"/>
        <v>0</v>
      </c>
      <c r="G793" s="48"/>
    </row>
    <row r="794" spans="1:7" x14ac:dyDescent="0.35">
      <c r="A794" s="50"/>
      <c r="B794" s="50"/>
      <c r="C794" s="43"/>
      <c r="D794" s="43"/>
      <c r="E794" s="56"/>
      <c r="F794" s="43">
        <f t="shared" si="22"/>
        <v>0</v>
      </c>
      <c r="G794" s="44"/>
    </row>
    <row r="795" spans="1:7" x14ac:dyDescent="0.35">
      <c r="A795" s="49"/>
      <c r="B795" s="49"/>
      <c r="C795" s="46"/>
      <c r="D795" s="46"/>
      <c r="E795" s="57"/>
      <c r="F795" s="46">
        <f t="shared" si="22"/>
        <v>0</v>
      </c>
      <c r="G795" s="48"/>
    </row>
    <row r="796" spans="1:7" x14ac:dyDescent="0.35">
      <c r="A796" s="50"/>
      <c r="B796" s="50"/>
      <c r="C796" s="43"/>
      <c r="D796" s="43"/>
      <c r="E796" s="56"/>
      <c r="F796" s="43">
        <f t="shared" si="22"/>
        <v>0</v>
      </c>
      <c r="G796" s="44"/>
    </row>
    <row r="797" spans="1:7" x14ac:dyDescent="0.35">
      <c r="A797" s="49"/>
      <c r="B797" s="49"/>
      <c r="C797" s="46"/>
      <c r="D797" s="46"/>
      <c r="E797" s="57"/>
      <c r="F797" s="46">
        <f t="shared" si="22"/>
        <v>0</v>
      </c>
      <c r="G797" s="48"/>
    </row>
    <row r="798" spans="1:7" x14ac:dyDescent="0.35">
      <c r="A798" s="50"/>
      <c r="B798" s="50"/>
      <c r="C798" s="43"/>
      <c r="D798" s="43"/>
      <c r="E798" s="56"/>
      <c r="F798" s="43">
        <f t="shared" si="22"/>
        <v>0</v>
      </c>
      <c r="G798" s="44"/>
    </row>
    <row r="799" spans="1:7" x14ac:dyDescent="0.35">
      <c r="A799" s="49"/>
      <c r="B799" s="49"/>
      <c r="C799" s="46"/>
      <c r="D799" s="46"/>
      <c r="E799" s="57"/>
      <c r="F799" s="46">
        <f t="shared" si="22"/>
        <v>0</v>
      </c>
      <c r="G799" s="48"/>
    </row>
    <row r="800" spans="1:7" x14ac:dyDescent="0.35">
      <c r="A800" s="50"/>
      <c r="B800" s="50"/>
      <c r="C800" s="43"/>
      <c r="D800" s="43"/>
      <c r="E800" s="56"/>
      <c r="F800" s="43">
        <f t="shared" si="22"/>
        <v>0</v>
      </c>
      <c r="G800" s="44"/>
    </row>
    <row r="801" spans="1:7" x14ac:dyDescent="0.35">
      <c r="A801" s="49"/>
      <c r="B801" s="49"/>
      <c r="C801" s="46"/>
      <c r="D801" s="46"/>
      <c r="E801" s="57"/>
      <c r="F801" s="46">
        <f t="shared" si="22"/>
        <v>0</v>
      </c>
      <c r="G801" s="48"/>
    </row>
    <row r="802" spans="1:7" x14ac:dyDescent="0.35">
      <c r="A802" s="50"/>
      <c r="B802" s="50"/>
      <c r="C802" s="43"/>
      <c r="D802" s="43"/>
      <c r="E802" s="56"/>
      <c r="F802" s="43">
        <f t="shared" si="22"/>
        <v>0</v>
      </c>
      <c r="G802" s="44"/>
    </row>
    <row r="803" spans="1:7" x14ac:dyDescent="0.35">
      <c r="A803" s="49"/>
      <c r="B803" s="49"/>
      <c r="C803" s="46"/>
      <c r="D803" s="46"/>
      <c r="E803" s="57"/>
      <c r="F803" s="46">
        <f t="shared" si="22"/>
        <v>0</v>
      </c>
      <c r="G803" s="48"/>
    </row>
    <row r="804" spans="1:7" x14ac:dyDescent="0.35">
      <c r="A804" s="50"/>
      <c r="B804" s="50"/>
      <c r="C804" s="43"/>
      <c r="D804" s="43"/>
      <c r="E804" s="56"/>
      <c r="F804" s="43">
        <f t="shared" si="22"/>
        <v>0</v>
      </c>
      <c r="G804" s="44"/>
    </row>
    <row r="805" spans="1:7" x14ac:dyDescent="0.35">
      <c r="A805" s="49"/>
      <c r="B805" s="49"/>
      <c r="C805" s="46"/>
      <c r="D805" s="46"/>
      <c r="E805" s="57"/>
      <c r="F805" s="46">
        <f t="shared" si="22"/>
        <v>0</v>
      </c>
      <c r="G805" s="48"/>
    </row>
    <row r="806" spans="1:7" x14ac:dyDescent="0.35">
      <c r="A806" s="50"/>
      <c r="B806" s="50"/>
      <c r="C806" s="43"/>
      <c r="D806" s="43"/>
      <c r="E806" s="56"/>
      <c r="F806" s="43">
        <f t="shared" si="22"/>
        <v>0</v>
      </c>
      <c r="G806" s="44"/>
    </row>
    <row r="807" spans="1:7" x14ac:dyDescent="0.35">
      <c r="A807" s="49"/>
      <c r="B807" s="49"/>
      <c r="C807" s="46"/>
      <c r="D807" s="46"/>
      <c r="E807" s="57"/>
      <c r="F807" s="46">
        <f t="shared" si="22"/>
        <v>0</v>
      </c>
      <c r="G807" s="48"/>
    </row>
    <row r="808" spans="1:7" x14ac:dyDescent="0.35">
      <c r="A808" s="50"/>
      <c r="B808" s="50"/>
      <c r="C808" s="43"/>
      <c r="D808" s="43"/>
      <c r="E808" s="56"/>
      <c r="F808" s="43">
        <f t="shared" si="22"/>
        <v>0</v>
      </c>
      <c r="G808" s="44"/>
    </row>
    <row r="809" spans="1:7" x14ac:dyDescent="0.35">
      <c r="A809" s="49"/>
      <c r="B809" s="49"/>
      <c r="C809" s="46"/>
      <c r="D809" s="46"/>
      <c r="E809" s="57"/>
      <c r="F809" s="46">
        <f t="shared" si="22"/>
        <v>0</v>
      </c>
      <c r="G809" s="48"/>
    </row>
    <row r="810" spans="1:7" x14ac:dyDescent="0.35">
      <c r="A810" s="50"/>
      <c r="B810" s="50"/>
      <c r="C810" s="43"/>
      <c r="D810" s="43"/>
      <c r="E810" s="56"/>
      <c r="F810" s="43">
        <f t="shared" si="22"/>
        <v>0</v>
      </c>
      <c r="G810" s="44"/>
    </row>
    <row r="811" spans="1:7" x14ac:dyDescent="0.35">
      <c r="A811" s="49"/>
      <c r="B811" s="49"/>
      <c r="C811" s="46"/>
      <c r="D811" s="46"/>
      <c r="E811" s="57"/>
      <c r="F811" s="46">
        <f t="shared" si="22"/>
        <v>0</v>
      </c>
      <c r="G811" s="48"/>
    </row>
    <row r="812" spans="1:7" x14ac:dyDescent="0.35">
      <c r="A812" s="50"/>
      <c r="B812" s="50"/>
      <c r="C812" s="43"/>
      <c r="D812" s="43"/>
      <c r="E812" s="56"/>
      <c r="F812" s="43">
        <f t="shared" si="22"/>
        <v>0</v>
      </c>
      <c r="G812" s="44"/>
    </row>
    <row r="813" spans="1:7" x14ac:dyDescent="0.35">
      <c r="A813" s="49"/>
      <c r="B813" s="49"/>
      <c r="C813" s="46"/>
      <c r="D813" s="46"/>
      <c r="E813" s="57"/>
      <c r="F813" s="46">
        <f t="shared" si="22"/>
        <v>0</v>
      </c>
      <c r="G813" s="48"/>
    </row>
    <row r="814" spans="1:7" x14ac:dyDescent="0.35">
      <c r="A814" s="50"/>
      <c r="B814" s="50"/>
      <c r="C814" s="43"/>
      <c r="D814" s="43"/>
      <c r="E814" s="56"/>
      <c r="F814" s="43">
        <f t="shared" si="22"/>
        <v>0</v>
      </c>
      <c r="G814" s="44"/>
    </row>
    <row r="815" spans="1:7" x14ac:dyDescent="0.35">
      <c r="A815" s="49"/>
      <c r="B815" s="49"/>
      <c r="C815" s="46"/>
      <c r="D815" s="46"/>
      <c r="E815" s="57"/>
      <c r="F815" s="46">
        <f t="shared" si="22"/>
        <v>0</v>
      </c>
      <c r="G815" s="48"/>
    </row>
    <row r="816" spans="1:7" x14ac:dyDescent="0.35">
      <c r="A816" s="50"/>
      <c r="B816" s="50"/>
      <c r="C816" s="43"/>
      <c r="D816" s="43"/>
      <c r="E816" s="56"/>
      <c r="F816" s="43">
        <f t="shared" si="22"/>
        <v>0</v>
      </c>
      <c r="G816" s="44"/>
    </row>
    <row r="817" spans="1:7" x14ac:dyDescent="0.35">
      <c r="A817" s="49"/>
      <c r="B817" s="49"/>
      <c r="C817" s="46"/>
      <c r="D817" s="46"/>
      <c r="E817" s="57"/>
      <c r="F817" s="46">
        <f t="shared" si="22"/>
        <v>0</v>
      </c>
      <c r="G817" s="48"/>
    </row>
    <row r="818" spans="1:7" x14ac:dyDescent="0.35">
      <c r="A818" s="50"/>
      <c r="B818" s="50"/>
      <c r="C818" s="43"/>
      <c r="D818" s="43"/>
      <c r="E818" s="56"/>
      <c r="F818" s="43">
        <f t="shared" si="22"/>
        <v>0</v>
      </c>
      <c r="G818" s="44"/>
    </row>
    <row r="819" spans="1:7" x14ac:dyDescent="0.35">
      <c r="A819" s="49"/>
      <c r="B819" s="49"/>
      <c r="C819" s="46"/>
      <c r="D819" s="46"/>
      <c r="E819" s="57"/>
      <c r="F819" s="46">
        <f t="shared" si="22"/>
        <v>0</v>
      </c>
      <c r="G819" s="48"/>
    </row>
    <row r="820" spans="1:7" x14ac:dyDescent="0.35">
      <c r="A820" s="50"/>
      <c r="B820" s="50"/>
      <c r="C820" s="43"/>
      <c r="D820" s="43"/>
      <c r="E820" s="56"/>
      <c r="F820" s="43">
        <f t="shared" si="22"/>
        <v>0</v>
      </c>
      <c r="G820" s="44"/>
    </row>
    <row r="821" spans="1:7" x14ac:dyDescent="0.35">
      <c r="A821" s="49"/>
      <c r="B821" s="49"/>
      <c r="C821" s="46"/>
      <c r="D821" s="46"/>
      <c r="E821" s="57"/>
      <c r="F821" s="46">
        <f t="shared" si="22"/>
        <v>0</v>
      </c>
      <c r="G821" s="48"/>
    </row>
    <row r="822" spans="1:7" x14ac:dyDescent="0.35">
      <c r="A822" s="50"/>
      <c r="B822" s="50"/>
      <c r="C822" s="43"/>
      <c r="D822" s="43"/>
      <c r="E822" s="56"/>
      <c r="F822" s="43">
        <f t="shared" si="22"/>
        <v>0</v>
      </c>
      <c r="G822" s="44"/>
    </row>
    <row r="823" spans="1:7" x14ac:dyDescent="0.35">
      <c r="A823" s="49"/>
      <c r="B823" s="49"/>
      <c r="C823" s="46"/>
      <c r="D823" s="46"/>
      <c r="E823" s="57"/>
      <c r="F823" s="46">
        <f t="shared" si="22"/>
        <v>0</v>
      </c>
      <c r="G823" s="48"/>
    </row>
    <row r="824" spans="1:7" x14ac:dyDescent="0.35">
      <c r="A824" s="50"/>
      <c r="B824" s="50"/>
      <c r="C824" s="43"/>
      <c r="D824" s="43"/>
      <c r="E824" s="56"/>
      <c r="F824" s="43">
        <f t="shared" si="22"/>
        <v>0</v>
      </c>
      <c r="G824" s="44"/>
    </row>
    <row r="825" spans="1:7" x14ac:dyDescent="0.35">
      <c r="A825" s="49"/>
      <c r="B825" s="49"/>
      <c r="C825" s="46"/>
      <c r="D825" s="46"/>
      <c r="E825" s="57"/>
      <c r="F825" s="46">
        <f t="shared" si="22"/>
        <v>0</v>
      </c>
      <c r="G825" s="48"/>
    </row>
    <row r="826" spans="1:7" x14ac:dyDescent="0.35">
      <c r="A826" s="50"/>
      <c r="B826" s="50"/>
      <c r="C826" s="43"/>
      <c r="D826" s="43"/>
      <c r="E826" s="56"/>
      <c r="F826" s="43">
        <f t="shared" si="22"/>
        <v>0</v>
      </c>
      <c r="G826" s="44"/>
    </row>
    <row r="827" spans="1:7" x14ac:dyDescent="0.35">
      <c r="A827" s="49"/>
      <c r="B827" s="49"/>
      <c r="C827" s="46"/>
      <c r="D827" s="46"/>
      <c r="E827" s="57"/>
      <c r="F827" s="46">
        <f t="shared" si="22"/>
        <v>0</v>
      </c>
      <c r="G827" s="48"/>
    </row>
    <row r="828" spans="1:7" x14ac:dyDescent="0.35">
      <c r="A828" s="50"/>
      <c r="B828" s="50"/>
      <c r="C828" s="43"/>
      <c r="D828" s="43"/>
      <c r="E828" s="56"/>
      <c r="F828" s="43">
        <f t="shared" si="22"/>
        <v>0</v>
      </c>
      <c r="G828" s="44"/>
    </row>
    <row r="829" spans="1:7" x14ac:dyDescent="0.35">
      <c r="A829" s="49"/>
      <c r="B829" s="49"/>
      <c r="C829" s="46"/>
      <c r="D829" s="46"/>
      <c r="E829" s="57"/>
      <c r="F829" s="46">
        <f t="shared" si="22"/>
        <v>0</v>
      </c>
      <c r="G829" s="48"/>
    </row>
    <row r="830" spans="1:7" x14ac:dyDescent="0.35">
      <c r="A830" s="50"/>
      <c r="B830" s="50"/>
      <c r="C830" s="43"/>
      <c r="D830" s="43"/>
      <c r="E830" s="56"/>
      <c r="F830" s="43">
        <f t="shared" si="22"/>
        <v>0</v>
      </c>
      <c r="G830" s="44"/>
    </row>
    <row r="831" spans="1:7" x14ac:dyDescent="0.35">
      <c r="A831" s="49"/>
      <c r="B831" s="49"/>
      <c r="C831" s="46"/>
      <c r="D831" s="46"/>
      <c r="E831" s="57"/>
      <c r="F831" s="46">
        <f t="shared" si="22"/>
        <v>0</v>
      </c>
      <c r="G831" s="48"/>
    </row>
    <row r="832" spans="1:7" x14ac:dyDescent="0.35">
      <c r="A832" s="50"/>
      <c r="B832" s="50"/>
      <c r="C832" s="43"/>
      <c r="D832" s="43"/>
      <c r="E832" s="56"/>
      <c r="F832" s="43">
        <f t="shared" si="22"/>
        <v>0</v>
      </c>
      <c r="G832" s="44"/>
    </row>
    <row r="833" spans="1:7" x14ac:dyDescent="0.35">
      <c r="A833" s="49"/>
      <c r="B833" s="49"/>
      <c r="C833" s="46"/>
      <c r="D833" s="46"/>
      <c r="E833" s="57"/>
      <c r="F833" s="46">
        <f t="shared" si="22"/>
        <v>0</v>
      </c>
      <c r="G833" s="48"/>
    </row>
    <row r="834" spans="1:7" x14ac:dyDescent="0.35">
      <c r="A834" s="50"/>
      <c r="B834" s="50"/>
      <c r="C834" s="43"/>
      <c r="D834" s="43"/>
      <c r="E834" s="56"/>
      <c r="F834" s="43">
        <f t="shared" si="22"/>
        <v>0</v>
      </c>
      <c r="G834" s="44"/>
    </row>
    <row r="835" spans="1:7" x14ac:dyDescent="0.35">
      <c r="A835" s="49"/>
      <c r="B835" s="49"/>
      <c r="C835" s="46"/>
      <c r="D835" s="46"/>
      <c r="E835" s="57"/>
      <c r="F835" s="46">
        <f t="shared" si="22"/>
        <v>0</v>
      </c>
      <c r="G835" s="48"/>
    </row>
    <row r="836" spans="1:7" x14ac:dyDescent="0.35">
      <c r="A836" s="50"/>
      <c r="B836" s="50"/>
      <c r="C836" s="43"/>
      <c r="D836" s="43"/>
      <c r="E836" s="56"/>
      <c r="F836" s="43">
        <f t="shared" si="22"/>
        <v>0</v>
      </c>
      <c r="G836" s="44"/>
    </row>
    <row r="837" spans="1:7" x14ac:dyDescent="0.35">
      <c r="A837" s="49"/>
      <c r="B837" s="49"/>
      <c r="C837" s="46"/>
      <c r="D837" s="46"/>
      <c r="E837" s="57"/>
      <c r="F837" s="46">
        <f t="shared" si="22"/>
        <v>0</v>
      </c>
      <c r="G837" s="48"/>
    </row>
    <row r="838" spans="1:7" x14ac:dyDescent="0.35">
      <c r="A838" s="50"/>
      <c r="B838" s="50"/>
      <c r="C838" s="43"/>
      <c r="D838" s="43"/>
      <c r="E838" s="56"/>
      <c r="F838" s="43">
        <f t="shared" si="22"/>
        <v>0</v>
      </c>
      <c r="G838" s="44"/>
    </row>
    <row r="839" spans="1:7" x14ac:dyDescent="0.35">
      <c r="A839" s="49"/>
      <c r="B839" s="49"/>
      <c r="C839" s="46"/>
      <c r="D839" s="46"/>
      <c r="E839" s="57"/>
      <c r="F839" s="46">
        <f t="shared" si="22"/>
        <v>0</v>
      </c>
      <c r="G839" s="48"/>
    </row>
    <row r="840" spans="1:7" x14ac:dyDescent="0.35">
      <c r="A840" s="50"/>
      <c r="B840" s="50"/>
      <c r="C840" s="43"/>
      <c r="D840" s="43"/>
      <c r="E840" s="56"/>
      <c r="F840" s="43">
        <f t="shared" si="22"/>
        <v>0</v>
      </c>
      <c r="G840" s="44"/>
    </row>
    <row r="841" spans="1:7" x14ac:dyDescent="0.35">
      <c r="A841" s="49"/>
      <c r="B841" s="49"/>
      <c r="C841" s="46"/>
      <c r="D841" s="46"/>
      <c r="E841" s="57"/>
      <c r="F841" s="46">
        <f t="shared" si="22"/>
        <v>0</v>
      </c>
      <c r="G841" s="48"/>
    </row>
    <row r="842" spans="1:7" x14ac:dyDescent="0.35">
      <c r="A842" s="50"/>
      <c r="B842" s="50"/>
      <c r="C842" s="43"/>
      <c r="D842" s="43"/>
      <c r="E842" s="56"/>
      <c r="F842" s="43">
        <f t="shared" si="22"/>
        <v>0</v>
      </c>
      <c r="G842" s="44"/>
    </row>
    <row r="843" spans="1:7" x14ac:dyDescent="0.35">
      <c r="A843" s="49"/>
      <c r="B843" s="49"/>
      <c r="C843" s="46"/>
      <c r="D843" s="46"/>
      <c r="E843" s="57"/>
      <c r="F843" s="46">
        <f t="shared" si="22"/>
        <v>0</v>
      </c>
      <c r="G843" s="48"/>
    </row>
    <row r="844" spans="1:7" x14ac:dyDescent="0.35">
      <c r="A844" s="50"/>
      <c r="B844" s="50"/>
      <c r="C844" s="43"/>
      <c r="D844" s="43"/>
      <c r="E844" s="56"/>
      <c r="F844" s="43">
        <f t="shared" si="22"/>
        <v>0</v>
      </c>
      <c r="G844" s="44"/>
    </row>
    <row r="845" spans="1:7" x14ac:dyDescent="0.35">
      <c r="A845" s="49"/>
      <c r="B845" s="49"/>
      <c r="C845" s="46"/>
      <c r="D845" s="46"/>
      <c r="E845" s="57"/>
      <c r="F845" s="46">
        <f t="shared" si="22"/>
        <v>0</v>
      </c>
      <c r="G845" s="48"/>
    </row>
    <row r="846" spans="1:7" x14ac:dyDescent="0.35">
      <c r="A846" s="50"/>
      <c r="B846" s="50"/>
      <c r="C846" s="43"/>
      <c r="D846" s="43"/>
      <c r="E846" s="56"/>
      <c r="F846" s="43">
        <f t="shared" si="22"/>
        <v>0</v>
      </c>
      <c r="G846" s="44"/>
    </row>
    <row r="847" spans="1:7" x14ac:dyDescent="0.35">
      <c r="A847" s="49"/>
      <c r="B847" s="49"/>
      <c r="C847" s="46"/>
      <c r="D847" s="46"/>
      <c r="E847" s="57"/>
      <c r="F847" s="46">
        <f t="shared" si="22"/>
        <v>0</v>
      </c>
      <c r="G847" s="48"/>
    </row>
    <row r="848" spans="1:7" x14ac:dyDescent="0.35">
      <c r="A848" s="50"/>
      <c r="B848" s="50"/>
      <c r="C848" s="43"/>
      <c r="D848" s="43"/>
      <c r="E848" s="56"/>
      <c r="F848" s="43">
        <f t="shared" si="22"/>
        <v>0</v>
      </c>
      <c r="G848" s="44"/>
    </row>
    <row r="849" spans="1:7" x14ac:dyDescent="0.35">
      <c r="A849" s="49"/>
      <c r="B849" s="49"/>
      <c r="C849" s="46"/>
      <c r="D849" s="46"/>
      <c r="E849" s="57"/>
      <c r="F849" s="46">
        <f t="shared" si="22"/>
        <v>0</v>
      </c>
      <c r="G849" s="48"/>
    </row>
    <row r="850" spans="1:7" x14ac:dyDescent="0.35">
      <c r="A850" s="50"/>
      <c r="B850" s="50"/>
      <c r="C850" s="43"/>
      <c r="D850" s="43"/>
      <c r="E850" s="56"/>
      <c r="F850" s="43">
        <f t="shared" si="22"/>
        <v>0</v>
      </c>
      <c r="G850" s="44"/>
    </row>
    <row r="851" spans="1:7" x14ac:dyDescent="0.35">
      <c r="A851" s="49"/>
      <c r="B851" s="49"/>
      <c r="C851" s="46"/>
      <c r="D851" s="46"/>
      <c r="E851" s="57"/>
      <c r="F851" s="46">
        <f t="shared" si="22"/>
        <v>0</v>
      </c>
      <c r="G851" s="48"/>
    </row>
    <row r="852" spans="1:7" x14ac:dyDescent="0.35">
      <c r="A852" s="50"/>
      <c r="B852" s="50"/>
      <c r="C852" s="43"/>
      <c r="D852" s="43"/>
      <c r="E852" s="56"/>
      <c r="F852" s="43">
        <f t="shared" si="22"/>
        <v>0</v>
      </c>
      <c r="G852" s="44"/>
    </row>
    <row r="853" spans="1:7" x14ac:dyDescent="0.35">
      <c r="A853" s="49"/>
      <c r="B853" s="49"/>
      <c r="C853" s="46"/>
      <c r="D853" s="46"/>
      <c r="E853" s="57"/>
      <c r="F853" s="46">
        <f t="shared" si="22"/>
        <v>0</v>
      </c>
      <c r="G853" s="48"/>
    </row>
    <row r="854" spans="1:7" x14ac:dyDescent="0.35">
      <c r="A854" s="50"/>
      <c r="B854" s="50"/>
      <c r="C854" s="43"/>
      <c r="D854" s="43"/>
      <c r="E854" s="56"/>
      <c r="F854" s="43">
        <f t="shared" si="22"/>
        <v>0</v>
      </c>
      <c r="G854" s="44"/>
    </row>
    <row r="855" spans="1:7" x14ac:dyDescent="0.35">
      <c r="A855" s="49"/>
      <c r="B855" s="49"/>
      <c r="C855" s="46"/>
      <c r="D855" s="46"/>
      <c r="E855" s="57"/>
      <c r="F855" s="46">
        <f t="shared" ref="F855:F918" si="23">D855</f>
        <v>0</v>
      </c>
      <c r="G855" s="48"/>
    </row>
    <row r="856" spans="1:7" x14ac:dyDescent="0.35">
      <c r="A856" s="50"/>
      <c r="B856" s="50"/>
      <c r="C856" s="43"/>
      <c r="D856" s="43"/>
      <c r="E856" s="56"/>
      <c r="F856" s="43">
        <f t="shared" si="23"/>
        <v>0</v>
      </c>
      <c r="G856" s="44"/>
    </row>
    <row r="857" spans="1:7" x14ac:dyDescent="0.35">
      <c r="A857" s="49"/>
      <c r="B857" s="49"/>
      <c r="C857" s="46"/>
      <c r="D857" s="46"/>
      <c r="E857" s="57"/>
      <c r="F857" s="46">
        <f t="shared" si="23"/>
        <v>0</v>
      </c>
      <c r="G857" s="48"/>
    </row>
    <row r="858" spans="1:7" x14ac:dyDescent="0.35">
      <c r="A858" s="50"/>
      <c r="B858" s="50"/>
      <c r="C858" s="43"/>
      <c r="D858" s="43"/>
      <c r="E858" s="56"/>
      <c r="F858" s="43">
        <f t="shared" si="23"/>
        <v>0</v>
      </c>
      <c r="G858" s="44"/>
    </row>
    <row r="859" spans="1:7" x14ac:dyDescent="0.35">
      <c r="A859" s="49"/>
      <c r="B859" s="49"/>
      <c r="C859" s="46"/>
      <c r="D859" s="46"/>
      <c r="E859" s="57"/>
      <c r="F859" s="46">
        <f t="shared" si="23"/>
        <v>0</v>
      </c>
      <c r="G859" s="48"/>
    </row>
    <row r="860" spans="1:7" x14ac:dyDescent="0.35">
      <c r="A860" s="50"/>
      <c r="B860" s="50"/>
      <c r="C860" s="43"/>
      <c r="D860" s="43"/>
      <c r="E860" s="56"/>
      <c r="F860" s="43">
        <f t="shared" si="23"/>
        <v>0</v>
      </c>
      <c r="G860" s="44"/>
    </row>
    <row r="861" spans="1:7" x14ac:dyDescent="0.35">
      <c r="A861" s="49"/>
      <c r="B861" s="49"/>
      <c r="C861" s="46"/>
      <c r="D861" s="46"/>
      <c r="E861" s="57"/>
      <c r="F861" s="46">
        <f t="shared" si="23"/>
        <v>0</v>
      </c>
      <c r="G861" s="48"/>
    </row>
    <row r="862" spans="1:7" x14ac:dyDescent="0.35">
      <c r="A862" s="50"/>
      <c r="B862" s="50"/>
      <c r="C862" s="43"/>
      <c r="D862" s="43"/>
      <c r="E862" s="56"/>
      <c r="F862" s="43">
        <f t="shared" si="23"/>
        <v>0</v>
      </c>
      <c r="G862" s="44"/>
    </row>
    <row r="863" spans="1:7" x14ac:dyDescent="0.35">
      <c r="A863" s="49"/>
      <c r="B863" s="49"/>
      <c r="C863" s="46"/>
      <c r="D863" s="46"/>
      <c r="E863" s="57"/>
      <c r="F863" s="46">
        <f t="shared" si="23"/>
        <v>0</v>
      </c>
      <c r="G863" s="48"/>
    </row>
    <row r="864" spans="1:7" x14ac:dyDescent="0.35">
      <c r="A864" s="50"/>
      <c r="B864" s="50"/>
      <c r="C864" s="43"/>
      <c r="D864" s="43"/>
      <c r="E864" s="56"/>
      <c r="F864" s="43">
        <f t="shared" si="23"/>
        <v>0</v>
      </c>
      <c r="G864" s="44"/>
    </row>
    <row r="865" spans="1:7" x14ac:dyDescent="0.35">
      <c r="A865" s="49"/>
      <c r="B865" s="49"/>
      <c r="C865" s="46"/>
      <c r="D865" s="46"/>
      <c r="E865" s="57"/>
      <c r="F865" s="46">
        <f t="shared" si="23"/>
        <v>0</v>
      </c>
      <c r="G865" s="48"/>
    </row>
    <row r="866" spans="1:7" x14ac:dyDescent="0.35">
      <c r="A866" s="50"/>
      <c r="B866" s="50"/>
      <c r="C866" s="43"/>
      <c r="D866" s="43"/>
      <c r="E866" s="56"/>
      <c r="F866" s="43">
        <f t="shared" si="23"/>
        <v>0</v>
      </c>
      <c r="G866" s="44"/>
    </row>
    <row r="867" spans="1:7" x14ac:dyDescent="0.35">
      <c r="A867" s="49"/>
      <c r="B867" s="49"/>
      <c r="C867" s="46"/>
      <c r="D867" s="46"/>
      <c r="E867" s="57"/>
      <c r="F867" s="46">
        <f t="shared" si="23"/>
        <v>0</v>
      </c>
      <c r="G867" s="48"/>
    </row>
    <row r="868" spans="1:7" x14ac:dyDescent="0.35">
      <c r="A868" s="50"/>
      <c r="B868" s="50"/>
      <c r="C868" s="43"/>
      <c r="D868" s="43"/>
      <c r="E868" s="56"/>
      <c r="F868" s="43">
        <f t="shared" si="23"/>
        <v>0</v>
      </c>
      <c r="G868" s="44"/>
    </row>
    <row r="869" spans="1:7" x14ac:dyDescent="0.35">
      <c r="A869" s="49"/>
      <c r="B869" s="49"/>
      <c r="C869" s="46"/>
      <c r="D869" s="46"/>
      <c r="E869" s="57"/>
      <c r="F869" s="46">
        <f t="shared" si="23"/>
        <v>0</v>
      </c>
      <c r="G869" s="48"/>
    </row>
    <row r="870" spans="1:7" x14ac:dyDescent="0.35">
      <c r="A870" s="50"/>
      <c r="B870" s="50"/>
      <c r="C870" s="43"/>
      <c r="D870" s="43"/>
      <c r="E870" s="56"/>
      <c r="F870" s="43">
        <f t="shared" si="23"/>
        <v>0</v>
      </c>
      <c r="G870" s="44"/>
    </row>
    <row r="871" spans="1:7" x14ac:dyDescent="0.35">
      <c r="A871" s="49"/>
      <c r="B871" s="49"/>
      <c r="C871" s="46"/>
      <c r="D871" s="46"/>
      <c r="E871" s="57"/>
      <c r="F871" s="46">
        <f t="shared" si="23"/>
        <v>0</v>
      </c>
      <c r="G871" s="48"/>
    </row>
    <row r="872" spans="1:7" x14ac:dyDescent="0.35">
      <c r="A872" s="50"/>
      <c r="B872" s="50"/>
      <c r="C872" s="43"/>
      <c r="D872" s="43"/>
      <c r="E872" s="56"/>
      <c r="F872" s="43">
        <f t="shared" si="23"/>
        <v>0</v>
      </c>
      <c r="G872" s="44"/>
    </row>
    <row r="873" spans="1:7" x14ac:dyDescent="0.35">
      <c r="A873" s="49"/>
      <c r="B873" s="49"/>
      <c r="C873" s="46"/>
      <c r="D873" s="46"/>
      <c r="E873" s="57"/>
      <c r="F873" s="46">
        <f t="shared" si="23"/>
        <v>0</v>
      </c>
      <c r="G873" s="48"/>
    </row>
    <row r="874" spans="1:7" x14ac:dyDescent="0.35">
      <c r="A874" s="50"/>
      <c r="B874" s="50"/>
      <c r="C874" s="43"/>
      <c r="D874" s="43"/>
      <c r="E874" s="56"/>
      <c r="F874" s="43">
        <f t="shared" si="23"/>
        <v>0</v>
      </c>
      <c r="G874" s="44"/>
    </row>
    <row r="875" spans="1:7" x14ac:dyDescent="0.35">
      <c r="A875" s="49"/>
      <c r="B875" s="49"/>
      <c r="C875" s="46"/>
      <c r="D875" s="46"/>
      <c r="E875" s="57"/>
      <c r="F875" s="46">
        <f t="shared" si="23"/>
        <v>0</v>
      </c>
      <c r="G875" s="48"/>
    </row>
    <row r="876" spans="1:7" x14ac:dyDescent="0.35">
      <c r="A876" s="50"/>
      <c r="B876" s="50"/>
      <c r="C876" s="43"/>
      <c r="D876" s="43"/>
      <c r="E876" s="56"/>
      <c r="F876" s="43">
        <f t="shared" si="23"/>
        <v>0</v>
      </c>
      <c r="G876" s="44"/>
    </row>
    <row r="877" spans="1:7" x14ac:dyDescent="0.35">
      <c r="A877" s="49"/>
      <c r="B877" s="49"/>
      <c r="C877" s="46"/>
      <c r="D877" s="46"/>
      <c r="E877" s="57"/>
      <c r="F877" s="46">
        <f t="shared" si="23"/>
        <v>0</v>
      </c>
      <c r="G877" s="48"/>
    </row>
    <row r="878" spans="1:7" x14ac:dyDescent="0.35">
      <c r="A878" s="50"/>
      <c r="B878" s="50"/>
      <c r="C878" s="43"/>
      <c r="D878" s="43"/>
      <c r="E878" s="56"/>
      <c r="F878" s="43">
        <f t="shared" si="23"/>
        <v>0</v>
      </c>
      <c r="G878" s="44"/>
    </row>
    <row r="879" spans="1:7" x14ac:dyDescent="0.35">
      <c r="A879" s="49"/>
      <c r="B879" s="49"/>
      <c r="C879" s="46"/>
      <c r="D879" s="46"/>
      <c r="E879" s="57"/>
      <c r="F879" s="46">
        <f t="shared" si="23"/>
        <v>0</v>
      </c>
      <c r="G879" s="48"/>
    </row>
    <row r="880" spans="1:7" x14ac:dyDescent="0.35">
      <c r="A880" s="50"/>
      <c r="B880" s="50"/>
      <c r="C880" s="43"/>
      <c r="D880" s="43"/>
      <c r="E880" s="56"/>
      <c r="F880" s="43">
        <f t="shared" si="23"/>
        <v>0</v>
      </c>
      <c r="G880" s="44"/>
    </row>
    <row r="881" spans="1:7" x14ac:dyDescent="0.35">
      <c r="A881" s="49"/>
      <c r="B881" s="49"/>
      <c r="C881" s="46"/>
      <c r="D881" s="46"/>
      <c r="E881" s="57"/>
      <c r="F881" s="46">
        <f t="shared" si="23"/>
        <v>0</v>
      </c>
      <c r="G881" s="48"/>
    </row>
    <row r="882" spans="1:7" x14ac:dyDescent="0.35">
      <c r="A882" s="50"/>
      <c r="B882" s="50"/>
      <c r="C882" s="43"/>
      <c r="D882" s="43"/>
      <c r="E882" s="56"/>
      <c r="F882" s="43">
        <f t="shared" si="23"/>
        <v>0</v>
      </c>
      <c r="G882" s="44"/>
    </row>
    <row r="883" spans="1:7" x14ac:dyDescent="0.35">
      <c r="A883" s="49"/>
      <c r="B883" s="49"/>
      <c r="C883" s="46"/>
      <c r="D883" s="46"/>
      <c r="E883" s="57"/>
      <c r="F883" s="46">
        <f t="shared" si="23"/>
        <v>0</v>
      </c>
      <c r="G883" s="48"/>
    </row>
    <row r="884" spans="1:7" x14ac:dyDescent="0.35">
      <c r="A884" s="50"/>
      <c r="B884" s="50"/>
      <c r="C884" s="43"/>
      <c r="D884" s="43"/>
      <c r="E884" s="56"/>
      <c r="F884" s="43">
        <f t="shared" si="23"/>
        <v>0</v>
      </c>
      <c r="G884" s="44"/>
    </row>
    <row r="885" spans="1:7" x14ac:dyDescent="0.35">
      <c r="A885" s="49"/>
      <c r="B885" s="49"/>
      <c r="C885" s="46"/>
      <c r="D885" s="46"/>
      <c r="E885" s="57"/>
      <c r="F885" s="46">
        <f t="shared" si="23"/>
        <v>0</v>
      </c>
      <c r="G885" s="48"/>
    </row>
    <row r="886" spans="1:7" x14ac:dyDescent="0.35">
      <c r="A886" s="50"/>
      <c r="B886" s="50"/>
      <c r="C886" s="43"/>
      <c r="D886" s="43"/>
      <c r="E886" s="56"/>
      <c r="F886" s="43">
        <f t="shared" si="23"/>
        <v>0</v>
      </c>
      <c r="G886" s="44"/>
    </row>
    <row r="887" spans="1:7" x14ac:dyDescent="0.35">
      <c r="A887" s="49"/>
      <c r="B887" s="49"/>
      <c r="C887" s="46"/>
      <c r="D887" s="46"/>
      <c r="E887" s="57"/>
      <c r="F887" s="46">
        <f t="shared" si="23"/>
        <v>0</v>
      </c>
      <c r="G887" s="48"/>
    </row>
    <row r="888" spans="1:7" x14ac:dyDescent="0.35">
      <c r="A888" s="50"/>
      <c r="B888" s="50"/>
      <c r="C888" s="43"/>
      <c r="D888" s="43"/>
      <c r="E888" s="56"/>
      <c r="F888" s="43">
        <f t="shared" si="23"/>
        <v>0</v>
      </c>
      <c r="G888" s="44"/>
    </row>
    <row r="889" spans="1:7" x14ac:dyDescent="0.35">
      <c r="A889" s="49"/>
      <c r="B889" s="49"/>
      <c r="C889" s="46"/>
      <c r="D889" s="46"/>
      <c r="E889" s="57"/>
      <c r="F889" s="46">
        <f t="shared" si="23"/>
        <v>0</v>
      </c>
      <c r="G889" s="48"/>
    </row>
    <row r="890" spans="1:7" x14ac:dyDescent="0.35">
      <c r="A890" s="50"/>
      <c r="B890" s="50"/>
      <c r="C890" s="43"/>
      <c r="D890" s="43"/>
      <c r="E890" s="56"/>
      <c r="F890" s="43">
        <f t="shared" si="23"/>
        <v>0</v>
      </c>
      <c r="G890" s="44"/>
    </row>
    <row r="891" spans="1:7" x14ac:dyDescent="0.35">
      <c r="A891" s="49"/>
      <c r="B891" s="49"/>
      <c r="C891" s="46"/>
      <c r="D891" s="46"/>
      <c r="E891" s="57"/>
      <c r="F891" s="46">
        <f t="shared" si="23"/>
        <v>0</v>
      </c>
      <c r="G891" s="48"/>
    </row>
    <row r="892" spans="1:7" x14ac:dyDescent="0.35">
      <c r="A892" s="50"/>
      <c r="B892" s="50"/>
      <c r="C892" s="43"/>
      <c r="D892" s="43"/>
      <c r="E892" s="56"/>
      <c r="F892" s="43">
        <f t="shared" si="23"/>
        <v>0</v>
      </c>
      <c r="G892" s="44"/>
    </row>
    <row r="893" spans="1:7" x14ac:dyDescent="0.35">
      <c r="A893" s="49"/>
      <c r="B893" s="49"/>
      <c r="C893" s="46"/>
      <c r="D893" s="46"/>
      <c r="E893" s="57"/>
      <c r="F893" s="46">
        <f t="shared" si="23"/>
        <v>0</v>
      </c>
      <c r="G893" s="48"/>
    </row>
    <row r="894" spans="1:7" x14ac:dyDescent="0.35">
      <c r="A894" s="50"/>
      <c r="B894" s="50"/>
      <c r="C894" s="43"/>
      <c r="D894" s="43"/>
      <c r="E894" s="56"/>
      <c r="F894" s="43">
        <f t="shared" si="23"/>
        <v>0</v>
      </c>
      <c r="G894" s="44"/>
    </row>
    <row r="895" spans="1:7" x14ac:dyDescent="0.35">
      <c r="A895" s="49"/>
      <c r="B895" s="49"/>
      <c r="C895" s="46"/>
      <c r="D895" s="46"/>
      <c r="E895" s="57"/>
      <c r="F895" s="46">
        <f t="shared" si="23"/>
        <v>0</v>
      </c>
      <c r="G895" s="48"/>
    </row>
    <row r="896" spans="1:7" x14ac:dyDescent="0.35">
      <c r="A896" s="50"/>
      <c r="B896" s="50"/>
      <c r="C896" s="43"/>
      <c r="D896" s="43"/>
      <c r="E896" s="56"/>
      <c r="F896" s="43">
        <f t="shared" si="23"/>
        <v>0</v>
      </c>
      <c r="G896" s="44"/>
    </row>
    <row r="897" spans="1:7" x14ac:dyDescent="0.35">
      <c r="A897" s="49"/>
      <c r="B897" s="49"/>
      <c r="C897" s="46"/>
      <c r="D897" s="46"/>
      <c r="E897" s="57"/>
      <c r="F897" s="46">
        <f t="shared" si="23"/>
        <v>0</v>
      </c>
      <c r="G897" s="48"/>
    </row>
    <row r="898" spans="1:7" x14ac:dyDescent="0.35">
      <c r="A898" s="50"/>
      <c r="B898" s="50"/>
      <c r="C898" s="43"/>
      <c r="D898" s="43"/>
      <c r="E898" s="56"/>
      <c r="F898" s="43">
        <f t="shared" si="23"/>
        <v>0</v>
      </c>
      <c r="G898" s="44"/>
    </row>
    <row r="899" spans="1:7" x14ac:dyDescent="0.35">
      <c r="A899" s="49"/>
      <c r="B899" s="49"/>
      <c r="C899" s="46"/>
      <c r="D899" s="46"/>
      <c r="E899" s="57"/>
      <c r="F899" s="46">
        <f t="shared" si="23"/>
        <v>0</v>
      </c>
      <c r="G899" s="48"/>
    </row>
    <row r="900" spans="1:7" x14ac:dyDescent="0.35">
      <c r="A900" s="50"/>
      <c r="B900" s="50"/>
      <c r="C900" s="43"/>
      <c r="D900" s="43"/>
      <c r="E900" s="56"/>
      <c r="F900" s="43">
        <f t="shared" si="23"/>
        <v>0</v>
      </c>
      <c r="G900" s="44"/>
    </row>
    <row r="901" spans="1:7" x14ac:dyDescent="0.35">
      <c r="A901" s="49"/>
      <c r="B901" s="49"/>
      <c r="C901" s="46"/>
      <c r="D901" s="46"/>
      <c r="E901" s="57"/>
      <c r="F901" s="46">
        <f t="shared" si="23"/>
        <v>0</v>
      </c>
      <c r="G901" s="48"/>
    </row>
    <row r="902" spans="1:7" x14ac:dyDescent="0.35">
      <c r="A902" s="50"/>
      <c r="B902" s="50"/>
      <c r="C902" s="43"/>
      <c r="D902" s="43"/>
      <c r="E902" s="56"/>
      <c r="F902" s="43">
        <f t="shared" si="23"/>
        <v>0</v>
      </c>
      <c r="G902" s="44"/>
    </row>
    <row r="903" spans="1:7" x14ac:dyDescent="0.35">
      <c r="A903" s="49"/>
      <c r="B903" s="49"/>
      <c r="C903" s="46"/>
      <c r="D903" s="46"/>
      <c r="E903" s="57"/>
      <c r="F903" s="46">
        <f t="shared" si="23"/>
        <v>0</v>
      </c>
      <c r="G903" s="48"/>
    </row>
    <row r="904" spans="1:7" x14ac:dyDescent="0.35">
      <c r="A904" s="50"/>
      <c r="B904" s="50"/>
      <c r="C904" s="43"/>
      <c r="D904" s="43"/>
      <c r="E904" s="56"/>
      <c r="F904" s="43">
        <f t="shared" si="23"/>
        <v>0</v>
      </c>
      <c r="G904" s="44"/>
    </row>
    <row r="905" spans="1:7" x14ac:dyDescent="0.35">
      <c r="A905" s="49"/>
      <c r="B905" s="49"/>
      <c r="C905" s="46"/>
      <c r="D905" s="46"/>
      <c r="E905" s="57"/>
      <c r="F905" s="46">
        <f t="shared" si="23"/>
        <v>0</v>
      </c>
      <c r="G905" s="48"/>
    </row>
    <row r="906" spans="1:7" x14ac:dyDescent="0.35">
      <c r="A906" s="50"/>
      <c r="B906" s="50"/>
      <c r="C906" s="43"/>
      <c r="D906" s="43"/>
      <c r="E906" s="56"/>
      <c r="F906" s="43">
        <f t="shared" si="23"/>
        <v>0</v>
      </c>
      <c r="G906" s="44"/>
    </row>
    <row r="907" spans="1:7" x14ac:dyDescent="0.35">
      <c r="A907" s="49"/>
      <c r="B907" s="49"/>
      <c r="C907" s="46"/>
      <c r="D907" s="46"/>
      <c r="E907" s="57"/>
      <c r="F907" s="46">
        <f t="shared" si="23"/>
        <v>0</v>
      </c>
      <c r="G907" s="48"/>
    </row>
    <row r="908" spans="1:7" x14ac:dyDescent="0.35">
      <c r="A908" s="50"/>
      <c r="B908" s="50"/>
      <c r="C908" s="43"/>
      <c r="D908" s="43"/>
      <c r="E908" s="56"/>
      <c r="F908" s="43">
        <f t="shared" si="23"/>
        <v>0</v>
      </c>
      <c r="G908" s="44"/>
    </row>
    <row r="909" spans="1:7" x14ac:dyDescent="0.35">
      <c r="A909" s="49"/>
      <c r="B909" s="49"/>
      <c r="C909" s="46"/>
      <c r="D909" s="46"/>
      <c r="E909" s="57"/>
      <c r="F909" s="46">
        <f t="shared" si="23"/>
        <v>0</v>
      </c>
      <c r="G909" s="48"/>
    </row>
    <row r="910" spans="1:7" x14ac:dyDescent="0.35">
      <c r="A910" s="50"/>
      <c r="B910" s="50"/>
      <c r="C910" s="43"/>
      <c r="D910" s="43"/>
      <c r="E910" s="56"/>
      <c r="F910" s="43">
        <f t="shared" si="23"/>
        <v>0</v>
      </c>
      <c r="G910" s="44"/>
    </row>
    <row r="911" spans="1:7" x14ac:dyDescent="0.35">
      <c r="A911" s="49"/>
      <c r="B911" s="49"/>
      <c r="C911" s="46"/>
      <c r="D911" s="46"/>
      <c r="E911" s="57"/>
      <c r="F911" s="46">
        <f t="shared" si="23"/>
        <v>0</v>
      </c>
      <c r="G911" s="48"/>
    </row>
    <row r="912" spans="1:7" x14ac:dyDescent="0.35">
      <c r="A912" s="50"/>
      <c r="B912" s="50"/>
      <c r="C912" s="43"/>
      <c r="D912" s="43"/>
      <c r="E912" s="56"/>
      <c r="F912" s="43">
        <f t="shared" si="23"/>
        <v>0</v>
      </c>
      <c r="G912" s="44"/>
    </row>
    <row r="913" spans="1:7" x14ac:dyDescent="0.35">
      <c r="A913" s="49"/>
      <c r="B913" s="49"/>
      <c r="C913" s="46"/>
      <c r="D913" s="46"/>
      <c r="E913" s="57"/>
      <c r="F913" s="46">
        <f t="shared" si="23"/>
        <v>0</v>
      </c>
      <c r="G913" s="48"/>
    </row>
    <row r="914" spans="1:7" x14ac:dyDescent="0.35">
      <c r="A914" s="50"/>
      <c r="B914" s="50"/>
      <c r="C914" s="43"/>
      <c r="D914" s="43"/>
      <c r="E914" s="56"/>
      <c r="F914" s="43">
        <f t="shared" si="23"/>
        <v>0</v>
      </c>
      <c r="G914" s="44"/>
    </row>
    <row r="915" spans="1:7" x14ac:dyDescent="0.35">
      <c r="A915" s="49"/>
      <c r="B915" s="49"/>
      <c r="C915" s="46"/>
      <c r="D915" s="46"/>
      <c r="E915" s="57"/>
      <c r="F915" s="46">
        <f t="shared" si="23"/>
        <v>0</v>
      </c>
      <c r="G915" s="48"/>
    </row>
    <row r="916" spans="1:7" x14ac:dyDescent="0.35">
      <c r="A916" s="50"/>
      <c r="B916" s="50"/>
      <c r="C916" s="43"/>
      <c r="D916" s="43"/>
      <c r="E916" s="56"/>
      <c r="F916" s="43">
        <f t="shared" si="23"/>
        <v>0</v>
      </c>
      <c r="G916" s="44"/>
    </row>
    <row r="917" spans="1:7" x14ac:dyDescent="0.35">
      <c r="A917" s="49"/>
      <c r="B917" s="49"/>
      <c r="C917" s="46"/>
      <c r="D917" s="46"/>
      <c r="E917" s="57"/>
      <c r="F917" s="46">
        <f t="shared" si="23"/>
        <v>0</v>
      </c>
      <c r="G917" s="48"/>
    </row>
    <row r="918" spans="1:7" x14ac:dyDescent="0.35">
      <c r="A918" s="50"/>
      <c r="B918" s="50"/>
      <c r="C918" s="43"/>
      <c r="D918" s="43"/>
      <c r="E918" s="56"/>
      <c r="F918" s="43">
        <f t="shared" si="23"/>
        <v>0</v>
      </c>
      <c r="G918" s="44"/>
    </row>
    <row r="919" spans="1:7" x14ac:dyDescent="0.35">
      <c r="A919" s="49"/>
      <c r="B919" s="49"/>
      <c r="C919" s="46"/>
      <c r="D919" s="46"/>
      <c r="E919" s="57"/>
      <c r="F919" s="46">
        <f t="shared" ref="F919:F979" si="24">D919</f>
        <v>0</v>
      </c>
      <c r="G919" s="48"/>
    </row>
    <row r="920" spans="1:7" x14ac:dyDescent="0.35">
      <c r="A920" s="50"/>
      <c r="B920" s="50"/>
      <c r="C920" s="43"/>
      <c r="D920" s="43"/>
      <c r="E920" s="56"/>
      <c r="F920" s="43">
        <f t="shared" si="24"/>
        <v>0</v>
      </c>
      <c r="G920" s="44"/>
    </row>
    <row r="921" spans="1:7" x14ac:dyDescent="0.35">
      <c r="A921" s="49"/>
      <c r="B921" s="49"/>
      <c r="C921" s="46"/>
      <c r="D921" s="46"/>
      <c r="E921" s="57"/>
      <c r="F921" s="46">
        <f t="shared" si="24"/>
        <v>0</v>
      </c>
      <c r="G921" s="48"/>
    </row>
    <row r="922" spans="1:7" x14ac:dyDescent="0.35">
      <c r="A922" s="50"/>
      <c r="B922" s="50"/>
      <c r="C922" s="43"/>
      <c r="D922" s="43"/>
      <c r="E922" s="56"/>
      <c r="F922" s="43">
        <f t="shared" si="24"/>
        <v>0</v>
      </c>
      <c r="G922" s="44"/>
    </row>
    <row r="923" spans="1:7" x14ac:dyDescent="0.35">
      <c r="A923" s="49"/>
      <c r="B923" s="49"/>
      <c r="C923" s="46"/>
      <c r="D923" s="46"/>
      <c r="E923" s="57"/>
      <c r="F923" s="46">
        <f t="shared" si="24"/>
        <v>0</v>
      </c>
      <c r="G923" s="48"/>
    </row>
    <row r="924" spans="1:7" x14ac:dyDescent="0.35">
      <c r="A924" s="50"/>
      <c r="B924" s="50"/>
      <c r="C924" s="43"/>
      <c r="D924" s="43"/>
      <c r="E924" s="56"/>
      <c r="F924" s="43">
        <f t="shared" si="24"/>
        <v>0</v>
      </c>
      <c r="G924" s="44"/>
    </row>
    <row r="925" spans="1:7" x14ac:dyDescent="0.35">
      <c r="A925" s="49"/>
      <c r="B925" s="49"/>
      <c r="C925" s="46"/>
      <c r="D925" s="46"/>
      <c r="E925" s="57"/>
      <c r="F925" s="46">
        <f t="shared" si="24"/>
        <v>0</v>
      </c>
      <c r="G925" s="48"/>
    </row>
    <row r="926" spans="1:7" x14ac:dyDescent="0.35">
      <c r="A926" s="50"/>
      <c r="B926" s="50"/>
      <c r="C926" s="43"/>
      <c r="D926" s="43"/>
      <c r="E926" s="56"/>
      <c r="F926" s="43">
        <f t="shared" si="24"/>
        <v>0</v>
      </c>
      <c r="G926" s="44"/>
    </row>
    <row r="927" spans="1:7" x14ac:dyDescent="0.35">
      <c r="A927" s="49"/>
      <c r="B927" s="49"/>
      <c r="C927" s="46"/>
      <c r="D927" s="46"/>
      <c r="E927" s="57"/>
      <c r="F927" s="46">
        <f t="shared" si="24"/>
        <v>0</v>
      </c>
      <c r="G927" s="48"/>
    </row>
    <row r="928" spans="1:7" x14ac:dyDescent="0.35">
      <c r="A928" s="50"/>
      <c r="B928" s="50"/>
      <c r="C928" s="43"/>
      <c r="D928" s="43"/>
      <c r="E928" s="56"/>
      <c r="F928" s="43">
        <f t="shared" si="24"/>
        <v>0</v>
      </c>
      <c r="G928" s="44"/>
    </row>
    <row r="929" spans="1:7" x14ac:dyDescent="0.35">
      <c r="A929" s="49"/>
      <c r="B929" s="49"/>
      <c r="C929" s="46"/>
      <c r="D929" s="46"/>
      <c r="E929" s="57"/>
      <c r="F929" s="46">
        <f t="shared" si="24"/>
        <v>0</v>
      </c>
      <c r="G929" s="48"/>
    </row>
    <row r="930" spans="1:7" x14ac:dyDescent="0.35">
      <c r="A930" s="50"/>
      <c r="B930" s="50"/>
      <c r="C930" s="43"/>
      <c r="D930" s="43"/>
      <c r="E930" s="56"/>
      <c r="F930" s="43">
        <f t="shared" si="24"/>
        <v>0</v>
      </c>
      <c r="G930" s="44"/>
    </row>
    <row r="931" spans="1:7" x14ac:dyDescent="0.35">
      <c r="A931" s="49"/>
      <c r="B931" s="49"/>
      <c r="C931" s="46"/>
      <c r="D931" s="46"/>
      <c r="E931" s="57"/>
      <c r="F931" s="46">
        <f t="shared" si="24"/>
        <v>0</v>
      </c>
      <c r="G931" s="48"/>
    </row>
    <row r="932" spans="1:7" x14ac:dyDescent="0.35">
      <c r="A932" s="50"/>
      <c r="B932" s="50"/>
      <c r="C932" s="43"/>
      <c r="D932" s="43"/>
      <c r="E932" s="56"/>
      <c r="F932" s="43">
        <f t="shared" si="24"/>
        <v>0</v>
      </c>
      <c r="G932" s="44"/>
    </row>
    <row r="933" spans="1:7" x14ac:dyDescent="0.35">
      <c r="A933" s="49"/>
      <c r="B933" s="49"/>
      <c r="C933" s="46"/>
      <c r="D933" s="46"/>
      <c r="E933" s="57"/>
      <c r="F933" s="46">
        <f t="shared" si="24"/>
        <v>0</v>
      </c>
      <c r="G933" s="48"/>
    </row>
    <row r="934" spans="1:7" x14ac:dyDescent="0.35">
      <c r="A934" s="50"/>
      <c r="B934" s="50"/>
      <c r="C934" s="43"/>
      <c r="D934" s="43"/>
      <c r="E934" s="56"/>
      <c r="F934" s="43">
        <f t="shared" si="24"/>
        <v>0</v>
      </c>
      <c r="G934" s="44"/>
    </row>
    <row r="935" spans="1:7" x14ac:dyDescent="0.35">
      <c r="A935" s="49"/>
      <c r="B935" s="49"/>
      <c r="C935" s="46"/>
      <c r="D935" s="46"/>
      <c r="E935" s="57"/>
      <c r="F935" s="46">
        <f t="shared" si="24"/>
        <v>0</v>
      </c>
      <c r="G935" s="48"/>
    </row>
    <row r="936" spans="1:7" x14ac:dyDescent="0.35">
      <c r="A936" s="50"/>
      <c r="B936" s="50"/>
      <c r="C936" s="43"/>
      <c r="D936" s="43"/>
      <c r="E936" s="56"/>
      <c r="F936" s="43">
        <f t="shared" si="24"/>
        <v>0</v>
      </c>
      <c r="G936" s="44"/>
    </row>
    <row r="937" spans="1:7" x14ac:dyDescent="0.35">
      <c r="A937" s="49"/>
      <c r="B937" s="49"/>
      <c r="C937" s="46"/>
      <c r="D937" s="46"/>
      <c r="E937" s="57"/>
      <c r="F937" s="46">
        <f t="shared" si="24"/>
        <v>0</v>
      </c>
      <c r="G937" s="48"/>
    </row>
    <row r="938" spans="1:7" x14ac:dyDescent="0.35">
      <c r="A938" s="50"/>
      <c r="B938" s="50"/>
      <c r="C938" s="43"/>
      <c r="D938" s="43"/>
      <c r="E938" s="56"/>
      <c r="F938" s="43">
        <f t="shared" si="24"/>
        <v>0</v>
      </c>
      <c r="G938" s="44"/>
    </row>
    <row r="939" spans="1:7" x14ac:dyDescent="0.35">
      <c r="A939" s="49"/>
      <c r="B939" s="49"/>
      <c r="C939" s="46"/>
      <c r="D939" s="46"/>
      <c r="E939" s="57"/>
      <c r="F939" s="46">
        <f t="shared" si="24"/>
        <v>0</v>
      </c>
      <c r="G939" s="48"/>
    </row>
    <row r="940" spans="1:7" x14ac:dyDescent="0.35">
      <c r="A940" s="50"/>
      <c r="B940" s="50"/>
      <c r="C940" s="43"/>
      <c r="D940" s="43"/>
      <c r="E940" s="56"/>
      <c r="F940" s="43">
        <f t="shared" si="24"/>
        <v>0</v>
      </c>
      <c r="G940" s="44"/>
    </row>
    <row r="941" spans="1:7" x14ac:dyDescent="0.35">
      <c r="A941" s="49"/>
      <c r="B941" s="49"/>
      <c r="C941" s="46"/>
      <c r="D941" s="46"/>
      <c r="E941" s="57"/>
      <c r="F941" s="46">
        <f t="shared" si="24"/>
        <v>0</v>
      </c>
      <c r="G941" s="48"/>
    </row>
    <row r="942" spans="1:7" x14ac:dyDescent="0.35">
      <c r="A942" s="50"/>
      <c r="B942" s="50"/>
      <c r="C942" s="43"/>
      <c r="D942" s="43"/>
      <c r="E942" s="56"/>
      <c r="F942" s="43">
        <f t="shared" si="24"/>
        <v>0</v>
      </c>
      <c r="G942" s="44"/>
    </row>
    <row r="943" spans="1:7" x14ac:dyDescent="0.35">
      <c r="A943" s="49"/>
      <c r="B943" s="49"/>
      <c r="C943" s="46"/>
      <c r="D943" s="46"/>
      <c r="E943" s="57"/>
      <c r="F943" s="46">
        <f t="shared" si="24"/>
        <v>0</v>
      </c>
      <c r="G943" s="48"/>
    </row>
    <row r="944" spans="1:7" x14ac:dyDescent="0.35">
      <c r="A944" s="50"/>
      <c r="B944" s="50"/>
      <c r="C944" s="43"/>
      <c r="D944" s="43"/>
      <c r="E944" s="56"/>
      <c r="F944" s="43">
        <f t="shared" si="24"/>
        <v>0</v>
      </c>
      <c r="G944" s="44"/>
    </row>
    <row r="945" spans="1:7" x14ac:dyDescent="0.35">
      <c r="A945" s="49"/>
      <c r="B945" s="49"/>
      <c r="C945" s="46"/>
      <c r="D945" s="46"/>
      <c r="E945" s="57"/>
      <c r="F945" s="46">
        <f t="shared" si="24"/>
        <v>0</v>
      </c>
      <c r="G945" s="48"/>
    </row>
    <row r="946" spans="1:7" x14ac:dyDescent="0.35">
      <c r="A946" s="50"/>
      <c r="B946" s="50"/>
      <c r="C946" s="43"/>
      <c r="D946" s="43"/>
      <c r="E946" s="56"/>
      <c r="F946" s="43">
        <f t="shared" si="24"/>
        <v>0</v>
      </c>
      <c r="G946" s="44"/>
    </row>
    <row r="947" spans="1:7" x14ac:dyDescent="0.35">
      <c r="A947" s="49"/>
      <c r="B947" s="49"/>
      <c r="C947" s="46"/>
      <c r="D947" s="46"/>
      <c r="E947" s="57"/>
      <c r="F947" s="46">
        <f t="shared" si="24"/>
        <v>0</v>
      </c>
      <c r="G947" s="48"/>
    </row>
    <row r="948" spans="1:7" x14ac:dyDescent="0.35">
      <c r="A948" s="50"/>
      <c r="B948" s="50"/>
      <c r="C948" s="43"/>
      <c r="D948" s="43"/>
      <c r="E948" s="56"/>
      <c r="F948" s="43">
        <f t="shared" si="24"/>
        <v>0</v>
      </c>
      <c r="G948" s="44"/>
    </row>
    <row r="949" spans="1:7" x14ac:dyDescent="0.35">
      <c r="A949" s="49"/>
      <c r="B949" s="49"/>
      <c r="C949" s="46"/>
      <c r="D949" s="46"/>
      <c r="E949" s="57"/>
      <c r="F949" s="46">
        <f t="shared" si="24"/>
        <v>0</v>
      </c>
      <c r="G949" s="48"/>
    </row>
    <row r="950" spans="1:7" x14ac:dyDescent="0.35">
      <c r="A950" s="50"/>
      <c r="B950" s="50"/>
      <c r="C950" s="43"/>
      <c r="D950" s="43"/>
      <c r="E950" s="56"/>
      <c r="F950" s="43">
        <f t="shared" si="24"/>
        <v>0</v>
      </c>
      <c r="G950" s="44"/>
    </row>
    <row r="951" spans="1:7" x14ac:dyDescent="0.35">
      <c r="A951" s="49"/>
      <c r="B951" s="49"/>
      <c r="C951" s="46"/>
      <c r="D951" s="46"/>
      <c r="E951" s="57"/>
      <c r="F951" s="46">
        <f t="shared" si="24"/>
        <v>0</v>
      </c>
      <c r="G951" s="48"/>
    </row>
    <row r="952" spans="1:7" x14ac:dyDescent="0.35">
      <c r="A952" s="50"/>
      <c r="B952" s="50"/>
      <c r="C952" s="43"/>
      <c r="D952" s="43"/>
      <c r="E952" s="56"/>
      <c r="F952" s="43">
        <f t="shared" si="24"/>
        <v>0</v>
      </c>
      <c r="G952" s="44"/>
    </row>
    <row r="953" spans="1:7" x14ac:dyDescent="0.35">
      <c r="A953" s="49"/>
      <c r="B953" s="49"/>
      <c r="C953" s="46"/>
      <c r="D953" s="46"/>
      <c r="E953" s="57"/>
      <c r="F953" s="46">
        <f t="shared" si="24"/>
        <v>0</v>
      </c>
      <c r="G953" s="48"/>
    </row>
    <row r="954" spans="1:7" x14ac:dyDescent="0.35">
      <c r="A954" s="50"/>
      <c r="B954" s="50"/>
      <c r="C954" s="43"/>
      <c r="D954" s="43"/>
      <c r="E954" s="56"/>
      <c r="F954" s="43">
        <f t="shared" si="24"/>
        <v>0</v>
      </c>
      <c r="G954" s="44"/>
    </row>
    <row r="955" spans="1:7" x14ac:dyDescent="0.35">
      <c r="A955" s="49"/>
      <c r="B955" s="49"/>
      <c r="C955" s="46"/>
      <c r="D955" s="46"/>
      <c r="E955" s="57"/>
      <c r="F955" s="46">
        <f t="shared" si="24"/>
        <v>0</v>
      </c>
      <c r="G955" s="48"/>
    </row>
    <row r="956" spans="1:7" x14ac:dyDescent="0.35">
      <c r="A956" s="50"/>
      <c r="B956" s="50"/>
      <c r="C956" s="43"/>
      <c r="D956" s="43"/>
      <c r="E956" s="56"/>
      <c r="F956" s="43">
        <f t="shared" si="24"/>
        <v>0</v>
      </c>
      <c r="G956" s="44"/>
    </row>
    <row r="957" spans="1:7" x14ac:dyDescent="0.35">
      <c r="A957" s="49"/>
      <c r="B957" s="49"/>
      <c r="C957" s="46"/>
      <c r="D957" s="46"/>
      <c r="E957" s="57"/>
      <c r="F957" s="46">
        <f t="shared" si="24"/>
        <v>0</v>
      </c>
      <c r="G957" s="48"/>
    </row>
    <row r="958" spans="1:7" x14ac:dyDescent="0.35">
      <c r="A958" s="50"/>
      <c r="B958" s="50"/>
      <c r="C958" s="43"/>
      <c r="D958" s="43"/>
      <c r="E958" s="56"/>
      <c r="F958" s="43">
        <f t="shared" si="24"/>
        <v>0</v>
      </c>
      <c r="G958" s="44"/>
    </row>
    <row r="959" spans="1:7" x14ac:dyDescent="0.35">
      <c r="A959" s="49"/>
      <c r="B959" s="49"/>
      <c r="C959" s="46"/>
      <c r="D959" s="46"/>
      <c r="E959" s="57"/>
      <c r="F959" s="46">
        <f t="shared" si="24"/>
        <v>0</v>
      </c>
      <c r="G959" s="48"/>
    </row>
    <row r="960" spans="1:7" x14ac:dyDescent="0.35">
      <c r="A960" s="50"/>
      <c r="B960" s="50"/>
      <c r="C960" s="43"/>
      <c r="D960" s="43"/>
      <c r="E960" s="56"/>
      <c r="F960" s="43">
        <f t="shared" si="24"/>
        <v>0</v>
      </c>
      <c r="G960" s="44"/>
    </row>
    <row r="961" spans="1:7" x14ac:dyDescent="0.35">
      <c r="A961" s="49"/>
      <c r="B961" s="49"/>
      <c r="C961" s="46"/>
      <c r="D961" s="46"/>
      <c r="E961" s="57"/>
      <c r="F961" s="46">
        <f t="shared" si="24"/>
        <v>0</v>
      </c>
      <c r="G961" s="48"/>
    </row>
    <row r="962" spans="1:7" x14ac:dyDescent="0.35">
      <c r="A962" s="50"/>
      <c r="B962" s="50"/>
      <c r="C962" s="43"/>
      <c r="D962" s="43"/>
      <c r="E962" s="56"/>
      <c r="F962" s="43">
        <f t="shared" si="24"/>
        <v>0</v>
      </c>
      <c r="G962" s="44"/>
    </row>
    <row r="963" spans="1:7" x14ac:dyDescent="0.35">
      <c r="A963" s="49"/>
      <c r="B963" s="49"/>
      <c r="C963" s="46"/>
      <c r="D963" s="46"/>
      <c r="E963" s="57"/>
      <c r="F963" s="46">
        <f t="shared" si="24"/>
        <v>0</v>
      </c>
      <c r="G963" s="48"/>
    </row>
    <row r="964" spans="1:7" x14ac:dyDescent="0.35">
      <c r="A964" s="50"/>
      <c r="B964" s="50"/>
      <c r="C964" s="43"/>
      <c r="D964" s="43"/>
      <c r="E964" s="56"/>
      <c r="F964" s="43">
        <f t="shared" si="24"/>
        <v>0</v>
      </c>
      <c r="G964" s="44"/>
    </row>
    <row r="965" spans="1:7" x14ac:dyDescent="0.35">
      <c r="A965" s="49"/>
      <c r="B965" s="49"/>
      <c r="C965" s="46"/>
      <c r="D965" s="46"/>
      <c r="E965" s="57"/>
      <c r="F965" s="46">
        <f t="shared" si="24"/>
        <v>0</v>
      </c>
      <c r="G965" s="48"/>
    </row>
    <row r="966" spans="1:7" x14ac:dyDescent="0.35">
      <c r="A966" s="50"/>
      <c r="B966" s="50"/>
      <c r="C966" s="43"/>
      <c r="D966" s="43"/>
      <c r="E966" s="56"/>
      <c r="F966" s="43">
        <f t="shared" si="24"/>
        <v>0</v>
      </c>
      <c r="G966" s="44"/>
    </row>
    <row r="967" spans="1:7" x14ac:dyDescent="0.35">
      <c r="A967" s="49"/>
      <c r="B967" s="49"/>
      <c r="C967" s="46"/>
      <c r="D967" s="46"/>
      <c r="E967" s="57"/>
      <c r="F967" s="46">
        <f t="shared" si="24"/>
        <v>0</v>
      </c>
      <c r="G967" s="48"/>
    </row>
    <row r="968" spans="1:7" x14ac:dyDescent="0.35">
      <c r="A968" s="50"/>
      <c r="B968" s="50"/>
      <c r="C968" s="43"/>
      <c r="D968" s="43"/>
      <c r="E968" s="56"/>
      <c r="F968" s="43">
        <f t="shared" si="24"/>
        <v>0</v>
      </c>
      <c r="G968" s="44"/>
    </row>
    <row r="969" spans="1:7" x14ac:dyDescent="0.35">
      <c r="A969" s="49"/>
      <c r="B969" s="49"/>
      <c r="C969" s="46"/>
      <c r="D969" s="46"/>
      <c r="E969" s="57"/>
      <c r="F969" s="46">
        <f t="shared" si="24"/>
        <v>0</v>
      </c>
      <c r="G969" s="48"/>
    </row>
    <row r="970" spans="1:7" x14ac:dyDescent="0.35">
      <c r="A970" s="50"/>
      <c r="B970" s="50"/>
      <c r="C970" s="43"/>
      <c r="D970" s="43"/>
      <c r="E970" s="56"/>
      <c r="F970" s="43">
        <f t="shared" si="24"/>
        <v>0</v>
      </c>
      <c r="G970" s="44"/>
    </row>
    <row r="971" spans="1:7" x14ac:dyDescent="0.35">
      <c r="A971" s="49"/>
      <c r="B971" s="49"/>
      <c r="C971" s="46"/>
      <c r="D971" s="46"/>
      <c r="E971" s="57"/>
      <c r="F971" s="46">
        <f t="shared" si="24"/>
        <v>0</v>
      </c>
      <c r="G971" s="48"/>
    </row>
    <row r="972" spans="1:7" x14ac:dyDescent="0.35">
      <c r="A972" s="50"/>
      <c r="B972" s="50"/>
      <c r="C972" s="43"/>
      <c r="D972" s="43"/>
      <c r="E972" s="56"/>
      <c r="F972" s="43">
        <f t="shared" si="24"/>
        <v>0</v>
      </c>
      <c r="G972" s="44"/>
    </row>
    <row r="973" spans="1:7" x14ac:dyDescent="0.35">
      <c r="A973" s="49"/>
      <c r="B973" s="49"/>
      <c r="C973" s="46"/>
      <c r="D973" s="46"/>
      <c r="E973" s="57"/>
      <c r="F973" s="46">
        <f t="shared" si="24"/>
        <v>0</v>
      </c>
      <c r="G973" s="48"/>
    </row>
    <row r="974" spans="1:7" x14ac:dyDescent="0.35">
      <c r="A974" s="50"/>
      <c r="B974" s="50"/>
      <c r="C974" s="43"/>
      <c r="D974" s="43"/>
      <c r="E974" s="56"/>
      <c r="F974" s="43">
        <f t="shared" si="24"/>
        <v>0</v>
      </c>
      <c r="G974" s="44"/>
    </row>
    <row r="975" spans="1:7" x14ac:dyDescent="0.35">
      <c r="A975" s="49"/>
      <c r="B975" s="49"/>
      <c r="C975" s="46"/>
      <c r="D975" s="46"/>
      <c r="E975" s="57"/>
      <c r="F975" s="46">
        <f t="shared" si="24"/>
        <v>0</v>
      </c>
      <c r="G975" s="48"/>
    </row>
    <row r="976" spans="1:7" x14ac:dyDescent="0.35">
      <c r="A976" s="50"/>
      <c r="B976" s="50"/>
      <c r="C976" s="43"/>
      <c r="D976" s="43"/>
      <c r="E976" s="56"/>
      <c r="F976" s="43">
        <f t="shared" si="24"/>
        <v>0</v>
      </c>
      <c r="G976" s="44"/>
    </row>
    <row r="977" spans="1:7" x14ac:dyDescent="0.35">
      <c r="A977" s="49"/>
      <c r="B977" s="49"/>
      <c r="C977" s="46"/>
      <c r="D977" s="46"/>
      <c r="E977" s="57"/>
      <c r="F977" s="46">
        <f t="shared" si="24"/>
        <v>0</v>
      </c>
      <c r="G977" s="48"/>
    </row>
    <row r="978" spans="1:7" x14ac:dyDescent="0.35">
      <c r="A978" s="50"/>
      <c r="B978" s="50"/>
      <c r="C978" s="43"/>
      <c r="D978" s="43"/>
      <c r="E978" s="56"/>
      <c r="F978" s="43">
        <f t="shared" si="24"/>
        <v>0</v>
      </c>
      <c r="G978" s="44"/>
    </row>
    <row r="979" spans="1:7" x14ac:dyDescent="0.35">
      <c r="A979" s="58"/>
      <c r="B979" s="58"/>
      <c r="C979" s="22"/>
      <c r="D979" s="22"/>
      <c r="E979" s="59"/>
      <c r="F979" s="22">
        <f t="shared" si="24"/>
        <v>0</v>
      </c>
      <c r="G979" s="60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C4767-6CEA-43FA-8E66-C1254440A255}">
  <dimension ref="A1:B367"/>
  <sheetViews>
    <sheetView workbookViewId="0">
      <selection activeCell="D14" sqref="D14"/>
    </sheetView>
  </sheetViews>
  <sheetFormatPr defaultRowHeight="14.4" x14ac:dyDescent="0.3"/>
  <cols>
    <col min="1" max="1" width="70" customWidth="1"/>
    <col min="2" max="2" width="19.33203125" customWidth="1"/>
  </cols>
  <sheetData>
    <row r="1" spans="1:2" ht="18" x14ac:dyDescent="0.3">
      <c r="A1" s="23" t="s">
        <v>520</v>
      </c>
      <c r="B1" s="24" t="s">
        <v>733</v>
      </c>
    </row>
    <row r="2" spans="1:2" ht="18" x14ac:dyDescent="0.3">
      <c r="A2" s="25" t="s">
        <v>541</v>
      </c>
      <c r="B2" s="25"/>
    </row>
    <row r="3" spans="1:2" ht="18" x14ac:dyDescent="0.3">
      <c r="A3" s="26" t="s">
        <v>542</v>
      </c>
      <c r="B3" s="26"/>
    </row>
    <row r="4" spans="1:2" ht="18" x14ac:dyDescent="0.3">
      <c r="A4" s="25" t="s">
        <v>543</v>
      </c>
      <c r="B4" s="25"/>
    </row>
    <row r="5" spans="1:2" ht="18" x14ac:dyDescent="0.3">
      <c r="A5" s="26" t="s">
        <v>544</v>
      </c>
      <c r="B5" s="26"/>
    </row>
    <row r="6" spans="1:2" ht="18" x14ac:dyDescent="0.3">
      <c r="A6" s="25" t="s">
        <v>545</v>
      </c>
      <c r="B6" s="25"/>
    </row>
    <row r="7" spans="1:2" ht="18" x14ac:dyDescent="0.3">
      <c r="A7" s="26" t="s">
        <v>546</v>
      </c>
      <c r="B7" s="26"/>
    </row>
    <row r="8" spans="1:2" ht="18" x14ac:dyDescent="0.3">
      <c r="A8" s="25" t="s">
        <v>547</v>
      </c>
      <c r="B8" s="25"/>
    </row>
    <row r="9" spans="1:2" ht="18" x14ac:dyDescent="0.3">
      <c r="A9" s="26" t="s">
        <v>548</v>
      </c>
      <c r="B9" s="26"/>
    </row>
    <row r="10" spans="1:2" ht="18" x14ac:dyDescent="0.3">
      <c r="A10" s="25" t="s">
        <v>549</v>
      </c>
      <c r="B10" s="25"/>
    </row>
    <row r="11" spans="1:2" ht="18" x14ac:dyDescent="0.3">
      <c r="A11" s="26" t="s">
        <v>550</v>
      </c>
      <c r="B11" s="26"/>
    </row>
    <row r="12" spans="1:2" ht="18" x14ac:dyDescent="0.3">
      <c r="A12" s="25" t="s">
        <v>551</v>
      </c>
      <c r="B12" s="25"/>
    </row>
    <row r="13" spans="1:2" ht="18" x14ac:dyDescent="0.3">
      <c r="A13" s="26" t="s">
        <v>552</v>
      </c>
      <c r="B13" s="26"/>
    </row>
    <row r="14" spans="1:2" ht="18" x14ac:dyDescent="0.3">
      <c r="A14" s="25" t="s">
        <v>553</v>
      </c>
      <c r="B14" s="25"/>
    </row>
    <row r="15" spans="1:2" ht="18" x14ac:dyDescent="0.3">
      <c r="A15" s="26" t="s">
        <v>554</v>
      </c>
      <c r="B15" s="26"/>
    </row>
    <row r="16" spans="1:2" ht="18" x14ac:dyDescent="0.3">
      <c r="A16" s="25" t="s">
        <v>555</v>
      </c>
      <c r="B16" s="25"/>
    </row>
    <row r="17" spans="1:2" ht="18" x14ac:dyDescent="0.3">
      <c r="A17" s="26" t="s">
        <v>556</v>
      </c>
      <c r="B17" s="26"/>
    </row>
    <row r="18" spans="1:2" ht="18" x14ac:dyDescent="0.3">
      <c r="A18" s="25" t="s">
        <v>557</v>
      </c>
      <c r="B18" s="25"/>
    </row>
    <row r="19" spans="1:2" ht="18" x14ac:dyDescent="0.3">
      <c r="A19" s="26" t="s">
        <v>558</v>
      </c>
      <c r="B19" s="26"/>
    </row>
    <row r="20" spans="1:2" ht="18" x14ac:dyDescent="0.3">
      <c r="A20" s="25" t="s">
        <v>559</v>
      </c>
      <c r="B20" s="25"/>
    </row>
    <row r="21" spans="1:2" ht="18" x14ac:dyDescent="0.3">
      <c r="A21" s="26" t="s">
        <v>560</v>
      </c>
      <c r="B21" s="26"/>
    </row>
    <row r="22" spans="1:2" ht="18" x14ac:dyDescent="0.3">
      <c r="A22" s="25" t="s">
        <v>561</v>
      </c>
      <c r="B22" s="25"/>
    </row>
    <row r="23" spans="1:2" ht="18" x14ac:dyDescent="0.3">
      <c r="A23" s="26" t="s">
        <v>562</v>
      </c>
      <c r="B23" s="26"/>
    </row>
    <row r="24" spans="1:2" ht="18" x14ac:dyDescent="0.3">
      <c r="A24" s="25" t="s">
        <v>563</v>
      </c>
      <c r="B24" s="25"/>
    </row>
    <row r="25" spans="1:2" ht="18" x14ac:dyDescent="0.3">
      <c r="A25" s="26" t="s">
        <v>564</v>
      </c>
      <c r="B25" s="26"/>
    </row>
    <row r="26" spans="1:2" ht="18" x14ac:dyDescent="0.3">
      <c r="A26" s="25" t="s">
        <v>565</v>
      </c>
      <c r="B26" s="25"/>
    </row>
    <row r="27" spans="1:2" ht="18" x14ac:dyDescent="0.3">
      <c r="A27" s="26" t="s">
        <v>566</v>
      </c>
      <c r="B27" s="26"/>
    </row>
    <row r="28" spans="1:2" ht="18" x14ac:dyDescent="0.3">
      <c r="A28" s="25" t="s">
        <v>567</v>
      </c>
      <c r="B28" s="25"/>
    </row>
    <row r="29" spans="1:2" ht="18" x14ac:dyDescent="0.3">
      <c r="A29" s="26" t="s">
        <v>568</v>
      </c>
      <c r="B29" s="26"/>
    </row>
    <row r="30" spans="1:2" ht="18" x14ac:dyDescent="0.3">
      <c r="A30" s="25" t="s">
        <v>569</v>
      </c>
      <c r="B30" s="25"/>
    </row>
    <row r="31" spans="1:2" ht="18" x14ac:dyDescent="0.3">
      <c r="A31" s="26" t="s">
        <v>570</v>
      </c>
      <c r="B31" s="26"/>
    </row>
    <row r="32" spans="1:2" ht="18" x14ac:dyDescent="0.3">
      <c r="A32" s="25" t="s">
        <v>571</v>
      </c>
      <c r="B32" s="25"/>
    </row>
    <row r="33" spans="1:2" ht="18" x14ac:dyDescent="0.3">
      <c r="A33" s="26" t="s">
        <v>572</v>
      </c>
      <c r="B33" s="26"/>
    </row>
    <row r="34" spans="1:2" ht="18" x14ac:dyDescent="0.3">
      <c r="A34" s="25" t="s">
        <v>573</v>
      </c>
      <c r="B34" s="25"/>
    </row>
    <row r="35" spans="1:2" ht="18" x14ac:dyDescent="0.3">
      <c r="A35" s="26" t="s">
        <v>574</v>
      </c>
      <c r="B35" s="26"/>
    </row>
    <row r="36" spans="1:2" ht="18" x14ac:dyDescent="0.3">
      <c r="A36" s="25" t="s">
        <v>575</v>
      </c>
      <c r="B36" s="25"/>
    </row>
    <row r="37" spans="1:2" ht="18" x14ac:dyDescent="0.3">
      <c r="A37" s="26" t="s">
        <v>576</v>
      </c>
      <c r="B37" s="26"/>
    </row>
    <row r="38" spans="1:2" ht="18" x14ac:dyDescent="0.3">
      <c r="A38" s="25" t="s">
        <v>577</v>
      </c>
      <c r="B38" s="25"/>
    </row>
    <row r="39" spans="1:2" ht="18" x14ac:dyDescent="0.3">
      <c r="A39" s="26" t="s">
        <v>578</v>
      </c>
      <c r="B39" s="26"/>
    </row>
    <row r="40" spans="1:2" ht="18" x14ac:dyDescent="0.3">
      <c r="A40" s="25" t="s">
        <v>579</v>
      </c>
      <c r="B40" s="25"/>
    </row>
    <row r="41" spans="1:2" ht="18" x14ac:dyDescent="0.3">
      <c r="A41" s="26" t="s">
        <v>580</v>
      </c>
      <c r="B41" s="26"/>
    </row>
    <row r="42" spans="1:2" ht="18" x14ac:dyDescent="0.3">
      <c r="A42" s="25" t="s">
        <v>581</v>
      </c>
      <c r="B42" s="25"/>
    </row>
    <row r="43" spans="1:2" ht="18" x14ac:dyDescent="0.3">
      <c r="A43" s="26" t="s">
        <v>582</v>
      </c>
      <c r="B43" s="26"/>
    </row>
    <row r="44" spans="1:2" ht="18" x14ac:dyDescent="0.3">
      <c r="A44" s="25" t="s">
        <v>583</v>
      </c>
      <c r="B44" s="25"/>
    </row>
    <row r="45" spans="1:2" ht="18" x14ac:dyDescent="0.3">
      <c r="A45" s="26" t="s">
        <v>584</v>
      </c>
      <c r="B45" s="26"/>
    </row>
    <row r="46" spans="1:2" ht="18" x14ac:dyDescent="0.3">
      <c r="A46" s="25" t="s">
        <v>585</v>
      </c>
      <c r="B46" s="25"/>
    </row>
    <row r="47" spans="1:2" ht="18" x14ac:dyDescent="0.3">
      <c r="A47" s="26" t="s">
        <v>586</v>
      </c>
      <c r="B47" s="26"/>
    </row>
    <row r="48" spans="1:2" ht="18" x14ac:dyDescent="0.3">
      <c r="A48" s="25" t="s">
        <v>587</v>
      </c>
      <c r="B48" s="25"/>
    </row>
    <row r="49" spans="1:2" ht="18" x14ac:dyDescent="0.3">
      <c r="A49" s="26" t="s">
        <v>588</v>
      </c>
      <c r="B49" s="26"/>
    </row>
    <row r="50" spans="1:2" ht="18" x14ac:dyDescent="0.3">
      <c r="A50" s="25" t="s">
        <v>589</v>
      </c>
      <c r="B50" s="25"/>
    </row>
    <row r="51" spans="1:2" ht="18" x14ac:dyDescent="0.3">
      <c r="A51" s="26" t="s">
        <v>590</v>
      </c>
      <c r="B51" s="26"/>
    </row>
    <row r="52" spans="1:2" ht="18" x14ac:dyDescent="0.3">
      <c r="A52" s="25" t="s">
        <v>591</v>
      </c>
      <c r="B52" s="25"/>
    </row>
    <row r="53" spans="1:2" ht="18" x14ac:dyDescent="0.3">
      <c r="A53" s="26" t="s">
        <v>592</v>
      </c>
      <c r="B53" s="26"/>
    </row>
    <row r="54" spans="1:2" ht="18" x14ac:dyDescent="0.3">
      <c r="A54" s="25" t="s">
        <v>593</v>
      </c>
      <c r="B54" s="25"/>
    </row>
    <row r="55" spans="1:2" ht="18" x14ac:dyDescent="0.3">
      <c r="A55" s="26" t="s">
        <v>594</v>
      </c>
      <c r="B55" s="26"/>
    </row>
    <row r="56" spans="1:2" ht="18" x14ac:dyDescent="0.3">
      <c r="A56" s="25" t="s">
        <v>595</v>
      </c>
      <c r="B56" s="25"/>
    </row>
    <row r="57" spans="1:2" ht="18" x14ac:dyDescent="0.3">
      <c r="A57" s="26" t="s">
        <v>596</v>
      </c>
      <c r="B57" s="26"/>
    </row>
    <row r="58" spans="1:2" ht="18" x14ac:dyDescent="0.3">
      <c r="A58" s="25" t="s">
        <v>597</v>
      </c>
      <c r="B58" s="25"/>
    </row>
    <row r="59" spans="1:2" ht="18" x14ac:dyDescent="0.3">
      <c r="A59" s="26" t="s">
        <v>598</v>
      </c>
      <c r="B59" s="26"/>
    </row>
    <row r="60" spans="1:2" ht="18" x14ac:dyDescent="0.3">
      <c r="A60" s="25" t="s">
        <v>599</v>
      </c>
      <c r="B60" s="25"/>
    </row>
    <row r="61" spans="1:2" ht="18" x14ac:dyDescent="0.3">
      <c r="A61" s="26" t="s">
        <v>600</v>
      </c>
      <c r="B61" s="26"/>
    </row>
    <row r="62" spans="1:2" ht="18" x14ac:dyDescent="0.3">
      <c r="A62" s="25" t="s">
        <v>601</v>
      </c>
      <c r="B62" s="25"/>
    </row>
    <row r="63" spans="1:2" ht="18" x14ac:dyDescent="0.3">
      <c r="A63" s="26" t="s">
        <v>602</v>
      </c>
      <c r="B63" s="26"/>
    </row>
    <row r="64" spans="1:2" ht="18" x14ac:dyDescent="0.3">
      <c r="A64" s="25" t="s">
        <v>603</v>
      </c>
      <c r="B64" s="25"/>
    </row>
    <row r="65" spans="1:2" ht="18" x14ac:dyDescent="0.3">
      <c r="A65" s="26" t="s">
        <v>604</v>
      </c>
      <c r="B65" s="26"/>
    </row>
    <row r="66" spans="1:2" ht="18" x14ac:dyDescent="0.3">
      <c r="A66" s="25" t="s">
        <v>605</v>
      </c>
      <c r="B66" s="25"/>
    </row>
    <row r="67" spans="1:2" ht="18" x14ac:dyDescent="0.3">
      <c r="A67" s="26" t="s">
        <v>606</v>
      </c>
      <c r="B67" s="26"/>
    </row>
    <row r="68" spans="1:2" ht="18" x14ac:dyDescent="0.3">
      <c r="A68" s="25" t="s">
        <v>607</v>
      </c>
      <c r="B68" s="25"/>
    </row>
    <row r="69" spans="1:2" ht="18" x14ac:dyDescent="0.3">
      <c r="A69" s="26" t="s">
        <v>608</v>
      </c>
      <c r="B69" s="26"/>
    </row>
    <row r="70" spans="1:2" ht="18" x14ac:dyDescent="0.3">
      <c r="A70" s="25" t="s">
        <v>609</v>
      </c>
      <c r="B70" s="25"/>
    </row>
    <row r="71" spans="1:2" ht="18" x14ac:dyDescent="0.3">
      <c r="A71" s="26" t="s">
        <v>610</v>
      </c>
      <c r="B71" s="26"/>
    </row>
    <row r="72" spans="1:2" ht="18" x14ac:dyDescent="0.3">
      <c r="A72" s="25" t="s">
        <v>611</v>
      </c>
      <c r="B72" s="25"/>
    </row>
    <row r="73" spans="1:2" ht="18" x14ac:dyDescent="0.3">
      <c r="A73" s="26" t="s">
        <v>612</v>
      </c>
      <c r="B73" s="26"/>
    </row>
    <row r="74" spans="1:2" ht="18" x14ac:dyDescent="0.3">
      <c r="A74" s="25" t="s">
        <v>613</v>
      </c>
      <c r="B74" s="25"/>
    </row>
    <row r="75" spans="1:2" ht="18" x14ac:dyDescent="0.3">
      <c r="A75" s="26" t="s">
        <v>614</v>
      </c>
      <c r="B75" s="26"/>
    </row>
    <row r="76" spans="1:2" ht="18" x14ac:dyDescent="0.3">
      <c r="A76" s="25" t="s">
        <v>615</v>
      </c>
      <c r="B76" s="25"/>
    </row>
    <row r="77" spans="1:2" ht="18" x14ac:dyDescent="0.3">
      <c r="A77" s="26" t="s">
        <v>616</v>
      </c>
      <c r="B77" s="26"/>
    </row>
    <row r="78" spans="1:2" ht="18" x14ac:dyDescent="0.3">
      <c r="A78" s="25" t="s">
        <v>617</v>
      </c>
      <c r="B78" s="25"/>
    </row>
    <row r="79" spans="1:2" ht="18" x14ac:dyDescent="0.3">
      <c r="A79" s="26" t="s">
        <v>618</v>
      </c>
      <c r="B79" s="26"/>
    </row>
    <row r="80" spans="1:2" ht="18" x14ac:dyDescent="0.3">
      <c r="A80" s="25" t="s">
        <v>619</v>
      </c>
      <c r="B80" s="25"/>
    </row>
    <row r="81" spans="1:2" ht="18" x14ac:dyDescent="0.3">
      <c r="A81" s="26" t="s">
        <v>620</v>
      </c>
      <c r="B81" s="26"/>
    </row>
    <row r="82" spans="1:2" ht="18" x14ac:dyDescent="0.3">
      <c r="A82" s="25" t="s">
        <v>621</v>
      </c>
      <c r="B82" s="25"/>
    </row>
    <row r="83" spans="1:2" ht="18" x14ac:dyDescent="0.3">
      <c r="A83" s="26" t="s">
        <v>622</v>
      </c>
      <c r="B83" s="26"/>
    </row>
    <row r="84" spans="1:2" ht="18" x14ac:dyDescent="0.3">
      <c r="A84" s="25" t="s">
        <v>623</v>
      </c>
      <c r="B84" s="25"/>
    </row>
    <row r="85" spans="1:2" ht="18" x14ac:dyDescent="0.3">
      <c r="A85" s="26" t="s">
        <v>624</v>
      </c>
      <c r="B85" s="26"/>
    </row>
    <row r="86" spans="1:2" ht="18" x14ac:dyDescent="0.3">
      <c r="A86" s="25" t="s">
        <v>625</v>
      </c>
      <c r="B86" s="25"/>
    </row>
    <row r="87" spans="1:2" ht="18" x14ac:dyDescent="0.3">
      <c r="A87" s="26" t="s">
        <v>626</v>
      </c>
      <c r="B87" s="26"/>
    </row>
    <row r="88" spans="1:2" ht="18" x14ac:dyDescent="0.3">
      <c r="A88" s="25" t="s">
        <v>627</v>
      </c>
      <c r="B88" s="25"/>
    </row>
    <row r="89" spans="1:2" ht="18" x14ac:dyDescent="0.3">
      <c r="A89" s="26" t="s">
        <v>628</v>
      </c>
      <c r="B89" s="26"/>
    </row>
    <row r="90" spans="1:2" ht="18" x14ac:dyDescent="0.3">
      <c r="A90" s="25" t="s">
        <v>629</v>
      </c>
      <c r="B90" s="25"/>
    </row>
    <row r="91" spans="1:2" ht="18" x14ac:dyDescent="0.3">
      <c r="A91" s="26" t="s">
        <v>630</v>
      </c>
      <c r="B91" s="26"/>
    </row>
    <row r="92" spans="1:2" ht="18" x14ac:dyDescent="0.3">
      <c r="A92" s="25" t="s">
        <v>631</v>
      </c>
      <c r="B92" s="25"/>
    </row>
    <row r="93" spans="1:2" ht="18" x14ac:dyDescent="0.3">
      <c r="A93" s="26" t="s">
        <v>632</v>
      </c>
      <c r="B93" s="26"/>
    </row>
    <row r="94" spans="1:2" ht="18" x14ac:dyDescent="0.3">
      <c r="A94" s="25" t="s">
        <v>633</v>
      </c>
      <c r="B94" s="25"/>
    </row>
    <row r="95" spans="1:2" ht="18" x14ac:dyDescent="0.3">
      <c r="A95" s="26" t="s">
        <v>634</v>
      </c>
      <c r="B95" s="26"/>
    </row>
    <row r="96" spans="1:2" ht="18" x14ac:dyDescent="0.3">
      <c r="A96" s="25" t="s">
        <v>635</v>
      </c>
      <c r="B96" s="25"/>
    </row>
    <row r="97" spans="1:2" ht="18" x14ac:dyDescent="0.3">
      <c r="A97" s="26" t="s">
        <v>636</v>
      </c>
      <c r="B97" s="26"/>
    </row>
    <row r="98" spans="1:2" ht="18" x14ac:dyDescent="0.3">
      <c r="A98" s="25" t="s">
        <v>637</v>
      </c>
      <c r="B98" s="25"/>
    </row>
    <row r="99" spans="1:2" ht="18" x14ac:dyDescent="0.3">
      <c r="A99" s="26" t="s">
        <v>638</v>
      </c>
      <c r="B99" s="26"/>
    </row>
    <row r="100" spans="1:2" ht="18" x14ac:dyDescent="0.3">
      <c r="A100" s="25" t="s">
        <v>639</v>
      </c>
      <c r="B100" s="25"/>
    </row>
    <row r="101" spans="1:2" ht="18" x14ac:dyDescent="0.3">
      <c r="A101" s="26" t="s">
        <v>640</v>
      </c>
      <c r="B101" s="26"/>
    </row>
    <row r="102" spans="1:2" ht="18" x14ac:dyDescent="0.3">
      <c r="A102" s="25" t="s">
        <v>641</v>
      </c>
      <c r="B102" s="25"/>
    </row>
    <row r="103" spans="1:2" ht="18" x14ac:dyDescent="0.3">
      <c r="A103" s="26" t="s">
        <v>642</v>
      </c>
      <c r="B103" s="26"/>
    </row>
    <row r="104" spans="1:2" ht="18" x14ac:dyDescent="0.3">
      <c r="A104" s="25" t="s">
        <v>643</v>
      </c>
      <c r="B104" s="25"/>
    </row>
    <row r="105" spans="1:2" ht="18" x14ac:dyDescent="0.3">
      <c r="A105" s="26" t="s">
        <v>644</v>
      </c>
      <c r="B105" s="26"/>
    </row>
    <row r="106" spans="1:2" ht="18" x14ac:dyDescent="0.3">
      <c r="A106" s="25" t="s">
        <v>645</v>
      </c>
      <c r="B106" s="25"/>
    </row>
    <row r="107" spans="1:2" ht="18" x14ac:dyDescent="0.3">
      <c r="A107" s="26" t="s">
        <v>646</v>
      </c>
      <c r="B107" s="26"/>
    </row>
    <row r="108" spans="1:2" ht="18" x14ac:dyDescent="0.3">
      <c r="A108" s="25" t="s">
        <v>647</v>
      </c>
      <c r="B108" s="25"/>
    </row>
    <row r="109" spans="1:2" ht="18" x14ac:dyDescent="0.3">
      <c r="A109" s="26" t="s">
        <v>648</v>
      </c>
      <c r="B109" s="26"/>
    </row>
    <row r="110" spans="1:2" ht="18" x14ac:dyDescent="0.3">
      <c r="A110" s="25" t="s">
        <v>649</v>
      </c>
      <c r="B110" s="25"/>
    </row>
    <row r="111" spans="1:2" ht="18" x14ac:dyDescent="0.3">
      <c r="A111" s="26" t="s">
        <v>650</v>
      </c>
      <c r="B111" s="26"/>
    </row>
    <row r="112" spans="1:2" ht="18" x14ac:dyDescent="0.3">
      <c r="A112" s="25" t="s">
        <v>651</v>
      </c>
      <c r="B112" s="25"/>
    </row>
    <row r="113" spans="1:2" ht="18" x14ac:dyDescent="0.3">
      <c r="A113" s="26" t="s">
        <v>652</v>
      </c>
      <c r="B113" s="26"/>
    </row>
    <row r="114" spans="1:2" ht="18" x14ac:dyDescent="0.3">
      <c r="A114" s="25" t="s">
        <v>653</v>
      </c>
      <c r="B114" s="25"/>
    </row>
    <row r="115" spans="1:2" ht="18" x14ac:dyDescent="0.3">
      <c r="A115" s="26" t="s">
        <v>654</v>
      </c>
      <c r="B115" s="26"/>
    </row>
    <row r="116" spans="1:2" ht="18" x14ac:dyDescent="0.3">
      <c r="A116" s="25" t="s">
        <v>655</v>
      </c>
      <c r="B116" s="25"/>
    </row>
    <row r="117" spans="1:2" ht="18" x14ac:dyDescent="0.3">
      <c r="A117" s="26" t="s">
        <v>656</v>
      </c>
      <c r="B117" s="26"/>
    </row>
    <row r="118" spans="1:2" ht="18" x14ac:dyDescent="0.3">
      <c r="A118" s="25" t="s">
        <v>657</v>
      </c>
      <c r="B118" s="25"/>
    </row>
    <row r="119" spans="1:2" ht="18" x14ac:dyDescent="0.3">
      <c r="A119" s="26" t="s">
        <v>658</v>
      </c>
      <c r="B119" s="26"/>
    </row>
    <row r="120" spans="1:2" ht="18" x14ac:dyDescent="0.3">
      <c r="A120" s="25" t="s">
        <v>659</v>
      </c>
      <c r="B120" s="25"/>
    </row>
    <row r="121" spans="1:2" ht="18" x14ac:dyDescent="0.3">
      <c r="A121" s="26" t="s">
        <v>660</v>
      </c>
      <c r="B121" s="26"/>
    </row>
    <row r="122" spans="1:2" ht="18" x14ac:dyDescent="0.3">
      <c r="A122" s="25" t="s">
        <v>661</v>
      </c>
      <c r="B122" s="25"/>
    </row>
    <row r="123" spans="1:2" ht="18" x14ac:dyDescent="0.3">
      <c r="A123" s="26" t="s">
        <v>662</v>
      </c>
      <c r="B123" s="26"/>
    </row>
    <row r="124" spans="1:2" ht="18" x14ac:dyDescent="0.3">
      <c r="A124" s="25" t="s">
        <v>663</v>
      </c>
      <c r="B124" s="25"/>
    </row>
    <row r="125" spans="1:2" ht="18" x14ac:dyDescent="0.3">
      <c r="A125" s="26" t="s">
        <v>664</v>
      </c>
      <c r="B125" s="26"/>
    </row>
    <row r="126" spans="1:2" ht="18" x14ac:dyDescent="0.3">
      <c r="A126" s="25" t="s">
        <v>665</v>
      </c>
      <c r="B126" s="25"/>
    </row>
    <row r="127" spans="1:2" ht="18" x14ac:dyDescent="0.3">
      <c r="A127" s="26" t="s">
        <v>666</v>
      </c>
      <c r="B127" s="26"/>
    </row>
    <row r="128" spans="1:2" ht="18" x14ac:dyDescent="0.3">
      <c r="A128" s="25" t="s">
        <v>667</v>
      </c>
      <c r="B128" s="25"/>
    </row>
    <row r="129" spans="1:2" ht="18" x14ac:dyDescent="0.3">
      <c r="A129" s="26" t="s">
        <v>668</v>
      </c>
      <c r="B129" s="26"/>
    </row>
    <row r="130" spans="1:2" ht="18" x14ac:dyDescent="0.3">
      <c r="A130" s="25" t="s">
        <v>669</v>
      </c>
      <c r="B130" s="25"/>
    </row>
    <row r="131" spans="1:2" ht="18" x14ac:dyDescent="0.3">
      <c r="A131" s="26" t="s">
        <v>670</v>
      </c>
      <c r="B131" s="26"/>
    </row>
    <row r="132" spans="1:2" ht="18" x14ac:dyDescent="0.3">
      <c r="A132" s="25" t="s">
        <v>671</v>
      </c>
      <c r="B132" s="25"/>
    </row>
    <row r="133" spans="1:2" ht="18" x14ac:dyDescent="0.3">
      <c r="A133" s="26" t="s">
        <v>672</v>
      </c>
      <c r="B133" s="26"/>
    </row>
    <row r="134" spans="1:2" ht="18" x14ac:dyDescent="0.3">
      <c r="A134" s="25" t="s">
        <v>673</v>
      </c>
      <c r="B134" s="25"/>
    </row>
    <row r="135" spans="1:2" ht="18" x14ac:dyDescent="0.3">
      <c r="A135" s="26" t="s">
        <v>674</v>
      </c>
      <c r="B135" s="26"/>
    </row>
    <row r="136" spans="1:2" ht="18" x14ac:dyDescent="0.3">
      <c r="A136" s="25" t="s">
        <v>675</v>
      </c>
      <c r="B136" s="25"/>
    </row>
    <row r="137" spans="1:2" ht="18" x14ac:dyDescent="0.3">
      <c r="A137" s="26" t="s">
        <v>676</v>
      </c>
      <c r="B137" s="26"/>
    </row>
    <row r="138" spans="1:2" ht="18" x14ac:dyDescent="0.3">
      <c r="A138" s="25" t="s">
        <v>677</v>
      </c>
      <c r="B138" s="25"/>
    </row>
    <row r="139" spans="1:2" ht="18" x14ac:dyDescent="0.3">
      <c r="A139" s="26" t="s">
        <v>678</v>
      </c>
      <c r="B139" s="26"/>
    </row>
    <row r="140" spans="1:2" ht="18" x14ac:dyDescent="0.3">
      <c r="A140" s="25" t="s">
        <v>679</v>
      </c>
      <c r="B140" s="25"/>
    </row>
    <row r="141" spans="1:2" ht="18" x14ac:dyDescent="0.3">
      <c r="A141" s="26" t="s">
        <v>680</v>
      </c>
      <c r="B141" s="26"/>
    </row>
    <row r="142" spans="1:2" ht="18" x14ac:dyDescent="0.3">
      <c r="A142" s="25" t="s">
        <v>681</v>
      </c>
      <c r="B142" s="25"/>
    </row>
    <row r="143" spans="1:2" ht="18" x14ac:dyDescent="0.3">
      <c r="A143" s="26" t="s">
        <v>580</v>
      </c>
      <c r="B143" s="26"/>
    </row>
    <row r="144" spans="1:2" ht="18" x14ac:dyDescent="0.3">
      <c r="A144" s="25" t="s">
        <v>581</v>
      </c>
      <c r="B144" s="25"/>
    </row>
    <row r="145" spans="1:2" ht="18" x14ac:dyDescent="0.3">
      <c r="A145" s="26" t="s">
        <v>602</v>
      </c>
      <c r="B145" s="26"/>
    </row>
    <row r="146" spans="1:2" ht="18" x14ac:dyDescent="0.3">
      <c r="A146" s="25" t="s">
        <v>682</v>
      </c>
      <c r="B146" s="25"/>
    </row>
    <row r="147" spans="1:2" ht="18" x14ac:dyDescent="0.3">
      <c r="A147" s="26" t="s">
        <v>683</v>
      </c>
      <c r="B147" s="26"/>
    </row>
    <row r="148" spans="1:2" ht="18" x14ac:dyDescent="0.3">
      <c r="A148" s="25" t="s">
        <v>684</v>
      </c>
      <c r="B148" s="25"/>
    </row>
    <row r="149" spans="1:2" ht="18" x14ac:dyDescent="0.3">
      <c r="A149" s="26" t="s">
        <v>685</v>
      </c>
      <c r="B149" s="26"/>
    </row>
    <row r="150" spans="1:2" ht="18" x14ac:dyDescent="0.3">
      <c r="A150" s="25" t="s">
        <v>686</v>
      </c>
      <c r="B150" s="25"/>
    </row>
    <row r="151" spans="1:2" ht="18" x14ac:dyDescent="0.3">
      <c r="A151" s="26" t="s">
        <v>687</v>
      </c>
      <c r="B151" s="26"/>
    </row>
    <row r="152" spans="1:2" ht="18" x14ac:dyDescent="0.3">
      <c r="A152" s="25" t="s">
        <v>688</v>
      </c>
      <c r="B152" s="25"/>
    </row>
    <row r="153" spans="1:2" ht="18" x14ac:dyDescent="0.3">
      <c r="A153" s="26" t="s">
        <v>689</v>
      </c>
      <c r="B153" s="26"/>
    </row>
    <row r="154" spans="1:2" ht="18" x14ac:dyDescent="0.3">
      <c r="A154" s="25" t="s">
        <v>690</v>
      </c>
      <c r="B154" s="25"/>
    </row>
    <row r="155" spans="1:2" ht="18" x14ac:dyDescent="0.3">
      <c r="A155" s="26" t="s">
        <v>691</v>
      </c>
      <c r="B155" s="26"/>
    </row>
    <row r="156" spans="1:2" ht="18" x14ac:dyDescent="0.3">
      <c r="A156" s="25" t="s">
        <v>692</v>
      </c>
      <c r="B156" s="25"/>
    </row>
    <row r="157" spans="1:2" ht="18" x14ac:dyDescent="0.3">
      <c r="A157" s="26" t="s">
        <v>693</v>
      </c>
      <c r="B157" s="26"/>
    </row>
    <row r="158" spans="1:2" ht="18" x14ac:dyDescent="0.3">
      <c r="A158" s="25" t="s">
        <v>694</v>
      </c>
      <c r="B158" s="25"/>
    </row>
    <row r="159" spans="1:2" ht="18" x14ac:dyDescent="0.3">
      <c r="A159" s="26" t="s">
        <v>695</v>
      </c>
      <c r="B159" s="26"/>
    </row>
    <row r="160" spans="1:2" ht="18" x14ac:dyDescent="0.3">
      <c r="A160" s="25" t="s">
        <v>696</v>
      </c>
      <c r="B160" s="25"/>
    </row>
    <row r="161" spans="1:2" ht="18" x14ac:dyDescent="0.3">
      <c r="A161" s="26" t="s">
        <v>697</v>
      </c>
      <c r="B161" s="26"/>
    </row>
    <row r="162" spans="1:2" ht="18" x14ac:dyDescent="0.3">
      <c r="A162" s="25" t="s">
        <v>698</v>
      </c>
      <c r="B162" s="25"/>
    </row>
    <row r="163" spans="1:2" ht="18" x14ac:dyDescent="0.3">
      <c r="A163" s="26" t="s">
        <v>521</v>
      </c>
      <c r="B163" s="26"/>
    </row>
    <row r="164" spans="1:2" ht="18" x14ac:dyDescent="0.3">
      <c r="A164" s="25" t="s">
        <v>699</v>
      </c>
      <c r="B164" s="25"/>
    </row>
    <row r="165" spans="1:2" ht="18" x14ac:dyDescent="0.3">
      <c r="A165" s="26" t="s">
        <v>700</v>
      </c>
      <c r="B165" s="26"/>
    </row>
    <row r="166" spans="1:2" ht="18" x14ac:dyDescent="0.3">
      <c r="A166" s="25" t="s">
        <v>701</v>
      </c>
      <c r="B166" s="25"/>
    </row>
    <row r="167" spans="1:2" ht="18" x14ac:dyDescent="0.3">
      <c r="A167" s="26" t="s">
        <v>702</v>
      </c>
      <c r="B167" s="26"/>
    </row>
    <row r="168" spans="1:2" ht="18" x14ac:dyDescent="0.3">
      <c r="A168" s="25" t="s">
        <v>703</v>
      </c>
      <c r="B168" s="25"/>
    </row>
    <row r="169" spans="1:2" ht="18" x14ac:dyDescent="0.3">
      <c r="A169" s="26" t="s">
        <v>704</v>
      </c>
      <c r="B169" s="26"/>
    </row>
    <row r="170" spans="1:2" ht="18" x14ac:dyDescent="0.3">
      <c r="A170" s="25" t="s">
        <v>705</v>
      </c>
      <c r="B170" s="25"/>
    </row>
    <row r="171" spans="1:2" ht="18" x14ac:dyDescent="0.3">
      <c r="A171" s="26" t="s">
        <v>706</v>
      </c>
      <c r="B171" s="26"/>
    </row>
    <row r="172" spans="1:2" ht="18" x14ac:dyDescent="0.3">
      <c r="A172" s="25" t="s">
        <v>707</v>
      </c>
      <c r="B172" s="25"/>
    </row>
    <row r="173" spans="1:2" ht="18" x14ac:dyDescent="0.3">
      <c r="A173" s="26" t="s">
        <v>708</v>
      </c>
      <c r="B173" s="26"/>
    </row>
    <row r="174" spans="1:2" ht="18" x14ac:dyDescent="0.3">
      <c r="A174" s="25" t="s">
        <v>709</v>
      </c>
      <c r="B174" s="25"/>
    </row>
    <row r="175" spans="1:2" ht="18" x14ac:dyDescent="0.3">
      <c r="A175" s="26" t="s">
        <v>710</v>
      </c>
      <c r="B175" s="26"/>
    </row>
    <row r="176" spans="1:2" ht="18" x14ac:dyDescent="0.3">
      <c r="A176" s="25" t="s">
        <v>711</v>
      </c>
      <c r="B176" s="25"/>
    </row>
    <row r="177" spans="1:2" ht="18" x14ac:dyDescent="0.3">
      <c r="A177" s="26" t="s">
        <v>712</v>
      </c>
      <c r="B177" s="26"/>
    </row>
    <row r="178" spans="1:2" ht="18" x14ac:dyDescent="0.3">
      <c r="A178" s="25" t="s">
        <v>713</v>
      </c>
      <c r="B178" s="25"/>
    </row>
    <row r="179" spans="1:2" ht="18" x14ac:dyDescent="0.3">
      <c r="A179" s="26" t="s">
        <v>714</v>
      </c>
      <c r="B179" s="26"/>
    </row>
    <row r="180" spans="1:2" ht="18" x14ac:dyDescent="0.3">
      <c r="A180" s="25" t="s">
        <v>715</v>
      </c>
      <c r="B180" s="25"/>
    </row>
    <row r="181" spans="1:2" ht="18" x14ac:dyDescent="0.3">
      <c r="A181" s="26" t="s">
        <v>716</v>
      </c>
      <c r="B181" s="26"/>
    </row>
    <row r="182" spans="1:2" ht="18" x14ac:dyDescent="0.3">
      <c r="A182" s="25" t="s">
        <v>717</v>
      </c>
      <c r="B182" s="25"/>
    </row>
    <row r="183" spans="1:2" ht="18" x14ac:dyDescent="0.3">
      <c r="A183" s="26" t="s">
        <v>718</v>
      </c>
      <c r="B183" s="26"/>
    </row>
    <row r="184" spans="1:2" ht="18" x14ac:dyDescent="0.3">
      <c r="A184" s="25" t="s">
        <v>719</v>
      </c>
      <c r="B184" s="25"/>
    </row>
    <row r="185" spans="1:2" ht="18" x14ac:dyDescent="0.3">
      <c r="A185" s="26" t="s">
        <v>720</v>
      </c>
      <c r="B185" s="26"/>
    </row>
    <row r="186" spans="1:2" ht="18" x14ac:dyDescent="0.3">
      <c r="A186" s="25" t="s">
        <v>721</v>
      </c>
      <c r="B186" s="25"/>
    </row>
    <row r="187" spans="1:2" ht="18" x14ac:dyDescent="0.3">
      <c r="A187" s="26" t="s">
        <v>722</v>
      </c>
      <c r="B187" s="26"/>
    </row>
    <row r="188" spans="1:2" ht="18" x14ac:dyDescent="0.3">
      <c r="A188" s="25" t="s">
        <v>723</v>
      </c>
      <c r="B188" s="25"/>
    </row>
    <row r="189" spans="1:2" ht="18" x14ac:dyDescent="0.3">
      <c r="A189" s="26" t="s">
        <v>724</v>
      </c>
      <c r="B189" s="26"/>
    </row>
    <row r="190" spans="1:2" ht="18" x14ac:dyDescent="0.3">
      <c r="A190" s="25" t="s">
        <v>725</v>
      </c>
      <c r="B190" s="25"/>
    </row>
    <row r="191" spans="1:2" ht="18" x14ac:dyDescent="0.3">
      <c r="A191" s="26" t="s">
        <v>726</v>
      </c>
      <c r="B191" s="26"/>
    </row>
    <row r="192" spans="1:2" ht="18" x14ac:dyDescent="0.3">
      <c r="A192" s="25" t="s">
        <v>727</v>
      </c>
      <c r="B192" s="25"/>
    </row>
    <row r="193" spans="1:2" ht="18" x14ac:dyDescent="0.3">
      <c r="A193" s="26" t="s">
        <v>728</v>
      </c>
      <c r="B193" s="26"/>
    </row>
    <row r="194" spans="1:2" ht="18" x14ac:dyDescent="0.3">
      <c r="A194" s="25" t="s">
        <v>729</v>
      </c>
      <c r="B194" s="25"/>
    </row>
    <row r="195" spans="1:2" ht="18" x14ac:dyDescent="0.3">
      <c r="A195" s="26" t="s">
        <v>730</v>
      </c>
      <c r="B195" s="26"/>
    </row>
    <row r="196" spans="1:2" ht="18" x14ac:dyDescent="0.3">
      <c r="A196" s="25" t="s">
        <v>731</v>
      </c>
      <c r="B196" s="25"/>
    </row>
    <row r="197" spans="1:2" ht="18" x14ac:dyDescent="0.3">
      <c r="A197" s="26" t="s">
        <v>732</v>
      </c>
      <c r="B197" s="28"/>
    </row>
    <row r="198" spans="1:2" ht="18" x14ac:dyDescent="0.3">
      <c r="A198" s="25"/>
      <c r="B198" s="27"/>
    </row>
    <row r="199" spans="1:2" ht="18" x14ac:dyDescent="0.3">
      <c r="A199" s="26"/>
      <c r="B199" s="28"/>
    </row>
    <row r="200" spans="1:2" ht="18" x14ac:dyDescent="0.3">
      <c r="A200" s="25"/>
      <c r="B200" s="27"/>
    </row>
    <row r="201" spans="1:2" ht="18" x14ac:dyDescent="0.3">
      <c r="A201" s="26"/>
      <c r="B201" s="28"/>
    </row>
    <row r="202" spans="1:2" ht="18" x14ac:dyDescent="0.3">
      <c r="A202" s="25"/>
      <c r="B202" s="27"/>
    </row>
    <row r="203" spans="1:2" ht="18" x14ac:dyDescent="0.3">
      <c r="A203" s="26"/>
      <c r="B203" s="28"/>
    </row>
    <row r="204" spans="1:2" ht="18" x14ac:dyDescent="0.3">
      <c r="A204" s="25"/>
      <c r="B204" s="27"/>
    </row>
    <row r="205" spans="1:2" ht="18" x14ac:dyDescent="0.3">
      <c r="A205" s="26"/>
      <c r="B205" s="28"/>
    </row>
    <row r="206" spans="1:2" ht="18" x14ac:dyDescent="0.3">
      <c r="A206" s="25"/>
      <c r="B206" s="27"/>
    </row>
    <row r="207" spans="1:2" ht="18" x14ac:dyDescent="0.3">
      <c r="A207" s="26"/>
      <c r="B207" s="28"/>
    </row>
    <row r="208" spans="1:2" ht="18" x14ac:dyDescent="0.3">
      <c r="A208" s="25"/>
      <c r="B208" s="27"/>
    </row>
    <row r="209" spans="1:2" ht="18" x14ac:dyDescent="0.3">
      <c r="A209" s="26"/>
      <c r="B209" s="28"/>
    </row>
    <row r="210" spans="1:2" ht="18" x14ac:dyDescent="0.3">
      <c r="A210" s="25"/>
      <c r="B210" s="27"/>
    </row>
    <row r="211" spans="1:2" ht="18" x14ac:dyDescent="0.3">
      <c r="A211" s="26"/>
      <c r="B211" s="28"/>
    </row>
    <row r="212" spans="1:2" ht="18" x14ac:dyDescent="0.3">
      <c r="A212" s="25"/>
      <c r="B212" s="27"/>
    </row>
    <row r="213" spans="1:2" ht="18" x14ac:dyDescent="0.3">
      <c r="A213" s="26"/>
      <c r="B213" s="28"/>
    </row>
    <row r="214" spans="1:2" ht="18" x14ac:dyDescent="0.3">
      <c r="A214" s="25"/>
      <c r="B214" s="27"/>
    </row>
    <row r="215" spans="1:2" ht="18" x14ac:dyDescent="0.3">
      <c r="A215" s="26"/>
      <c r="B215" s="28"/>
    </row>
    <row r="216" spans="1:2" ht="18" x14ac:dyDescent="0.3">
      <c r="A216" s="25"/>
      <c r="B216" s="27"/>
    </row>
    <row r="217" spans="1:2" ht="18" x14ac:dyDescent="0.3">
      <c r="A217" s="26"/>
      <c r="B217" s="28"/>
    </row>
    <row r="218" spans="1:2" ht="18" x14ac:dyDescent="0.3">
      <c r="A218" s="25"/>
      <c r="B218" s="27"/>
    </row>
    <row r="219" spans="1:2" ht="18" x14ac:dyDescent="0.3">
      <c r="A219" s="26"/>
      <c r="B219" s="28"/>
    </row>
    <row r="220" spans="1:2" ht="18" x14ac:dyDescent="0.3">
      <c r="A220" s="25"/>
      <c r="B220" s="27"/>
    </row>
    <row r="221" spans="1:2" ht="18" x14ac:dyDescent="0.3">
      <c r="A221" s="26"/>
      <c r="B221" s="28"/>
    </row>
    <row r="222" spans="1:2" ht="18" x14ac:dyDescent="0.3">
      <c r="A222" s="25"/>
      <c r="B222" s="27"/>
    </row>
    <row r="223" spans="1:2" ht="18" x14ac:dyDescent="0.3">
      <c r="A223" s="26"/>
      <c r="B223" s="28"/>
    </row>
    <row r="224" spans="1:2" ht="18" x14ac:dyDescent="0.3">
      <c r="A224" s="25"/>
      <c r="B224" s="27"/>
    </row>
    <row r="225" spans="1:2" ht="18" x14ac:dyDescent="0.3">
      <c r="A225" s="26"/>
      <c r="B225" s="28"/>
    </row>
    <row r="226" spans="1:2" ht="18" x14ac:dyDescent="0.3">
      <c r="A226" s="25"/>
      <c r="B226" s="27"/>
    </row>
    <row r="227" spans="1:2" ht="18" x14ac:dyDescent="0.3">
      <c r="A227" s="26"/>
      <c r="B227" s="28"/>
    </row>
    <row r="228" spans="1:2" ht="18" x14ac:dyDescent="0.3">
      <c r="A228" s="25"/>
      <c r="B228" s="27"/>
    </row>
    <row r="229" spans="1:2" ht="18" x14ac:dyDescent="0.3">
      <c r="A229" s="26"/>
      <c r="B229" s="28"/>
    </row>
    <row r="230" spans="1:2" ht="18" x14ac:dyDescent="0.3">
      <c r="A230" s="25"/>
      <c r="B230" s="27"/>
    </row>
    <row r="231" spans="1:2" ht="18" x14ac:dyDescent="0.3">
      <c r="A231" s="26"/>
      <c r="B231" s="28"/>
    </row>
    <row r="232" spans="1:2" ht="18" x14ac:dyDescent="0.3">
      <c r="A232" s="25"/>
      <c r="B232" s="27"/>
    </row>
    <row r="233" spans="1:2" ht="18" x14ac:dyDescent="0.3">
      <c r="A233" s="26"/>
      <c r="B233" s="28"/>
    </row>
    <row r="234" spans="1:2" ht="18" x14ac:dyDescent="0.3">
      <c r="A234" s="25"/>
      <c r="B234" s="27"/>
    </row>
    <row r="235" spans="1:2" ht="18" x14ac:dyDescent="0.3">
      <c r="A235" s="26"/>
      <c r="B235" s="28"/>
    </row>
    <row r="236" spans="1:2" ht="18" x14ac:dyDescent="0.3">
      <c r="A236" s="25"/>
      <c r="B236" s="27"/>
    </row>
    <row r="237" spans="1:2" ht="18" x14ac:dyDescent="0.3">
      <c r="A237" s="26"/>
      <c r="B237" s="28"/>
    </row>
    <row r="238" spans="1:2" ht="18" x14ac:dyDescent="0.3">
      <c r="A238" s="25"/>
      <c r="B238" s="27"/>
    </row>
    <row r="239" spans="1:2" ht="18" x14ac:dyDescent="0.3">
      <c r="A239" s="26"/>
      <c r="B239" s="28"/>
    </row>
    <row r="240" spans="1:2" ht="18" x14ac:dyDescent="0.3">
      <c r="A240" s="25"/>
      <c r="B240" s="27"/>
    </row>
    <row r="241" spans="1:2" ht="18" x14ac:dyDescent="0.3">
      <c r="A241" s="26"/>
      <c r="B241" s="28"/>
    </row>
    <row r="242" spans="1:2" ht="18" x14ac:dyDescent="0.3">
      <c r="A242" s="25"/>
      <c r="B242" s="27"/>
    </row>
    <row r="243" spans="1:2" ht="18" x14ac:dyDescent="0.3">
      <c r="A243" s="26"/>
      <c r="B243" s="28"/>
    </row>
    <row r="244" spans="1:2" ht="18" x14ac:dyDescent="0.3">
      <c r="A244" s="25"/>
      <c r="B244" s="27"/>
    </row>
    <row r="245" spans="1:2" ht="18" x14ac:dyDescent="0.3">
      <c r="A245" s="26"/>
      <c r="B245" s="28"/>
    </row>
    <row r="246" spans="1:2" ht="18" x14ac:dyDescent="0.3">
      <c r="A246" s="25"/>
      <c r="B246" s="27"/>
    </row>
    <row r="247" spans="1:2" ht="18" x14ac:dyDescent="0.3">
      <c r="A247" s="26"/>
      <c r="B247" s="28"/>
    </row>
    <row r="248" spans="1:2" ht="18" x14ac:dyDescent="0.3">
      <c r="A248" s="25"/>
      <c r="B248" s="27"/>
    </row>
    <row r="249" spans="1:2" ht="18" x14ac:dyDescent="0.3">
      <c r="A249" s="26"/>
      <c r="B249" s="28"/>
    </row>
    <row r="250" spans="1:2" ht="18" x14ac:dyDescent="0.3">
      <c r="A250" s="25"/>
      <c r="B250" s="27"/>
    </row>
    <row r="251" spans="1:2" ht="18" x14ac:dyDescent="0.3">
      <c r="A251" s="26"/>
      <c r="B251" s="28"/>
    </row>
    <row r="252" spans="1:2" ht="18" x14ac:dyDescent="0.3">
      <c r="A252" s="25"/>
      <c r="B252" s="27"/>
    </row>
    <row r="253" spans="1:2" ht="18" x14ac:dyDescent="0.3">
      <c r="A253" s="26"/>
      <c r="B253" s="28"/>
    </row>
    <row r="254" spans="1:2" ht="18" x14ac:dyDescent="0.3">
      <c r="A254" s="25"/>
      <c r="B254" s="27"/>
    </row>
    <row r="255" spans="1:2" ht="18" x14ac:dyDescent="0.3">
      <c r="A255" s="26"/>
      <c r="B255" s="28"/>
    </row>
    <row r="256" spans="1:2" ht="18" x14ac:dyDescent="0.3">
      <c r="A256" s="25"/>
      <c r="B256" s="27"/>
    </row>
    <row r="257" spans="1:2" ht="18" x14ac:dyDescent="0.3">
      <c r="A257" s="26"/>
      <c r="B257" s="28"/>
    </row>
    <row r="258" spans="1:2" ht="18" x14ac:dyDescent="0.3">
      <c r="A258" s="25"/>
      <c r="B258" s="27"/>
    </row>
    <row r="259" spans="1:2" ht="18" x14ac:dyDescent="0.3">
      <c r="A259" s="26"/>
      <c r="B259" s="28"/>
    </row>
    <row r="260" spans="1:2" ht="18" x14ac:dyDescent="0.3">
      <c r="A260" s="25"/>
      <c r="B260" s="27"/>
    </row>
    <row r="261" spans="1:2" ht="18" x14ac:dyDescent="0.3">
      <c r="A261" s="26"/>
      <c r="B261" s="28"/>
    </row>
    <row r="262" spans="1:2" ht="18" x14ac:dyDescent="0.3">
      <c r="A262" s="25"/>
      <c r="B262" s="27"/>
    </row>
    <row r="263" spans="1:2" ht="18" x14ac:dyDescent="0.3">
      <c r="A263" s="26"/>
      <c r="B263" s="28"/>
    </row>
    <row r="264" spans="1:2" ht="18" x14ac:dyDescent="0.3">
      <c r="A264" s="25"/>
      <c r="B264" s="27"/>
    </row>
    <row r="265" spans="1:2" ht="18" x14ac:dyDescent="0.3">
      <c r="A265" s="26"/>
      <c r="B265" s="28"/>
    </row>
    <row r="266" spans="1:2" ht="18" x14ac:dyDescent="0.3">
      <c r="A266" s="25"/>
      <c r="B266" s="27"/>
    </row>
    <row r="267" spans="1:2" ht="18" x14ac:dyDescent="0.3">
      <c r="A267" s="26"/>
      <c r="B267" s="28"/>
    </row>
    <row r="268" spans="1:2" ht="18" x14ac:dyDescent="0.3">
      <c r="A268" s="25"/>
      <c r="B268" s="27"/>
    </row>
    <row r="269" spans="1:2" ht="18" x14ac:dyDescent="0.3">
      <c r="A269" s="26"/>
      <c r="B269" s="28"/>
    </row>
    <row r="270" spans="1:2" ht="18" x14ac:dyDescent="0.3">
      <c r="A270" s="25"/>
      <c r="B270" s="27"/>
    </row>
    <row r="271" spans="1:2" ht="18" x14ac:dyDescent="0.3">
      <c r="A271" s="26"/>
      <c r="B271" s="28"/>
    </row>
    <row r="272" spans="1:2" ht="18" x14ac:dyDescent="0.3">
      <c r="A272" s="25"/>
      <c r="B272" s="27"/>
    </row>
    <row r="273" spans="1:2" ht="18" x14ac:dyDescent="0.3">
      <c r="A273" s="26"/>
      <c r="B273" s="28"/>
    </row>
    <row r="274" spans="1:2" ht="18" x14ac:dyDescent="0.3">
      <c r="A274" s="25"/>
      <c r="B274" s="27"/>
    </row>
    <row r="275" spans="1:2" ht="18" x14ac:dyDescent="0.3">
      <c r="A275" s="26"/>
      <c r="B275" s="28"/>
    </row>
    <row r="276" spans="1:2" ht="18" x14ac:dyDescent="0.3">
      <c r="A276" s="25"/>
      <c r="B276" s="27"/>
    </row>
    <row r="277" spans="1:2" ht="18" x14ac:dyDescent="0.3">
      <c r="A277" s="26"/>
      <c r="B277" s="28"/>
    </row>
    <row r="278" spans="1:2" ht="18" x14ac:dyDescent="0.3">
      <c r="A278" s="25"/>
      <c r="B278" s="27"/>
    </row>
    <row r="279" spans="1:2" ht="18" x14ac:dyDescent="0.3">
      <c r="A279" s="26"/>
      <c r="B279" s="28"/>
    </row>
    <row r="280" spans="1:2" ht="18" x14ac:dyDescent="0.3">
      <c r="A280" s="25"/>
      <c r="B280" s="27"/>
    </row>
    <row r="281" spans="1:2" ht="18" x14ac:dyDescent="0.3">
      <c r="A281" s="26"/>
      <c r="B281" s="28"/>
    </row>
    <row r="282" spans="1:2" ht="18" x14ac:dyDescent="0.3">
      <c r="A282" s="25"/>
      <c r="B282" s="27"/>
    </row>
    <row r="283" spans="1:2" ht="18" x14ac:dyDescent="0.3">
      <c r="A283" s="26"/>
      <c r="B283" s="28"/>
    </row>
    <row r="284" spans="1:2" ht="18" x14ac:dyDescent="0.3">
      <c r="A284" s="25"/>
      <c r="B284" s="27"/>
    </row>
    <row r="285" spans="1:2" ht="18" x14ac:dyDescent="0.3">
      <c r="A285" s="26"/>
      <c r="B285" s="28"/>
    </row>
    <row r="286" spans="1:2" ht="18" x14ac:dyDescent="0.3">
      <c r="A286" s="25"/>
      <c r="B286" s="27"/>
    </row>
    <row r="287" spans="1:2" ht="18" x14ac:dyDescent="0.3">
      <c r="A287" s="26"/>
      <c r="B287" s="28"/>
    </row>
    <row r="288" spans="1:2" ht="18" x14ac:dyDescent="0.3">
      <c r="A288" s="25"/>
      <c r="B288" s="27"/>
    </row>
    <row r="289" spans="1:2" ht="18" x14ac:dyDescent="0.3">
      <c r="A289" s="26"/>
      <c r="B289" s="28"/>
    </row>
    <row r="290" spans="1:2" ht="18" x14ac:dyDescent="0.3">
      <c r="A290" s="25"/>
      <c r="B290" s="27"/>
    </row>
    <row r="291" spans="1:2" ht="18" x14ac:dyDescent="0.3">
      <c r="A291" s="26"/>
      <c r="B291" s="28"/>
    </row>
    <row r="292" spans="1:2" ht="18" x14ac:dyDescent="0.3">
      <c r="A292" s="25"/>
      <c r="B292" s="27"/>
    </row>
    <row r="293" spans="1:2" ht="18" x14ac:dyDescent="0.3">
      <c r="A293" s="26"/>
      <c r="B293" s="28"/>
    </row>
    <row r="294" spans="1:2" ht="18" x14ac:dyDescent="0.3">
      <c r="A294" s="25"/>
      <c r="B294" s="27"/>
    </row>
    <row r="295" spans="1:2" ht="18" x14ac:dyDescent="0.3">
      <c r="A295" s="26"/>
      <c r="B295" s="28"/>
    </row>
    <row r="296" spans="1:2" ht="18" x14ac:dyDescent="0.3">
      <c r="A296" s="25"/>
      <c r="B296" s="27"/>
    </row>
    <row r="297" spans="1:2" ht="18" x14ac:dyDescent="0.3">
      <c r="A297" s="26"/>
      <c r="B297" s="28"/>
    </row>
    <row r="298" spans="1:2" ht="18" x14ac:dyDescent="0.3">
      <c r="A298" s="25"/>
      <c r="B298" s="27"/>
    </row>
    <row r="299" spans="1:2" ht="18" x14ac:dyDescent="0.3">
      <c r="A299" s="26"/>
      <c r="B299" s="28"/>
    </row>
    <row r="300" spans="1:2" ht="18" x14ac:dyDescent="0.3">
      <c r="A300" s="25"/>
      <c r="B300" s="27"/>
    </row>
    <row r="301" spans="1:2" ht="18" x14ac:dyDescent="0.3">
      <c r="A301" s="26"/>
      <c r="B301" s="28"/>
    </row>
    <row r="302" spans="1:2" ht="18" x14ac:dyDescent="0.3">
      <c r="A302" s="25"/>
      <c r="B302" s="27"/>
    </row>
    <row r="303" spans="1:2" ht="18" x14ac:dyDescent="0.3">
      <c r="A303" s="26"/>
      <c r="B303" s="28"/>
    </row>
    <row r="304" spans="1:2" ht="18" x14ac:dyDescent="0.3">
      <c r="A304" s="25"/>
      <c r="B304" s="27"/>
    </row>
    <row r="305" spans="1:2" ht="18" x14ac:dyDescent="0.3">
      <c r="A305" s="26"/>
      <c r="B305" s="28"/>
    </row>
    <row r="306" spans="1:2" ht="18" x14ac:dyDescent="0.3">
      <c r="A306" s="25"/>
      <c r="B306" s="27"/>
    </row>
    <row r="307" spans="1:2" ht="18" x14ac:dyDescent="0.3">
      <c r="A307" s="26"/>
      <c r="B307" s="28"/>
    </row>
    <row r="308" spans="1:2" ht="18" x14ac:dyDescent="0.3">
      <c r="A308" s="25"/>
      <c r="B308" s="27"/>
    </row>
    <row r="309" spans="1:2" ht="18" x14ac:dyDescent="0.3">
      <c r="A309" s="26"/>
      <c r="B309" s="28"/>
    </row>
    <row r="310" spans="1:2" ht="18" x14ac:dyDescent="0.3">
      <c r="A310" s="25"/>
      <c r="B310" s="27"/>
    </row>
    <row r="311" spans="1:2" ht="18" x14ac:dyDescent="0.3">
      <c r="A311" s="26"/>
      <c r="B311" s="28"/>
    </row>
    <row r="312" spans="1:2" ht="18" x14ac:dyDescent="0.3">
      <c r="A312" s="25"/>
      <c r="B312" s="27"/>
    </row>
    <row r="313" spans="1:2" ht="18" x14ac:dyDescent="0.3">
      <c r="A313" s="26"/>
      <c r="B313" s="28"/>
    </row>
    <row r="314" spans="1:2" ht="18" x14ac:dyDescent="0.3">
      <c r="A314" s="25"/>
      <c r="B314" s="27"/>
    </row>
    <row r="315" spans="1:2" ht="18" x14ac:dyDescent="0.3">
      <c r="A315" s="26"/>
      <c r="B315" s="28"/>
    </row>
    <row r="316" spans="1:2" ht="18" x14ac:dyDescent="0.3">
      <c r="A316" s="25"/>
      <c r="B316" s="27"/>
    </row>
    <row r="317" spans="1:2" ht="18" x14ac:dyDescent="0.3">
      <c r="A317" s="26"/>
      <c r="B317" s="28"/>
    </row>
    <row r="318" spans="1:2" ht="18" x14ac:dyDescent="0.3">
      <c r="A318" s="25"/>
      <c r="B318" s="27"/>
    </row>
    <row r="319" spans="1:2" ht="18" x14ac:dyDescent="0.3">
      <c r="A319" s="26"/>
      <c r="B319" s="28"/>
    </row>
    <row r="320" spans="1:2" ht="18" x14ac:dyDescent="0.3">
      <c r="A320" s="25"/>
      <c r="B320" s="27"/>
    </row>
    <row r="321" spans="1:2" ht="18" x14ac:dyDescent="0.3">
      <c r="A321" s="26"/>
      <c r="B321" s="28"/>
    </row>
    <row r="322" spans="1:2" ht="18" x14ac:dyDescent="0.3">
      <c r="A322" s="25"/>
      <c r="B322" s="27"/>
    </row>
    <row r="323" spans="1:2" ht="18" x14ac:dyDescent="0.3">
      <c r="A323" s="26"/>
      <c r="B323" s="28"/>
    </row>
    <row r="324" spans="1:2" ht="18" x14ac:dyDescent="0.3">
      <c r="A324" s="25"/>
      <c r="B324" s="27"/>
    </row>
    <row r="325" spans="1:2" ht="18" x14ac:dyDescent="0.3">
      <c r="A325" s="26"/>
      <c r="B325" s="28"/>
    </row>
    <row r="326" spans="1:2" ht="18" x14ac:dyDescent="0.3">
      <c r="A326" s="25"/>
      <c r="B326" s="30"/>
    </row>
    <row r="327" spans="1:2" ht="18" x14ac:dyDescent="0.3">
      <c r="A327" s="26"/>
      <c r="B327" s="28"/>
    </row>
    <row r="328" spans="1:2" ht="18" x14ac:dyDescent="0.3">
      <c r="A328" s="25"/>
      <c r="B328" s="27"/>
    </row>
    <row r="329" spans="1:2" ht="18" x14ac:dyDescent="0.3">
      <c r="A329" s="26"/>
      <c r="B329" s="28"/>
    </row>
    <row r="330" spans="1:2" ht="18" x14ac:dyDescent="0.3">
      <c r="A330" s="25"/>
      <c r="B330" s="27"/>
    </row>
    <row r="331" spans="1:2" ht="18" x14ac:dyDescent="0.3">
      <c r="A331" s="26"/>
      <c r="B331" s="28"/>
    </row>
    <row r="332" spans="1:2" ht="18" x14ac:dyDescent="0.3">
      <c r="A332" s="25"/>
      <c r="B332" s="27"/>
    </row>
    <row r="333" spans="1:2" ht="18" x14ac:dyDescent="0.3">
      <c r="A333" s="26"/>
      <c r="B333" s="28"/>
    </row>
    <row r="334" spans="1:2" ht="18" x14ac:dyDescent="0.3">
      <c r="A334" s="25"/>
      <c r="B334" s="27"/>
    </row>
    <row r="335" spans="1:2" ht="18" x14ac:dyDescent="0.3">
      <c r="A335" s="26"/>
      <c r="B335" s="28"/>
    </row>
    <row r="336" spans="1:2" ht="18" x14ac:dyDescent="0.3">
      <c r="A336" s="25"/>
      <c r="B336" s="27"/>
    </row>
    <row r="337" spans="1:2" ht="18" x14ac:dyDescent="0.3">
      <c r="A337" s="26"/>
      <c r="B337" s="28"/>
    </row>
    <row r="338" spans="1:2" ht="18" x14ac:dyDescent="0.3">
      <c r="A338" s="25"/>
      <c r="B338" s="27"/>
    </row>
    <row r="339" spans="1:2" ht="18" x14ac:dyDescent="0.3">
      <c r="A339" s="26"/>
      <c r="B339" s="28"/>
    </row>
    <row r="340" spans="1:2" ht="18" x14ac:dyDescent="0.3">
      <c r="A340" s="25"/>
      <c r="B340" s="27"/>
    </row>
    <row r="341" spans="1:2" ht="18" x14ac:dyDescent="0.3">
      <c r="A341" s="26"/>
      <c r="B341" s="28"/>
    </row>
    <row r="342" spans="1:2" ht="18" x14ac:dyDescent="0.3">
      <c r="A342" s="25"/>
      <c r="B342" s="27"/>
    </row>
    <row r="343" spans="1:2" ht="18" x14ac:dyDescent="0.3">
      <c r="A343" s="26"/>
      <c r="B343" s="28"/>
    </row>
    <row r="344" spans="1:2" ht="18" x14ac:dyDescent="0.3">
      <c r="A344" s="25"/>
      <c r="B344" s="27"/>
    </row>
    <row r="345" spans="1:2" ht="18" x14ac:dyDescent="0.3">
      <c r="A345" s="26"/>
      <c r="B345" s="28"/>
    </row>
    <row r="346" spans="1:2" ht="18" x14ac:dyDescent="0.3">
      <c r="A346" s="25"/>
      <c r="B346" s="27"/>
    </row>
    <row r="347" spans="1:2" ht="18" x14ac:dyDescent="0.3">
      <c r="A347" s="26"/>
      <c r="B347" s="28"/>
    </row>
    <row r="348" spans="1:2" ht="18" x14ac:dyDescent="0.3">
      <c r="A348" s="25"/>
      <c r="B348" s="27"/>
    </row>
    <row r="349" spans="1:2" ht="18" x14ac:dyDescent="0.3">
      <c r="A349" s="26"/>
      <c r="B349" s="28"/>
    </row>
    <row r="350" spans="1:2" ht="18" x14ac:dyDescent="0.3">
      <c r="A350" s="25"/>
      <c r="B350" s="27"/>
    </row>
    <row r="351" spans="1:2" ht="18" x14ac:dyDescent="0.3">
      <c r="A351" s="26"/>
      <c r="B351" s="28"/>
    </row>
    <row r="352" spans="1:2" ht="18" x14ac:dyDescent="0.3">
      <c r="A352" s="25"/>
      <c r="B352" s="27"/>
    </row>
    <row r="353" spans="1:2" ht="18" x14ac:dyDescent="0.3">
      <c r="A353" s="26"/>
      <c r="B353" s="29"/>
    </row>
    <row r="354" spans="1:2" ht="18" x14ac:dyDescent="0.3">
      <c r="A354" s="25"/>
      <c r="B354" s="29"/>
    </row>
    <row r="355" spans="1:2" ht="18" x14ac:dyDescent="0.3">
      <c r="A355" s="26"/>
      <c r="B355" s="29"/>
    </row>
    <row r="356" spans="1:2" ht="18" x14ac:dyDescent="0.3">
      <c r="A356" s="25"/>
      <c r="B356" s="29"/>
    </row>
    <row r="357" spans="1:2" ht="18" x14ac:dyDescent="0.3">
      <c r="A357" s="26"/>
      <c r="B357" s="29"/>
    </row>
    <row r="358" spans="1:2" ht="18" x14ac:dyDescent="0.3">
      <c r="A358" s="25"/>
      <c r="B358" s="29"/>
    </row>
    <row r="359" spans="1:2" ht="18" x14ac:dyDescent="0.3">
      <c r="A359" s="26"/>
      <c r="B359" s="29"/>
    </row>
    <row r="360" spans="1:2" ht="18" x14ac:dyDescent="0.3">
      <c r="A360" s="25"/>
      <c r="B360" s="29"/>
    </row>
    <row r="361" spans="1:2" ht="18" x14ac:dyDescent="0.3">
      <c r="A361" s="26"/>
      <c r="B361" s="29"/>
    </row>
    <row r="362" spans="1:2" ht="18" x14ac:dyDescent="0.3">
      <c r="A362" s="25"/>
      <c r="B362" s="25"/>
    </row>
    <row r="363" spans="1:2" ht="18" x14ac:dyDescent="0.3">
      <c r="A363" s="26"/>
      <c r="B363" s="26"/>
    </row>
    <row r="364" spans="1:2" ht="18" x14ac:dyDescent="0.3">
      <c r="A364" s="25"/>
      <c r="B364" s="25"/>
    </row>
    <row r="365" spans="1:2" ht="18" x14ac:dyDescent="0.3">
      <c r="A365" s="26"/>
      <c r="B365" s="27"/>
    </row>
    <row r="366" spans="1:2" ht="18" x14ac:dyDescent="0.3">
      <c r="A366" s="25"/>
      <c r="B366" s="28"/>
    </row>
    <row r="367" spans="1:2" ht="18" x14ac:dyDescent="0.3">
      <c r="A367" s="26"/>
      <c r="B367" s="27"/>
    </row>
  </sheetData>
  <phoneticPr fontId="7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EF006-C93C-46A0-8BCF-165C14F28E0E}">
  <dimension ref="A1:X1200"/>
  <sheetViews>
    <sheetView tabSelected="1" workbookViewId="0">
      <selection sqref="A1:X497"/>
    </sheetView>
  </sheetViews>
  <sheetFormatPr defaultRowHeight="14.4" x14ac:dyDescent="0.3"/>
  <cols>
    <col min="1" max="1" width="7.21875" customWidth="1"/>
    <col min="2" max="2" width="8.77734375" bestFit="1" customWidth="1"/>
    <col min="3" max="3" width="75.88671875" customWidth="1"/>
    <col min="4" max="4" width="16" customWidth="1"/>
    <col min="5" max="5" width="11.33203125" customWidth="1"/>
    <col min="6" max="6" width="13.33203125" customWidth="1"/>
    <col min="7" max="7" width="12.6640625" customWidth="1"/>
    <col min="8" max="8" width="11.5546875" customWidth="1"/>
    <col min="9" max="9" width="15.21875" customWidth="1"/>
    <col min="10" max="10" width="15.6640625" customWidth="1"/>
    <col min="11" max="11" width="13.77734375" customWidth="1"/>
    <col min="12" max="12" width="10.77734375" customWidth="1"/>
    <col min="13" max="13" width="14.77734375" customWidth="1"/>
    <col min="14" max="14" width="28.33203125" customWidth="1"/>
    <col min="17" max="17" width="16.109375" customWidth="1"/>
    <col min="18" max="18" width="19.33203125" customWidth="1"/>
    <col min="19" max="19" width="17.21875" customWidth="1"/>
    <col min="20" max="20" width="21.5546875" customWidth="1"/>
    <col min="21" max="21" width="17.44140625" customWidth="1"/>
    <col min="22" max="22" width="15.77734375" customWidth="1"/>
    <col min="23" max="23" width="16.6640625" customWidth="1"/>
    <col min="24" max="24" width="13.6640625" customWidth="1"/>
  </cols>
  <sheetData>
    <row r="1" spans="1:24" s="81" customFormat="1" ht="45" customHeight="1" x14ac:dyDescent="0.3">
      <c r="A1" s="78" t="s">
        <v>519</v>
      </c>
      <c r="B1" s="79" t="s">
        <v>1204</v>
      </c>
      <c r="C1" s="80" t="s">
        <v>1205</v>
      </c>
      <c r="D1" s="80" t="s">
        <v>1206</v>
      </c>
      <c r="E1" s="80" t="s">
        <v>1207</v>
      </c>
      <c r="F1" s="80" t="s">
        <v>1208</v>
      </c>
      <c r="G1" s="80" t="s">
        <v>1209</v>
      </c>
      <c r="H1" s="80" t="s">
        <v>1210</v>
      </c>
      <c r="I1" s="80" t="s">
        <v>735</v>
      </c>
      <c r="J1" s="80" t="s">
        <v>1211</v>
      </c>
      <c r="K1" s="80" t="s">
        <v>1212</v>
      </c>
      <c r="L1" s="80" t="s">
        <v>1213</v>
      </c>
      <c r="M1" s="80" t="s">
        <v>1214</v>
      </c>
      <c r="N1" s="80" t="s">
        <v>1215</v>
      </c>
      <c r="O1" s="80" t="s">
        <v>1216</v>
      </c>
      <c r="P1" s="80" t="s">
        <v>1217</v>
      </c>
      <c r="Q1" s="80" t="s">
        <v>1218</v>
      </c>
      <c r="R1" s="80" t="s">
        <v>1219</v>
      </c>
      <c r="S1" s="80" t="s">
        <v>1220</v>
      </c>
      <c r="T1" s="80" t="s">
        <v>1221</v>
      </c>
      <c r="U1" s="80" t="s">
        <v>1222</v>
      </c>
      <c r="V1" s="79" t="s">
        <v>1223</v>
      </c>
      <c r="W1" s="80" t="s">
        <v>1224</v>
      </c>
      <c r="X1" s="80" t="s">
        <v>1225</v>
      </c>
    </row>
    <row r="2" spans="1:24" s="81" customFormat="1" ht="45" customHeight="1" x14ac:dyDescent="0.3">
      <c r="A2" s="82"/>
      <c r="B2" s="83"/>
      <c r="C2" s="84" t="s">
        <v>798</v>
      </c>
      <c r="D2" s="84" t="s">
        <v>1230</v>
      </c>
      <c r="E2" s="84" t="s">
        <v>1226</v>
      </c>
      <c r="F2" s="84">
        <v>39.5</v>
      </c>
      <c r="G2" s="84">
        <v>0</v>
      </c>
      <c r="H2" s="84"/>
      <c r="I2" s="84" t="s">
        <v>749</v>
      </c>
      <c r="K2" s="84">
        <v>0</v>
      </c>
      <c r="L2" s="84"/>
      <c r="M2" s="84">
        <f>F2-F2*17%</f>
        <v>32.784999999999997</v>
      </c>
      <c r="N2" s="84" t="s">
        <v>1227</v>
      </c>
      <c r="O2" s="84" t="s">
        <v>1228</v>
      </c>
      <c r="P2" s="84" t="s">
        <v>1228</v>
      </c>
      <c r="Q2" s="84">
        <v>0</v>
      </c>
      <c r="R2" s="84">
        <v>270</v>
      </c>
      <c r="S2" s="84">
        <v>0</v>
      </c>
      <c r="T2" s="84">
        <v>0</v>
      </c>
      <c r="U2" s="84">
        <v>0</v>
      </c>
      <c r="V2" s="83" t="s">
        <v>1231</v>
      </c>
      <c r="W2" s="84">
        <v>0</v>
      </c>
      <c r="X2" s="84" t="s">
        <v>1229</v>
      </c>
    </row>
    <row r="3" spans="1:24" s="85" customFormat="1" ht="45" customHeight="1" x14ac:dyDescent="0.3">
      <c r="A3" s="78"/>
      <c r="B3" s="79"/>
      <c r="C3" s="80" t="s">
        <v>799</v>
      </c>
      <c r="D3" s="80" t="s">
        <v>1230</v>
      </c>
      <c r="E3" s="80"/>
      <c r="F3" s="80">
        <v>66</v>
      </c>
      <c r="G3" s="80"/>
      <c r="H3" s="80"/>
      <c r="I3" s="80" t="s">
        <v>749</v>
      </c>
      <c r="J3" s="87"/>
      <c r="K3" s="80"/>
      <c r="L3" s="80"/>
      <c r="M3" s="86">
        <f>F3-F3*17%</f>
        <v>54.78</v>
      </c>
      <c r="N3" s="86" t="s">
        <v>1227</v>
      </c>
      <c r="O3" s="86" t="s">
        <v>1228</v>
      </c>
      <c r="P3" s="86" t="s">
        <v>1228</v>
      </c>
      <c r="Q3" s="80">
        <v>0</v>
      </c>
      <c r="R3" s="80"/>
      <c r="S3" s="80"/>
      <c r="T3" s="80"/>
      <c r="U3" s="80"/>
      <c r="V3" s="79"/>
      <c r="W3" s="80"/>
      <c r="X3" s="80" t="s">
        <v>1229</v>
      </c>
    </row>
    <row r="4" spans="1:24" s="85" customFormat="1" ht="45" customHeight="1" x14ac:dyDescent="0.3">
      <c r="A4" s="82"/>
      <c r="B4" s="83"/>
      <c r="C4" s="84" t="s">
        <v>800</v>
      </c>
      <c r="D4" s="84" t="s">
        <v>1230</v>
      </c>
      <c r="E4" s="84"/>
      <c r="F4" s="84">
        <v>94.75</v>
      </c>
      <c r="G4" s="84"/>
      <c r="H4" s="84"/>
      <c r="I4" s="84" t="s">
        <v>749</v>
      </c>
      <c r="J4" s="81"/>
      <c r="K4" s="84"/>
      <c r="L4" s="84"/>
      <c r="M4" s="84">
        <f>F4-F4*17%</f>
        <v>78.642499999999998</v>
      </c>
      <c r="N4" s="84" t="s">
        <v>1227</v>
      </c>
      <c r="O4" s="84" t="s">
        <v>1228</v>
      </c>
      <c r="P4" s="84" t="s">
        <v>1228</v>
      </c>
      <c r="Q4" s="84">
        <v>0</v>
      </c>
      <c r="R4" s="84"/>
      <c r="S4" s="84"/>
      <c r="T4" s="84"/>
      <c r="U4" s="84"/>
      <c r="V4" s="83"/>
      <c r="W4" s="84"/>
      <c r="X4" s="84" t="s">
        <v>1229</v>
      </c>
    </row>
    <row r="5" spans="1:24" s="85" customFormat="1" ht="45" customHeight="1" x14ac:dyDescent="0.3">
      <c r="A5" s="78"/>
      <c r="B5" s="79"/>
      <c r="C5" s="80" t="s">
        <v>801</v>
      </c>
      <c r="D5" s="80" t="s">
        <v>1230</v>
      </c>
      <c r="E5" s="80"/>
      <c r="F5" s="80">
        <v>227</v>
      </c>
      <c r="G5" s="80"/>
      <c r="H5" s="80"/>
      <c r="I5" s="80" t="s">
        <v>749</v>
      </c>
      <c r="J5" s="87"/>
      <c r="K5" s="80"/>
      <c r="L5" s="80"/>
      <c r="M5" s="86">
        <f>F5-F5*17%</f>
        <v>188.41</v>
      </c>
      <c r="N5" s="86" t="s">
        <v>1227</v>
      </c>
      <c r="O5" s="86" t="s">
        <v>1228</v>
      </c>
      <c r="P5" s="86" t="s">
        <v>1228</v>
      </c>
      <c r="Q5" s="80">
        <v>0</v>
      </c>
      <c r="R5" s="80"/>
      <c r="S5" s="80"/>
      <c r="T5" s="80"/>
      <c r="U5" s="80"/>
      <c r="V5" s="79"/>
      <c r="W5" s="80"/>
      <c r="X5" s="80" t="s">
        <v>1229</v>
      </c>
    </row>
    <row r="6" spans="1:24" s="85" customFormat="1" ht="45" customHeight="1" x14ac:dyDescent="0.3">
      <c r="A6" s="82"/>
      <c r="B6" s="83"/>
      <c r="C6" s="84" t="s">
        <v>826</v>
      </c>
      <c r="D6" s="84" t="s">
        <v>1230</v>
      </c>
      <c r="E6" s="84"/>
      <c r="F6" s="84">
        <v>100.25</v>
      </c>
      <c r="G6" s="84"/>
      <c r="H6" s="84"/>
      <c r="I6" s="84" t="s">
        <v>749</v>
      </c>
      <c r="J6" s="81"/>
      <c r="K6" s="84"/>
      <c r="L6" s="84"/>
      <c r="M6" s="84">
        <f>F6-F6*17%</f>
        <v>83.207499999999996</v>
      </c>
      <c r="N6" s="84" t="s">
        <v>1227</v>
      </c>
      <c r="O6" s="84" t="s">
        <v>1228</v>
      </c>
      <c r="P6" s="84" t="s">
        <v>1228</v>
      </c>
      <c r="Q6" s="84">
        <v>0</v>
      </c>
      <c r="R6" s="84"/>
      <c r="S6" s="84"/>
      <c r="T6" s="84"/>
      <c r="U6" s="84"/>
      <c r="V6" s="83"/>
      <c r="W6" s="84"/>
      <c r="X6" s="84" t="s">
        <v>1229</v>
      </c>
    </row>
    <row r="7" spans="1:24" s="85" customFormat="1" ht="45" customHeight="1" x14ac:dyDescent="0.3">
      <c r="A7" s="78"/>
      <c r="B7" s="79"/>
      <c r="C7" s="80" t="s">
        <v>827</v>
      </c>
      <c r="D7" s="80" t="s">
        <v>1230</v>
      </c>
      <c r="E7" s="80"/>
      <c r="F7" s="80">
        <v>146.25</v>
      </c>
      <c r="G7" s="80"/>
      <c r="H7" s="80"/>
      <c r="I7" s="80" t="s">
        <v>749</v>
      </c>
      <c r="J7" s="87"/>
      <c r="K7" s="80"/>
      <c r="L7" s="80"/>
      <c r="M7" s="86">
        <f>F7-F7*17%</f>
        <v>121.3875</v>
      </c>
      <c r="N7" s="86" t="s">
        <v>1227</v>
      </c>
      <c r="O7" s="86" t="s">
        <v>1228</v>
      </c>
      <c r="P7" s="86" t="s">
        <v>1228</v>
      </c>
      <c r="Q7" s="80">
        <v>0</v>
      </c>
      <c r="R7" s="80"/>
      <c r="S7" s="80"/>
      <c r="T7" s="80"/>
      <c r="U7" s="80"/>
      <c r="V7" s="79"/>
      <c r="W7" s="80"/>
      <c r="X7" s="80" t="s">
        <v>1229</v>
      </c>
    </row>
    <row r="8" spans="1:24" s="85" customFormat="1" ht="45" customHeight="1" x14ac:dyDescent="0.3">
      <c r="A8" s="82"/>
      <c r="B8" s="83"/>
      <c r="C8" s="84" t="s">
        <v>828</v>
      </c>
      <c r="D8" s="84" t="s">
        <v>1230</v>
      </c>
      <c r="E8" s="84"/>
      <c r="F8" s="84">
        <v>27</v>
      </c>
      <c r="G8" s="84"/>
      <c r="H8" s="84"/>
      <c r="I8" s="84" t="s">
        <v>749</v>
      </c>
      <c r="J8" s="81"/>
      <c r="K8" s="84"/>
      <c r="L8" s="84"/>
      <c r="M8" s="84">
        <f>F8-F8*17%</f>
        <v>22.41</v>
      </c>
      <c r="N8" s="84" t="s">
        <v>1227</v>
      </c>
      <c r="O8" s="84" t="s">
        <v>1228</v>
      </c>
      <c r="P8" s="84" t="s">
        <v>1228</v>
      </c>
      <c r="Q8" s="84">
        <v>0</v>
      </c>
      <c r="R8" s="84"/>
      <c r="S8" s="84"/>
      <c r="T8" s="84"/>
      <c r="U8" s="84"/>
      <c r="V8" s="83"/>
      <c r="W8" s="84"/>
      <c r="X8" s="84" t="s">
        <v>1229</v>
      </c>
    </row>
    <row r="9" spans="1:24" s="85" customFormat="1" ht="45" customHeight="1" x14ac:dyDescent="0.3">
      <c r="A9" s="78"/>
      <c r="B9" s="79"/>
      <c r="C9" s="80" t="s">
        <v>829</v>
      </c>
      <c r="D9" s="80" t="s">
        <v>1230</v>
      </c>
      <c r="E9" s="80"/>
      <c r="F9" s="80">
        <v>30.5</v>
      </c>
      <c r="G9" s="80"/>
      <c r="H9" s="80"/>
      <c r="I9" s="80" t="s">
        <v>749</v>
      </c>
      <c r="J9" s="87"/>
      <c r="K9" s="80"/>
      <c r="L9" s="80"/>
      <c r="M9" s="86">
        <f>F9-F9*17%</f>
        <v>25.314999999999998</v>
      </c>
      <c r="N9" s="86" t="s">
        <v>1227</v>
      </c>
      <c r="O9" s="86" t="s">
        <v>1228</v>
      </c>
      <c r="P9" s="86" t="s">
        <v>1228</v>
      </c>
      <c r="Q9" s="80">
        <v>0</v>
      </c>
      <c r="R9" s="80"/>
      <c r="S9" s="80"/>
      <c r="T9" s="80"/>
      <c r="U9" s="80"/>
      <c r="V9" s="79"/>
      <c r="W9" s="80"/>
      <c r="X9" s="80" t="s">
        <v>1229</v>
      </c>
    </row>
    <row r="10" spans="1:24" s="85" customFormat="1" ht="45" customHeight="1" x14ac:dyDescent="0.3">
      <c r="A10" s="82"/>
      <c r="B10" s="83"/>
      <c r="C10" s="84" t="s">
        <v>830</v>
      </c>
      <c r="D10" s="84" t="s">
        <v>1230</v>
      </c>
      <c r="E10" s="84"/>
      <c r="F10" s="84">
        <v>45.5</v>
      </c>
      <c r="G10" s="84"/>
      <c r="H10" s="84"/>
      <c r="I10" s="84" t="s">
        <v>749</v>
      </c>
      <c r="J10" s="81"/>
      <c r="K10" s="84"/>
      <c r="L10" s="84"/>
      <c r="M10" s="84">
        <f>F10-F10*17%</f>
        <v>37.765000000000001</v>
      </c>
      <c r="N10" s="84" t="s">
        <v>1227</v>
      </c>
      <c r="O10" s="84" t="s">
        <v>1228</v>
      </c>
      <c r="P10" s="84" t="s">
        <v>1228</v>
      </c>
      <c r="Q10" s="84">
        <v>0</v>
      </c>
      <c r="R10" s="84"/>
      <c r="S10" s="84"/>
      <c r="T10" s="84"/>
      <c r="U10" s="84"/>
      <c r="V10" s="83"/>
      <c r="W10" s="84"/>
      <c r="X10" s="84" t="s">
        <v>1229</v>
      </c>
    </row>
    <row r="11" spans="1:24" s="85" customFormat="1" ht="45" customHeight="1" x14ac:dyDescent="0.3">
      <c r="A11" s="78"/>
      <c r="B11" s="79"/>
      <c r="C11" s="80" t="s">
        <v>831</v>
      </c>
      <c r="D11" s="80" t="s">
        <v>1230</v>
      </c>
      <c r="E11" s="80"/>
      <c r="F11" s="80">
        <v>160.5</v>
      </c>
      <c r="G11" s="80"/>
      <c r="H11" s="80"/>
      <c r="I11" s="80" t="s">
        <v>749</v>
      </c>
      <c r="J11" s="87"/>
      <c r="K11" s="80"/>
      <c r="L11" s="80"/>
      <c r="M11" s="86">
        <f>F11-F11*17%</f>
        <v>133.215</v>
      </c>
      <c r="N11" s="86" t="s">
        <v>1227</v>
      </c>
      <c r="O11" s="86" t="s">
        <v>1228</v>
      </c>
      <c r="P11" s="86" t="s">
        <v>1228</v>
      </c>
      <c r="Q11" s="80">
        <v>0</v>
      </c>
      <c r="R11" s="80"/>
      <c r="S11" s="80"/>
      <c r="T11" s="80"/>
      <c r="U11" s="80"/>
      <c r="V11" s="79"/>
      <c r="W11" s="80"/>
      <c r="X11" s="80" t="s">
        <v>1229</v>
      </c>
    </row>
    <row r="12" spans="1:24" s="85" customFormat="1" ht="45" customHeight="1" x14ac:dyDescent="0.3">
      <c r="A12" s="82"/>
      <c r="B12" s="83"/>
      <c r="C12" s="84" t="s">
        <v>955</v>
      </c>
      <c r="D12" s="84" t="s">
        <v>1230</v>
      </c>
      <c r="E12" s="84"/>
      <c r="F12" s="84">
        <v>15.75</v>
      </c>
      <c r="G12" s="84"/>
      <c r="H12" s="84"/>
      <c r="I12" s="84" t="s">
        <v>749</v>
      </c>
      <c r="J12" s="81"/>
      <c r="K12" s="84"/>
      <c r="L12" s="84"/>
      <c r="M12" s="84">
        <f>F12-F12*17%</f>
        <v>13.0725</v>
      </c>
      <c r="N12" s="84" t="s">
        <v>1227</v>
      </c>
      <c r="O12" s="84" t="s">
        <v>1228</v>
      </c>
      <c r="P12" s="84" t="s">
        <v>1228</v>
      </c>
      <c r="Q12" s="84">
        <v>0</v>
      </c>
      <c r="R12" s="84"/>
      <c r="S12" s="84"/>
      <c r="T12" s="84"/>
      <c r="U12" s="84"/>
      <c r="V12" s="83"/>
      <c r="W12" s="84"/>
      <c r="X12" s="84" t="s">
        <v>1229</v>
      </c>
    </row>
    <row r="13" spans="1:24" s="85" customFormat="1" ht="45" customHeight="1" x14ac:dyDescent="0.3">
      <c r="A13" s="78"/>
      <c r="B13" s="79"/>
      <c r="C13" s="80" t="s">
        <v>956</v>
      </c>
      <c r="D13" s="80" t="s">
        <v>1230</v>
      </c>
      <c r="E13" s="80"/>
      <c r="F13" s="80">
        <v>22</v>
      </c>
      <c r="G13" s="80"/>
      <c r="H13" s="80"/>
      <c r="I13" s="80" t="s">
        <v>749</v>
      </c>
      <c r="J13" s="87"/>
      <c r="K13" s="80"/>
      <c r="L13" s="80"/>
      <c r="M13" s="86">
        <f>F13-F13*17%</f>
        <v>18.259999999999998</v>
      </c>
      <c r="N13" s="86" t="s">
        <v>1227</v>
      </c>
      <c r="O13" s="86" t="s">
        <v>1228</v>
      </c>
      <c r="P13" s="86" t="s">
        <v>1228</v>
      </c>
      <c r="Q13" s="80">
        <v>0</v>
      </c>
      <c r="R13" s="80"/>
      <c r="S13" s="80"/>
      <c r="T13" s="80"/>
      <c r="U13" s="80"/>
      <c r="V13" s="79"/>
      <c r="W13" s="80"/>
      <c r="X13" s="80" t="s">
        <v>1229</v>
      </c>
    </row>
    <row r="14" spans="1:24" s="85" customFormat="1" ht="45" customHeight="1" x14ac:dyDescent="0.3">
      <c r="A14" s="82"/>
      <c r="B14" s="83"/>
      <c r="C14" s="84" t="s">
        <v>957</v>
      </c>
      <c r="D14" s="84" t="s">
        <v>1230</v>
      </c>
      <c r="E14" s="84"/>
      <c r="F14" s="84">
        <v>42</v>
      </c>
      <c r="G14" s="84"/>
      <c r="H14" s="84"/>
      <c r="I14" s="84" t="s">
        <v>749</v>
      </c>
      <c r="J14" s="81"/>
      <c r="K14" s="84"/>
      <c r="L14" s="84"/>
      <c r="M14" s="84">
        <f>F14-F14*17%</f>
        <v>34.86</v>
      </c>
      <c r="N14" s="84" t="s">
        <v>1227</v>
      </c>
      <c r="O14" s="84" t="s">
        <v>1228</v>
      </c>
      <c r="P14" s="84" t="s">
        <v>1228</v>
      </c>
      <c r="Q14" s="84">
        <v>0</v>
      </c>
      <c r="R14" s="84"/>
      <c r="S14" s="84"/>
      <c r="T14" s="84"/>
      <c r="U14" s="84"/>
      <c r="V14" s="83"/>
      <c r="W14" s="84"/>
      <c r="X14" s="84" t="s">
        <v>1229</v>
      </c>
    </row>
    <row r="15" spans="1:24" s="85" customFormat="1" ht="45" customHeight="1" x14ac:dyDescent="0.3">
      <c r="A15" s="78"/>
      <c r="B15" s="79"/>
      <c r="C15" s="80" t="s">
        <v>958</v>
      </c>
      <c r="D15" s="80" t="s">
        <v>1230</v>
      </c>
      <c r="E15" s="80"/>
      <c r="F15" s="80">
        <v>154.5</v>
      </c>
      <c r="G15" s="80"/>
      <c r="H15" s="80"/>
      <c r="I15" s="80" t="s">
        <v>749</v>
      </c>
      <c r="J15" s="87"/>
      <c r="K15" s="80"/>
      <c r="L15" s="80"/>
      <c r="M15" s="86">
        <f>F15-F15*17%</f>
        <v>128.23500000000001</v>
      </c>
      <c r="N15" s="86" t="s">
        <v>1227</v>
      </c>
      <c r="O15" s="86" t="s">
        <v>1228</v>
      </c>
      <c r="P15" s="86" t="s">
        <v>1228</v>
      </c>
      <c r="Q15" s="80">
        <v>0</v>
      </c>
      <c r="R15" s="80"/>
      <c r="S15" s="80"/>
      <c r="T15" s="80"/>
      <c r="U15" s="80"/>
      <c r="V15" s="79"/>
      <c r="W15" s="80"/>
      <c r="X15" s="80" t="s">
        <v>1229</v>
      </c>
    </row>
    <row r="16" spans="1:24" s="85" customFormat="1" ht="45" customHeight="1" x14ac:dyDescent="0.3">
      <c r="A16" s="82"/>
      <c r="B16" s="83"/>
      <c r="C16" s="84" t="s">
        <v>750</v>
      </c>
      <c r="D16" s="84" t="s">
        <v>1230</v>
      </c>
      <c r="E16" s="84"/>
      <c r="F16" s="84">
        <v>44</v>
      </c>
      <c r="G16" s="84"/>
      <c r="H16" s="84"/>
      <c r="I16" s="84" t="s">
        <v>749</v>
      </c>
      <c r="J16" s="81"/>
      <c r="K16" s="84"/>
      <c r="L16" s="84"/>
      <c r="M16" s="84">
        <f>F16-F16*17%</f>
        <v>36.519999999999996</v>
      </c>
      <c r="N16" s="84" t="s">
        <v>1227</v>
      </c>
      <c r="O16" s="84" t="s">
        <v>1228</v>
      </c>
      <c r="P16" s="84" t="s">
        <v>1228</v>
      </c>
      <c r="Q16" s="84">
        <v>0</v>
      </c>
      <c r="R16" s="84"/>
      <c r="S16" s="84"/>
      <c r="T16" s="84"/>
      <c r="U16" s="84"/>
      <c r="V16" s="83"/>
      <c r="W16" s="84"/>
      <c r="X16" s="84" t="s">
        <v>1229</v>
      </c>
    </row>
    <row r="17" spans="1:24" s="85" customFormat="1" ht="45" customHeight="1" x14ac:dyDescent="0.3">
      <c r="A17" s="78"/>
      <c r="B17" s="79"/>
      <c r="C17" s="80" t="s">
        <v>751</v>
      </c>
      <c r="D17" s="80" t="s">
        <v>1230</v>
      </c>
      <c r="E17" s="80"/>
      <c r="F17" s="80">
        <v>50.25</v>
      </c>
      <c r="G17" s="80"/>
      <c r="H17" s="80"/>
      <c r="I17" s="80" t="s">
        <v>749</v>
      </c>
      <c r="J17" s="87"/>
      <c r="K17" s="80"/>
      <c r="L17" s="80"/>
      <c r="M17" s="86">
        <f>F17-F17*17%</f>
        <v>41.707499999999996</v>
      </c>
      <c r="N17" s="86" t="s">
        <v>1227</v>
      </c>
      <c r="O17" s="86" t="s">
        <v>1228</v>
      </c>
      <c r="P17" s="86" t="s">
        <v>1228</v>
      </c>
      <c r="Q17" s="80">
        <v>0</v>
      </c>
      <c r="R17" s="80"/>
      <c r="S17" s="80"/>
      <c r="T17" s="80"/>
      <c r="U17" s="80"/>
      <c r="V17" s="79"/>
      <c r="W17" s="80"/>
      <c r="X17" s="80" t="s">
        <v>1229</v>
      </c>
    </row>
    <row r="18" spans="1:24" s="85" customFormat="1" ht="45" customHeight="1" x14ac:dyDescent="0.3">
      <c r="A18" s="82"/>
      <c r="B18" s="83"/>
      <c r="C18" s="84" t="s">
        <v>752</v>
      </c>
      <c r="D18" s="84" t="s">
        <v>1230</v>
      </c>
      <c r="E18" s="84"/>
      <c r="F18" s="84">
        <v>23.75</v>
      </c>
      <c r="G18" s="84"/>
      <c r="H18" s="84"/>
      <c r="I18" s="84" t="s">
        <v>749</v>
      </c>
      <c r="J18" s="81"/>
      <c r="K18" s="84"/>
      <c r="L18" s="84"/>
      <c r="M18" s="84">
        <f>F18-F18*17%</f>
        <v>19.712499999999999</v>
      </c>
      <c r="N18" s="84" t="s">
        <v>1227</v>
      </c>
      <c r="O18" s="84" t="s">
        <v>1228</v>
      </c>
      <c r="P18" s="84" t="s">
        <v>1228</v>
      </c>
      <c r="Q18" s="84">
        <v>0</v>
      </c>
      <c r="R18" s="84"/>
      <c r="S18" s="84"/>
      <c r="T18" s="84"/>
      <c r="U18" s="84"/>
      <c r="V18" s="83"/>
      <c r="W18" s="84"/>
      <c r="X18" s="84" t="s">
        <v>1229</v>
      </c>
    </row>
    <row r="19" spans="1:24" s="85" customFormat="1" ht="45" customHeight="1" x14ac:dyDescent="0.3">
      <c r="A19" s="78"/>
      <c r="B19" s="79"/>
      <c r="C19" s="80" t="s">
        <v>753</v>
      </c>
      <c r="D19" s="80" t="s">
        <v>1230</v>
      </c>
      <c r="E19" s="80"/>
      <c r="F19" s="80">
        <v>31.25</v>
      </c>
      <c r="G19" s="80"/>
      <c r="H19" s="80"/>
      <c r="I19" s="80" t="s">
        <v>749</v>
      </c>
      <c r="J19" s="87"/>
      <c r="K19" s="80"/>
      <c r="L19" s="80"/>
      <c r="M19" s="86">
        <f>F19-F19*17%</f>
        <v>25.9375</v>
      </c>
      <c r="N19" s="86" t="s">
        <v>1227</v>
      </c>
      <c r="O19" s="86" t="s">
        <v>1228</v>
      </c>
      <c r="P19" s="86" t="s">
        <v>1228</v>
      </c>
      <c r="Q19" s="80">
        <v>0</v>
      </c>
      <c r="R19" s="80"/>
      <c r="S19" s="80"/>
      <c r="T19" s="80"/>
      <c r="U19" s="80"/>
      <c r="V19" s="79"/>
      <c r="W19" s="80"/>
      <c r="X19" s="80" t="s">
        <v>1229</v>
      </c>
    </row>
    <row r="20" spans="1:24" s="85" customFormat="1" ht="45" customHeight="1" x14ac:dyDescent="0.3">
      <c r="A20" s="82"/>
      <c r="B20" s="83"/>
      <c r="C20" s="84" t="s">
        <v>754</v>
      </c>
      <c r="D20" s="84" t="s">
        <v>1230</v>
      </c>
      <c r="E20" s="84"/>
      <c r="F20" s="84">
        <v>32.25</v>
      </c>
      <c r="G20" s="84"/>
      <c r="H20" s="84"/>
      <c r="I20" s="84" t="s">
        <v>749</v>
      </c>
      <c r="J20" s="81"/>
      <c r="K20" s="84"/>
      <c r="L20" s="84"/>
      <c r="M20" s="84">
        <f>F20-F20*17%</f>
        <v>26.767499999999998</v>
      </c>
      <c r="N20" s="84" t="s">
        <v>1227</v>
      </c>
      <c r="O20" s="84" t="s">
        <v>1228</v>
      </c>
      <c r="P20" s="84" t="s">
        <v>1228</v>
      </c>
      <c r="Q20" s="84">
        <v>0</v>
      </c>
      <c r="R20" s="84"/>
      <c r="S20" s="84"/>
      <c r="T20" s="84"/>
      <c r="U20" s="84"/>
      <c r="V20" s="83"/>
      <c r="W20" s="84"/>
      <c r="X20" s="84" t="s">
        <v>1229</v>
      </c>
    </row>
    <row r="21" spans="1:24" s="85" customFormat="1" ht="45" customHeight="1" x14ac:dyDescent="0.3">
      <c r="A21" s="78"/>
      <c r="B21" s="79"/>
      <c r="C21" s="80" t="s">
        <v>755</v>
      </c>
      <c r="D21" s="80" t="s">
        <v>1230</v>
      </c>
      <c r="E21" s="80"/>
      <c r="F21" s="80">
        <v>23</v>
      </c>
      <c r="G21" s="80"/>
      <c r="H21" s="80"/>
      <c r="I21" s="80" t="s">
        <v>749</v>
      </c>
      <c r="J21" s="87"/>
      <c r="K21" s="80"/>
      <c r="L21" s="80"/>
      <c r="M21" s="86">
        <f>F21-F21*17%</f>
        <v>19.09</v>
      </c>
      <c r="N21" s="86" t="s">
        <v>1227</v>
      </c>
      <c r="O21" s="86" t="s">
        <v>1228</v>
      </c>
      <c r="P21" s="86" t="s">
        <v>1228</v>
      </c>
      <c r="Q21" s="80">
        <v>0</v>
      </c>
      <c r="R21" s="80"/>
      <c r="S21" s="80"/>
      <c r="T21" s="80"/>
      <c r="U21" s="80"/>
      <c r="V21" s="79"/>
      <c r="W21" s="80"/>
      <c r="X21" s="80" t="s">
        <v>1229</v>
      </c>
    </row>
    <row r="22" spans="1:24" s="85" customFormat="1" ht="45" customHeight="1" x14ac:dyDescent="0.3">
      <c r="A22" s="82"/>
      <c r="B22" s="83"/>
      <c r="C22" s="84" t="s">
        <v>756</v>
      </c>
      <c r="D22" s="84" t="s">
        <v>1230</v>
      </c>
      <c r="E22" s="84"/>
      <c r="F22" s="84">
        <v>29.75</v>
      </c>
      <c r="G22" s="84"/>
      <c r="H22" s="84"/>
      <c r="I22" s="84" t="s">
        <v>749</v>
      </c>
      <c r="J22" s="81"/>
      <c r="K22" s="84"/>
      <c r="L22" s="84"/>
      <c r="M22" s="84">
        <f>F22-F22*17%</f>
        <v>24.692499999999999</v>
      </c>
      <c r="N22" s="84" t="s">
        <v>1227</v>
      </c>
      <c r="O22" s="84" t="s">
        <v>1228</v>
      </c>
      <c r="P22" s="84" t="s">
        <v>1228</v>
      </c>
      <c r="Q22" s="84">
        <v>0</v>
      </c>
      <c r="R22" s="84"/>
      <c r="S22" s="84"/>
      <c r="T22" s="84"/>
      <c r="U22" s="84"/>
      <c r="V22" s="83"/>
      <c r="W22" s="84"/>
      <c r="X22" s="84" t="s">
        <v>1229</v>
      </c>
    </row>
    <row r="23" spans="1:24" s="85" customFormat="1" ht="45" customHeight="1" x14ac:dyDescent="0.3">
      <c r="A23" s="78"/>
      <c r="B23" s="79"/>
      <c r="C23" s="80" t="s">
        <v>757</v>
      </c>
      <c r="D23" s="80" t="s">
        <v>1230</v>
      </c>
      <c r="E23" s="80"/>
      <c r="F23" s="80">
        <v>53.75</v>
      </c>
      <c r="G23" s="80"/>
      <c r="H23" s="80"/>
      <c r="I23" s="80" t="s">
        <v>749</v>
      </c>
      <c r="J23" s="87"/>
      <c r="K23" s="80"/>
      <c r="L23" s="80"/>
      <c r="M23" s="86">
        <f>F23-F23*17%</f>
        <v>44.612499999999997</v>
      </c>
      <c r="N23" s="86" t="s">
        <v>1227</v>
      </c>
      <c r="O23" s="86" t="s">
        <v>1228</v>
      </c>
      <c r="P23" s="86" t="s">
        <v>1228</v>
      </c>
      <c r="Q23" s="80">
        <v>0</v>
      </c>
      <c r="R23" s="80"/>
      <c r="S23" s="80"/>
      <c r="T23" s="80"/>
      <c r="U23" s="80"/>
      <c r="V23" s="79"/>
      <c r="W23" s="80"/>
      <c r="X23" s="80" t="s">
        <v>1229</v>
      </c>
    </row>
    <row r="24" spans="1:24" s="85" customFormat="1" ht="45" customHeight="1" x14ac:dyDescent="0.3">
      <c r="A24" s="82"/>
      <c r="B24" s="83"/>
      <c r="C24" s="84" t="s">
        <v>758</v>
      </c>
      <c r="D24" s="84" t="s">
        <v>1230</v>
      </c>
      <c r="E24" s="84"/>
      <c r="F24" s="84">
        <v>169.75</v>
      </c>
      <c r="G24" s="84"/>
      <c r="H24" s="84"/>
      <c r="I24" s="84" t="s">
        <v>749</v>
      </c>
      <c r="J24" s="81"/>
      <c r="K24" s="84"/>
      <c r="L24" s="84"/>
      <c r="M24" s="84">
        <f>F24-F24*17%</f>
        <v>140.89249999999998</v>
      </c>
      <c r="N24" s="84" t="s">
        <v>1227</v>
      </c>
      <c r="O24" s="84" t="s">
        <v>1228</v>
      </c>
      <c r="P24" s="84" t="s">
        <v>1228</v>
      </c>
      <c r="Q24" s="84">
        <v>0</v>
      </c>
      <c r="R24" s="84"/>
      <c r="S24" s="84"/>
      <c r="T24" s="84"/>
      <c r="U24" s="84"/>
      <c r="V24" s="83"/>
      <c r="W24" s="84"/>
      <c r="X24" s="84" t="s">
        <v>1229</v>
      </c>
    </row>
    <row r="25" spans="1:24" s="85" customFormat="1" ht="45" customHeight="1" x14ac:dyDescent="0.3">
      <c r="A25" s="78"/>
      <c r="B25" s="79"/>
      <c r="C25" s="80" t="s">
        <v>759</v>
      </c>
      <c r="D25" s="80" t="s">
        <v>1230</v>
      </c>
      <c r="E25" s="80"/>
      <c r="F25" s="80">
        <v>46.25</v>
      </c>
      <c r="G25" s="80"/>
      <c r="H25" s="80"/>
      <c r="I25" s="80" t="s">
        <v>749</v>
      </c>
      <c r="J25" s="87"/>
      <c r="K25" s="80"/>
      <c r="L25" s="80"/>
      <c r="M25" s="86">
        <f>F25-F25*17%</f>
        <v>38.387500000000003</v>
      </c>
      <c r="N25" s="86" t="s">
        <v>1227</v>
      </c>
      <c r="O25" s="86" t="s">
        <v>1228</v>
      </c>
      <c r="P25" s="86" t="s">
        <v>1228</v>
      </c>
      <c r="Q25" s="80">
        <v>0</v>
      </c>
      <c r="R25" s="80"/>
      <c r="S25" s="80"/>
      <c r="T25" s="80"/>
      <c r="U25" s="80"/>
      <c r="V25" s="79"/>
      <c r="W25" s="80"/>
      <c r="X25" s="80" t="s">
        <v>1229</v>
      </c>
    </row>
    <row r="26" spans="1:24" s="85" customFormat="1" ht="45" customHeight="1" x14ac:dyDescent="0.3">
      <c r="A26" s="82"/>
      <c r="B26" s="83"/>
      <c r="C26" s="84" t="s">
        <v>760</v>
      </c>
      <c r="D26" s="84" t="s">
        <v>1230</v>
      </c>
      <c r="E26" s="84"/>
      <c r="F26" s="84">
        <v>68.75</v>
      </c>
      <c r="G26" s="84"/>
      <c r="H26" s="84"/>
      <c r="I26" s="84" t="s">
        <v>749</v>
      </c>
      <c r="J26" s="81"/>
      <c r="K26" s="84"/>
      <c r="L26" s="84"/>
      <c r="M26" s="84">
        <f>F26-F26*17%</f>
        <v>57.0625</v>
      </c>
      <c r="N26" s="84" t="s">
        <v>1227</v>
      </c>
      <c r="O26" s="84" t="s">
        <v>1228</v>
      </c>
      <c r="P26" s="84" t="s">
        <v>1228</v>
      </c>
      <c r="Q26" s="84">
        <v>0</v>
      </c>
      <c r="R26" s="84"/>
      <c r="S26" s="84"/>
      <c r="T26" s="84"/>
      <c r="U26" s="84"/>
      <c r="V26" s="83"/>
      <c r="W26" s="84"/>
      <c r="X26" s="84" t="s">
        <v>1229</v>
      </c>
    </row>
    <row r="27" spans="1:24" s="85" customFormat="1" ht="45" customHeight="1" x14ac:dyDescent="0.3">
      <c r="A27" s="78"/>
      <c r="B27" s="79"/>
      <c r="C27" s="80" t="s">
        <v>761</v>
      </c>
      <c r="D27" s="80" t="s">
        <v>1230</v>
      </c>
      <c r="E27" s="80"/>
      <c r="F27" s="80">
        <v>16</v>
      </c>
      <c r="G27" s="80"/>
      <c r="H27" s="80"/>
      <c r="I27" s="80" t="s">
        <v>749</v>
      </c>
      <c r="J27" s="87"/>
      <c r="K27" s="80"/>
      <c r="L27" s="80"/>
      <c r="M27" s="86">
        <f>F27-F27*17%</f>
        <v>13.28</v>
      </c>
      <c r="N27" s="86" t="s">
        <v>1227</v>
      </c>
      <c r="O27" s="86" t="s">
        <v>1228</v>
      </c>
      <c r="P27" s="86" t="s">
        <v>1228</v>
      </c>
      <c r="Q27" s="80">
        <v>0</v>
      </c>
      <c r="R27" s="80"/>
      <c r="S27" s="80"/>
      <c r="T27" s="80"/>
      <c r="U27" s="80"/>
      <c r="V27" s="79"/>
      <c r="W27" s="80"/>
      <c r="X27" s="80" t="s">
        <v>1229</v>
      </c>
    </row>
    <row r="28" spans="1:24" s="85" customFormat="1" ht="45" customHeight="1" x14ac:dyDescent="0.3">
      <c r="A28" s="82"/>
      <c r="B28" s="83"/>
      <c r="C28" s="84" t="s">
        <v>762</v>
      </c>
      <c r="D28" s="84" t="s">
        <v>1230</v>
      </c>
      <c r="E28" s="84"/>
      <c r="F28" s="84">
        <v>17.75</v>
      </c>
      <c r="G28" s="84"/>
      <c r="H28" s="84"/>
      <c r="I28" s="84" t="s">
        <v>749</v>
      </c>
      <c r="J28" s="81"/>
      <c r="K28" s="84"/>
      <c r="L28" s="84"/>
      <c r="M28" s="84">
        <f>F28-F28*17%</f>
        <v>14.7325</v>
      </c>
      <c r="N28" s="84" t="s">
        <v>1227</v>
      </c>
      <c r="O28" s="84" t="s">
        <v>1228</v>
      </c>
      <c r="P28" s="84" t="s">
        <v>1228</v>
      </c>
      <c r="Q28" s="84">
        <v>0</v>
      </c>
      <c r="R28" s="84"/>
      <c r="S28" s="84"/>
      <c r="T28" s="84"/>
      <c r="U28" s="84"/>
      <c r="V28" s="83"/>
      <c r="W28" s="84"/>
      <c r="X28" s="84" t="s">
        <v>1229</v>
      </c>
    </row>
    <row r="29" spans="1:24" s="85" customFormat="1" ht="45" customHeight="1" x14ac:dyDescent="0.3">
      <c r="A29" s="78"/>
      <c r="B29" s="79"/>
      <c r="C29" s="80" t="s">
        <v>832</v>
      </c>
      <c r="D29" s="80" t="s">
        <v>1230</v>
      </c>
      <c r="E29" s="80"/>
      <c r="F29" s="80">
        <v>30.25</v>
      </c>
      <c r="G29" s="80"/>
      <c r="H29" s="80"/>
      <c r="I29" s="80" t="s">
        <v>749</v>
      </c>
      <c r="J29" s="87"/>
      <c r="K29" s="80"/>
      <c r="L29" s="80"/>
      <c r="M29" s="86">
        <f>F29-F29*17%</f>
        <v>25.107500000000002</v>
      </c>
      <c r="N29" s="86" t="s">
        <v>1227</v>
      </c>
      <c r="O29" s="86" t="s">
        <v>1228</v>
      </c>
      <c r="P29" s="86" t="s">
        <v>1228</v>
      </c>
      <c r="Q29" s="80">
        <v>0</v>
      </c>
      <c r="R29" s="80"/>
      <c r="S29" s="80"/>
      <c r="T29" s="80"/>
      <c r="U29" s="80"/>
      <c r="V29" s="79"/>
      <c r="W29" s="80"/>
      <c r="X29" s="80" t="s">
        <v>1229</v>
      </c>
    </row>
    <row r="30" spans="1:24" s="85" customFormat="1" ht="45" customHeight="1" x14ac:dyDescent="0.3">
      <c r="A30" s="82"/>
      <c r="B30" s="83"/>
      <c r="C30" s="84" t="s">
        <v>833</v>
      </c>
      <c r="D30" s="84" t="s">
        <v>1230</v>
      </c>
      <c r="E30" s="84"/>
      <c r="F30" s="84">
        <v>93.25</v>
      </c>
      <c r="G30" s="84"/>
      <c r="H30" s="84"/>
      <c r="I30" s="84" t="s">
        <v>749</v>
      </c>
      <c r="J30" s="81"/>
      <c r="K30" s="84"/>
      <c r="L30" s="84"/>
      <c r="M30" s="84">
        <f>F30-F30*17%</f>
        <v>77.397499999999994</v>
      </c>
      <c r="N30" s="84" t="s">
        <v>1227</v>
      </c>
      <c r="O30" s="84" t="s">
        <v>1228</v>
      </c>
      <c r="P30" s="84" t="s">
        <v>1228</v>
      </c>
      <c r="Q30" s="84">
        <v>0</v>
      </c>
      <c r="R30" s="84"/>
      <c r="S30" s="84"/>
      <c r="T30" s="84"/>
      <c r="U30" s="84"/>
      <c r="V30" s="83"/>
      <c r="W30" s="84"/>
      <c r="X30" s="84" t="s">
        <v>1229</v>
      </c>
    </row>
    <row r="31" spans="1:24" s="85" customFormat="1" ht="45" customHeight="1" x14ac:dyDescent="0.3">
      <c r="A31" s="78"/>
      <c r="B31" s="79"/>
      <c r="C31" s="80" t="s">
        <v>763</v>
      </c>
      <c r="D31" s="80" t="s">
        <v>1230</v>
      </c>
      <c r="E31" s="80"/>
      <c r="F31" s="80">
        <v>18.5</v>
      </c>
      <c r="G31" s="80"/>
      <c r="H31" s="80"/>
      <c r="I31" s="80" t="s">
        <v>749</v>
      </c>
      <c r="J31" s="87"/>
      <c r="K31" s="80"/>
      <c r="L31" s="80"/>
      <c r="M31" s="86">
        <f>F31-F31*17%</f>
        <v>15.355</v>
      </c>
      <c r="N31" s="86" t="s">
        <v>1227</v>
      </c>
      <c r="O31" s="86" t="s">
        <v>1228</v>
      </c>
      <c r="P31" s="86" t="s">
        <v>1228</v>
      </c>
      <c r="Q31" s="80">
        <v>0</v>
      </c>
      <c r="R31" s="80"/>
      <c r="S31" s="80"/>
      <c r="T31" s="80"/>
      <c r="U31" s="80"/>
      <c r="V31" s="79"/>
      <c r="W31" s="80"/>
      <c r="X31" s="80" t="s">
        <v>1229</v>
      </c>
    </row>
    <row r="32" spans="1:24" s="85" customFormat="1" ht="45" customHeight="1" x14ac:dyDescent="0.3">
      <c r="A32" s="82"/>
      <c r="B32" s="83"/>
      <c r="C32" s="84" t="s">
        <v>764</v>
      </c>
      <c r="D32" s="84" t="s">
        <v>1230</v>
      </c>
      <c r="E32" s="84"/>
      <c r="F32" s="84">
        <v>22.25</v>
      </c>
      <c r="G32" s="84"/>
      <c r="H32" s="84"/>
      <c r="I32" s="84" t="s">
        <v>749</v>
      </c>
      <c r="J32" s="81"/>
      <c r="K32" s="84"/>
      <c r="L32" s="84"/>
      <c r="M32" s="84">
        <f>F32-F32*17%</f>
        <v>18.467500000000001</v>
      </c>
      <c r="N32" s="84" t="s">
        <v>1227</v>
      </c>
      <c r="O32" s="84" t="s">
        <v>1228</v>
      </c>
      <c r="P32" s="84" t="s">
        <v>1228</v>
      </c>
      <c r="Q32" s="84">
        <v>0</v>
      </c>
      <c r="R32" s="84"/>
      <c r="S32" s="84"/>
      <c r="T32" s="84"/>
      <c r="U32" s="84"/>
      <c r="V32" s="83"/>
      <c r="W32" s="84"/>
      <c r="X32" s="84" t="s">
        <v>1229</v>
      </c>
    </row>
    <row r="33" spans="1:24" s="85" customFormat="1" ht="45" customHeight="1" x14ac:dyDescent="0.3">
      <c r="A33" s="78"/>
      <c r="B33" s="79"/>
      <c r="C33" s="80" t="s">
        <v>834</v>
      </c>
      <c r="D33" s="80" t="s">
        <v>1230</v>
      </c>
      <c r="E33" s="80"/>
      <c r="F33" s="80">
        <v>35.75</v>
      </c>
      <c r="G33" s="80"/>
      <c r="H33" s="80"/>
      <c r="I33" s="80" t="s">
        <v>749</v>
      </c>
      <c r="J33" s="87"/>
      <c r="K33" s="80"/>
      <c r="L33" s="80"/>
      <c r="M33" s="86">
        <f>F33-F33*17%</f>
        <v>29.672499999999999</v>
      </c>
      <c r="N33" s="86" t="s">
        <v>1227</v>
      </c>
      <c r="O33" s="86" t="s">
        <v>1228</v>
      </c>
      <c r="P33" s="86" t="s">
        <v>1228</v>
      </c>
      <c r="Q33" s="80">
        <v>0</v>
      </c>
      <c r="R33" s="80"/>
      <c r="S33" s="80"/>
      <c r="T33" s="80"/>
      <c r="U33" s="80"/>
      <c r="V33" s="79"/>
      <c r="W33" s="80"/>
      <c r="X33" s="80" t="s">
        <v>1229</v>
      </c>
    </row>
    <row r="34" spans="1:24" s="85" customFormat="1" ht="45" customHeight="1" x14ac:dyDescent="0.3">
      <c r="A34" s="82"/>
      <c r="B34" s="83"/>
      <c r="C34" s="84" t="s">
        <v>835</v>
      </c>
      <c r="D34" s="84" t="s">
        <v>1230</v>
      </c>
      <c r="E34" s="84"/>
      <c r="F34" s="84">
        <v>8</v>
      </c>
      <c r="G34" s="84"/>
      <c r="H34" s="84"/>
      <c r="I34" s="84" t="s">
        <v>749</v>
      </c>
      <c r="J34" s="81"/>
      <c r="K34" s="84"/>
      <c r="L34" s="84"/>
      <c r="M34" s="84">
        <f>F34-F34*17%</f>
        <v>6.64</v>
      </c>
      <c r="N34" s="84" t="s">
        <v>1227</v>
      </c>
      <c r="O34" s="84" t="s">
        <v>1228</v>
      </c>
      <c r="P34" s="84" t="s">
        <v>1228</v>
      </c>
      <c r="Q34" s="84">
        <v>0</v>
      </c>
      <c r="R34" s="84"/>
      <c r="S34" s="84"/>
      <c r="T34" s="84"/>
      <c r="U34" s="84"/>
      <c r="V34" s="83"/>
      <c r="W34" s="84"/>
      <c r="X34" s="84" t="s">
        <v>1229</v>
      </c>
    </row>
    <row r="35" spans="1:24" s="85" customFormat="1" ht="45" customHeight="1" x14ac:dyDescent="0.3">
      <c r="A35" s="78"/>
      <c r="B35" s="79"/>
      <c r="C35" s="80" t="s">
        <v>836</v>
      </c>
      <c r="D35" s="80" t="s">
        <v>1230</v>
      </c>
      <c r="E35" s="80"/>
      <c r="F35" s="80">
        <v>8.25</v>
      </c>
      <c r="G35" s="80"/>
      <c r="H35" s="80"/>
      <c r="I35" s="80" t="s">
        <v>749</v>
      </c>
      <c r="J35" s="87"/>
      <c r="K35" s="80"/>
      <c r="L35" s="80"/>
      <c r="M35" s="86">
        <f>F35-F35*17%</f>
        <v>6.8475000000000001</v>
      </c>
      <c r="N35" s="86" t="s">
        <v>1227</v>
      </c>
      <c r="O35" s="86" t="s">
        <v>1228</v>
      </c>
      <c r="P35" s="86" t="s">
        <v>1228</v>
      </c>
      <c r="Q35" s="80">
        <v>0</v>
      </c>
      <c r="R35" s="80"/>
      <c r="S35" s="80"/>
      <c r="T35" s="80"/>
      <c r="U35" s="80"/>
      <c r="V35" s="79"/>
      <c r="W35" s="80"/>
      <c r="X35" s="80" t="s">
        <v>1229</v>
      </c>
    </row>
    <row r="36" spans="1:24" s="85" customFormat="1" ht="45" customHeight="1" x14ac:dyDescent="0.3">
      <c r="A36" s="82"/>
      <c r="B36" s="83"/>
      <c r="C36" s="84" t="s">
        <v>837</v>
      </c>
      <c r="D36" s="84" t="s">
        <v>1230</v>
      </c>
      <c r="E36" s="84"/>
      <c r="F36" s="84">
        <v>12</v>
      </c>
      <c r="G36" s="84"/>
      <c r="H36" s="84"/>
      <c r="I36" s="84" t="s">
        <v>749</v>
      </c>
      <c r="J36" s="81"/>
      <c r="K36" s="84"/>
      <c r="L36" s="84"/>
      <c r="M36" s="84">
        <f>F36-F36*17%</f>
        <v>9.9600000000000009</v>
      </c>
      <c r="N36" s="84" t="s">
        <v>1227</v>
      </c>
      <c r="O36" s="84" t="s">
        <v>1228</v>
      </c>
      <c r="P36" s="84" t="s">
        <v>1228</v>
      </c>
      <c r="Q36" s="84">
        <v>0</v>
      </c>
      <c r="R36" s="84"/>
      <c r="S36" s="84"/>
      <c r="T36" s="84"/>
      <c r="U36" s="84"/>
      <c r="V36" s="83"/>
      <c r="W36" s="84"/>
      <c r="X36" s="84" t="s">
        <v>1229</v>
      </c>
    </row>
    <row r="37" spans="1:24" s="85" customFormat="1" ht="45" customHeight="1" x14ac:dyDescent="0.3">
      <c r="A37" s="78"/>
      <c r="B37" s="79"/>
      <c r="C37" s="80" t="s">
        <v>765</v>
      </c>
      <c r="D37" s="80" t="s">
        <v>1230</v>
      </c>
      <c r="E37" s="80"/>
      <c r="F37" s="80">
        <v>5.75</v>
      </c>
      <c r="G37" s="80"/>
      <c r="H37" s="80"/>
      <c r="I37" s="80" t="s">
        <v>749</v>
      </c>
      <c r="J37" s="87"/>
      <c r="K37" s="80"/>
      <c r="L37" s="80"/>
      <c r="M37" s="86">
        <f>F37-F37*17%</f>
        <v>4.7725</v>
      </c>
      <c r="N37" s="86" t="s">
        <v>1227</v>
      </c>
      <c r="O37" s="86" t="s">
        <v>1228</v>
      </c>
      <c r="P37" s="86" t="s">
        <v>1228</v>
      </c>
      <c r="Q37" s="80">
        <v>0</v>
      </c>
      <c r="R37" s="80"/>
      <c r="S37" s="80"/>
      <c r="T37" s="80"/>
      <c r="U37" s="80"/>
      <c r="V37" s="79"/>
      <c r="W37" s="80"/>
      <c r="X37" s="80" t="s">
        <v>1229</v>
      </c>
    </row>
    <row r="38" spans="1:24" s="85" customFormat="1" ht="45" customHeight="1" x14ac:dyDescent="0.3">
      <c r="A38" s="82"/>
      <c r="B38" s="83"/>
      <c r="C38" s="84" t="s">
        <v>766</v>
      </c>
      <c r="D38" s="84" t="s">
        <v>1230</v>
      </c>
      <c r="E38" s="84"/>
      <c r="F38" s="84">
        <v>7.5</v>
      </c>
      <c r="G38" s="84"/>
      <c r="H38" s="84"/>
      <c r="I38" s="84" t="s">
        <v>749</v>
      </c>
      <c r="J38" s="81"/>
      <c r="K38" s="84"/>
      <c r="L38" s="84"/>
      <c r="M38" s="84">
        <f>F38-F38*17%</f>
        <v>6.2249999999999996</v>
      </c>
      <c r="N38" s="84" t="s">
        <v>1227</v>
      </c>
      <c r="O38" s="84" t="s">
        <v>1228</v>
      </c>
      <c r="P38" s="84" t="s">
        <v>1228</v>
      </c>
      <c r="Q38" s="84">
        <v>0</v>
      </c>
      <c r="R38" s="84"/>
      <c r="S38" s="84"/>
      <c r="T38" s="84"/>
      <c r="U38" s="84"/>
      <c r="V38" s="83"/>
      <c r="W38" s="84"/>
      <c r="X38" s="84" t="s">
        <v>1229</v>
      </c>
    </row>
    <row r="39" spans="1:24" s="85" customFormat="1" ht="45" customHeight="1" x14ac:dyDescent="0.3">
      <c r="A39" s="78"/>
      <c r="B39" s="79"/>
      <c r="C39" s="80" t="s">
        <v>767</v>
      </c>
      <c r="D39" s="80" t="s">
        <v>1230</v>
      </c>
      <c r="E39" s="80"/>
      <c r="F39" s="80">
        <v>9.5</v>
      </c>
      <c r="G39" s="80"/>
      <c r="H39" s="80"/>
      <c r="I39" s="80" t="s">
        <v>749</v>
      </c>
      <c r="J39" s="87"/>
      <c r="K39" s="80"/>
      <c r="L39" s="80"/>
      <c r="M39" s="86">
        <f>F39-F39*17%</f>
        <v>7.8849999999999998</v>
      </c>
      <c r="N39" s="86" t="s">
        <v>1227</v>
      </c>
      <c r="O39" s="86" t="s">
        <v>1228</v>
      </c>
      <c r="P39" s="86" t="s">
        <v>1228</v>
      </c>
      <c r="Q39" s="80">
        <v>0</v>
      </c>
      <c r="R39" s="80"/>
      <c r="S39" s="80"/>
      <c r="T39" s="80"/>
      <c r="U39" s="80"/>
      <c r="V39" s="79"/>
      <c r="W39" s="80"/>
      <c r="X39" s="80" t="s">
        <v>1229</v>
      </c>
    </row>
    <row r="40" spans="1:24" s="85" customFormat="1" ht="45" customHeight="1" x14ac:dyDescent="0.3">
      <c r="A40" s="82"/>
      <c r="B40" s="83"/>
      <c r="C40" s="84" t="s">
        <v>949</v>
      </c>
      <c r="D40" s="84" t="s">
        <v>1230</v>
      </c>
      <c r="E40" s="84"/>
      <c r="F40" s="84">
        <v>36.25</v>
      </c>
      <c r="G40" s="84"/>
      <c r="H40" s="84"/>
      <c r="I40" s="84" t="s">
        <v>749</v>
      </c>
      <c r="J40" s="81"/>
      <c r="K40" s="84"/>
      <c r="L40" s="84"/>
      <c r="M40" s="84">
        <f>F40-F40*17%</f>
        <v>30.087499999999999</v>
      </c>
      <c r="N40" s="84" t="s">
        <v>1227</v>
      </c>
      <c r="O40" s="84" t="s">
        <v>1228</v>
      </c>
      <c r="P40" s="84" t="s">
        <v>1228</v>
      </c>
      <c r="Q40" s="84">
        <v>0</v>
      </c>
      <c r="R40" s="84"/>
      <c r="S40" s="84"/>
      <c r="T40" s="84"/>
      <c r="U40" s="84"/>
      <c r="V40" s="83"/>
      <c r="W40" s="84"/>
      <c r="X40" s="84" t="s">
        <v>1229</v>
      </c>
    </row>
    <row r="41" spans="1:24" s="85" customFormat="1" ht="45" customHeight="1" x14ac:dyDescent="0.3">
      <c r="A41" s="78"/>
      <c r="B41" s="79"/>
      <c r="C41" s="80" t="s">
        <v>950</v>
      </c>
      <c r="D41" s="80" t="s">
        <v>1230</v>
      </c>
      <c r="E41" s="80"/>
      <c r="F41" s="80">
        <v>61</v>
      </c>
      <c r="G41" s="80"/>
      <c r="H41" s="80"/>
      <c r="I41" s="80" t="s">
        <v>749</v>
      </c>
      <c r="J41" s="87"/>
      <c r="K41" s="80"/>
      <c r="L41" s="80"/>
      <c r="M41" s="86">
        <f>F41-F41*17%</f>
        <v>50.629999999999995</v>
      </c>
      <c r="N41" s="86" t="s">
        <v>1227</v>
      </c>
      <c r="O41" s="86" t="s">
        <v>1228</v>
      </c>
      <c r="P41" s="86" t="s">
        <v>1228</v>
      </c>
      <c r="Q41" s="80">
        <v>0</v>
      </c>
      <c r="R41" s="80"/>
      <c r="S41" s="80"/>
      <c r="T41" s="80"/>
      <c r="U41" s="80"/>
      <c r="V41" s="79"/>
      <c r="W41" s="80"/>
      <c r="X41" s="80" t="s">
        <v>1229</v>
      </c>
    </row>
    <row r="42" spans="1:24" s="85" customFormat="1" ht="45" customHeight="1" x14ac:dyDescent="0.3">
      <c r="A42" s="82"/>
      <c r="B42" s="83"/>
      <c r="C42" s="84" t="s">
        <v>951</v>
      </c>
      <c r="D42" s="84" t="s">
        <v>1230</v>
      </c>
      <c r="E42" s="84"/>
      <c r="F42" s="84">
        <v>27.25</v>
      </c>
      <c r="G42" s="84"/>
      <c r="H42" s="84"/>
      <c r="I42" s="84" t="s">
        <v>749</v>
      </c>
      <c r="J42" s="81"/>
      <c r="K42" s="84"/>
      <c r="L42" s="84"/>
      <c r="M42" s="84">
        <f>F42-F42*17%</f>
        <v>22.6175</v>
      </c>
      <c r="N42" s="84" t="s">
        <v>1227</v>
      </c>
      <c r="O42" s="84" t="s">
        <v>1228</v>
      </c>
      <c r="P42" s="84" t="s">
        <v>1228</v>
      </c>
      <c r="Q42" s="84">
        <v>0</v>
      </c>
      <c r="R42" s="84"/>
      <c r="S42" s="84"/>
      <c r="T42" s="84"/>
      <c r="U42" s="84"/>
      <c r="V42" s="83"/>
      <c r="W42" s="84"/>
      <c r="X42" s="84" t="s">
        <v>1229</v>
      </c>
    </row>
    <row r="43" spans="1:24" s="85" customFormat="1" ht="45" customHeight="1" x14ac:dyDescent="0.3">
      <c r="A43" s="78"/>
      <c r="B43" s="79"/>
      <c r="C43" s="80" t="s">
        <v>952</v>
      </c>
      <c r="D43" s="80" t="s">
        <v>1230</v>
      </c>
      <c r="E43" s="80"/>
      <c r="F43" s="80">
        <v>35.25</v>
      </c>
      <c r="G43" s="80"/>
      <c r="H43" s="80"/>
      <c r="I43" s="80" t="s">
        <v>749</v>
      </c>
      <c r="J43" s="87"/>
      <c r="K43" s="80"/>
      <c r="L43" s="80"/>
      <c r="M43" s="86">
        <f>F43-F43*17%</f>
        <v>29.2575</v>
      </c>
      <c r="N43" s="86" t="s">
        <v>1227</v>
      </c>
      <c r="O43" s="86" t="s">
        <v>1228</v>
      </c>
      <c r="P43" s="86" t="s">
        <v>1228</v>
      </c>
      <c r="Q43" s="80">
        <v>0</v>
      </c>
      <c r="R43" s="80"/>
      <c r="S43" s="80"/>
      <c r="T43" s="80"/>
      <c r="U43" s="80"/>
      <c r="V43" s="79"/>
      <c r="W43" s="80"/>
      <c r="X43" s="80" t="s">
        <v>1229</v>
      </c>
    </row>
    <row r="44" spans="1:24" s="85" customFormat="1" ht="45" customHeight="1" x14ac:dyDescent="0.3">
      <c r="A44" s="82"/>
      <c r="B44" s="83"/>
      <c r="C44" s="84" t="s">
        <v>953</v>
      </c>
      <c r="D44" s="84" t="s">
        <v>1230</v>
      </c>
      <c r="E44" s="84"/>
      <c r="F44" s="84">
        <v>28.75</v>
      </c>
      <c r="G44" s="84"/>
      <c r="H44" s="84"/>
      <c r="I44" s="84" t="s">
        <v>749</v>
      </c>
      <c r="J44" s="81"/>
      <c r="K44" s="84"/>
      <c r="L44" s="84"/>
      <c r="M44" s="84">
        <f>F44-F44*17%</f>
        <v>23.862500000000001</v>
      </c>
      <c r="N44" s="84" t="s">
        <v>1227</v>
      </c>
      <c r="O44" s="84" t="s">
        <v>1228</v>
      </c>
      <c r="P44" s="84" t="s">
        <v>1228</v>
      </c>
      <c r="Q44" s="84">
        <v>0</v>
      </c>
      <c r="R44" s="84"/>
      <c r="S44" s="84"/>
      <c r="T44" s="84"/>
      <c r="U44" s="84"/>
      <c r="V44" s="83"/>
      <c r="W44" s="84"/>
      <c r="X44" s="84" t="s">
        <v>1229</v>
      </c>
    </row>
    <row r="45" spans="1:24" s="85" customFormat="1" ht="45" customHeight="1" x14ac:dyDescent="0.3">
      <c r="A45" s="78"/>
      <c r="B45" s="79"/>
      <c r="C45" s="80" t="s">
        <v>954</v>
      </c>
      <c r="D45" s="80" t="s">
        <v>1230</v>
      </c>
      <c r="E45" s="80"/>
      <c r="F45" s="80">
        <v>40</v>
      </c>
      <c r="G45" s="80"/>
      <c r="H45" s="80"/>
      <c r="I45" s="80" t="s">
        <v>749</v>
      </c>
      <c r="J45" s="87"/>
      <c r="K45" s="80"/>
      <c r="L45" s="80"/>
      <c r="M45" s="86">
        <f>F45-F45*17%</f>
        <v>33.200000000000003</v>
      </c>
      <c r="N45" s="86" t="s">
        <v>1227</v>
      </c>
      <c r="O45" s="86" t="s">
        <v>1228</v>
      </c>
      <c r="P45" s="86" t="s">
        <v>1228</v>
      </c>
      <c r="Q45" s="80">
        <v>0</v>
      </c>
      <c r="R45" s="80"/>
      <c r="S45" s="80"/>
      <c r="T45" s="80"/>
      <c r="U45" s="80"/>
      <c r="V45" s="79"/>
      <c r="W45" s="80"/>
      <c r="X45" s="80" t="s">
        <v>1229</v>
      </c>
    </row>
    <row r="46" spans="1:24" s="85" customFormat="1" ht="45" customHeight="1" x14ac:dyDescent="0.3">
      <c r="A46" s="82"/>
      <c r="B46" s="83"/>
      <c r="C46" s="84" t="s">
        <v>768</v>
      </c>
      <c r="D46" s="84" t="s">
        <v>1230</v>
      </c>
      <c r="E46" s="84"/>
      <c r="F46" s="84">
        <v>188.25</v>
      </c>
      <c r="G46" s="84"/>
      <c r="H46" s="84"/>
      <c r="I46" s="84" t="s">
        <v>749</v>
      </c>
      <c r="J46" s="81"/>
      <c r="K46" s="84"/>
      <c r="L46" s="84"/>
      <c r="M46" s="84">
        <f>F46-F46*17%</f>
        <v>156.2475</v>
      </c>
      <c r="N46" s="84" t="s">
        <v>1227</v>
      </c>
      <c r="O46" s="84" t="s">
        <v>1228</v>
      </c>
      <c r="P46" s="84" t="s">
        <v>1228</v>
      </c>
      <c r="Q46" s="84">
        <v>0</v>
      </c>
      <c r="R46" s="84"/>
      <c r="S46" s="84"/>
      <c r="T46" s="84"/>
      <c r="U46" s="84"/>
      <c r="V46" s="83"/>
      <c r="W46" s="84"/>
      <c r="X46" s="84" t="s">
        <v>1229</v>
      </c>
    </row>
    <row r="47" spans="1:24" s="85" customFormat="1" ht="45" customHeight="1" x14ac:dyDescent="0.3">
      <c r="A47" s="78"/>
      <c r="B47" s="79"/>
      <c r="C47" s="80" t="s">
        <v>769</v>
      </c>
      <c r="D47" s="80" t="s">
        <v>1230</v>
      </c>
      <c r="E47" s="80"/>
      <c r="F47" s="80">
        <v>202.5</v>
      </c>
      <c r="G47" s="80"/>
      <c r="H47" s="80"/>
      <c r="I47" s="80" t="s">
        <v>749</v>
      </c>
      <c r="J47" s="87"/>
      <c r="K47" s="80"/>
      <c r="L47" s="80"/>
      <c r="M47" s="86">
        <f>F47-F47*17%</f>
        <v>168.07499999999999</v>
      </c>
      <c r="N47" s="86" t="s">
        <v>1227</v>
      </c>
      <c r="O47" s="86" t="s">
        <v>1228</v>
      </c>
      <c r="P47" s="86" t="s">
        <v>1228</v>
      </c>
      <c r="Q47" s="80">
        <v>0</v>
      </c>
      <c r="R47" s="80"/>
      <c r="S47" s="80"/>
      <c r="T47" s="80"/>
      <c r="U47" s="80"/>
      <c r="V47" s="79"/>
      <c r="W47" s="80"/>
      <c r="X47" s="80" t="s">
        <v>1229</v>
      </c>
    </row>
    <row r="48" spans="1:24" s="85" customFormat="1" ht="45" customHeight="1" x14ac:dyDescent="0.3">
      <c r="A48" s="82"/>
      <c r="B48" s="83"/>
      <c r="C48" s="84" t="s">
        <v>770</v>
      </c>
      <c r="D48" s="84" t="s">
        <v>1230</v>
      </c>
      <c r="E48" s="84"/>
      <c r="F48" s="84">
        <v>444.75</v>
      </c>
      <c r="G48" s="84"/>
      <c r="H48" s="84"/>
      <c r="I48" s="84" t="s">
        <v>749</v>
      </c>
      <c r="J48" s="81"/>
      <c r="K48" s="84"/>
      <c r="L48" s="84"/>
      <c r="M48" s="84">
        <f>F48-F48*17%</f>
        <v>369.14249999999998</v>
      </c>
      <c r="N48" s="84" t="s">
        <v>1227</v>
      </c>
      <c r="O48" s="84" t="s">
        <v>1228</v>
      </c>
      <c r="P48" s="84" t="s">
        <v>1228</v>
      </c>
      <c r="Q48" s="84">
        <v>0</v>
      </c>
      <c r="R48" s="84"/>
      <c r="S48" s="84"/>
      <c r="T48" s="84"/>
      <c r="U48" s="84"/>
      <c r="V48" s="83"/>
      <c r="W48" s="84"/>
      <c r="X48" s="84" t="s">
        <v>1229</v>
      </c>
    </row>
    <row r="49" spans="1:24" s="85" customFormat="1" ht="45" customHeight="1" x14ac:dyDescent="0.3">
      <c r="A49" s="78"/>
      <c r="B49" s="79"/>
      <c r="C49" s="80" t="s">
        <v>771</v>
      </c>
      <c r="D49" s="80" t="s">
        <v>1230</v>
      </c>
      <c r="E49" s="80"/>
      <c r="F49" s="80">
        <v>125.75</v>
      </c>
      <c r="G49" s="80"/>
      <c r="H49" s="80"/>
      <c r="I49" s="80" t="s">
        <v>749</v>
      </c>
      <c r="J49" s="87"/>
      <c r="K49" s="80"/>
      <c r="L49" s="80"/>
      <c r="M49" s="86">
        <f>F49-F49*17%</f>
        <v>104.3725</v>
      </c>
      <c r="N49" s="86" t="s">
        <v>1227</v>
      </c>
      <c r="O49" s="86" t="s">
        <v>1228</v>
      </c>
      <c r="P49" s="86" t="s">
        <v>1228</v>
      </c>
      <c r="Q49" s="80">
        <v>0</v>
      </c>
      <c r="R49" s="80"/>
      <c r="S49" s="80"/>
      <c r="T49" s="80"/>
      <c r="U49" s="80"/>
      <c r="V49" s="79"/>
      <c r="W49" s="80"/>
      <c r="X49" s="80" t="s">
        <v>1229</v>
      </c>
    </row>
    <row r="50" spans="1:24" s="85" customFormat="1" ht="45" customHeight="1" x14ac:dyDescent="0.3">
      <c r="A50" s="82"/>
      <c r="B50" s="83"/>
      <c r="C50" s="84" t="s">
        <v>772</v>
      </c>
      <c r="D50" s="84" t="s">
        <v>1230</v>
      </c>
      <c r="E50" s="84"/>
      <c r="F50" s="84">
        <v>185</v>
      </c>
      <c r="G50" s="84"/>
      <c r="H50" s="84"/>
      <c r="I50" s="84" t="s">
        <v>749</v>
      </c>
      <c r="J50" s="81"/>
      <c r="K50" s="84"/>
      <c r="L50" s="84"/>
      <c r="M50" s="84">
        <f>F50-F50*17%</f>
        <v>153.55000000000001</v>
      </c>
      <c r="N50" s="84" t="s">
        <v>1227</v>
      </c>
      <c r="O50" s="84" t="s">
        <v>1228</v>
      </c>
      <c r="P50" s="84" t="s">
        <v>1228</v>
      </c>
      <c r="Q50" s="84">
        <v>0</v>
      </c>
      <c r="R50" s="84"/>
      <c r="S50" s="84"/>
      <c r="T50" s="84"/>
      <c r="U50" s="84"/>
      <c r="V50" s="83"/>
      <c r="W50" s="84"/>
      <c r="X50" s="84" t="s">
        <v>1229</v>
      </c>
    </row>
    <row r="51" spans="1:24" s="85" customFormat="1" ht="45" customHeight="1" x14ac:dyDescent="0.3">
      <c r="A51" s="78"/>
      <c r="B51" s="79"/>
      <c r="C51" s="80" t="s">
        <v>773</v>
      </c>
      <c r="D51" s="80" t="s">
        <v>1230</v>
      </c>
      <c r="E51" s="80"/>
      <c r="F51" s="80">
        <v>227.25</v>
      </c>
      <c r="G51" s="80"/>
      <c r="H51" s="80"/>
      <c r="I51" s="80" t="s">
        <v>749</v>
      </c>
      <c r="J51" s="87"/>
      <c r="K51" s="80"/>
      <c r="L51" s="80"/>
      <c r="M51" s="86">
        <f>F51-F51*17%</f>
        <v>188.61750000000001</v>
      </c>
      <c r="N51" s="86" t="s">
        <v>1227</v>
      </c>
      <c r="O51" s="86" t="s">
        <v>1228</v>
      </c>
      <c r="P51" s="86" t="s">
        <v>1228</v>
      </c>
      <c r="Q51" s="80">
        <v>0</v>
      </c>
      <c r="R51" s="80"/>
      <c r="S51" s="80"/>
      <c r="T51" s="80"/>
      <c r="U51" s="80"/>
      <c r="V51" s="79"/>
      <c r="W51" s="80"/>
      <c r="X51" s="80" t="s">
        <v>1229</v>
      </c>
    </row>
    <row r="52" spans="1:24" s="85" customFormat="1" ht="45" customHeight="1" x14ac:dyDescent="0.3">
      <c r="A52" s="82"/>
      <c r="B52" s="83"/>
      <c r="C52" s="84" t="s">
        <v>774</v>
      </c>
      <c r="D52" s="84" t="s">
        <v>1230</v>
      </c>
      <c r="E52" s="84"/>
      <c r="F52" s="84">
        <v>387.5</v>
      </c>
      <c r="G52" s="84"/>
      <c r="H52" s="84"/>
      <c r="I52" s="84" t="s">
        <v>749</v>
      </c>
      <c r="J52" s="81"/>
      <c r="K52" s="84"/>
      <c r="L52" s="84"/>
      <c r="M52" s="84">
        <f>F52-F52*17%</f>
        <v>321.625</v>
      </c>
      <c r="N52" s="84" t="s">
        <v>1227</v>
      </c>
      <c r="O52" s="84" t="s">
        <v>1228</v>
      </c>
      <c r="P52" s="84" t="s">
        <v>1228</v>
      </c>
      <c r="Q52" s="84">
        <v>0</v>
      </c>
      <c r="R52" s="84"/>
      <c r="S52" s="84"/>
      <c r="T52" s="84"/>
      <c r="U52" s="84"/>
      <c r="V52" s="83"/>
      <c r="W52" s="84"/>
      <c r="X52" s="84" t="s">
        <v>1229</v>
      </c>
    </row>
    <row r="53" spans="1:24" s="85" customFormat="1" ht="45" customHeight="1" x14ac:dyDescent="0.3">
      <c r="A53" s="78"/>
      <c r="B53" s="79"/>
      <c r="C53" s="80" t="s">
        <v>775</v>
      </c>
      <c r="D53" s="80" t="s">
        <v>1230</v>
      </c>
      <c r="E53" s="80"/>
      <c r="F53" s="80">
        <v>280</v>
      </c>
      <c r="G53" s="80"/>
      <c r="H53" s="80"/>
      <c r="I53" s="80" t="s">
        <v>749</v>
      </c>
      <c r="J53" s="87"/>
      <c r="K53" s="80"/>
      <c r="L53" s="80"/>
      <c r="M53" s="86">
        <f>F53-F53*17%</f>
        <v>232.4</v>
      </c>
      <c r="N53" s="86" t="s">
        <v>1227</v>
      </c>
      <c r="O53" s="86" t="s">
        <v>1228</v>
      </c>
      <c r="P53" s="86" t="s">
        <v>1228</v>
      </c>
      <c r="Q53" s="80">
        <v>0</v>
      </c>
      <c r="R53" s="80"/>
      <c r="S53" s="80"/>
      <c r="T53" s="80"/>
      <c r="U53" s="80"/>
      <c r="V53" s="79"/>
      <c r="W53" s="80"/>
      <c r="X53" s="80" t="s">
        <v>1229</v>
      </c>
    </row>
    <row r="54" spans="1:24" s="85" customFormat="1" ht="45" customHeight="1" x14ac:dyDescent="0.3">
      <c r="A54" s="82"/>
      <c r="B54" s="83"/>
      <c r="C54" s="84" t="s">
        <v>1004</v>
      </c>
      <c r="D54" s="84" t="s">
        <v>1230</v>
      </c>
      <c r="E54" s="84"/>
      <c r="F54" s="84">
        <v>167</v>
      </c>
      <c r="G54" s="84"/>
      <c r="H54" s="84"/>
      <c r="I54" s="84" t="s">
        <v>749</v>
      </c>
      <c r="J54" s="81"/>
      <c r="K54" s="84"/>
      <c r="L54" s="84"/>
      <c r="M54" s="84">
        <f>F54-F54*17%</f>
        <v>138.61000000000001</v>
      </c>
      <c r="N54" s="84" t="s">
        <v>1227</v>
      </c>
      <c r="O54" s="84" t="s">
        <v>1228</v>
      </c>
      <c r="P54" s="84" t="s">
        <v>1228</v>
      </c>
      <c r="Q54" s="84">
        <v>0</v>
      </c>
      <c r="R54" s="84"/>
      <c r="S54" s="84"/>
      <c r="T54" s="84"/>
      <c r="U54" s="84"/>
      <c r="V54" s="83"/>
      <c r="W54" s="84"/>
      <c r="X54" s="84" t="s">
        <v>1229</v>
      </c>
    </row>
    <row r="55" spans="1:24" s="85" customFormat="1" ht="45" customHeight="1" x14ac:dyDescent="0.3">
      <c r="A55" s="78"/>
      <c r="B55" s="79"/>
      <c r="C55" s="80" t="s">
        <v>1005</v>
      </c>
      <c r="D55" s="80" t="s">
        <v>1230</v>
      </c>
      <c r="E55" s="80"/>
      <c r="F55" s="80">
        <v>240.25</v>
      </c>
      <c r="G55" s="80"/>
      <c r="H55" s="80"/>
      <c r="I55" s="80" t="s">
        <v>749</v>
      </c>
      <c r="J55" s="87"/>
      <c r="K55" s="80"/>
      <c r="L55" s="80"/>
      <c r="M55" s="86">
        <f>F55-F55*17%</f>
        <v>199.4075</v>
      </c>
      <c r="N55" s="86" t="s">
        <v>1227</v>
      </c>
      <c r="O55" s="86" t="s">
        <v>1228</v>
      </c>
      <c r="P55" s="86" t="s">
        <v>1228</v>
      </c>
      <c r="Q55" s="80">
        <v>0</v>
      </c>
      <c r="R55" s="80"/>
      <c r="S55" s="80"/>
      <c r="T55" s="80"/>
      <c r="U55" s="80"/>
      <c r="V55" s="79"/>
      <c r="W55" s="80"/>
      <c r="X55" s="80" t="s">
        <v>1229</v>
      </c>
    </row>
    <row r="56" spans="1:24" s="85" customFormat="1" ht="45" customHeight="1" x14ac:dyDescent="0.3">
      <c r="A56" s="82"/>
      <c r="B56" s="83"/>
      <c r="C56" s="84" t="s">
        <v>1006</v>
      </c>
      <c r="D56" s="84" t="s">
        <v>1230</v>
      </c>
      <c r="E56" s="84"/>
      <c r="F56" s="84">
        <v>315.25</v>
      </c>
      <c r="G56" s="84"/>
      <c r="H56" s="84"/>
      <c r="I56" s="84" t="s">
        <v>749</v>
      </c>
      <c r="J56" s="81"/>
      <c r="K56" s="84"/>
      <c r="L56" s="84"/>
      <c r="M56" s="84">
        <f>F56-F56*17%</f>
        <v>261.65750000000003</v>
      </c>
      <c r="N56" s="84" t="s">
        <v>1227</v>
      </c>
      <c r="O56" s="84" t="s">
        <v>1228</v>
      </c>
      <c r="P56" s="84" t="s">
        <v>1228</v>
      </c>
      <c r="Q56" s="84">
        <v>0</v>
      </c>
      <c r="R56" s="84"/>
      <c r="S56" s="84"/>
      <c r="T56" s="84"/>
      <c r="U56" s="84"/>
      <c r="V56" s="83"/>
      <c r="W56" s="84"/>
      <c r="X56" s="84" t="s">
        <v>1229</v>
      </c>
    </row>
    <row r="57" spans="1:24" s="85" customFormat="1" ht="45" customHeight="1" x14ac:dyDescent="0.3">
      <c r="A57" s="78"/>
      <c r="B57" s="79"/>
      <c r="C57" s="80" t="s">
        <v>1007</v>
      </c>
      <c r="D57" s="80" t="s">
        <v>1230</v>
      </c>
      <c r="E57" s="80"/>
      <c r="F57" s="80">
        <v>446.25</v>
      </c>
      <c r="G57" s="80"/>
      <c r="H57" s="80"/>
      <c r="I57" s="80" t="s">
        <v>749</v>
      </c>
      <c r="J57" s="87"/>
      <c r="K57" s="80"/>
      <c r="L57" s="80"/>
      <c r="M57" s="86">
        <f>F57-F57*17%</f>
        <v>370.38749999999999</v>
      </c>
      <c r="N57" s="86" t="s">
        <v>1227</v>
      </c>
      <c r="O57" s="86" t="s">
        <v>1228</v>
      </c>
      <c r="P57" s="86" t="s">
        <v>1228</v>
      </c>
      <c r="Q57" s="80">
        <v>0</v>
      </c>
      <c r="R57" s="80"/>
      <c r="S57" s="80"/>
      <c r="T57" s="80"/>
      <c r="U57" s="80"/>
      <c r="V57" s="79"/>
      <c r="W57" s="80"/>
      <c r="X57" s="80" t="s">
        <v>1229</v>
      </c>
    </row>
    <row r="58" spans="1:24" s="85" customFormat="1" ht="45" customHeight="1" x14ac:dyDescent="0.3">
      <c r="A58" s="82"/>
      <c r="B58" s="83"/>
      <c r="C58" s="84" t="s">
        <v>1008</v>
      </c>
      <c r="D58" s="84" t="s">
        <v>1230</v>
      </c>
      <c r="E58" s="84"/>
      <c r="F58" s="84">
        <v>168.75</v>
      </c>
      <c r="G58" s="84"/>
      <c r="H58" s="84"/>
      <c r="I58" s="84" t="s">
        <v>749</v>
      </c>
      <c r="J58" s="81"/>
      <c r="K58" s="84"/>
      <c r="L58" s="84"/>
      <c r="M58" s="84">
        <f>F58-F58*17%</f>
        <v>140.0625</v>
      </c>
      <c r="N58" s="84" t="s">
        <v>1227</v>
      </c>
      <c r="O58" s="84" t="s">
        <v>1228</v>
      </c>
      <c r="P58" s="84" t="s">
        <v>1228</v>
      </c>
      <c r="Q58" s="84">
        <v>0</v>
      </c>
      <c r="R58" s="84"/>
      <c r="S58" s="84"/>
      <c r="T58" s="84"/>
      <c r="U58" s="84"/>
      <c r="V58" s="83"/>
      <c r="W58" s="84"/>
      <c r="X58" s="84" t="s">
        <v>1229</v>
      </c>
    </row>
    <row r="59" spans="1:24" s="85" customFormat="1" ht="45" customHeight="1" x14ac:dyDescent="0.3">
      <c r="A59" s="78"/>
      <c r="B59" s="79"/>
      <c r="C59" s="80" t="s">
        <v>1009</v>
      </c>
      <c r="D59" s="80" t="s">
        <v>1230</v>
      </c>
      <c r="E59" s="80"/>
      <c r="F59" s="80">
        <v>206</v>
      </c>
      <c r="G59" s="80"/>
      <c r="H59" s="80"/>
      <c r="I59" s="80" t="s">
        <v>749</v>
      </c>
      <c r="J59" s="87"/>
      <c r="K59" s="80"/>
      <c r="L59" s="80"/>
      <c r="M59" s="86">
        <f>F59-F59*17%</f>
        <v>170.98</v>
      </c>
      <c r="N59" s="86" t="s">
        <v>1227</v>
      </c>
      <c r="O59" s="86" t="s">
        <v>1228</v>
      </c>
      <c r="P59" s="86" t="s">
        <v>1228</v>
      </c>
      <c r="Q59" s="80">
        <v>0</v>
      </c>
      <c r="R59" s="80"/>
      <c r="S59" s="80"/>
      <c r="T59" s="80"/>
      <c r="U59" s="80"/>
      <c r="V59" s="79"/>
      <c r="W59" s="80"/>
      <c r="X59" s="80" t="s">
        <v>1229</v>
      </c>
    </row>
    <row r="60" spans="1:24" s="85" customFormat="1" ht="45" customHeight="1" x14ac:dyDescent="0.3">
      <c r="A60" s="82"/>
      <c r="B60" s="83"/>
      <c r="C60" s="84" t="s">
        <v>1010</v>
      </c>
      <c r="D60" s="84" t="s">
        <v>1230</v>
      </c>
      <c r="E60" s="84"/>
      <c r="F60" s="84">
        <v>265.75</v>
      </c>
      <c r="G60" s="84"/>
      <c r="H60" s="84"/>
      <c r="I60" s="84" t="s">
        <v>749</v>
      </c>
      <c r="J60" s="81"/>
      <c r="K60" s="84"/>
      <c r="L60" s="84"/>
      <c r="M60" s="84">
        <f>F60-F60*17%</f>
        <v>220.57249999999999</v>
      </c>
      <c r="N60" s="84" t="s">
        <v>1227</v>
      </c>
      <c r="O60" s="84" t="s">
        <v>1228</v>
      </c>
      <c r="P60" s="84" t="s">
        <v>1228</v>
      </c>
      <c r="Q60" s="84">
        <v>0</v>
      </c>
      <c r="R60" s="84"/>
      <c r="S60" s="84"/>
      <c r="T60" s="84"/>
      <c r="U60" s="84"/>
      <c r="V60" s="83"/>
      <c r="W60" s="84"/>
      <c r="X60" s="84" t="s">
        <v>1229</v>
      </c>
    </row>
    <row r="61" spans="1:24" s="85" customFormat="1" ht="45" customHeight="1" x14ac:dyDescent="0.3">
      <c r="A61" s="78"/>
      <c r="B61" s="79"/>
      <c r="C61" s="80" t="s">
        <v>1011</v>
      </c>
      <c r="D61" s="80" t="s">
        <v>1230</v>
      </c>
      <c r="E61" s="80"/>
      <c r="F61" s="80">
        <v>388.5</v>
      </c>
      <c r="G61" s="80"/>
      <c r="H61" s="80"/>
      <c r="I61" s="80" t="s">
        <v>749</v>
      </c>
      <c r="J61" s="87"/>
      <c r="K61" s="80"/>
      <c r="L61" s="80"/>
      <c r="M61" s="86">
        <f>F61-F61*17%</f>
        <v>322.45499999999998</v>
      </c>
      <c r="N61" s="86" t="s">
        <v>1227</v>
      </c>
      <c r="O61" s="86" t="s">
        <v>1228</v>
      </c>
      <c r="P61" s="86" t="s">
        <v>1228</v>
      </c>
      <c r="Q61" s="80">
        <v>0</v>
      </c>
      <c r="R61" s="80"/>
      <c r="S61" s="80"/>
      <c r="T61" s="80"/>
      <c r="U61" s="80"/>
      <c r="V61" s="79"/>
      <c r="W61" s="80"/>
      <c r="X61" s="80" t="s">
        <v>1229</v>
      </c>
    </row>
    <row r="62" spans="1:24" s="85" customFormat="1" ht="45" customHeight="1" x14ac:dyDescent="0.3">
      <c r="A62" s="82"/>
      <c r="B62" s="83"/>
      <c r="C62" s="84" t="s">
        <v>1012</v>
      </c>
      <c r="D62" s="84" t="s">
        <v>1230</v>
      </c>
      <c r="E62" s="84"/>
      <c r="F62" s="84">
        <v>152</v>
      </c>
      <c r="G62" s="84"/>
      <c r="H62" s="84"/>
      <c r="I62" s="84" t="s">
        <v>749</v>
      </c>
      <c r="J62" s="81"/>
      <c r="K62" s="84"/>
      <c r="L62" s="84"/>
      <c r="M62" s="84">
        <f>F62-F62*17%</f>
        <v>126.16</v>
      </c>
      <c r="N62" s="84" t="s">
        <v>1227</v>
      </c>
      <c r="O62" s="84" t="s">
        <v>1228</v>
      </c>
      <c r="P62" s="84" t="s">
        <v>1228</v>
      </c>
      <c r="Q62" s="84">
        <v>0</v>
      </c>
      <c r="R62" s="84"/>
      <c r="S62" s="84"/>
      <c r="T62" s="84"/>
      <c r="U62" s="84"/>
      <c r="V62" s="83"/>
      <c r="W62" s="84"/>
      <c r="X62" s="84" t="s">
        <v>1229</v>
      </c>
    </row>
    <row r="63" spans="1:24" s="85" customFormat="1" ht="45" customHeight="1" x14ac:dyDescent="0.3">
      <c r="A63" s="78"/>
      <c r="B63" s="79"/>
      <c r="C63" s="80" t="s">
        <v>1013</v>
      </c>
      <c r="D63" s="80" t="s">
        <v>1230</v>
      </c>
      <c r="E63" s="80"/>
      <c r="F63" s="80">
        <v>163.75</v>
      </c>
      <c r="G63" s="80"/>
      <c r="H63" s="80"/>
      <c r="I63" s="80" t="s">
        <v>749</v>
      </c>
      <c r="J63" s="87"/>
      <c r="K63" s="80"/>
      <c r="L63" s="80"/>
      <c r="M63" s="86">
        <f>F63-F63*17%</f>
        <v>135.91249999999999</v>
      </c>
      <c r="N63" s="86" t="s">
        <v>1227</v>
      </c>
      <c r="O63" s="86" t="s">
        <v>1228</v>
      </c>
      <c r="P63" s="86" t="s">
        <v>1228</v>
      </c>
      <c r="Q63" s="80">
        <v>0</v>
      </c>
      <c r="R63" s="80"/>
      <c r="S63" s="80"/>
      <c r="T63" s="80"/>
      <c r="U63" s="80"/>
      <c r="V63" s="79"/>
      <c r="W63" s="80"/>
      <c r="X63" s="80" t="s">
        <v>1229</v>
      </c>
    </row>
    <row r="64" spans="1:24" s="85" customFormat="1" ht="45" customHeight="1" x14ac:dyDescent="0.3">
      <c r="A64" s="82"/>
      <c r="B64" s="83"/>
      <c r="C64" s="84" t="s">
        <v>1014</v>
      </c>
      <c r="D64" s="84" t="s">
        <v>1230</v>
      </c>
      <c r="E64" s="84"/>
      <c r="F64" s="84">
        <v>252</v>
      </c>
      <c r="G64" s="84"/>
      <c r="H64" s="84"/>
      <c r="I64" s="84" t="s">
        <v>749</v>
      </c>
      <c r="J64" s="81"/>
      <c r="K64" s="84"/>
      <c r="L64" s="84"/>
      <c r="M64" s="84">
        <f>F64-F64*17%</f>
        <v>209.16</v>
      </c>
      <c r="N64" s="84" t="s">
        <v>1227</v>
      </c>
      <c r="O64" s="84" t="s">
        <v>1228</v>
      </c>
      <c r="P64" s="84" t="s">
        <v>1228</v>
      </c>
      <c r="Q64" s="84">
        <v>0</v>
      </c>
      <c r="R64" s="84"/>
      <c r="S64" s="84"/>
      <c r="T64" s="84"/>
      <c r="U64" s="84"/>
      <c r="V64" s="83"/>
      <c r="W64" s="84"/>
      <c r="X64" s="84" t="s">
        <v>1229</v>
      </c>
    </row>
    <row r="65" spans="1:24" s="85" customFormat="1" ht="45" customHeight="1" x14ac:dyDescent="0.3">
      <c r="A65" s="78"/>
      <c r="B65" s="79"/>
      <c r="C65" s="80" t="s">
        <v>1015</v>
      </c>
      <c r="D65" s="80" t="s">
        <v>1230</v>
      </c>
      <c r="E65" s="80"/>
      <c r="F65" s="80">
        <v>346.25</v>
      </c>
      <c r="G65" s="80"/>
      <c r="H65" s="80"/>
      <c r="I65" s="80" t="s">
        <v>749</v>
      </c>
      <c r="J65" s="87"/>
      <c r="K65" s="80"/>
      <c r="L65" s="80"/>
      <c r="M65" s="86">
        <f>F65-F65*17%</f>
        <v>287.38749999999999</v>
      </c>
      <c r="N65" s="86" t="s">
        <v>1227</v>
      </c>
      <c r="O65" s="86" t="s">
        <v>1228</v>
      </c>
      <c r="P65" s="86" t="s">
        <v>1228</v>
      </c>
      <c r="Q65" s="80">
        <v>0</v>
      </c>
      <c r="R65" s="80"/>
      <c r="S65" s="80"/>
      <c r="T65" s="80"/>
      <c r="U65" s="80"/>
      <c r="V65" s="79"/>
      <c r="W65" s="80"/>
      <c r="X65" s="80" t="s">
        <v>1229</v>
      </c>
    </row>
    <row r="66" spans="1:24" s="85" customFormat="1" ht="45" customHeight="1" x14ac:dyDescent="0.3">
      <c r="A66" s="82"/>
      <c r="B66" s="83"/>
      <c r="C66" s="84" t="s">
        <v>1016</v>
      </c>
      <c r="D66" s="84" t="s">
        <v>1230</v>
      </c>
      <c r="E66" s="84"/>
      <c r="F66" s="84">
        <v>181.25</v>
      </c>
      <c r="G66" s="84"/>
      <c r="H66" s="84"/>
      <c r="I66" s="84" t="s">
        <v>749</v>
      </c>
      <c r="J66" s="81"/>
      <c r="K66" s="84"/>
      <c r="L66" s="84"/>
      <c r="M66" s="84">
        <f>F66-F66*17%</f>
        <v>150.4375</v>
      </c>
      <c r="N66" s="84" t="s">
        <v>1227</v>
      </c>
      <c r="O66" s="84" t="s">
        <v>1228</v>
      </c>
      <c r="P66" s="84" t="s">
        <v>1228</v>
      </c>
      <c r="Q66" s="84">
        <v>0</v>
      </c>
      <c r="R66" s="84"/>
      <c r="S66" s="84"/>
      <c r="T66" s="84"/>
      <c r="U66" s="84"/>
      <c r="V66" s="83"/>
      <c r="W66" s="84"/>
      <c r="X66" s="84" t="s">
        <v>1229</v>
      </c>
    </row>
    <row r="67" spans="1:24" s="85" customFormat="1" ht="45" customHeight="1" x14ac:dyDescent="0.3">
      <c r="A67" s="78"/>
      <c r="B67" s="79"/>
      <c r="C67" s="80" t="s">
        <v>1017</v>
      </c>
      <c r="D67" s="80" t="s">
        <v>1230</v>
      </c>
      <c r="E67" s="80"/>
      <c r="F67" s="80">
        <v>236</v>
      </c>
      <c r="G67" s="80"/>
      <c r="H67" s="80"/>
      <c r="I67" s="80" t="s">
        <v>749</v>
      </c>
      <c r="J67" s="87"/>
      <c r="K67" s="80"/>
      <c r="L67" s="80"/>
      <c r="M67" s="86">
        <f>F67-F67*17%</f>
        <v>195.88</v>
      </c>
      <c r="N67" s="86" t="s">
        <v>1227</v>
      </c>
      <c r="O67" s="86" t="s">
        <v>1228</v>
      </c>
      <c r="P67" s="86" t="s">
        <v>1228</v>
      </c>
      <c r="Q67" s="80">
        <v>0</v>
      </c>
      <c r="R67" s="80"/>
      <c r="S67" s="80"/>
      <c r="T67" s="80"/>
      <c r="U67" s="80"/>
      <c r="V67" s="79"/>
      <c r="W67" s="80"/>
      <c r="X67" s="80" t="s">
        <v>1229</v>
      </c>
    </row>
    <row r="68" spans="1:24" s="85" customFormat="1" ht="45" customHeight="1" x14ac:dyDescent="0.3">
      <c r="A68" s="82"/>
      <c r="B68" s="83"/>
      <c r="C68" s="84" t="s">
        <v>1018</v>
      </c>
      <c r="D68" s="84" t="s">
        <v>1230</v>
      </c>
      <c r="E68" s="84"/>
      <c r="F68" s="84">
        <v>212.5</v>
      </c>
      <c r="G68" s="84"/>
      <c r="H68" s="84"/>
      <c r="I68" s="84" t="s">
        <v>749</v>
      </c>
      <c r="J68" s="81"/>
      <c r="K68" s="84"/>
      <c r="L68" s="84"/>
      <c r="M68" s="84">
        <f>F68-F68*17%</f>
        <v>176.375</v>
      </c>
      <c r="N68" s="84" t="s">
        <v>1227</v>
      </c>
      <c r="O68" s="84" t="s">
        <v>1228</v>
      </c>
      <c r="P68" s="84" t="s">
        <v>1228</v>
      </c>
      <c r="Q68" s="84">
        <v>0</v>
      </c>
      <c r="R68" s="84"/>
      <c r="S68" s="84"/>
      <c r="T68" s="84"/>
      <c r="U68" s="84"/>
      <c r="V68" s="83"/>
      <c r="W68" s="84"/>
      <c r="X68" s="84" t="s">
        <v>1229</v>
      </c>
    </row>
    <row r="69" spans="1:24" s="85" customFormat="1" ht="45" customHeight="1" x14ac:dyDescent="0.3">
      <c r="A69" s="78"/>
      <c r="B69" s="79"/>
      <c r="C69" s="80" t="s">
        <v>1019</v>
      </c>
      <c r="D69" s="80" t="s">
        <v>1230</v>
      </c>
      <c r="E69" s="80"/>
      <c r="F69" s="80">
        <v>320.5</v>
      </c>
      <c r="G69" s="80"/>
      <c r="H69" s="80"/>
      <c r="I69" s="80" t="s">
        <v>749</v>
      </c>
      <c r="J69" s="87"/>
      <c r="K69" s="80"/>
      <c r="L69" s="80"/>
      <c r="M69" s="86">
        <f>F69-F69*17%</f>
        <v>266.01499999999999</v>
      </c>
      <c r="N69" s="86" t="s">
        <v>1227</v>
      </c>
      <c r="O69" s="86" t="s">
        <v>1228</v>
      </c>
      <c r="P69" s="86" t="s">
        <v>1228</v>
      </c>
      <c r="Q69" s="80">
        <v>0</v>
      </c>
      <c r="R69" s="80"/>
      <c r="S69" s="80"/>
      <c r="T69" s="80"/>
      <c r="U69" s="80"/>
      <c r="V69" s="79"/>
      <c r="W69" s="80"/>
      <c r="X69" s="80" t="s">
        <v>1229</v>
      </c>
    </row>
    <row r="70" spans="1:24" s="85" customFormat="1" ht="45" customHeight="1" x14ac:dyDescent="0.3">
      <c r="A70" s="82"/>
      <c r="B70" s="83"/>
      <c r="C70" s="84" t="s">
        <v>1020</v>
      </c>
      <c r="D70" s="84" t="s">
        <v>1230</v>
      </c>
      <c r="E70" s="84"/>
      <c r="F70" s="84">
        <v>544.25</v>
      </c>
      <c r="G70" s="84"/>
      <c r="H70" s="84"/>
      <c r="I70" s="84" t="s">
        <v>749</v>
      </c>
      <c r="J70" s="81"/>
      <c r="K70" s="84"/>
      <c r="L70" s="84"/>
      <c r="M70" s="84">
        <f>F70-F70*17%</f>
        <v>451.72749999999996</v>
      </c>
      <c r="N70" s="84" t="s">
        <v>1227</v>
      </c>
      <c r="O70" s="84" t="s">
        <v>1228</v>
      </c>
      <c r="P70" s="84" t="s">
        <v>1228</v>
      </c>
      <c r="Q70" s="84">
        <v>0</v>
      </c>
      <c r="R70" s="84"/>
      <c r="S70" s="84"/>
      <c r="T70" s="84"/>
      <c r="U70" s="84"/>
      <c r="V70" s="83"/>
      <c r="W70" s="84"/>
      <c r="X70" s="84" t="s">
        <v>1229</v>
      </c>
    </row>
    <row r="71" spans="1:24" s="85" customFormat="1" ht="45" customHeight="1" x14ac:dyDescent="0.3">
      <c r="A71" s="78"/>
      <c r="B71" s="79"/>
      <c r="C71" s="80" t="s">
        <v>1021</v>
      </c>
      <c r="D71" s="80" t="s">
        <v>1230</v>
      </c>
      <c r="E71" s="80"/>
      <c r="F71" s="80">
        <v>645.5</v>
      </c>
      <c r="G71" s="80"/>
      <c r="H71" s="80"/>
      <c r="I71" s="80" t="s">
        <v>749</v>
      </c>
      <c r="J71" s="87"/>
      <c r="K71" s="80"/>
      <c r="L71" s="80"/>
      <c r="M71" s="86">
        <f>F71-F71*17%</f>
        <v>535.76499999999999</v>
      </c>
      <c r="N71" s="86" t="s">
        <v>1227</v>
      </c>
      <c r="O71" s="86" t="s">
        <v>1228</v>
      </c>
      <c r="P71" s="86" t="s">
        <v>1228</v>
      </c>
      <c r="Q71" s="80">
        <v>0</v>
      </c>
      <c r="R71" s="80"/>
      <c r="S71" s="80"/>
      <c r="T71" s="80"/>
      <c r="U71" s="80"/>
      <c r="V71" s="79"/>
      <c r="W71" s="80"/>
      <c r="X71" s="80" t="s">
        <v>1229</v>
      </c>
    </row>
    <row r="72" spans="1:24" s="85" customFormat="1" ht="45" customHeight="1" x14ac:dyDescent="0.3">
      <c r="A72" s="82"/>
      <c r="B72" s="83"/>
      <c r="C72" s="84" t="s">
        <v>1022</v>
      </c>
      <c r="D72" s="84" t="s">
        <v>1230</v>
      </c>
      <c r="E72" s="84"/>
      <c r="F72" s="84">
        <v>1317.5</v>
      </c>
      <c r="G72" s="84"/>
      <c r="H72" s="84"/>
      <c r="I72" s="84" t="s">
        <v>749</v>
      </c>
      <c r="J72" s="81"/>
      <c r="K72" s="84"/>
      <c r="L72" s="84"/>
      <c r="M72" s="84">
        <f>F72-F72*17%</f>
        <v>1093.5250000000001</v>
      </c>
      <c r="N72" s="84" t="s">
        <v>1227</v>
      </c>
      <c r="O72" s="84" t="s">
        <v>1228</v>
      </c>
      <c r="P72" s="84" t="s">
        <v>1228</v>
      </c>
      <c r="Q72" s="84">
        <v>0</v>
      </c>
      <c r="R72" s="84"/>
      <c r="S72" s="84"/>
      <c r="T72" s="84"/>
      <c r="U72" s="84"/>
      <c r="V72" s="83"/>
      <c r="W72" s="84"/>
      <c r="X72" s="84" t="s">
        <v>1229</v>
      </c>
    </row>
    <row r="73" spans="1:24" s="85" customFormat="1" ht="45" customHeight="1" x14ac:dyDescent="0.3">
      <c r="A73" s="78"/>
      <c r="B73" s="79"/>
      <c r="C73" s="80" t="s">
        <v>1023</v>
      </c>
      <c r="D73" s="80" t="s">
        <v>1230</v>
      </c>
      <c r="E73" s="80"/>
      <c r="F73" s="80">
        <v>138.25</v>
      </c>
      <c r="G73" s="80"/>
      <c r="H73" s="80"/>
      <c r="I73" s="80" t="s">
        <v>749</v>
      </c>
      <c r="J73" s="87"/>
      <c r="K73" s="80"/>
      <c r="L73" s="80"/>
      <c r="M73" s="86">
        <f>F73-F73*17%</f>
        <v>114.7475</v>
      </c>
      <c r="N73" s="86" t="s">
        <v>1227</v>
      </c>
      <c r="O73" s="86" t="s">
        <v>1228</v>
      </c>
      <c r="P73" s="86" t="s">
        <v>1228</v>
      </c>
      <c r="Q73" s="80">
        <v>0</v>
      </c>
      <c r="R73" s="80"/>
      <c r="S73" s="80"/>
      <c r="T73" s="80"/>
      <c r="U73" s="80"/>
      <c r="V73" s="79"/>
      <c r="W73" s="80"/>
      <c r="X73" s="80" t="s">
        <v>1229</v>
      </c>
    </row>
    <row r="74" spans="1:24" s="85" customFormat="1" ht="45" customHeight="1" x14ac:dyDescent="0.3">
      <c r="A74" s="82"/>
      <c r="B74" s="83"/>
      <c r="C74" s="84" t="s">
        <v>1024</v>
      </c>
      <c r="D74" s="84" t="s">
        <v>1230</v>
      </c>
      <c r="E74" s="84"/>
      <c r="F74" s="84">
        <v>640.25</v>
      </c>
      <c r="G74" s="84"/>
      <c r="H74" s="84"/>
      <c r="I74" s="84" t="s">
        <v>749</v>
      </c>
      <c r="J74" s="81"/>
      <c r="K74" s="84"/>
      <c r="L74" s="84"/>
      <c r="M74" s="84">
        <f>F74-F74*17%</f>
        <v>531.40750000000003</v>
      </c>
      <c r="N74" s="84" t="s">
        <v>1227</v>
      </c>
      <c r="O74" s="84" t="s">
        <v>1228</v>
      </c>
      <c r="P74" s="84" t="s">
        <v>1228</v>
      </c>
      <c r="Q74" s="84">
        <v>0</v>
      </c>
      <c r="R74" s="84"/>
      <c r="S74" s="84"/>
      <c r="T74" s="84"/>
      <c r="U74" s="84"/>
      <c r="V74" s="83"/>
      <c r="W74" s="84"/>
      <c r="X74" s="84" t="s">
        <v>1229</v>
      </c>
    </row>
    <row r="75" spans="1:24" s="85" customFormat="1" ht="45" customHeight="1" x14ac:dyDescent="0.3">
      <c r="A75" s="78"/>
      <c r="B75" s="79"/>
      <c r="C75" s="80" t="s">
        <v>1025</v>
      </c>
      <c r="D75" s="80" t="s">
        <v>1230</v>
      </c>
      <c r="E75" s="80"/>
      <c r="F75" s="80">
        <v>438.5</v>
      </c>
      <c r="G75" s="80"/>
      <c r="H75" s="80"/>
      <c r="I75" s="80" t="s">
        <v>749</v>
      </c>
      <c r="J75" s="87"/>
      <c r="K75" s="80"/>
      <c r="L75" s="80"/>
      <c r="M75" s="86">
        <f>F75-F75*17%</f>
        <v>363.95499999999998</v>
      </c>
      <c r="N75" s="86" t="s">
        <v>1227</v>
      </c>
      <c r="O75" s="86" t="s">
        <v>1228</v>
      </c>
      <c r="P75" s="86" t="s">
        <v>1228</v>
      </c>
      <c r="Q75" s="80">
        <v>0</v>
      </c>
      <c r="R75" s="80"/>
      <c r="S75" s="80"/>
      <c r="T75" s="80"/>
      <c r="U75" s="80"/>
      <c r="V75" s="79"/>
      <c r="W75" s="80"/>
      <c r="X75" s="80" t="s">
        <v>1229</v>
      </c>
    </row>
    <row r="76" spans="1:24" s="85" customFormat="1" ht="45" customHeight="1" x14ac:dyDescent="0.3">
      <c r="A76" s="82"/>
      <c r="B76" s="83"/>
      <c r="C76" s="84" t="s">
        <v>1026</v>
      </c>
      <c r="D76" s="84" t="s">
        <v>1230</v>
      </c>
      <c r="E76" s="84"/>
      <c r="F76" s="84">
        <v>601.5</v>
      </c>
      <c r="G76" s="84"/>
      <c r="H76" s="84"/>
      <c r="I76" s="84" t="s">
        <v>749</v>
      </c>
      <c r="J76" s="81"/>
      <c r="K76" s="84"/>
      <c r="L76" s="84"/>
      <c r="M76" s="84">
        <f>F76-F76*17%</f>
        <v>499.245</v>
      </c>
      <c r="N76" s="84" t="s">
        <v>1227</v>
      </c>
      <c r="O76" s="84" t="s">
        <v>1228</v>
      </c>
      <c r="P76" s="84" t="s">
        <v>1228</v>
      </c>
      <c r="Q76" s="84">
        <v>0</v>
      </c>
      <c r="R76" s="84"/>
      <c r="S76" s="84"/>
      <c r="T76" s="84"/>
      <c r="U76" s="84"/>
      <c r="V76" s="83"/>
      <c r="W76" s="84"/>
      <c r="X76" s="84" t="s">
        <v>1229</v>
      </c>
    </row>
    <row r="77" spans="1:24" s="85" customFormat="1" ht="45" customHeight="1" x14ac:dyDescent="0.3">
      <c r="A77" s="78"/>
      <c r="B77" s="79"/>
      <c r="C77" s="80" t="s">
        <v>1027</v>
      </c>
      <c r="D77" s="80" t="s">
        <v>1230</v>
      </c>
      <c r="E77" s="80"/>
      <c r="F77" s="80">
        <v>818.75</v>
      </c>
      <c r="G77" s="80"/>
      <c r="H77" s="80"/>
      <c r="I77" s="80" t="s">
        <v>749</v>
      </c>
      <c r="J77" s="87"/>
      <c r="K77" s="80"/>
      <c r="L77" s="80"/>
      <c r="M77" s="86">
        <f>F77-F77*17%</f>
        <v>679.5625</v>
      </c>
      <c r="N77" s="86" t="s">
        <v>1227</v>
      </c>
      <c r="O77" s="86" t="s">
        <v>1228</v>
      </c>
      <c r="P77" s="86" t="s">
        <v>1228</v>
      </c>
      <c r="Q77" s="80">
        <v>0</v>
      </c>
      <c r="R77" s="80"/>
      <c r="S77" s="80"/>
      <c r="T77" s="80"/>
      <c r="U77" s="80"/>
      <c r="V77" s="79"/>
      <c r="W77" s="80"/>
      <c r="X77" s="80" t="s">
        <v>1229</v>
      </c>
    </row>
    <row r="78" spans="1:24" s="85" customFormat="1" ht="45" customHeight="1" x14ac:dyDescent="0.3">
      <c r="A78" s="82"/>
      <c r="B78" s="83"/>
      <c r="C78" s="84" t="s">
        <v>1028</v>
      </c>
      <c r="D78" s="84" t="s">
        <v>1230</v>
      </c>
      <c r="E78" s="84"/>
      <c r="F78" s="84">
        <v>1369.25</v>
      </c>
      <c r="G78" s="84"/>
      <c r="H78" s="84"/>
      <c r="I78" s="84" t="s">
        <v>749</v>
      </c>
      <c r="J78" s="81"/>
      <c r="K78" s="84"/>
      <c r="L78" s="84"/>
      <c r="M78" s="84">
        <f>F78-F78*17%</f>
        <v>1136.4775</v>
      </c>
      <c r="N78" s="84" t="s">
        <v>1227</v>
      </c>
      <c r="O78" s="84" t="s">
        <v>1228</v>
      </c>
      <c r="P78" s="84" t="s">
        <v>1228</v>
      </c>
      <c r="Q78" s="84">
        <v>0</v>
      </c>
      <c r="R78" s="84"/>
      <c r="S78" s="84"/>
      <c r="T78" s="84"/>
      <c r="U78" s="84"/>
      <c r="V78" s="83"/>
      <c r="W78" s="84"/>
      <c r="X78" s="84" t="s">
        <v>1229</v>
      </c>
    </row>
    <row r="79" spans="1:24" s="85" customFormat="1" ht="45" customHeight="1" x14ac:dyDescent="0.3">
      <c r="A79" s="78"/>
      <c r="B79" s="79"/>
      <c r="C79" s="80" t="s">
        <v>1029</v>
      </c>
      <c r="D79" s="80" t="s">
        <v>1230</v>
      </c>
      <c r="E79" s="80"/>
      <c r="F79" s="80">
        <v>2033.5</v>
      </c>
      <c r="G79" s="80"/>
      <c r="H79" s="80"/>
      <c r="I79" s="80" t="s">
        <v>749</v>
      </c>
      <c r="J79" s="87"/>
      <c r="K79" s="80"/>
      <c r="L79" s="80"/>
      <c r="M79" s="86">
        <f>F79-F79*17%</f>
        <v>1687.8049999999998</v>
      </c>
      <c r="N79" s="86" t="s">
        <v>1227</v>
      </c>
      <c r="O79" s="86" t="s">
        <v>1228</v>
      </c>
      <c r="P79" s="86" t="s">
        <v>1228</v>
      </c>
      <c r="Q79" s="80">
        <v>0</v>
      </c>
      <c r="R79" s="80"/>
      <c r="S79" s="80"/>
      <c r="T79" s="80"/>
      <c r="U79" s="80"/>
      <c r="V79" s="79"/>
      <c r="W79" s="80"/>
      <c r="X79" s="80" t="s">
        <v>1229</v>
      </c>
    </row>
    <row r="80" spans="1:24" s="85" customFormat="1" ht="45" customHeight="1" x14ac:dyDescent="0.3">
      <c r="A80" s="82"/>
      <c r="B80" s="83"/>
      <c r="C80" s="84" t="s">
        <v>1030</v>
      </c>
      <c r="D80" s="84" t="s">
        <v>1230</v>
      </c>
      <c r="E80" s="84"/>
      <c r="F80" s="84">
        <v>3394.5</v>
      </c>
      <c r="G80" s="84"/>
      <c r="H80" s="84"/>
      <c r="I80" s="84" t="s">
        <v>749</v>
      </c>
      <c r="J80" s="81"/>
      <c r="K80" s="84"/>
      <c r="L80" s="84"/>
      <c r="M80" s="84">
        <f>F80-F80*17%</f>
        <v>2817.4349999999999</v>
      </c>
      <c r="N80" s="84" t="s">
        <v>1227</v>
      </c>
      <c r="O80" s="84" t="s">
        <v>1228</v>
      </c>
      <c r="P80" s="84" t="s">
        <v>1228</v>
      </c>
      <c r="Q80" s="84">
        <v>0</v>
      </c>
      <c r="R80" s="84"/>
      <c r="S80" s="84"/>
      <c r="T80" s="84"/>
      <c r="U80" s="84"/>
      <c r="V80" s="83"/>
      <c r="W80" s="84"/>
      <c r="X80" s="84" t="s">
        <v>1229</v>
      </c>
    </row>
    <row r="81" spans="1:24" s="85" customFormat="1" ht="45" customHeight="1" x14ac:dyDescent="0.3">
      <c r="A81" s="78"/>
      <c r="B81" s="79"/>
      <c r="C81" s="80" t="s">
        <v>738</v>
      </c>
      <c r="D81" s="80" t="s">
        <v>1230</v>
      </c>
      <c r="E81" s="80"/>
      <c r="F81" s="80">
        <v>57.75</v>
      </c>
      <c r="G81" s="80"/>
      <c r="H81" s="80"/>
      <c r="I81" s="80" t="s">
        <v>522</v>
      </c>
      <c r="J81" s="87"/>
      <c r="K81" s="80"/>
      <c r="L81" s="80"/>
      <c r="M81" s="86">
        <f>F81-F81*17%</f>
        <v>47.932499999999997</v>
      </c>
      <c r="N81" s="86" t="s">
        <v>1227</v>
      </c>
      <c r="O81" s="86" t="s">
        <v>1228</v>
      </c>
      <c r="P81" s="86" t="s">
        <v>1228</v>
      </c>
      <c r="Q81" s="80">
        <v>0</v>
      </c>
      <c r="R81" s="80"/>
      <c r="S81" s="80"/>
      <c r="T81" s="80"/>
      <c r="U81" s="80"/>
      <c r="V81" s="79"/>
      <c r="W81" s="80"/>
      <c r="X81" s="80" t="s">
        <v>1229</v>
      </c>
    </row>
    <row r="82" spans="1:24" s="85" customFormat="1" ht="45" customHeight="1" x14ac:dyDescent="0.3">
      <c r="A82" s="82"/>
      <c r="B82" s="83"/>
      <c r="C82" s="84" t="s">
        <v>739</v>
      </c>
      <c r="D82" s="84" t="s">
        <v>1230</v>
      </c>
      <c r="E82" s="84"/>
      <c r="F82" s="84">
        <v>73.5</v>
      </c>
      <c r="G82" s="84"/>
      <c r="H82" s="84"/>
      <c r="I82" s="84" t="s">
        <v>522</v>
      </c>
      <c r="J82" s="81"/>
      <c r="K82" s="84"/>
      <c r="L82" s="84"/>
      <c r="M82" s="84">
        <f>F82-F82*17%</f>
        <v>61.004999999999995</v>
      </c>
      <c r="N82" s="84" t="s">
        <v>1227</v>
      </c>
      <c r="O82" s="84" t="s">
        <v>1228</v>
      </c>
      <c r="P82" s="84" t="s">
        <v>1228</v>
      </c>
      <c r="Q82" s="84">
        <v>0</v>
      </c>
      <c r="R82" s="84"/>
      <c r="S82" s="84"/>
      <c r="T82" s="84"/>
      <c r="U82" s="84"/>
      <c r="V82" s="83"/>
      <c r="W82" s="84"/>
      <c r="X82" s="84" t="s">
        <v>1229</v>
      </c>
    </row>
    <row r="83" spans="1:24" s="85" customFormat="1" ht="45" customHeight="1" x14ac:dyDescent="0.3">
      <c r="A83" s="78"/>
      <c r="B83" s="79"/>
      <c r="C83" s="80" t="s">
        <v>740</v>
      </c>
      <c r="D83" s="80" t="s">
        <v>1230</v>
      </c>
      <c r="E83" s="80"/>
      <c r="F83" s="80">
        <v>103.75</v>
      </c>
      <c r="G83" s="80"/>
      <c r="H83" s="80"/>
      <c r="I83" s="80" t="s">
        <v>522</v>
      </c>
      <c r="J83" s="87"/>
      <c r="K83" s="80"/>
      <c r="L83" s="80"/>
      <c r="M83" s="86">
        <f>F83-F83*17%</f>
        <v>86.112499999999997</v>
      </c>
      <c r="N83" s="86" t="s">
        <v>1227</v>
      </c>
      <c r="O83" s="86" t="s">
        <v>1228</v>
      </c>
      <c r="P83" s="86" t="s">
        <v>1228</v>
      </c>
      <c r="Q83" s="80">
        <v>0</v>
      </c>
      <c r="R83" s="80"/>
      <c r="S83" s="80"/>
      <c r="T83" s="80"/>
      <c r="U83" s="80"/>
      <c r="V83" s="79"/>
      <c r="W83" s="80"/>
      <c r="X83" s="80" t="s">
        <v>1229</v>
      </c>
    </row>
    <row r="84" spans="1:24" s="85" customFormat="1" ht="45" customHeight="1" x14ac:dyDescent="0.3">
      <c r="A84" s="82"/>
      <c r="B84" s="83"/>
      <c r="C84" s="84" t="s">
        <v>741</v>
      </c>
      <c r="D84" s="84" t="s">
        <v>1230</v>
      </c>
      <c r="E84" s="84"/>
      <c r="F84" s="84">
        <v>201.75</v>
      </c>
      <c r="G84" s="84"/>
      <c r="H84" s="84"/>
      <c r="I84" s="84" t="s">
        <v>522</v>
      </c>
      <c r="J84" s="81"/>
      <c r="K84" s="84"/>
      <c r="L84" s="84"/>
      <c r="M84" s="84">
        <f>F84-F84*17%</f>
        <v>167.45249999999999</v>
      </c>
      <c r="N84" s="84" t="s">
        <v>1227</v>
      </c>
      <c r="O84" s="84" t="s">
        <v>1228</v>
      </c>
      <c r="P84" s="84" t="s">
        <v>1228</v>
      </c>
      <c r="Q84" s="84">
        <v>0</v>
      </c>
      <c r="R84" s="84"/>
      <c r="S84" s="84"/>
      <c r="T84" s="84"/>
      <c r="U84" s="84"/>
      <c r="V84" s="83"/>
      <c r="W84" s="84"/>
      <c r="X84" s="84" t="s">
        <v>1229</v>
      </c>
    </row>
    <row r="85" spans="1:24" s="85" customFormat="1" ht="45" customHeight="1" x14ac:dyDescent="0.3">
      <c r="A85" s="78"/>
      <c r="B85" s="79"/>
      <c r="C85" s="80" t="s">
        <v>1199</v>
      </c>
      <c r="D85" s="80" t="s">
        <v>1230</v>
      </c>
      <c r="E85" s="80"/>
      <c r="F85" s="80">
        <v>413.5</v>
      </c>
      <c r="G85" s="80"/>
      <c r="H85" s="80"/>
      <c r="I85" s="80" t="s">
        <v>522</v>
      </c>
      <c r="J85" s="87"/>
      <c r="K85" s="80"/>
      <c r="L85" s="80"/>
      <c r="M85" s="86">
        <f>F85-F85*17%</f>
        <v>343.20499999999998</v>
      </c>
      <c r="N85" s="86" t="s">
        <v>1227</v>
      </c>
      <c r="O85" s="86" t="s">
        <v>1228</v>
      </c>
      <c r="P85" s="86" t="s">
        <v>1228</v>
      </c>
      <c r="Q85" s="80">
        <v>0</v>
      </c>
      <c r="R85" s="80"/>
      <c r="S85" s="80"/>
      <c r="T85" s="80"/>
      <c r="U85" s="80"/>
      <c r="V85" s="79"/>
      <c r="W85" s="80"/>
      <c r="X85" s="80" t="s">
        <v>1229</v>
      </c>
    </row>
    <row r="86" spans="1:24" s="85" customFormat="1" ht="45" customHeight="1" x14ac:dyDescent="0.3">
      <c r="A86" s="82"/>
      <c r="B86" s="83"/>
      <c r="C86" s="84" t="s">
        <v>743</v>
      </c>
      <c r="D86" s="84" t="s">
        <v>1230</v>
      </c>
      <c r="E86" s="84"/>
      <c r="F86" s="84"/>
      <c r="G86" s="84"/>
      <c r="H86" s="84"/>
      <c r="I86" s="84" t="s">
        <v>522</v>
      </c>
      <c r="J86" s="81"/>
      <c r="K86" s="84"/>
      <c r="L86" s="84"/>
      <c r="M86" s="84">
        <f>F86-F86*17%</f>
        <v>0</v>
      </c>
      <c r="N86" s="84" t="s">
        <v>1227</v>
      </c>
      <c r="O86" s="84" t="s">
        <v>1228</v>
      </c>
      <c r="P86" s="84" t="s">
        <v>1228</v>
      </c>
      <c r="Q86" s="84">
        <v>0</v>
      </c>
      <c r="R86" s="84"/>
      <c r="S86" s="84"/>
      <c r="T86" s="84"/>
      <c r="U86" s="84"/>
      <c r="V86" s="83"/>
      <c r="W86" s="84"/>
      <c r="X86" s="84" t="s">
        <v>1229</v>
      </c>
    </row>
    <row r="87" spans="1:24" s="85" customFormat="1" ht="45" customHeight="1" x14ac:dyDescent="0.3">
      <c r="A87" s="78"/>
      <c r="B87" s="79"/>
      <c r="C87" s="80" t="s">
        <v>838</v>
      </c>
      <c r="D87" s="80" t="s">
        <v>1230</v>
      </c>
      <c r="E87" s="80"/>
      <c r="F87" s="80">
        <v>94.25</v>
      </c>
      <c r="G87" s="80"/>
      <c r="H87" s="80"/>
      <c r="I87" s="80" t="s">
        <v>522</v>
      </c>
      <c r="J87" s="87"/>
      <c r="K87" s="80"/>
      <c r="L87" s="80"/>
      <c r="M87" s="86">
        <f>F87-F87*17%</f>
        <v>78.227499999999992</v>
      </c>
      <c r="N87" s="86" t="s">
        <v>1227</v>
      </c>
      <c r="O87" s="86" t="s">
        <v>1228</v>
      </c>
      <c r="P87" s="86" t="s">
        <v>1228</v>
      </c>
      <c r="Q87" s="80">
        <v>0</v>
      </c>
      <c r="R87" s="80"/>
      <c r="S87" s="80"/>
      <c r="T87" s="80"/>
      <c r="U87" s="80"/>
      <c r="V87" s="79"/>
      <c r="W87" s="80"/>
      <c r="X87" s="80" t="s">
        <v>1229</v>
      </c>
    </row>
    <row r="88" spans="1:24" s="85" customFormat="1" ht="45" customHeight="1" x14ac:dyDescent="0.3">
      <c r="A88" s="82"/>
      <c r="B88" s="83"/>
      <c r="C88" s="84" t="s">
        <v>839</v>
      </c>
      <c r="D88" s="84" t="s">
        <v>1230</v>
      </c>
      <c r="E88" s="84"/>
      <c r="F88" s="84">
        <v>107.75</v>
      </c>
      <c r="G88" s="84"/>
      <c r="H88" s="84"/>
      <c r="I88" s="84" t="s">
        <v>522</v>
      </c>
      <c r="J88" s="81"/>
      <c r="K88" s="84"/>
      <c r="L88" s="84"/>
      <c r="M88" s="84">
        <f>F88-F88*17%</f>
        <v>89.432500000000005</v>
      </c>
      <c r="N88" s="84" t="s">
        <v>1227</v>
      </c>
      <c r="O88" s="84" t="s">
        <v>1228</v>
      </c>
      <c r="P88" s="84" t="s">
        <v>1228</v>
      </c>
      <c r="Q88" s="84">
        <v>0</v>
      </c>
      <c r="R88" s="84"/>
      <c r="S88" s="84"/>
      <c r="T88" s="84"/>
      <c r="U88" s="84"/>
      <c r="V88" s="83"/>
      <c r="W88" s="84"/>
      <c r="X88" s="84" t="s">
        <v>1229</v>
      </c>
    </row>
    <row r="89" spans="1:24" s="85" customFormat="1" ht="45" customHeight="1" x14ac:dyDescent="0.3">
      <c r="A89" s="78"/>
      <c r="B89" s="79"/>
      <c r="C89" s="80" t="s">
        <v>840</v>
      </c>
      <c r="D89" s="80" t="s">
        <v>1230</v>
      </c>
      <c r="E89" s="80"/>
      <c r="F89" s="80">
        <v>219.5</v>
      </c>
      <c r="G89" s="80"/>
      <c r="H89" s="80"/>
      <c r="I89" s="80" t="s">
        <v>522</v>
      </c>
      <c r="J89" s="87"/>
      <c r="K89" s="80"/>
      <c r="L89" s="80"/>
      <c r="M89" s="86">
        <f>F89-F89*17%</f>
        <v>182.185</v>
      </c>
      <c r="N89" s="86" t="s">
        <v>1227</v>
      </c>
      <c r="O89" s="86" t="s">
        <v>1228</v>
      </c>
      <c r="P89" s="86" t="s">
        <v>1228</v>
      </c>
      <c r="Q89" s="80">
        <v>0</v>
      </c>
      <c r="R89" s="80"/>
      <c r="S89" s="80"/>
      <c r="T89" s="80"/>
      <c r="U89" s="80"/>
      <c r="V89" s="79"/>
      <c r="W89" s="80"/>
      <c r="X89" s="80" t="s">
        <v>1229</v>
      </c>
    </row>
    <row r="90" spans="1:24" s="85" customFormat="1" ht="45" customHeight="1" x14ac:dyDescent="0.3">
      <c r="A90" s="82"/>
      <c r="B90" s="83"/>
      <c r="C90" s="84" t="s">
        <v>841</v>
      </c>
      <c r="D90" s="84" t="s">
        <v>1230</v>
      </c>
      <c r="E90" s="84"/>
      <c r="F90" s="84">
        <v>115.5</v>
      </c>
      <c r="G90" s="84"/>
      <c r="H90" s="84"/>
      <c r="I90" s="84" t="s">
        <v>522</v>
      </c>
      <c r="J90" s="81"/>
      <c r="K90" s="84"/>
      <c r="L90" s="84"/>
      <c r="M90" s="84">
        <f>F90-F90*17%</f>
        <v>95.864999999999995</v>
      </c>
      <c r="N90" s="84" t="s">
        <v>1227</v>
      </c>
      <c r="O90" s="84" t="s">
        <v>1228</v>
      </c>
      <c r="P90" s="84" t="s">
        <v>1228</v>
      </c>
      <c r="Q90" s="84">
        <v>0</v>
      </c>
      <c r="R90" s="84"/>
      <c r="S90" s="84"/>
      <c r="T90" s="84"/>
      <c r="U90" s="84"/>
      <c r="V90" s="83"/>
      <c r="W90" s="84"/>
      <c r="X90" s="84" t="s">
        <v>1229</v>
      </c>
    </row>
    <row r="91" spans="1:24" s="85" customFormat="1" ht="45" customHeight="1" x14ac:dyDescent="0.3">
      <c r="A91" s="78"/>
      <c r="B91" s="79"/>
      <c r="C91" s="80" t="s">
        <v>776</v>
      </c>
      <c r="D91" s="80" t="s">
        <v>1230</v>
      </c>
      <c r="E91" s="80"/>
      <c r="F91" s="80">
        <v>25.5</v>
      </c>
      <c r="G91" s="80"/>
      <c r="H91" s="80"/>
      <c r="I91" s="80" t="s">
        <v>522</v>
      </c>
      <c r="J91" s="87"/>
      <c r="K91" s="80"/>
      <c r="L91" s="80"/>
      <c r="M91" s="86">
        <f>F91-F91*17%</f>
        <v>21.164999999999999</v>
      </c>
      <c r="N91" s="86" t="s">
        <v>1227</v>
      </c>
      <c r="O91" s="86" t="s">
        <v>1228</v>
      </c>
      <c r="P91" s="86" t="s">
        <v>1228</v>
      </c>
      <c r="Q91" s="80">
        <v>0</v>
      </c>
      <c r="R91" s="80"/>
      <c r="S91" s="80"/>
      <c r="T91" s="80"/>
      <c r="U91" s="80"/>
      <c r="V91" s="79"/>
      <c r="W91" s="80"/>
      <c r="X91" s="80" t="s">
        <v>1229</v>
      </c>
    </row>
    <row r="92" spans="1:24" s="85" customFormat="1" ht="45" customHeight="1" x14ac:dyDescent="0.3">
      <c r="A92" s="82"/>
      <c r="B92" s="83"/>
      <c r="C92" s="84" t="s">
        <v>525</v>
      </c>
      <c r="D92" s="84" t="s">
        <v>1230</v>
      </c>
      <c r="E92" s="84"/>
      <c r="F92" s="84">
        <v>34.5</v>
      </c>
      <c r="G92" s="84"/>
      <c r="H92" s="84"/>
      <c r="I92" s="84" t="s">
        <v>522</v>
      </c>
      <c r="J92" s="81"/>
      <c r="K92" s="84"/>
      <c r="L92" s="84"/>
      <c r="M92" s="84">
        <f>F92-F92*17%</f>
        <v>28.634999999999998</v>
      </c>
      <c r="N92" s="84" t="s">
        <v>1227</v>
      </c>
      <c r="O92" s="84" t="s">
        <v>1228</v>
      </c>
      <c r="P92" s="84" t="s">
        <v>1228</v>
      </c>
      <c r="Q92" s="84">
        <v>0</v>
      </c>
      <c r="R92" s="84"/>
      <c r="S92" s="84"/>
      <c r="T92" s="84"/>
      <c r="U92" s="84"/>
      <c r="V92" s="83"/>
      <c r="W92" s="84"/>
      <c r="X92" s="84" t="s">
        <v>1229</v>
      </c>
    </row>
    <row r="93" spans="1:24" s="85" customFormat="1" ht="45" customHeight="1" x14ac:dyDescent="0.3">
      <c r="A93" s="78"/>
      <c r="B93" s="79"/>
      <c r="C93" s="80" t="s">
        <v>526</v>
      </c>
      <c r="D93" s="80" t="s">
        <v>1230</v>
      </c>
      <c r="E93" s="80"/>
      <c r="F93" s="80">
        <v>48.5</v>
      </c>
      <c r="G93" s="80"/>
      <c r="H93" s="80"/>
      <c r="I93" s="80" t="s">
        <v>522</v>
      </c>
      <c r="J93" s="87"/>
      <c r="K93" s="80"/>
      <c r="L93" s="80"/>
      <c r="M93" s="86">
        <f>F93-F93*17%</f>
        <v>40.254999999999995</v>
      </c>
      <c r="N93" s="86" t="s">
        <v>1227</v>
      </c>
      <c r="O93" s="86" t="s">
        <v>1228</v>
      </c>
      <c r="P93" s="86" t="s">
        <v>1228</v>
      </c>
      <c r="Q93" s="80">
        <v>0</v>
      </c>
      <c r="R93" s="80"/>
      <c r="S93" s="80"/>
      <c r="T93" s="80"/>
      <c r="U93" s="80"/>
      <c r="V93" s="79"/>
      <c r="W93" s="80"/>
      <c r="X93" s="80" t="s">
        <v>1229</v>
      </c>
    </row>
    <row r="94" spans="1:24" s="85" customFormat="1" ht="45" customHeight="1" x14ac:dyDescent="0.3">
      <c r="A94" s="82"/>
      <c r="B94" s="83"/>
      <c r="C94" s="84" t="s">
        <v>527</v>
      </c>
      <c r="D94" s="84" t="s">
        <v>1230</v>
      </c>
      <c r="E94" s="84"/>
      <c r="F94" s="84">
        <v>53.25</v>
      </c>
      <c r="G94" s="84"/>
      <c r="H94" s="84"/>
      <c r="I94" s="84" t="s">
        <v>522</v>
      </c>
      <c r="J94" s="81"/>
      <c r="K94" s="84"/>
      <c r="L94" s="84"/>
      <c r="M94" s="84">
        <f>F94-F94*17%</f>
        <v>44.197499999999998</v>
      </c>
      <c r="N94" s="84" t="s">
        <v>1227</v>
      </c>
      <c r="O94" s="84" t="s">
        <v>1228</v>
      </c>
      <c r="P94" s="84" t="s">
        <v>1228</v>
      </c>
      <c r="Q94" s="84">
        <v>0</v>
      </c>
      <c r="R94" s="84"/>
      <c r="S94" s="84"/>
      <c r="T94" s="84"/>
      <c r="U94" s="84"/>
      <c r="V94" s="83"/>
      <c r="W94" s="84"/>
      <c r="X94" s="84" t="s">
        <v>1229</v>
      </c>
    </row>
    <row r="95" spans="1:24" s="85" customFormat="1" ht="45" customHeight="1" x14ac:dyDescent="0.3">
      <c r="A95" s="78"/>
      <c r="B95" s="79"/>
      <c r="C95" s="80" t="s">
        <v>528</v>
      </c>
      <c r="D95" s="80" t="s">
        <v>1230</v>
      </c>
      <c r="E95" s="80"/>
      <c r="F95" s="80">
        <v>83.5</v>
      </c>
      <c r="G95" s="80"/>
      <c r="H95" s="80"/>
      <c r="I95" s="80" t="s">
        <v>522</v>
      </c>
      <c r="J95" s="87"/>
      <c r="K95" s="80"/>
      <c r="L95" s="80"/>
      <c r="M95" s="86">
        <f>F95-F95*17%</f>
        <v>69.305000000000007</v>
      </c>
      <c r="N95" s="86" t="s">
        <v>1227</v>
      </c>
      <c r="O95" s="86" t="s">
        <v>1228</v>
      </c>
      <c r="P95" s="86" t="s">
        <v>1228</v>
      </c>
      <c r="Q95" s="80">
        <v>0</v>
      </c>
      <c r="R95" s="80"/>
      <c r="S95" s="80"/>
      <c r="T95" s="80"/>
      <c r="U95" s="80"/>
      <c r="V95" s="79"/>
      <c r="W95" s="80"/>
      <c r="X95" s="80" t="s">
        <v>1229</v>
      </c>
    </row>
    <row r="96" spans="1:24" s="85" customFormat="1" ht="45" customHeight="1" x14ac:dyDescent="0.3">
      <c r="A96" s="82"/>
      <c r="B96" s="83"/>
      <c r="C96" s="84" t="s">
        <v>529</v>
      </c>
      <c r="D96" s="84" t="s">
        <v>1230</v>
      </c>
      <c r="E96" s="84"/>
      <c r="F96" s="84">
        <v>184.25</v>
      </c>
      <c r="G96" s="84"/>
      <c r="H96" s="84"/>
      <c r="I96" s="84" t="s">
        <v>522</v>
      </c>
      <c r="J96" s="81"/>
      <c r="K96" s="84"/>
      <c r="L96" s="84"/>
      <c r="M96" s="84">
        <f>F96-F96*17%</f>
        <v>152.92750000000001</v>
      </c>
      <c r="N96" s="84" t="s">
        <v>1227</v>
      </c>
      <c r="O96" s="84" t="s">
        <v>1228</v>
      </c>
      <c r="P96" s="84" t="s">
        <v>1228</v>
      </c>
      <c r="Q96" s="84">
        <v>0</v>
      </c>
      <c r="R96" s="84"/>
      <c r="S96" s="84"/>
      <c r="T96" s="84"/>
      <c r="U96" s="84"/>
      <c r="V96" s="83"/>
      <c r="W96" s="84"/>
      <c r="X96" s="84" t="s">
        <v>1229</v>
      </c>
    </row>
    <row r="97" spans="1:24" s="85" customFormat="1" ht="45" customHeight="1" x14ac:dyDescent="0.3">
      <c r="A97" s="78"/>
      <c r="B97" s="79"/>
      <c r="C97" s="80" t="s">
        <v>530</v>
      </c>
      <c r="D97" s="80" t="s">
        <v>1230</v>
      </c>
      <c r="E97" s="80"/>
      <c r="F97" s="80">
        <v>23.5</v>
      </c>
      <c r="G97" s="80"/>
      <c r="H97" s="80"/>
      <c r="I97" s="80" t="s">
        <v>522</v>
      </c>
      <c r="J97" s="87"/>
      <c r="K97" s="80"/>
      <c r="L97" s="80"/>
      <c r="M97" s="86">
        <f>F97-F97*17%</f>
        <v>19.504999999999999</v>
      </c>
      <c r="N97" s="86" t="s">
        <v>1227</v>
      </c>
      <c r="O97" s="86" t="s">
        <v>1228</v>
      </c>
      <c r="P97" s="86" t="s">
        <v>1228</v>
      </c>
      <c r="Q97" s="80">
        <v>0</v>
      </c>
      <c r="R97" s="80"/>
      <c r="S97" s="80"/>
      <c r="T97" s="80"/>
      <c r="U97" s="80"/>
      <c r="V97" s="79"/>
      <c r="W97" s="80"/>
      <c r="X97" s="80" t="s">
        <v>1229</v>
      </c>
    </row>
    <row r="98" spans="1:24" s="85" customFormat="1" ht="45" customHeight="1" x14ac:dyDescent="0.3">
      <c r="A98" s="82"/>
      <c r="B98" s="83"/>
      <c r="C98" s="84" t="s">
        <v>959</v>
      </c>
      <c r="D98" s="84" t="s">
        <v>1230</v>
      </c>
      <c r="E98" s="84"/>
      <c r="F98" s="84">
        <v>33.25</v>
      </c>
      <c r="G98" s="84"/>
      <c r="H98" s="84"/>
      <c r="I98" s="84" t="s">
        <v>522</v>
      </c>
      <c r="J98" s="81"/>
      <c r="K98" s="84"/>
      <c r="L98" s="84"/>
      <c r="M98" s="84">
        <f>F98-F98*17%</f>
        <v>27.5975</v>
      </c>
      <c r="N98" s="84" t="s">
        <v>1227</v>
      </c>
      <c r="O98" s="84" t="s">
        <v>1228</v>
      </c>
      <c r="P98" s="84" t="s">
        <v>1228</v>
      </c>
      <c r="Q98" s="84">
        <v>0</v>
      </c>
      <c r="R98" s="84"/>
      <c r="S98" s="84"/>
      <c r="T98" s="84"/>
      <c r="U98" s="84"/>
      <c r="V98" s="83"/>
      <c r="W98" s="84"/>
      <c r="X98" s="84" t="s">
        <v>1229</v>
      </c>
    </row>
    <row r="99" spans="1:24" s="85" customFormat="1" ht="45" customHeight="1" x14ac:dyDescent="0.3">
      <c r="A99" s="78"/>
      <c r="B99" s="79"/>
      <c r="C99" s="80" t="s">
        <v>531</v>
      </c>
      <c r="D99" s="80" t="s">
        <v>1230</v>
      </c>
      <c r="E99" s="80"/>
      <c r="F99" s="80">
        <v>51.5</v>
      </c>
      <c r="G99" s="80"/>
      <c r="H99" s="80"/>
      <c r="I99" s="80" t="s">
        <v>522</v>
      </c>
      <c r="J99" s="87"/>
      <c r="K99" s="80"/>
      <c r="L99" s="80"/>
      <c r="M99" s="86">
        <f>F99-F99*17%</f>
        <v>42.744999999999997</v>
      </c>
      <c r="N99" s="86" t="s">
        <v>1227</v>
      </c>
      <c r="O99" s="86" t="s">
        <v>1228</v>
      </c>
      <c r="P99" s="86" t="s">
        <v>1228</v>
      </c>
      <c r="Q99" s="80">
        <v>0</v>
      </c>
      <c r="R99" s="80"/>
      <c r="S99" s="80"/>
      <c r="T99" s="80"/>
      <c r="U99" s="80"/>
      <c r="V99" s="79"/>
      <c r="W99" s="80"/>
      <c r="X99" s="80" t="s">
        <v>1229</v>
      </c>
    </row>
    <row r="100" spans="1:24" s="85" customFormat="1" ht="45" customHeight="1" x14ac:dyDescent="0.3">
      <c r="A100" s="82"/>
      <c r="B100" s="83"/>
      <c r="C100" s="84" t="s">
        <v>960</v>
      </c>
      <c r="D100" s="84" t="s">
        <v>1230</v>
      </c>
      <c r="E100" s="84"/>
      <c r="F100" s="84">
        <v>67.75</v>
      </c>
      <c r="G100" s="84"/>
      <c r="H100" s="84"/>
      <c r="I100" s="84" t="s">
        <v>522</v>
      </c>
      <c r="J100" s="81"/>
      <c r="K100" s="84"/>
      <c r="L100" s="84"/>
      <c r="M100" s="84">
        <f>F100-F100*17%</f>
        <v>56.232500000000002</v>
      </c>
      <c r="N100" s="84" t="s">
        <v>1227</v>
      </c>
      <c r="O100" s="84" t="s">
        <v>1228</v>
      </c>
      <c r="P100" s="84" t="s">
        <v>1228</v>
      </c>
      <c r="Q100" s="84">
        <v>0</v>
      </c>
      <c r="R100" s="84"/>
      <c r="S100" s="84"/>
      <c r="T100" s="84"/>
      <c r="U100" s="84"/>
      <c r="V100" s="83"/>
      <c r="W100" s="84"/>
      <c r="X100" s="84" t="s">
        <v>1229</v>
      </c>
    </row>
    <row r="101" spans="1:24" s="85" customFormat="1" ht="45" customHeight="1" x14ac:dyDescent="0.3">
      <c r="A101" s="78"/>
      <c r="B101" s="79"/>
      <c r="C101" s="80" t="s">
        <v>961</v>
      </c>
      <c r="D101" s="80" t="s">
        <v>1230</v>
      </c>
      <c r="E101" s="80"/>
      <c r="F101" s="80">
        <v>83</v>
      </c>
      <c r="G101" s="80"/>
      <c r="H101" s="80"/>
      <c r="I101" s="80" t="s">
        <v>522</v>
      </c>
      <c r="J101" s="87"/>
      <c r="K101" s="80"/>
      <c r="L101" s="80"/>
      <c r="M101" s="86">
        <f>F101-F101*17%</f>
        <v>68.89</v>
      </c>
      <c r="N101" s="86" t="s">
        <v>1227</v>
      </c>
      <c r="O101" s="86" t="s">
        <v>1228</v>
      </c>
      <c r="P101" s="86" t="s">
        <v>1228</v>
      </c>
      <c r="Q101" s="80">
        <v>0</v>
      </c>
      <c r="R101" s="80"/>
      <c r="S101" s="80"/>
      <c r="T101" s="80"/>
      <c r="U101" s="80"/>
      <c r="V101" s="79"/>
      <c r="W101" s="80"/>
      <c r="X101" s="80" t="s">
        <v>1229</v>
      </c>
    </row>
    <row r="102" spans="1:24" s="85" customFormat="1" ht="45" customHeight="1" x14ac:dyDescent="0.3">
      <c r="A102" s="82"/>
      <c r="B102" s="83"/>
      <c r="C102" s="84" t="s">
        <v>962</v>
      </c>
      <c r="D102" s="84" t="s">
        <v>1230</v>
      </c>
      <c r="E102" s="84"/>
      <c r="F102" s="84">
        <v>196.5</v>
      </c>
      <c r="G102" s="84"/>
      <c r="H102" s="84"/>
      <c r="I102" s="84" t="s">
        <v>522</v>
      </c>
      <c r="J102" s="81"/>
      <c r="K102" s="84"/>
      <c r="L102" s="84"/>
      <c r="M102" s="84">
        <f>F102-F102*17%</f>
        <v>163.095</v>
      </c>
      <c r="N102" s="84" t="s">
        <v>1227</v>
      </c>
      <c r="O102" s="84" t="s">
        <v>1228</v>
      </c>
      <c r="P102" s="84" t="s">
        <v>1228</v>
      </c>
      <c r="Q102" s="84">
        <v>0</v>
      </c>
      <c r="R102" s="84"/>
      <c r="S102" s="84"/>
      <c r="T102" s="84"/>
      <c r="U102" s="84"/>
      <c r="V102" s="83"/>
      <c r="W102" s="84"/>
      <c r="X102" s="84" t="s">
        <v>1229</v>
      </c>
    </row>
    <row r="103" spans="1:24" s="85" customFormat="1" ht="45" customHeight="1" x14ac:dyDescent="0.3">
      <c r="A103" s="78"/>
      <c r="B103" s="79"/>
      <c r="C103" s="80" t="s">
        <v>777</v>
      </c>
      <c r="D103" s="80" t="s">
        <v>1230</v>
      </c>
      <c r="E103" s="80"/>
      <c r="F103" s="80">
        <v>77.5</v>
      </c>
      <c r="G103" s="80"/>
      <c r="H103" s="80"/>
      <c r="I103" s="80" t="s">
        <v>522</v>
      </c>
      <c r="J103" s="87"/>
      <c r="K103" s="80"/>
      <c r="L103" s="80"/>
      <c r="M103" s="86">
        <f>F103-F103*17%</f>
        <v>64.325000000000003</v>
      </c>
      <c r="N103" s="86" t="s">
        <v>1227</v>
      </c>
      <c r="O103" s="86" t="s">
        <v>1228</v>
      </c>
      <c r="P103" s="86" t="s">
        <v>1228</v>
      </c>
      <c r="Q103" s="80">
        <v>0</v>
      </c>
      <c r="R103" s="80"/>
      <c r="S103" s="80"/>
      <c r="T103" s="80"/>
      <c r="U103" s="80"/>
      <c r="V103" s="79"/>
      <c r="W103" s="80"/>
      <c r="X103" s="80" t="s">
        <v>1229</v>
      </c>
    </row>
    <row r="104" spans="1:24" s="85" customFormat="1" ht="45" customHeight="1" x14ac:dyDescent="0.3">
      <c r="A104" s="82"/>
      <c r="B104" s="83"/>
      <c r="C104" s="84" t="s">
        <v>963</v>
      </c>
      <c r="D104" s="84" t="s">
        <v>1230</v>
      </c>
      <c r="E104" s="84"/>
      <c r="F104" s="84">
        <v>121.25</v>
      </c>
      <c r="G104" s="84"/>
      <c r="H104" s="84"/>
      <c r="I104" s="84" t="s">
        <v>522</v>
      </c>
      <c r="J104" s="81"/>
      <c r="K104" s="84"/>
      <c r="L104" s="84"/>
      <c r="M104" s="84">
        <f>F104-F104*17%</f>
        <v>100.6375</v>
      </c>
      <c r="N104" s="84" t="s">
        <v>1227</v>
      </c>
      <c r="O104" s="84" t="s">
        <v>1228</v>
      </c>
      <c r="P104" s="84" t="s">
        <v>1228</v>
      </c>
      <c r="Q104" s="84">
        <v>0</v>
      </c>
      <c r="R104" s="84"/>
      <c r="S104" s="84"/>
      <c r="T104" s="84"/>
      <c r="U104" s="84"/>
      <c r="V104" s="83"/>
      <c r="W104" s="84"/>
      <c r="X104" s="84" t="s">
        <v>1229</v>
      </c>
    </row>
    <row r="105" spans="1:24" s="85" customFormat="1" ht="45" customHeight="1" x14ac:dyDescent="0.3">
      <c r="A105" s="78"/>
      <c r="B105" s="79"/>
      <c r="C105" s="80" t="s">
        <v>964</v>
      </c>
      <c r="D105" s="80" t="s">
        <v>1230</v>
      </c>
      <c r="E105" s="80"/>
      <c r="F105" s="80">
        <v>254.75</v>
      </c>
      <c r="G105" s="80"/>
      <c r="H105" s="80"/>
      <c r="I105" s="80" t="s">
        <v>522</v>
      </c>
      <c r="J105" s="87"/>
      <c r="K105" s="80"/>
      <c r="L105" s="80"/>
      <c r="M105" s="86">
        <f>F105-F105*17%</f>
        <v>211.4425</v>
      </c>
      <c r="N105" s="86" t="s">
        <v>1227</v>
      </c>
      <c r="O105" s="86" t="s">
        <v>1228</v>
      </c>
      <c r="P105" s="86" t="s">
        <v>1228</v>
      </c>
      <c r="Q105" s="80">
        <v>0</v>
      </c>
      <c r="R105" s="80"/>
      <c r="S105" s="80"/>
      <c r="T105" s="80"/>
      <c r="U105" s="80"/>
      <c r="V105" s="79"/>
      <c r="W105" s="80"/>
      <c r="X105" s="80" t="s">
        <v>1229</v>
      </c>
    </row>
    <row r="106" spans="1:24" s="85" customFormat="1" ht="45" customHeight="1" x14ac:dyDescent="0.3">
      <c r="A106" s="82"/>
      <c r="B106" s="83"/>
      <c r="C106" s="84" t="s">
        <v>778</v>
      </c>
      <c r="D106" s="84" t="s">
        <v>1230</v>
      </c>
      <c r="E106" s="84"/>
      <c r="F106" s="84">
        <v>53</v>
      </c>
      <c r="G106" s="84"/>
      <c r="H106" s="84"/>
      <c r="I106" s="84" t="s">
        <v>522</v>
      </c>
      <c r="J106" s="81"/>
      <c r="K106" s="84"/>
      <c r="L106" s="84"/>
      <c r="M106" s="84">
        <f>F106-F106*17%</f>
        <v>43.99</v>
      </c>
      <c r="N106" s="84" t="s">
        <v>1227</v>
      </c>
      <c r="O106" s="84" t="s">
        <v>1228</v>
      </c>
      <c r="P106" s="84" t="s">
        <v>1228</v>
      </c>
      <c r="Q106" s="84">
        <v>0</v>
      </c>
      <c r="R106" s="84"/>
      <c r="S106" s="84"/>
      <c r="T106" s="84"/>
      <c r="U106" s="84"/>
      <c r="V106" s="83"/>
      <c r="W106" s="84"/>
      <c r="X106" s="84" t="s">
        <v>1229</v>
      </c>
    </row>
    <row r="107" spans="1:24" s="85" customFormat="1" ht="45" customHeight="1" x14ac:dyDescent="0.3">
      <c r="A107" s="78"/>
      <c r="B107" s="79"/>
      <c r="C107" s="80" t="s">
        <v>802</v>
      </c>
      <c r="D107" s="80" t="s">
        <v>1230</v>
      </c>
      <c r="E107" s="80"/>
      <c r="F107" s="80">
        <v>71</v>
      </c>
      <c r="G107" s="80"/>
      <c r="H107" s="80"/>
      <c r="I107" s="80" t="s">
        <v>522</v>
      </c>
      <c r="J107" s="87"/>
      <c r="K107" s="80"/>
      <c r="L107" s="80"/>
      <c r="M107" s="86">
        <f>F107-F107*17%</f>
        <v>58.93</v>
      </c>
      <c r="N107" s="86" t="s">
        <v>1227</v>
      </c>
      <c r="O107" s="86" t="s">
        <v>1228</v>
      </c>
      <c r="P107" s="86" t="s">
        <v>1228</v>
      </c>
      <c r="Q107" s="80">
        <v>0</v>
      </c>
      <c r="R107" s="80"/>
      <c r="S107" s="80"/>
      <c r="T107" s="80"/>
      <c r="U107" s="80"/>
      <c r="V107" s="79"/>
      <c r="W107" s="80"/>
      <c r="X107" s="80" t="s">
        <v>1229</v>
      </c>
    </row>
    <row r="108" spans="1:24" s="85" customFormat="1" ht="45" customHeight="1" x14ac:dyDescent="0.3">
      <c r="A108" s="82"/>
      <c r="B108" s="83"/>
      <c r="C108" s="84" t="s">
        <v>803</v>
      </c>
      <c r="D108" s="84" t="s">
        <v>1230</v>
      </c>
      <c r="E108" s="84"/>
      <c r="F108" s="84">
        <v>86</v>
      </c>
      <c r="G108" s="84"/>
      <c r="H108" s="84"/>
      <c r="I108" s="84" t="s">
        <v>522</v>
      </c>
      <c r="J108" s="81"/>
      <c r="K108" s="84"/>
      <c r="L108" s="84"/>
      <c r="M108" s="84">
        <f>F108-F108*17%</f>
        <v>71.38</v>
      </c>
      <c r="N108" s="84" t="s">
        <v>1227</v>
      </c>
      <c r="O108" s="84" t="s">
        <v>1228</v>
      </c>
      <c r="P108" s="84" t="s">
        <v>1228</v>
      </c>
      <c r="Q108" s="84">
        <v>0</v>
      </c>
      <c r="R108" s="84"/>
      <c r="S108" s="84"/>
      <c r="T108" s="84"/>
      <c r="U108" s="84"/>
      <c r="V108" s="83"/>
      <c r="W108" s="84"/>
      <c r="X108" s="84" t="s">
        <v>1229</v>
      </c>
    </row>
    <row r="109" spans="1:24" s="85" customFormat="1" ht="45" customHeight="1" x14ac:dyDescent="0.3">
      <c r="A109" s="78"/>
      <c r="B109" s="79"/>
      <c r="C109" s="80" t="s">
        <v>779</v>
      </c>
      <c r="D109" s="80" t="s">
        <v>1230</v>
      </c>
      <c r="E109" s="80"/>
      <c r="F109" s="80">
        <v>85.75</v>
      </c>
      <c r="G109" s="80"/>
      <c r="H109" s="80"/>
      <c r="I109" s="80" t="s">
        <v>522</v>
      </c>
      <c r="J109" s="87"/>
      <c r="K109" s="80"/>
      <c r="L109" s="80"/>
      <c r="M109" s="86">
        <f>F109-F109*17%</f>
        <v>71.172499999999999</v>
      </c>
      <c r="N109" s="86" t="s">
        <v>1227</v>
      </c>
      <c r="O109" s="86" t="s">
        <v>1228</v>
      </c>
      <c r="P109" s="86" t="s">
        <v>1228</v>
      </c>
      <c r="Q109" s="80">
        <v>0</v>
      </c>
      <c r="R109" s="80"/>
      <c r="S109" s="80"/>
      <c r="T109" s="80"/>
      <c r="U109" s="80"/>
      <c r="V109" s="79"/>
      <c r="W109" s="80"/>
      <c r="X109" s="80" t="s">
        <v>1229</v>
      </c>
    </row>
    <row r="110" spans="1:24" s="85" customFormat="1" ht="45" customHeight="1" x14ac:dyDescent="0.3">
      <c r="A110" s="82"/>
      <c r="B110" s="83"/>
      <c r="C110" s="84" t="s">
        <v>804</v>
      </c>
      <c r="D110" s="84" t="s">
        <v>1230</v>
      </c>
      <c r="E110" s="84"/>
      <c r="F110" s="84">
        <v>95.5</v>
      </c>
      <c r="G110" s="84"/>
      <c r="H110" s="84"/>
      <c r="I110" s="84" t="s">
        <v>522</v>
      </c>
      <c r="J110" s="81"/>
      <c r="K110" s="84"/>
      <c r="L110" s="84"/>
      <c r="M110" s="84">
        <f>F110-F110*17%</f>
        <v>79.265000000000001</v>
      </c>
      <c r="N110" s="84" t="s">
        <v>1227</v>
      </c>
      <c r="O110" s="84" t="s">
        <v>1228</v>
      </c>
      <c r="P110" s="84" t="s">
        <v>1228</v>
      </c>
      <c r="Q110" s="84">
        <v>0</v>
      </c>
      <c r="R110" s="84"/>
      <c r="S110" s="84"/>
      <c r="T110" s="84"/>
      <c r="U110" s="84"/>
      <c r="V110" s="83"/>
      <c r="W110" s="84"/>
      <c r="X110" s="84" t="s">
        <v>1229</v>
      </c>
    </row>
    <row r="111" spans="1:24" s="85" customFormat="1" ht="45" customHeight="1" x14ac:dyDescent="0.3">
      <c r="A111" s="78"/>
      <c r="B111" s="79"/>
      <c r="C111" s="80" t="s">
        <v>805</v>
      </c>
      <c r="D111" s="80" t="s">
        <v>1230</v>
      </c>
      <c r="E111" s="80"/>
      <c r="F111" s="80">
        <v>125</v>
      </c>
      <c r="G111" s="80"/>
      <c r="H111" s="80"/>
      <c r="I111" s="80" t="s">
        <v>522</v>
      </c>
      <c r="J111" s="87"/>
      <c r="K111" s="80"/>
      <c r="L111" s="80"/>
      <c r="M111" s="86">
        <f>F111-F111*17%</f>
        <v>103.75</v>
      </c>
      <c r="N111" s="86" t="s">
        <v>1227</v>
      </c>
      <c r="O111" s="86" t="s">
        <v>1228</v>
      </c>
      <c r="P111" s="86" t="s">
        <v>1228</v>
      </c>
      <c r="Q111" s="80">
        <v>0</v>
      </c>
      <c r="R111" s="80"/>
      <c r="S111" s="80"/>
      <c r="T111" s="80"/>
      <c r="U111" s="80"/>
      <c r="V111" s="79"/>
      <c r="W111" s="80"/>
      <c r="X111" s="80" t="s">
        <v>1229</v>
      </c>
    </row>
    <row r="112" spans="1:24" s="85" customFormat="1" ht="45" customHeight="1" x14ac:dyDescent="0.3">
      <c r="A112" s="82"/>
      <c r="B112" s="83"/>
      <c r="C112" s="84" t="s">
        <v>806</v>
      </c>
      <c r="D112" s="84" t="s">
        <v>1230</v>
      </c>
      <c r="E112" s="84"/>
      <c r="F112" s="84">
        <v>140.75</v>
      </c>
      <c r="G112" s="84"/>
      <c r="H112" s="84"/>
      <c r="I112" s="84" t="s">
        <v>522</v>
      </c>
      <c r="J112" s="81"/>
      <c r="K112" s="84"/>
      <c r="L112" s="84"/>
      <c r="M112" s="84">
        <f>F112-F112*17%</f>
        <v>116.82249999999999</v>
      </c>
      <c r="N112" s="84" t="s">
        <v>1227</v>
      </c>
      <c r="O112" s="84" t="s">
        <v>1228</v>
      </c>
      <c r="P112" s="84" t="s">
        <v>1228</v>
      </c>
      <c r="Q112" s="84">
        <v>0</v>
      </c>
      <c r="R112" s="84"/>
      <c r="S112" s="84"/>
      <c r="T112" s="84"/>
      <c r="U112" s="84"/>
      <c r="V112" s="83"/>
      <c r="W112" s="84"/>
      <c r="X112" s="84" t="s">
        <v>1229</v>
      </c>
    </row>
    <row r="113" spans="1:24" s="85" customFormat="1" ht="45" customHeight="1" x14ac:dyDescent="0.3">
      <c r="A113" s="78"/>
      <c r="B113" s="79"/>
      <c r="C113" s="80" t="s">
        <v>842</v>
      </c>
      <c r="D113" s="80" t="s">
        <v>1230</v>
      </c>
      <c r="E113" s="80"/>
      <c r="F113" s="80">
        <v>147.25</v>
      </c>
      <c r="G113" s="80"/>
      <c r="H113" s="80"/>
      <c r="I113" s="80" t="s">
        <v>522</v>
      </c>
      <c r="J113" s="87"/>
      <c r="K113" s="80"/>
      <c r="L113" s="80"/>
      <c r="M113" s="86">
        <f>F113-F113*17%</f>
        <v>122.2175</v>
      </c>
      <c r="N113" s="86" t="s">
        <v>1227</v>
      </c>
      <c r="O113" s="86" t="s">
        <v>1228</v>
      </c>
      <c r="P113" s="86" t="s">
        <v>1228</v>
      </c>
      <c r="Q113" s="80">
        <v>0</v>
      </c>
      <c r="R113" s="80"/>
      <c r="S113" s="80"/>
      <c r="T113" s="80"/>
      <c r="U113" s="80"/>
      <c r="V113" s="79"/>
      <c r="W113" s="80"/>
      <c r="X113" s="80" t="s">
        <v>1229</v>
      </c>
    </row>
    <row r="114" spans="1:24" s="85" customFormat="1" ht="45" customHeight="1" x14ac:dyDescent="0.3">
      <c r="A114" s="82"/>
      <c r="B114" s="83"/>
      <c r="C114" s="84" t="s">
        <v>807</v>
      </c>
      <c r="D114" s="84" t="s">
        <v>1230</v>
      </c>
      <c r="E114" s="84"/>
      <c r="F114" s="84">
        <v>327.25</v>
      </c>
      <c r="G114" s="84"/>
      <c r="H114" s="84"/>
      <c r="I114" s="84" t="s">
        <v>522</v>
      </c>
      <c r="J114" s="81"/>
      <c r="K114" s="84"/>
      <c r="L114" s="84"/>
      <c r="M114" s="84">
        <f>F114-F114*17%</f>
        <v>271.61750000000001</v>
      </c>
      <c r="N114" s="84" t="s">
        <v>1227</v>
      </c>
      <c r="O114" s="84" t="s">
        <v>1228</v>
      </c>
      <c r="P114" s="84" t="s">
        <v>1228</v>
      </c>
      <c r="Q114" s="84">
        <v>0</v>
      </c>
      <c r="R114" s="84"/>
      <c r="S114" s="84"/>
      <c r="T114" s="84"/>
      <c r="U114" s="84"/>
      <c r="V114" s="83"/>
      <c r="W114" s="84"/>
      <c r="X114" s="84" t="s">
        <v>1229</v>
      </c>
    </row>
    <row r="115" spans="1:24" s="85" customFormat="1" ht="45" customHeight="1" x14ac:dyDescent="0.3">
      <c r="A115" s="78"/>
      <c r="B115" s="79"/>
      <c r="C115" s="80" t="s">
        <v>780</v>
      </c>
      <c r="D115" s="80" t="s">
        <v>1230</v>
      </c>
      <c r="E115" s="80"/>
      <c r="F115" s="80">
        <v>424.25</v>
      </c>
      <c r="G115" s="80"/>
      <c r="H115" s="80"/>
      <c r="I115" s="80" t="s">
        <v>522</v>
      </c>
      <c r="J115" s="87"/>
      <c r="K115" s="80"/>
      <c r="L115" s="80"/>
      <c r="M115" s="86">
        <f>F115-F115*17%</f>
        <v>352.1275</v>
      </c>
      <c r="N115" s="86" t="s">
        <v>1227</v>
      </c>
      <c r="O115" s="86" t="s">
        <v>1228</v>
      </c>
      <c r="P115" s="86" t="s">
        <v>1228</v>
      </c>
      <c r="Q115" s="80">
        <v>0</v>
      </c>
      <c r="R115" s="80"/>
      <c r="S115" s="80"/>
      <c r="T115" s="80"/>
      <c r="U115" s="80"/>
      <c r="V115" s="79"/>
      <c r="W115" s="80"/>
      <c r="X115" s="80" t="s">
        <v>1229</v>
      </c>
    </row>
    <row r="116" spans="1:24" s="85" customFormat="1" ht="45" customHeight="1" x14ac:dyDescent="0.3">
      <c r="A116" s="82"/>
      <c r="B116" s="83"/>
      <c r="C116" s="84" t="s">
        <v>781</v>
      </c>
      <c r="D116" s="84" t="s">
        <v>1230</v>
      </c>
      <c r="E116" s="84"/>
      <c r="F116" s="84">
        <v>51</v>
      </c>
      <c r="G116" s="84"/>
      <c r="H116" s="84"/>
      <c r="I116" s="84" t="s">
        <v>522</v>
      </c>
      <c r="J116" s="81"/>
      <c r="K116" s="84"/>
      <c r="L116" s="84"/>
      <c r="M116" s="84">
        <f>F116-F116*17%</f>
        <v>42.33</v>
      </c>
      <c r="N116" s="84" t="s">
        <v>1227</v>
      </c>
      <c r="O116" s="84" t="s">
        <v>1228</v>
      </c>
      <c r="P116" s="84" t="s">
        <v>1228</v>
      </c>
      <c r="Q116" s="84">
        <v>0</v>
      </c>
      <c r="R116" s="84"/>
      <c r="S116" s="84"/>
      <c r="T116" s="84"/>
      <c r="U116" s="84"/>
      <c r="V116" s="83"/>
      <c r="W116" s="84"/>
      <c r="X116" s="84" t="s">
        <v>1229</v>
      </c>
    </row>
    <row r="117" spans="1:24" s="85" customFormat="1" ht="45" customHeight="1" x14ac:dyDescent="0.3">
      <c r="A117" s="78"/>
      <c r="B117" s="79"/>
      <c r="C117" s="80" t="s">
        <v>965</v>
      </c>
      <c r="D117" s="80" t="s">
        <v>1230</v>
      </c>
      <c r="E117" s="80"/>
      <c r="F117" s="80">
        <v>68.75</v>
      </c>
      <c r="G117" s="80"/>
      <c r="H117" s="80"/>
      <c r="I117" s="80" t="s">
        <v>522</v>
      </c>
      <c r="J117" s="87"/>
      <c r="K117" s="80"/>
      <c r="L117" s="80"/>
      <c r="M117" s="86">
        <f>F117-F117*17%</f>
        <v>57.0625</v>
      </c>
      <c r="N117" s="86" t="s">
        <v>1227</v>
      </c>
      <c r="O117" s="86" t="s">
        <v>1228</v>
      </c>
      <c r="P117" s="86" t="s">
        <v>1228</v>
      </c>
      <c r="Q117" s="80">
        <v>0</v>
      </c>
      <c r="R117" s="80"/>
      <c r="S117" s="80"/>
      <c r="T117" s="80"/>
      <c r="U117" s="80"/>
      <c r="V117" s="79"/>
      <c r="W117" s="80"/>
      <c r="X117" s="80" t="s">
        <v>1229</v>
      </c>
    </row>
    <row r="118" spans="1:24" s="85" customFormat="1" ht="45" customHeight="1" x14ac:dyDescent="0.3">
      <c r="A118" s="82"/>
      <c r="B118" s="83"/>
      <c r="C118" s="84" t="s">
        <v>966</v>
      </c>
      <c r="D118" s="84" t="s">
        <v>1230</v>
      </c>
      <c r="E118" s="84"/>
      <c r="F118" s="84">
        <v>86.5</v>
      </c>
      <c r="G118" s="84"/>
      <c r="H118" s="84"/>
      <c r="I118" s="84" t="s">
        <v>522</v>
      </c>
      <c r="J118" s="81"/>
      <c r="K118" s="84"/>
      <c r="L118" s="84"/>
      <c r="M118" s="84">
        <f>F118-F118*17%</f>
        <v>71.795000000000002</v>
      </c>
      <c r="N118" s="84" t="s">
        <v>1227</v>
      </c>
      <c r="O118" s="84" t="s">
        <v>1228</v>
      </c>
      <c r="P118" s="84" t="s">
        <v>1228</v>
      </c>
      <c r="Q118" s="84">
        <v>0</v>
      </c>
      <c r="R118" s="84"/>
      <c r="S118" s="84"/>
      <c r="T118" s="84"/>
      <c r="U118" s="84"/>
      <c r="V118" s="83"/>
      <c r="W118" s="84"/>
      <c r="X118" s="84" t="s">
        <v>1229</v>
      </c>
    </row>
    <row r="119" spans="1:24" s="85" customFormat="1" ht="45" customHeight="1" x14ac:dyDescent="0.3">
      <c r="A119" s="78"/>
      <c r="B119" s="79"/>
      <c r="C119" s="80" t="s">
        <v>782</v>
      </c>
      <c r="D119" s="80" t="s">
        <v>1230</v>
      </c>
      <c r="E119" s="80"/>
      <c r="F119" s="80">
        <v>82.5</v>
      </c>
      <c r="G119" s="80"/>
      <c r="H119" s="80"/>
      <c r="I119" s="80" t="s">
        <v>522</v>
      </c>
      <c r="J119" s="87"/>
      <c r="K119" s="80"/>
      <c r="L119" s="80"/>
      <c r="M119" s="86">
        <f>F119-F119*17%</f>
        <v>68.474999999999994</v>
      </c>
      <c r="N119" s="86" t="s">
        <v>1227</v>
      </c>
      <c r="O119" s="86" t="s">
        <v>1228</v>
      </c>
      <c r="P119" s="86" t="s">
        <v>1228</v>
      </c>
      <c r="Q119" s="80">
        <v>0</v>
      </c>
      <c r="R119" s="80"/>
      <c r="S119" s="80"/>
      <c r="T119" s="80"/>
      <c r="U119" s="80"/>
      <c r="V119" s="79"/>
      <c r="W119" s="80"/>
      <c r="X119" s="80" t="s">
        <v>1229</v>
      </c>
    </row>
    <row r="120" spans="1:24" s="85" customFormat="1" ht="45" customHeight="1" x14ac:dyDescent="0.3">
      <c r="A120" s="82"/>
      <c r="B120" s="83"/>
      <c r="C120" s="84" t="s">
        <v>967</v>
      </c>
      <c r="D120" s="84" t="s">
        <v>1230</v>
      </c>
      <c r="E120" s="84"/>
      <c r="F120" s="84">
        <v>88.5</v>
      </c>
      <c r="G120" s="84"/>
      <c r="H120" s="84"/>
      <c r="I120" s="84" t="s">
        <v>522</v>
      </c>
      <c r="J120" s="81"/>
      <c r="K120" s="84"/>
      <c r="L120" s="84"/>
      <c r="M120" s="84">
        <f>F120-F120*17%</f>
        <v>73.454999999999998</v>
      </c>
      <c r="N120" s="84" t="s">
        <v>1227</v>
      </c>
      <c r="O120" s="84" t="s">
        <v>1228</v>
      </c>
      <c r="P120" s="84" t="s">
        <v>1228</v>
      </c>
      <c r="Q120" s="84">
        <v>0</v>
      </c>
      <c r="R120" s="84"/>
      <c r="S120" s="84"/>
      <c r="T120" s="84"/>
      <c r="U120" s="84"/>
      <c r="V120" s="83"/>
      <c r="W120" s="84"/>
      <c r="X120" s="84" t="s">
        <v>1229</v>
      </c>
    </row>
    <row r="121" spans="1:24" s="85" customFormat="1" ht="45" customHeight="1" x14ac:dyDescent="0.3">
      <c r="A121" s="78"/>
      <c r="B121" s="79"/>
      <c r="C121" s="80" t="s">
        <v>968</v>
      </c>
      <c r="D121" s="80" t="s">
        <v>1230</v>
      </c>
      <c r="E121" s="80"/>
      <c r="F121" s="80">
        <v>93.25</v>
      </c>
      <c r="G121" s="80"/>
      <c r="H121" s="80"/>
      <c r="I121" s="80" t="s">
        <v>522</v>
      </c>
      <c r="J121" s="87"/>
      <c r="K121" s="80"/>
      <c r="L121" s="80"/>
      <c r="M121" s="86">
        <f>F121-F121*17%</f>
        <v>77.397499999999994</v>
      </c>
      <c r="N121" s="86" t="s">
        <v>1227</v>
      </c>
      <c r="O121" s="86" t="s">
        <v>1228</v>
      </c>
      <c r="P121" s="86" t="s">
        <v>1228</v>
      </c>
      <c r="Q121" s="80">
        <v>0</v>
      </c>
      <c r="R121" s="80"/>
      <c r="S121" s="80"/>
      <c r="T121" s="80"/>
      <c r="U121" s="80"/>
      <c r="V121" s="79"/>
      <c r="W121" s="80"/>
      <c r="X121" s="80" t="s">
        <v>1229</v>
      </c>
    </row>
    <row r="122" spans="1:24" s="85" customFormat="1" ht="45" customHeight="1" x14ac:dyDescent="0.3">
      <c r="A122" s="82"/>
      <c r="B122" s="83"/>
      <c r="C122" s="84" t="s">
        <v>969</v>
      </c>
      <c r="D122" s="84" t="s">
        <v>1230</v>
      </c>
      <c r="E122" s="84"/>
      <c r="F122" s="84">
        <v>125</v>
      </c>
      <c r="G122" s="84"/>
      <c r="H122" s="84"/>
      <c r="I122" s="84" t="s">
        <v>522</v>
      </c>
      <c r="J122" s="81"/>
      <c r="K122" s="84"/>
      <c r="L122" s="84"/>
      <c r="M122" s="84">
        <f>F122-F122*17%</f>
        <v>103.75</v>
      </c>
      <c r="N122" s="84" t="s">
        <v>1227</v>
      </c>
      <c r="O122" s="84" t="s">
        <v>1228</v>
      </c>
      <c r="P122" s="84" t="s">
        <v>1228</v>
      </c>
      <c r="Q122" s="84">
        <v>0</v>
      </c>
      <c r="R122" s="84"/>
      <c r="S122" s="84"/>
      <c r="T122" s="84"/>
      <c r="U122" s="84"/>
      <c r="V122" s="83"/>
      <c r="W122" s="84"/>
      <c r="X122" s="84" t="s">
        <v>1229</v>
      </c>
    </row>
    <row r="123" spans="1:24" s="85" customFormat="1" ht="45" customHeight="1" x14ac:dyDescent="0.3">
      <c r="A123" s="78"/>
      <c r="B123" s="79"/>
      <c r="C123" s="80" t="s">
        <v>970</v>
      </c>
      <c r="D123" s="80" t="s">
        <v>1230</v>
      </c>
      <c r="E123" s="80"/>
      <c r="F123" s="80">
        <v>132.75</v>
      </c>
      <c r="G123" s="80"/>
      <c r="H123" s="80"/>
      <c r="I123" s="80" t="s">
        <v>522</v>
      </c>
      <c r="J123" s="87"/>
      <c r="K123" s="80"/>
      <c r="L123" s="80"/>
      <c r="M123" s="86">
        <f>F123-F123*17%</f>
        <v>110.1825</v>
      </c>
      <c r="N123" s="86" t="s">
        <v>1227</v>
      </c>
      <c r="O123" s="86" t="s">
        <v>1228</v>
      </c>
      <c r="P123" s="86" t="s">
        <v>1228</v>
      </c>
      <c r="Q123" s="80">
        <v>0</v>
      </c>
      <c r="R123" s="80"/>
      <c r="S123" s="80"/>
      <c r="T123" s="80"/>
      <c r="U123" s="80"/>
      <c r="V123" s="79"/>
      <c r="W123" s="80"/>
      <c r="X123" s="80" t="s">
        <v>1229</v>
      </c>
    </row>
    <row r="124" spans="1:24" s="85" customFormat="1" ht="45" customHeight="1" x14ac:dyDescent="0.3">
      <c r="A124" s="82"/>
      <c r="B124" s="83"/>
      <c r="C124" s="84" t="s">
        <v>971</v>
      </c>
      <c r="D124" s="84" t="s">
        <v>1230</v>
      </c>
      <c r="E124" s="84"/>
      <c r="F124" s="84">
        <v>140.25</v>
      </c>
      <c r="G124" s="84"/>
      <c r="H124" s="84"/>
      <c r="I124" s="84" t="s">
        <v>522</v>
      </c>
      <c r="J124" s="81"/>
      <c r="K124" s="84"/>
      <c r="L124" s="84"/>
      <c r="M124" s="84">
        <f>F124-F124*17%</f>
        <v>116.4075</v>
      </c>
      <c r="N124" s="84" t="s">
        <v>1227</v>
      </c>
      <c r="O124" s="84" t="s">
        <v>1228</v>
      </c>
      <c r="P124" s="84" t="s">
        <v>1228</v>
      </c>
      <c r="Q124" s="84">
        <v>0</v>
      </c>
      <c r="R124" s="84"/>
      <c r="S124" s="84"/>
      <c r="T124" s="84"/>
      <c r="U124" s="84"/>
      <c r="V124" s="83"/>
      <c r="W124" s="84"/>
      <c r="X124" s="84" t="s">
        <v>1229</v>
      </c>
    </row>
    <row r="125" spans="1:24" s="85" customFormat="1" ht="45" customHeight="1" x14ac:dyDescent="0.3">
      <c r="A125" s="78"/>
      <c r="B125" s="79"/>
      <c r="C125" s="80" t="s">
        <v>972</v>
      </c>
      <c r="D125" s="80" t="s">
        <v>1230</v>
      </c>
      <c r="E125" s="80"/>
      <c r="F125" s="80">
        <v>146</v>
      </c>
      <c r="G125" s="80"/>
      <c r="H125" s="80"/>
      <c r="I125" s="80" t="s">
        <v>522</v>
      </c>
      <c r="J125" s="87"/>
      <c r="K125" s="80"/>
      <c r="L125" s="80"/>
      <c r="M125" s="86">
        <f>F125-F125*17%</f>
        <v>121.18</v>
      </c>
      <c r="N125" s="86" t="s">
        <v>1227</v>
      </c>
      <c r="O125" s="86" t="s">
        <v>1228</v>
      </c>
      <c r="P125" s="86" t="s">
        <v>1228</v>
      </c>
      <c r="Q125" s="80">
        <v>0</v>
      </c>
      <c r="R125" s="80"/>
      <c r="S125" s="80"/>
      <c r="T125" s="80"/>
      <c r="U125" s="80"/>
      <c r="V125" s="79"/>
      <c r="W125" s="80"/>
      <c r="X125" s="80" t="s">
        <v>1229</v>
      </c>
    </row>
    <row r="126" spans="1:24" s="85" customFormat="1" ht="45" customHeight="1" x14ac:dyDescent="0.3">
      <c r="A126" s="82"/>
      <c r="B126" s="83"/>
      <c r="C126" s="84" t="s">
        <v>973</v>
      </c>
      <c r="D126" s="84" t="s">
        <v>1230</v>
      </c>
      <c r="E126" s="84"/>
      <c r="F126" s="84">
        <v>327.25</v>
      </c>
      <c r="G126" s="84"/>
      <c r="H126" s="84"/>
      <c r="I126" s="84" t="s">
        <v>522</v>
      </c>
      <c r="J126" s="81"/>
      <c r="K126" s="84"/>
      <c r="L126" s="84"/>
      <c r="M126" s="84">
        <f>F126-F126*17%</f>
        <v>271.61750000000001</v>
      </c>
      <c r="N126" s="84" t="s">
        <v>1227</v>
      </c>
      <c r="O126" s="84" t="s">
        <v>1228</v>
      </c>
      <c r="P126" s="84" t="s">
        <v>1228</v>
      </c>
      <c r="Q126" s="84">
        <v>0</v>
      </c>
      <c r="R126" s="84"/>
      <c r="S126" s="84"/>
      <c r="T126" s="84"/>
      <c r="U126" s="84"/>
      <c r="V126" s="83"/>
      <c r="W126" s="84"/>
      <c r="X126" s="84" t="s">
        <v>1229</v>
      </c>
    </row>
    <row r="127" spans="1:24" s="85" customFormat="1" ht="45" customHeight="1" x14ac:dyDescent="0.3">
      <c r="A127" s="78"/>
      <c r="B127" s="79"/>
      <c r="C127" s="80" t="s">
        <v>974</v>
      </c>
      <c r="D127" s="80" t="s">
        <v>1230</v>
      </c>
      <c r="E127" s="80"/>
      <c r="F127" s="80">
        <v>415.25</v>
      </c>
      <c r="G127" s="80"/>
      <c r="H127" s="80"/>
      <c r="I127" s="80" t="s">
        <v>522</v>
      </c>
      <c r="J127" s="87"/>
      <c r="K127" s="80"/>
      <c r="L127" s="80"/>
      <c r="M127" s="86">
        <f>F127-F127*17%</f>
        <v>344.65750000000003</v>
      </c>
      <c r="N127" s="86" t="s">
        <v>1227</v>
      </c>
      <c r="O127" s="86" t="s">
        <v>1228</v>
      </c>
      <c r="P127" s="86" t="s">
        <v>1228</v>
      </c>
      <c r="Q127" s="80">
        <v>0</v>
      </c>
      <c r="R127" s="80"/>
      <c r="S127" s="80"/>
      <c r="T127" s="80"/>
      <c r="U127" s="80"/>
      <c r="V127" s="79"/>
      <c r="W127" s="80"/>
      <c r="X127" s="80" t="s">
        <v>1229</v>
      </c>
    </row>
    <row r="128" spans="1:24" s="85" customFormat="1" ht="45" customHeight="1" x14ac:dyDescent="0.3">
      <c r="A128" s="82"/>
      <c r="B128" s="83"/>
      <c r="C128" s="84" t="s">
        <v>783</v>
      </c>
      <c r="D128" s="84" t="s">
        <v>1230</v>
      </c>
      <c r="E128" s="84"/>
      <c r="F128" s="84">
        <v>149.5</v>
      </c>
      <c r="G128" s="84"/>
      <c r="H128" s="84"/>
      <c r="I128" s="84" t="s">
        <v>522</v>
      </c>
      <c r="J128" s="81"/>
      <c r="K128" s="84"/>
      <c r="L128" s="84"/>
      <c r="M128" s="84">
        <f>F128-F128*17%</f>
        <v>124.08499999999999</v>
      </c>
      <c r="N128" s="84" t="s">
        <v>1227</v>
      </c>
      <c r="O128" s="84" t="s">
        <v>1228</v>
      </c>
      <c r="P128" s="84" t="s">
        <v>1228</v>
      </c>
      <c r="Q128" s="84">
        <v>0</v>
      </c>
      <c r="R128" s="84"/>
      <c r="S128" s="84"/>
      <c r="T128" s="84"/>
      <c r="U128" s="84"/>
      <c r="V128" s="83"/>
      <c r="W128" s="84"/>
      <c r="X128" s="84" t="s">
        <v>1229</v>
      </c>
    </row>
    <row r="129" spans="1:24" s="85" customFormat="1" ht="45" customHeight="1" x14ac:dyDescent="0.3">
      <c r="A129" s="78"/>
      <c r="B129" s="79"/>
      <c r="C129" s="80" t="s">
        <v>975</v>
      </c>
      <c r="D129" s="80" t="s">
        <v>1230</v>
      </c>
      <c r="E129" s="80"/>
      <c r="F129" s="80">
        <v>170</v>
      </c>
      <c r="G129" s="80"/>
      <c r="H129" s="80"/>
      <c r="I129" s="80" t="s">
        <v>522</v>
      </c>
      <c r="J129" s="87"/>
      <c r="K129" s="80"/>
      <c r="L129" s="80"/>
      <c r="M129" s="86">
        <f>F129-F129*17%</f>
        <v>141.1</v>
      </c>
      <c r="N129" s="86" t="s">
        <v>1227</v>
      </c>
      <c r="O129" s="86" t="s">
        <v>1228</v>
      </c>
      <c r="P129" s="86" t="s">
        <v>1228</v>
      </c>
      <c r="Q129" s="80">
        <v>0</v>
      </c>
      <c r="R129" s="80"/>
      <c r="S129" s="80"/>
      <c r="T129" s="80"/>
      <c r="U129" s="80"/>
      <c r="V129" s="79"/>
      <c r="W129" s="80"/>
      <c r="X129" s="80" t="s">
        <v>1229</v>
      </c>
    </row>
    <row r="130" spans="1:24" s="85" customFormat="1" ht="45" customHeight="1" x14ac:dyDescent="0.3">
      <c r="A130" s="82"/>
      <c r="B130" s="83"/>
      <c r="C130" s="84" t="s">
        <v>784</v>
      </c>
      <c r="D130" s="84" t="s">
        <v>1230</v>
      </c>
      <c r="E130" s="84"/>
      <c r="F130" s="84">
        <v>155</v>
      </c>
      <c r="G130" s="84"/>
      <c r="H130" s="84"/>
      <c r="I130" s="84" t="s">
        <v>522</v>
      </c>
      <c r="J130" s="81"/>
      <c r="K130" s="84"/>
      <c r="L130" s="84"/>
      <c r="M130" s="84">
        <f>F130-F130*17%</f>
        <v>128.65</v>
      </c>
      <c r="N130" s="84" t="s">
        <v>1227</v>
      </c>
      <c r="O130" s="84" t="s">
        <v>1228</v>
      </c>
      <c r="P130" s="84" t="s">
        <v>1228</v>
      </c>
      <c r="Q130" s="84">
        <v>0</v>
      </c>
      <c r="R130" s="84"/>
      <c r="S130" s="84"/>
      <c r="T130" s="84"/>
      <c r="U130" s="84"/>
      <c r="V130" s="83"/>
      <c r="W130" s="84"/>
      <c r="X130" s="84" t="s">
        <v>1229</v>
      </c>
    </row>
    <row r="131" spans="1:24" s="85" customFormat="1" ht="45" customHeight="1" x14ac:dyDescent="0.3">
      <c r="A131" s="78"/>
      <c r="B131" s="79"/>
      <c r="C131" s="80" t="s">
        <v>976</v>
      </c>
      <c r="D131" s="80" t="s">
        <v>1230</v>
      </c>
      <c r="E131" s="80"/>
      <c r="F131" s="80">
        <v>198.25</v>
      </c>
      <c r="G131" s="80"/>
      <c r="H131" s="80"/>
      <c r="I131" s="80" t="s">
        <v>522</v>
      </c>
      <c r="J131" s="87"/>
      <c r="K131" s="80"/>
      <c r="L131" s="80"/>
      <c r="M131" s="86">
        <f>F131-F131*17%</f>
        <v>164.54750000000001</v>
      </c>
      <c r="N131" s="86" t="s">
        <v>1227</v>
      </c>
      <c r="O131" s="86" t="s">
        <v>1228</v>
      </c>
      <c r="P131" s="86" t="s">
        <v>1228</v>
      </c>
      <c r="Q131" s="80">
        <v>0</v>
      </c>
      <c r="R131" s="80"/>
      <c r="S131" s="80"/>
      <c r="T131" s="80"/>
      <c r="U131" s="80"/>
      <c r="V131" s="79"/>
      <c r="W131" s="80"/>
      <c r="X131" s="80" t="s">
        <v>1229</v>
      </c>
    </row>
    <row r="132" spans="1:24" s="85" customFormat="1" ht="45" customHeight="1" x14ac:dyDescent="0.3">
      <c r="A132" s="82"/>
      <c r="B132" s="83"/>
      <c r="C132" s="84" t="s">
        <v>977</v>
      </c>
      <c r="D132" s="84" t="s">
        <v>1230</v>
      </c>
      <c r="E132" s="84"/>
      <c r="F132" s="84">
        <v>360.25</v>
      </c>
      <c r="G132" s="84"/>
      <c r="H132" s="84"/>
      <c r="I132" s="84" t="s">
        <v>522</v>
      </c>
      <c r="J132" s="81"/>
      <c r="K132" s="84"/>
      <c r="L132" s="84"/>
      <c r="M132" s="84">
        <f>F132-F132*17%</f>
        <v>299.00749999999999</v>
      </c>
      <c r="N132" s="84" t="s">
        <v>1227</v>
      </c>
      <c r="O132" s="84" t="s">
        <v>1228</v>
      </c>
      <c r="P132" s="84" t="s">
        <v>1228</v>
      </c>
      <c r="Q132" s="84">
        <v>0</v>
      </c>
      <c r="R132" s="84"/>
      <c r="S132" s="84"/>
      <c r="T132" s="84"/>
      <c r="U132" s="84"/>
      <c r="V132" s="83"/>
      <c r="W132" s="84"/>
      <c r="X132" s="84" t="s">
        <v>1229</v>
      </c>
    </row>
    <row r="133" spans="1:24" s="85" customFormat="1" ht="45" customHeight="1" x14ac:dyDescent="0.3">
      <c r="A133" s="78"/>
      <c r="B133" s="79"/>
      <c r="C133" s="80" t="s">
        <v>978</v>
      </c>
      <c r="D133" s="80" t="s">
        <v>1230</v>
      </c>
      <c r="E133" s="80"/>
      <c r="F133" s="80">
        <v>465.75</v>
      </c>
      <c r="G133" s="80"/>
      <c r="H133" s="80"/>
      <c r="I133" s="80" t="s">
        <v>522</v>
      </c>
      <c r="J133" s="87"/>
      <c r="K133" s="80"/>
      <c r="L133" s="80"/>
      <c r="M133" s="86">
        <f>F133-F133*17%</f>
        <v>386.57249999999999</v>
      </c>
      <c r="N133" s="86" t="s">
        <v>1227</v>
      </c>
      <c r="O133" s="86" t="s">
        <v>1228</v>
      </c>
      <c r="P133" s="86" t="s">
        <v>1228</v>
      </c>
      <c r="Q133" s="80">
        <v>0</v>
      </c>
      <c r="R133" s="80"/>
      <c r="S133" s="80"/>
      <c r="T133" s="80"/>
      <c r="U133" s="80"/>
      <c r="V133" s="79"/>
      <c r="W133" s="80"/>
      <c r="X133" s="80" t="s">
        <v>1229</v>
      </c>
    </row>
    <row r="134" spans="1:24" s="85" customFormat="1" ht="45" customHeight="1" x14ac:dyDescent="0.3">
      <c r="A134" s="82"/>
      <c r="B134" s="83"/>
      <c r="C134" s="84" t="s">
        <v>843</v>
      </c>
      <c r="D134" s="84" t="s">
        <v>1230</v>
      </c>
      <c r="E134" s="84"/>
      <c r="F134" s="84">
        <v>30.5</v>
      </c>
      <c r="G134" s="84"/>
      <c r="H134" s="84"/>
      <c r="I134" s="84" t="s">
        <v>522</v>
      </c>
      <c r="J134" s="81"/>
      <c r="K134" s="84"/>
      <c r="L134" s="84"/>
      <c r="M134" s="84">
        <f>F134-F134*17%</f>
        <v>25.314999999999998</v>
      </c>
      <c r="N134" s="84" t="s">
        <v>1227</v>
      </c>
      <c r="O134" s="84" t="s">
        <v>1228</v>
      </c>
      <c r="P134" s="84" t="s">
        <v>1228</v>
      </c>
      <c r="Q134" s="84">
        <v>0</v>
      </c>
      <c r="R134" s="84"/>
      <c r="S134" s="84"/>
      <c r="T134" s="84"/>
      <c r="U134" s="84"/>
      <c r="V134" s="83"/>
      <c r="W134" s="84"/>
      <c r="X134" s="84" t="s">
        <v>1229</v>
      </c>
    </row>
    <row r="135" spans="1:24" s="85" customFormat="1" ht="45" customHeight="1" x14ac:dyDescent="0.3">
      <c r="A135" s="78"/>
      <c r="B135" s="79"/>
      <c r="C135" s="80" t="s">
        <v>844</v>
      </c>
      <c r="D135" s="80" t="s">
        <v>1230</v>
      </c>
      <c r="E135" s="80"/>
      <c r="F135" s="80">
        <v>40.5</v>
      </c>
      <c r="G135" s="80"/>
      <c r="H135" s="80"/>
      <c r="I135" s="80" t="s">
        <v>522</v>
      </c>
      <c r="J135" s="87"/>
      <c r="K135" s="80"/>
      <c r="L135" s="80"/>
      <c r="M135" s="86">
        <f>F135-F135*17%</f>
        <v>33.615000000000002</v>
      </c>
      <c r="N135" s="86" t="s">
        <v>1227</v>
      </c>
      <c r="O135" s="86" t="s">
        <v>1228</v>
      </c>
      <c r="P135" s="86" t="s">
        <v>1228</v>
      </c>
      <c r="Q135" s="80">
        <v>0</v>
      </c>
      <c r="R135" s="80"/>
      <c r="S135" s="80"/>
      <c r="T135" s="80"/>
      <c r="U135" s="80"/>
      <c r="V135" s="79"/>
      <c r="W135" s="80"/>
      <c r="X135" s="80" t="s">
        <v>1229</v>
      </c>
    </row>
    <row r="136" spans="1:24" s="85" customFormat="1" ht="45" customHeight="1" x14ac:dyDescent="0.3">
      <c r="A136" s="82"/>
      <c r="B136" s="83"/>
      <c r="C136" s="84" t="s">
        <v>845</v>
      </c>
      <c r="D136" s="84" t="s">
        <v>1230</v>
      </c>
      <c r="E136" s="84"/>
      <c r="F136" s="84">
        <v>61</v>
      </c>
      <c r="G136" s="84"/>
      <c r="H136" s="84"/>
      <c r="I136" s="84" t="s">
        <v>522</v>
      </c>
      <c r="J136" s="81"/>
      <c r="K136" s="84"/>
      <c r="L136" s="84"/>
      <c r="M136" s="84">
        <f>F136-F136*17%</f>
        <v>50.629999999999995</v>
      </c>
      <c r="N136" s="84" t="s">
        <v>1227</v>
      </c>
      <c r="O136" s="84" t="s">
        <v>1228</v>
      </c>
      <c r="P136" s="84" t="s">
        <v>1228</v>
      </c>
      <c r="Q136" s="84">
        <v>0</v>
      </c>
      <c r="R136" s="84"/>
      <c r="S136" s="84"/>
      <c r="T136" s="84"/>
      <c r="U136" s="84"/>
      <c r="V136" s="83"/>
      <c r="W136" s="84"/>
      <c r="X136" s="84" t="s">
        <v>1229</v>
      </c>
    </row>
    <row r="137" spans="1:24" s="85" customFormat="1" ht="45" customHeight="1" x14ac:dyDescent="0.3">
      <c r="A137" s="78"/>
      <c r="B137" s="79"/>
      <c r="C137" s="80" t="s">
        <v>846</v>
      </c>
      <c r="D137" s="80" t="s">
        <v>1230</v>
      </c>
      <c r="E137" s="80"/>
      <c r="F137" s="80">
        <v>67.75</v>
      </c>
      <c r="G137" s="80"/>
      <c r="H137" s="80"/>
      <c r="I137" s="80" t="s">
        <v>522</v>
      </c>
      <c r="J137" s="87"/>
      <c r="K137" s="80"/>
      <c r="L137" s="80"/>
      <c r="M137" s="86">
        <f>F137-F137*17%</f>
        <v>56.232500000000002</v>
      </c>
      <c r="N137" s="86" t="s">
        <v>1227</v>
      </c>
      <c r="O137" s="86" t="s">
        <v>1228</v>
      </c>
      <c r="P137" s="86" t="s">
        <v>1228</v>
      </c>
      <c r="Q137" s="80">
        <v>0</v>
      </c>
      <c r="R137" s="80"/>
      <c r="S137" s="80"/>
      <c r="T137" s="80"/>
      <c r="U137" s="80"/>
      <c r="V137" s="79"/>
      <c r="W137" s="80"/>
      <c r="X137" s="80" t="s">
        <v>1229</v>
      </c>
    </row>
    <row r="138" spans="1:24" s="85" customFormat="1" ht="45" customHeight="1" x14ac:dyDescent="0.3">
      <c r="A138" s="82"/>
      <c r="B138" s="83"/>
      <c r="C138" s="84" t="s">
        <v>847</v>
      </c>
      <c r="D138" s="84" t="s">
        <v>1230</v>
      </c>
      <c r="E138" s="84"/>
      <c r="F138" s="84">
        <v>83.25</v>
      </c>
      <c r="G138" s="84"/>
      <c r="H138" s="84"/>
      <c r="I138" s="84" t="s">
        <v>522</v>
      </c>
      <c r="J138" s="81"/>
      <c r="K138" s="84"/>
      <c r="L138" s="84"/>
      <c r="M138" s="84">
        <f>F138-F138*17%</f>
        <v>69.097499999999997</v>
      </c>
      <c r="N138" s="84" t="s">
        <v>1227</v>
      </c>
      <c r="O138" s="84" t="s">
        <v>1228</v>
      </c>
      <c r="P138" s="84" t="s">
        <v>1228</v>
      </c>
      <c r="Q138" s="84">
        <v>0</v>
      </c>
      <c r="R138" s="84"/>
      <c r="S138" s="84"/>
      <c r="T138" s="84"/>
      <c r="U138" s="84"/>
      <c r="V138" s="83"/>
      <c r="W138" s="84"/>
      <c r="X138" s="84" t="s">
        <v>1229</v>
      </c>
    </row>
    <row r="139" spans="1:24" s="85" customFormat="1" ht="45" customHeight="1" x14ac:dyDescent="0.3">
      <c r="A139" s="78"/>
      <c r="B139" s="79"/>
      <c r="C139" s="80" t="s">
        <v>848</v>
      </c>
      <c r="D139" s="80" t="s">
        <v>1230</v>
      </c>
      <c r="E139" s="80"/>
      <c r="F139" s="80">
        <v>198.25</v>
      </c>
      <c r="G139" s="80"/>
      <c r="H139" s="80"/>
      <c r="I139" s="80" t="s">
        <v>522</v>
      </c>
      <c r="J139" s="87"/>
      <c r="K139" s="80"/>
      <c r="L139" s="80"/>
      <c r="M139" s="86">
        <f>F139-F139*17%</f>
        <v>164.54750000000001</v>
      </c>
      <c r="N139" s="86" t="s">
        <v>1227</v>
      </c>
      <c r="O139" s="86" t="s">
        <v>1228</v>
      </c>
      <c r="P139" s="86" t="s">
        <v>1228</v>
      </c>
      <c r="Q139" s="80">
        <v>0</v>
      </c>
      <c r="R139" s="80"/>
      <c r="S139" s="80"/>
      <c r="T139" s="80"/>
      <c r="U139" s="80"/>
      <c r="V139" s="79"/>
      <c r="W139" s="80"/>
      <c r="X139" s="80" t="s">
        <v>1229</v>
      </c>
    </row>
    <row r="140" spans="1:24" s="85" customFormat="1" ht="45" customHeight="1" x14ac:dyDescent="0.3">
      <c r="A140" s="82"/>
      <c r="B140" s="83"/>
      <c r="C140" s="84" t="s">
        <v>946</v>
      </c>
      <c r="D140" s="84" t="s">
        <v>1230</v>
      </c>
      <c r="E140" s="84"/>
      <c r="F140" s="84">
        <v>46.25</v>
      </c>
      <c r="G140" s="84"/>
      <c r="H140" s="84"/>
      <c r="I140" s="84" t="s">
        <v>522</v>
      </c>
      <c r="J140" s="81"/>
      <c r="K140" s="84"/>
      <c r="L140" s="84"/>
      <c r="M140" s="84">
        <f>F140-F140*17%</f>
        <v>38.387500000000003</v>
      </c>
      <c r="N140" s="84" t="s">
        <v>1227</v>
      </c>
      <c r="O140" s="84" t="s">
        <v>1228</v>
      </c>
      <c r="P140" s="84" t="s">
        <v>1228</v>
      </c>
      <c r="Q140" s="84">
        <v>0</v>
      </c>
      <c r="R140" s="84"/>
      <c r="S140" s="84"/>
      <c r="T140" s="84"/>
      <c r="U140" s="84"/>
      <c r="V140" s="83"/>
      <c r="W140" s="84"/>
      <c r="X140" s="84" t="s">
        <v>1229</v>
      </c>
    </row>
    <row r="141" spans="1:24" s="85" customFormat="1" ht="45" customHeight="1" x14ac:dyDescent="0.3">
      <c r="A141" s="78"/>
      <c r="B141" s="79"/>
      <c r="C141" s="80" t="s">
        <v>947</v>
      </c>
      <c r="D141" s="80" t="s">
        <v>1230</v>
      </c>
      <c r="E141" s="80"/>
      <c r="F141" s="80">
        <v>71.5</v>
      </c>
      <c r="G141" s="80"/>
      <c r="H141" s="80"/>
      <c r="I141" s="80" t="s">
        <v>522</v>
      </c>
      <c r="J141" s="87"/>
      <c r="K141" s="80"/>
      <c r="L141" s="80"/>
      <c r="M141" s="86">
        <f>F141-F141*17%</f>
        <v>59.344999999999999</v>
      </c>
      <c r="N141" s="86" t="s">
        <v>1227</v>
      </c>
      <c r="O141" s="86" t="s">
        <v>1228</v>
      </c>
      <c r="P141" s="86" t="s">
        <v>1228</v>
      </c>
      <c r="Q141" s="80">
        <v>0</v>
      </c>
      <c r="R141" s="80"/>
      <c r="S141" s="80"/>
      <c r="T141" s="80"/>
      <c r="U141" s="80"/>
      <c r="V141" s="79"/>
      <c r="W141" s="80"/>
      <c r="X141" s="80" t="s">
        <v>1229</v>
      </c>
    </row>
    <row r="142" spans="1:24" s="85" customFormat="1" ht="45" customHeight="1" x14ac:dyDescent="0.3">
      <c r="A142" s="82"/>
      <c r="B142" s="83"/>
      <c r="C142" s="84" t="s">
        <v>948</v>
      </c>
      <c r="D142" s="84" t="s">
        <v>1230</v>
      </c>
      <c r="E142" s="84"/>
      <c r="F142" s="84">
        <v>79</v>
      </c>
      <c r="G142" s="84"/>
      <c r="H142" s="84"/>
      <c r="I142" s="84" t="s">
        <v>522</v>
      </c>
      <c r="J142" s="81"/>
      <c r="K142" s="84"/>
      <c r="L142" s="84"/>
      <c r="M142" s="84">
        <f>F142-F142*17%</f>
        <v>65.569999999999993</v>
      </c>
      <c r="N142" s="84" t="s">
        <v>1227</v>
      </c>
      <c r="O142" s="84" t="s">
        <v>1228</v>
      </c>
      <c r="P142" s="84" t="s">
        <v>1228</v>
      </c>
      <c r="Q142" s="84">
        <v>0</v>
      </c>
      <c r="R142" s="84"/>
      <c r="S142" s="84"/>
      <c r="T142" s="84"/>
      <c r="U142" s="84"/>
      <c r="V142" s="83"/>
      <c r="W142" s="84"/>
      <c r="X142" s="84" t="s">
        <v>1229</v>
      </c>
    </row>
    <row r="143" spans="1:24" s="85" customFormat="1" ht="45" customHeight="1" x14ac:dyDescent="0.3">
      <c r="A143" s="78"/>
      <c r="B143" s="79"/>
      <c r="C143" s="80" t="s">
        <v>849</v>
      </c>
      <c r="D143" s="80" t="s">
        <v>1230</v>
      </c>
      <c r="E143" s="80"/>
      <c r="F143" s="80">
        <v>132.25</v>
      </c>
      <c r="G143" s="80"/>
      <c r="H143" s="80"/>
      <c r="I143" s="80" t="s">
        <v>522</v>
      </c>
      <c r="J143" s="87"/>
      <c r="K143" s="80"/>
      <c r="L143" s="80"/>
      <c r="M143" s="86">
        <f>F143-F143*17%</f>
        <v>109.7675</v>
      </c>
      <c r="N143" s="86" t="s">
        <v>1227</v>
      </c>
      <c r="O143" s="86" t="s">
        <v>1228</v>
      </c>
      <c r="P143" s="86" t="s">
        <v>1228</v>
      </c>
      <c r="Q143" s="80">
        <v>0</v>
      </c>
      <c r="R143" s="80"/>
      <c r="S143" s="80"/>
      <c r="T143" s="80"/>
      <c r="U143" s="80"/>
      <c r="V143" s="79"/>
      <c r="W143" s="80"/>
      <c r="X143" s="80" t="s">
        <v>1229</v>
      </c>
    </row>
    <row r="144" spans="1:24" s="85" customFormat="1" ht="45" customHeight="1" x14ac:dyDescent="0.3">
      <c r="A144" s="82"/>
      <c r="B144" s="83"/>
      <c r="C144" s="84" t="s">
        <v>850</v>
      </c>
      <c r="D144" s="84" t="s">
        <v>1230</v>
      </c>
      <c r="E144" s="84"/>
      <c r="F144" s="84">
        <v>234.5</v>
      </c>
      <c r="G144" s="84"/>
      <c r="H144" s="84"/>
      <c r="I144" s="84" t="s">
        <v>522</v>
      </c>
      <c r="J144" s="81"/>
      <c r="K144" s="84"/>
      <c r="L144" s="84"/>
      <c r="M144" s="84">
        <f>F144-F144*17%</f>
        <v>194.63499999999999</v>
      </c>
      <c r="N144" s="84" t="s">
        <v>1227</v>
      </c>
      <c r="O144" s="84" t="s">
        <v>1228</v>
      </c>
      <c r="P144" s="84" t="s">
        <v>1228</v>
      </c>
      <c r="Q144" s="84">
        <v>0</v>
      </c>
      <c r="R144" s="84"/>
      <c r="S144" s="84"/>
      <c r="T144" s="84"/>
      <c r="U144" s="84"/>
      <c r="V144" s="83"/>
      <c r="W144" s="84"/>
      <c r="X144" s="84" t="s">
        <v>1229</v>
      </c>
    </row>
    <row r="145" spans="1:24" s="85" customFormat="1" ht="45" customHeight="1" x14ac:dyDescent="0.3">
      <c r="A145" s="78"/>
      <c r="B145" s="79"/>
      <c r="C145" s="80" t="s">
        <v>851</v>
      </c>
      <c r="D145" s="80" t="s">
        <v>1230</v>
      </c>
      <c r="E145" s="80"/>
      <c r="F145" s="80">
        <v>12.75</v>
      </c>
      <c r="G145" s="80"/>
      <c r="H145" s="80"/>
      <c r="I145" s="80" t="s">
        <v>522</v>
      </c>
      <c r="J145" s="87"/>
      <c r="K145" s="80"/>
      <c r="L145" s="80"/>
      <c r="M145" s="86">
        <f>F145-F145*17%</f>
        <v>10.5825</v>
      </c>
      <c r="N145" s="86" t="s">
        <v>1227</v>
      </c>
      <c r="O145" s="86" t="s">
        <v>1228</v>
      </c>
      <c r="P145" s="86" t="s">
        <v>1228</v>
      </c>
      <c r="Q145" s="80">
        <v>0</v>
      </c>
      <c r="R145" s="80"/>
      <c r="S145" s="80"/>
      <c r="T145" s="80"/>
      <c r="U145" s="80"/>
      <c r="V145" s="79"/>
      <c r="W145" s="80"/>
      <c r="X145" s="80" t="s">
        <v>1229</v>
      </c>
    </row>
    <row r="146" spans="1:24" s="85" customFormat="1" ht="45" customHeight="1" x14ac:dyDescent="0.3">
      <c r="A146" s="82"/>
      <c r="B146" s="83"/>
      <c r="C146" s="84" t="s">
        <v>852</v>
      </c>
      <c r="D146" s="84" t="s">
        <v>1230</v>
      </c>
      <c r="E146" s="84"/>
      <c r="F146" s="84">
        <v>35</v>
      </c>
      <c r="G146" s="84"/>
      <c r="H146" s="84"/>
      <c r="I146" s="84" t="s">
        <v>522</v>
      </c>
      <c r="J146" s="81"/>
      <c r="K146" s="84"/>
      <c r="L146" s="84"/>
      <c r="M146" s="84">
        <f>F146-F146*17%</f>
        <v>29.05</v>
      </c>
      <c r="N146" s="84" t="s">
        <v>1227</v>
      </c>
      <c r="O146" s="84" t="s">
        <v>1228</v>
      </c>
      <c r="P146" s="84" t="s">
        <v>1228</v>
      </c>
      <c r="Q146" s="84">
        <v>0</v>
      </c>
      <c r="R146" s="84"/>
      <c r="S146" s="84"/>
      <c r="T146" s="84"/>
      <c r="U146" s="84"/>
      <c r="V146" s="83"/>
      <c r="W146" s="84"/>
      <c r="X146" s="84" t="s">
        <v>1229</v>
      </c>
    </row>
    <row r="147" spans="1:24" s="85" customFormat="1" ht="45" customHeight="1" x14ac:dyDescent="0.3">
      <c r="A147" s="78"/>
      <c r="B147" s="79"/>
      <c r="C147" s="80" t="s">
        <v>853</v>
      </c>
      <c r="D147" s="80" t="s">
        <v>1230</v>
      </c>
      <c r="E147" s="80"/>
      <c r="F147" s="80">
        <v>40</v>
      </c>
      <c r="G147" s="80"/>
      <c r="H147" s="80"/>
      <c r="I147" s="80" t="s">
        <v>522</v>
      </c>
      <c r="J147" s="87"/>
      <c r="K147" s="80"/>
      <c r="L147" s="80"/>
      <c r="M147" s="86">
        <f>F147-F147*17%</f>
        <v>33.200000000000003</v>
      </c>
      <c r="N147" s="86" t="s">
        <v>1227</v>
      </c>
      <c r="O147" s="86" t="s">
        <v>1228</v>
      </c>
      <c r="P147" s="86" t="s">
        <v>1228</v>
      </c>
      <c r="Q147" s="80">
        <v>0</v>
      </c>
      <c r="R147" s="80"/>
      <c r="S147" s="80"/>
      <c r="T147" s="80"/>
      <c r="U147" s="80"/>
      <c r="V147" s="79"/>
      <c r="W147" s="80"/>
      <c r="X147" s="80" t="s">
        <v>1229</v>
      </c>
    </row>
    <row r="148" spans="1:24" s="85" customFormat="1" ht="45" customHeight="1" x14ac:dyDescent="0.3">
      <c r="A148" s="82"/>
      <c r="B148" s="83"/>
      <c r="C148" s="84" t="s">
        <v>854</v>
      </c>
      <c r="D148" s="84" t="s">
        <v>1230</v>
      </c>
      <c r="E148" s="84"/>
      <c r="F148" s="84">
        <v>46</v>
      </c>
      <c r="G148" s="84"/>
      <c r="H148" s="84"/>
      <c r="I148" s="84" t="s">
        <v>522</v>
      </c>
      <c r="J148" s="81"/>
      <c r="K148" s="84"/>
      <c r="L148" s="84"/>
      <c r="M148" s="84">
        <f>F148-F148*17%</f>
        <v>38.18</v>
      </c>
      <c r="N148" s="84" t="s">
        <v>1227</v>
      </c>
      <c r="O148" s="84" t="s">
        <v>1228</v>
      </c>
      <c r="P148" s="84" t="s">
        <v>1228</v>
      </c>
      <c r="Q148" s="84">
        <v>0</v>
      </c>
      <c r="R148" s="84"/>
      <c r="S148" s="84"/>
      <c r="T148" s="84"/>
      <c r="U148" s="84"/>
      <c r="V148" s="83"/>
      <c r="W148" s="84"/>
      <c r="X148" s="84" t="s">
        <v>1229</v>
      </c>
    </row>
    <row r="149" spans="1:24" s="85" customFormat="1" ht="45" customHeight="1" x14ac:dyDescent="0.3">
      <c r="A149" s="78"/>
      <c r="B149" s="79"/>
      <c r="C149" s="80" t="s">
        <v>855</v>
      </c>
      <c r="D149" s="80" t="s">
        <v>1230</v>
      </c>
      <c r="E149" s="80"/>
      <c r="F149" s="80">
        <v>68.25</v>
      </c>
      <c r="G149" s="80"/>
      <c r="H149" s="80"/>
      <c r="I149" s="80" t="s">
        <v>522</v>
      </c>
      <c r="J149" s="87"/>
      <c r="K149" s="80"/>
      <c r="L149" s="80"/>
      <c r="M149" s="86">
        <f>F149-F149*17%</f>
        <v>56.647500000000001</v>
      </c>
      <c r="N149" s="86" t="s">
        <v>1227</v>
      </c>
      <c r="O149" s="86" t="s">
        <v>1228</v>
      </c>
      <c r="P149" s="86" t="s">
        <v>1228</v>
      </c>
      <c r="Q149" s="80">
        <v>0</v>
      </c>
      <c r="R149" s="80"/>
      <c r="S149" s="80"/>
      <c r="T149" s="80"/>
      <c r="U149" s="80"/>
      <c r="V149" s="79"/>
      <c r="W149" s="80"/>
      <c r="X149" s="80" t="s">
        <v>1229</v>
      </c>
    </row>
    <row r="150" spans="1:24" s="85" customFormat="1" ht="45" customHeight="1" x14ac:dyDescent="0.3">
      <c r="A150" s="82"/>
      <c r="B150" s="83"/>
      <c r="C150" s="84" t="s">
        <v>856</v>
      </c>
      <c r="D150" s="84" t="s">
        <v>1230</v>
      </c>
      <c r="E150" s="84"/>
      <c r="F150" s="84">
        <v>126.25</v>
      </c>
      <c r="G150" s="84"/>
      <c r="H150" s="84"/>
      <c r="I150" s="84" t="s">
        <v>522</v>
      </c>
      <c r="J150" s="81"/>
      <c r="K150" s="84"/>
      <c r="L150" s="84"/>
      <c r="M150" s="84">
        <f>F150-F150*17%</f>
        <v>104.78749999999999</v>
      </c>
      <c r="N150" s="84" t="s">
        <v>1227</v>
      </c>
      <c r="O150" s="84" t="s">
        <v>1228</v>
      </c>
      <c r="P150" s="84" t="s">
        <v>1228</v>
      </c>
      <c r="Q150" s="84">
        <v>0</v>
      </c>
      <c r="R150" s="84"/>
      <c r="S150" s="84"/>
      <c r="T150" s="84"/>
      <c r="U150" s="84"/>
      <c r="V150" s="83"/>
      <c r="W150" s="84"/>
      <c r="X150" s="84" t="s">
        <v>1229</v>
      </c>
    </row>
    <row r="151" spans="1:24" s="85" customFormat="1" ht="45" customHeight="1" x14ac:dyDescent="0.3">
      <c r="A151" s="78"/>
      <c r="B151" s="79"/>
      <c r="C151" s="80" t="s">
        <v>744</v>
      </c>
      <c r="D151" s="80" t="s">
        <v>1230</v>
      </c>
      <c r="E151" s="80"/>
      <c r="F151" s="80">
        <v>15.25</v>
      </c>
      <c r="G151" s="80"/>
      <c r="H151" s="80"/>
      <c r="I151" s="80" t="s">
        <v>522</v>
      </c>
      <c r="J151" s="87"/>
      <c r="K151" s="80"/>
      <c r="L151" s="80"/>
      <c r="M151" s="86">
        <f>F151-F151*17%</f>
        <v>12.657499999999999</v>
      </c>
      <c r="N151" s="86" t="s">
        <v>1227</v>
      </c>
      <c r="O151" s="86" t="s">
        <v>1228</v>
      </c>
      <c r="P151" s="86" t="s">
        <v>1228</v>
      </c>
      <c r="Q151" s="80">
        <v>0</v>
      </c>
      <c r="R151" s="80"/>
      <c r="S151" s="80"/>
      <c r="T151" s="80"/>
      <c r="U151" s="80"/>
      <c r="V151" s="79"/>
      <c r="W151" s="80"/>
      <c r="X151" s="80" t="s">
        <v>1229</v>
      </c>
    </row>
    <row r="152" spans="1:24" s="85" customFormat="1" ht="45" customHeight="1" x14ac:dyDescent="0.3">
      <c r="A152" s="82"/>
      <c r="B152" s="83"/>
      <c r="C152" s="84" t="s">
        <v>808</v>
      </c>
      <c r="D152" s="84" t="s">
        <v>1230</v>
      </c>
      <c r="E152" s="84"/>
      <c r="F152" s="84">
        <v>30.75</v>
      </c>
      <c r="G152" s="84"/>
      <c r="H152" s="84"/>
      <c r="I152" s="84" t="s">
        <v>522</v>
      </c>
      <c r="J152" s="81"/>
      <c r="K152" s="84"/>
      <c r="L152" s="84"/>
      <c r="M152" s="84">
        <f>F152-F152*17%</f>
        <v>25.522500000000001</v>
      </c>
      <c r="N152" s="84" t="s">
        <v>1227</v>
      </c>
      <c r="O152" s="84" t="s">
        <v>1228</v>
      </c>
      <c r="P152" s="84" t="s">
        <v>1228</v>
      </c>
      <c r="Q152" s="84">
        <v>0</v>
      </c>
      <c r="R152" s="84"/>
      <c r="S152" s="84"/>
      <c r="T152" s="84"/>
      <c r="U152" s="84"/>
      <c r="V152" s="83"/>
      <c r="W152" s="84"/>
      <c r="X152" s="84" t="s">
        <v>1229</v>
      </c>
    </row>
    <row r="153" spans="1:24" s="85" customFormat="1" ht="45" customHeight="1" x14ac:dyDescent="0.3">
      <c r="A153" s="78"/>
      <c r="B153" s="79"/>
      <c r="C153" s="80" t="s">
        <v>809</v>
      </c>
      <c r="D153" s="80" t="s">
        <v>1230</v>
      </c>
      <c r="E153" s="80"/>
      <c r="F153" s="80">
        <v>36</v>
      </c>
      <c r="G153" s="80"/>
      <c r="H153" s="80"/>
      <c r="I153" s="80" t="s">
        <v>522</v>
      </c>
      <c r="J153" s="87"/>
      <c r="K153" s="80"/>
      <c r="L153" s="80"/>
      <c r="M153" s="86">
        <f>F153-F153*17%</f>
        <v>29.88</v>
      </c>
      <c r="N153" s="86" t="s">
        <v>1227</v>
      </c>
      <c r="O153" s="86" t="s">
        <v>1228</v>
      </c>
      <c r="P153" s="86" t="s">
        <v>1228</v>
      </c>
      <c r="Q153" s="80">
        <v>0</v>
      </c>
      <c r="R153" s="80"/>
      <c r="S153" s="80"/>
      <c r="T153" s="80"/>
      <c r="U153" s="80"/>
      <c r="V153" s="79"/>
      <c r="W153" s="80"/>
      <c r="X153" s="80" t="s">
        <v>1229</v>
      </c>
    </row>
    <row r="154" spans="1:24" s="85" customFormat="1" ht="45" customHeight="1" x14ac:dyDescent="0.3">
      <c r="A154" s="82"/>
      <c r="B154" s="83"/>
      <c r="C154" s="84" t="s">
        <v>810</v>
      </c>
      <c r="D154" s="84" t="s">
        <v>1230</v>
      </c>
      <c r="E154" s="84"/>
      <c r="F154" s="84">
        <v>42</v>
      </c>
      <c r="G154" s="84"/>
      <c r="H154" s="84"/>
      <c r="I154" s="84" t="s">
        <v>522</v>
      </c>
      <c r="J154" s="81"/>
      <c r="K154" s="84"/>
      <c r="L154" s="84"/>
      <c r="M154" s="84">
        <f>F154-F154*17%</f>
        <v>34.86</v>
      </c>
      <c r="N154" s="84" t="s">
        <v>1227</v>
      </c>
      <c r="O154" s="84" t="s">
        <v>1228</v>
      </c>
      <c r="P154" s="84" t="s">
        <v>1228</v>
      </c>
      <c r="Q154" s="84">
        <v>0</v>
      </c>
      <c r="R154" s="84"/>
      <c r="S154" s="84"/>
      <c r="T154" s="84"/>
      <c r="U154" s="84"/>
      <c r="V154" s="83"/>
      <c r="W154" s="84"/>
      <c r="X154" s="84" t="s">
        <v>1229</v>
      </c>
    </row>
    <row r="155" spans="1:24" s="85" customFormat="1" ht="45" customHeight="1" x14ac:dyDescent="0.3">
      <c r="A155" s="78"/>
      <c r="B155" s="79"/>
      <c r="C155" s="80" t="s">
        <v>785</v>
      </c>
      <c r="D155" s="80" t="s">
        <v>1230</v>
      </c>
      <c r="E155" s="80"/>
      <c r="F155" s="80">
        <v>60.25</v>
      </c>
      <c r="G155" s="80"/>
      <c r="H155" s="80"/>
      <c r="I155" s="80" t="s">
        <v>522</v>
      </c>
      <c r="J155" s="87"/>
      <c r="K155" s="80"/>
      <c r="L155" s="80"/>
      <c r="M155" s="86">
        <f>F155-F155*17%</f>
        <v>50.0075</v>
      </c>
      <c r="N155" s="86" t="s">
        <v>1227</v>
      </c>
      <c r="O155" s="86" t="s">
        <v>1228</v>
      </c>
      <c r="P155" s="86" t="s">
        <v>1228</v>
      </c>
      <c r="Q155" s="80">
        <v>0</v>
      </c>
      <c r="R155" s="80"/>
      <c r="S155" s="80"/>
      <c r="T155" s="80"/>
      <c r="U155" s="80"/>
      <c r="V155" s="79"/>
      <c r="W155" s="80"/>
      <c r="X155" s="80" t="s">
        <v>1229</v>
      </c>
    </row>
    <row r="156" spans="1:24" s="85" customFormat="1" ht="45" customHeight="1" x14ac:dyDescent="0.3">
      <c r="A156" s="82"/>
      <c r="B156" s="83"/>
      <c r="C156" s="84" t="s">
        <v>786</v>
      </c>
      <c r="D156" s="84" t="s">
        <v>1230</v>
      </c>
      <c r="E156" s="84"/>
      <c r="F156" s="84">
        <v>113.5</v>
      </c>
      <c r="G156" s="84"/>
      <c r="H156" s="84"/>
      <c r="I156" s="84" t="s">
        <v>522</v>
      </c>
      <c r="J156" s="81"/>
      <c r="K156" s="84"/>
      <c r="L156" s="84"/>
      <c r="M156" s="84">
        <f>F156-F156*17%</f>
        <v>94.204999999999998</v>
      </c>
      <c r="N156" s="84" t="s">
        <v>1227</v>
      </c>
      <c r="O156" s="84" t="s">
        <v>1228</v>
      </c>
      <c r="P156" s="84" t="s">
        <v>1228</v>
      </c>
      <c r="Q156" s="84">
        <v>0</v>
      </c>
      <c r="R156" s="84"/>
      <c r="S156" s="84"/>
      <c r="T156" s="84"/>
      <c r="U156" s="84"/>
      <c r="V156" s="83"/>
      <c r="W156" s="84"/>
      <c r="X156" s="84" t="s">
        <v>1229</v>
      </c>
    </row>
    <row r="157" spans="1:24" s="85" customFormat="1" ht="45" customHeight="1" x14ac:dyDescent="0.3">
      <c r="A157" s="78"/>
      <c r="B157" s="79"/>
      <c r="C157" s="80" t="s">
        <v>857</v>
      </c>
      <c r="D157" s="80" t="s">
        <v>1230</v>
      </c>
      <c r="E157" s="80"/>
      <c r="F157" s="80">
        <v>33.75</v>
      </c>
      <c r="G157" s="80"/>
      <c r="H157" s="80"/>
      <c r="I157" s="80" t="s">
        <v>522</v>
      </c>
      <c r="J157" s="87"/>
      <c r="K157" s="80"/>
      <c r="L157" s="80"/>
      <c r="M157" s="86">
        <f>F157-F157*17%</f>
        <v>28.012499999999999</v>
      </c>
      <c r="N157" s="86" t="s">
        <v>1227</v>
      </c>
      <c r="O157" s="86" t="s">
        <v>1228</v>
      </c>
      <c r="P157" s="86" t="s">
        <v>1228</v>
      </c>
      <c r="Q157" s="80">
        <v>0</v>
      </c>
      <c r="R157" s="80"/>
      <c r="S157" s="80"/>
      <c r="T157" s="80"/>
      <c r="U157" s="80"/>
      <c r="V157" s="79"/>
      <c r="W157" s="80"/>
      <c r="X157" s="80" t="s">
        <v>1229</v>
      </c>
    </row>
    <row r="158" spans="1:24" s="85" customFormat="1" ht="45" customHeight="1" x14ac:dyDescent="0.3">
      <c r="A158" s="82"/>
      <c r="B158" s="83"/>
      <c r="C158" s="84" t="s">
        <v>532</v>
      </c>
      <c r="D158" s="84" t="s">
        <v>1230</v>
      </c>
      <c r="E158" s="84"/>
      <c r="F158" s="84">
        <v>33.75</v>
      </c>
      <c r="G158" s="84"/>
      <c r="H158" s="84"/>
      <c r="I158" s="84" t="s">
        <v>522</v>
      </c>
      <c r="J158" s="81"/>
      <c r="K158" s="84"/>
      <c r="L158" s="84"/>
      <c r="M158" s="84">
        <f>F158-F158*17%</f>
        <v>28.012499999999999</v>
      </c>
      <c r="N158" s="84" t="s">
        <v>1227</v>
      </c>
      <c r="O158" s="84" t="s">
        <v>1228</v>
      </c>
      <c r="P158" s="84" t="s">
        <v>1228</v>
      </c>
      <c r="Q158" s="84">
        <v>0</v>
      </c>
      <c r="R158" s="84"/>
      <c r="S158" s="84"/>
      <c r="T158" s="84"/>
      <c r="U158" s="84"/>
      <c r="V158" s="83"/>
      <c r="W158" s="84"/>
      <c r="X158" s="84" t="s">
        <v>1229</v>
      </c>
    </row>
    <row r="159" spans="1:24" s="85" customFormat="1" ht="45" customHeight="1" x14ac:dyDescent="0.3">
      <c r="A159" s="78"/>
      <c r="B159" s="79"/>
      <c r="C159" s="80" t="s">
        <v>811</v>
      </c>
      <c r="D159" s="80" t="s">
        <v>1230</v>
      </c>
      <c r="E159" s="80"/>
      <c r="F159" s="80">
        <v>36.25</v>
      </c>
      <c r="G159" s="80"/>
      <c r="H159" s="80"/>
      <c r="I159" s="80" t="s">
        <v>522</v>
      </c>
      <c r="J159" s="87"/>
      <c r="K159" s="80"/>
      <c r="L159" s="80"/>
      <c r="M159" s="86">
        <f>F159-F159*17%</f>
        <v>30.087499999999999</v>
      </c>
      <c r="N159" s="86" t="s">
        <v>1227</v>
      </c>
      <c r="O159" s="86" t="s">
        <v>1228</v>
      </c>
      <c r="P159" s="86" t="s">
        <v>1228</v>
      </c>
      <c r="Q159" s="80">
        <v>0</v>
      </c>
      <c r="R159" s="80"/>
      <c r="S159" s="80"/>
      <c r="T159" s="80"/>
      <c r="U159" s="80"/>
      <c r="V159" s="79"/>
      <c r="W159" s="80"/>
      <c r="X159" s="80" t="s">
        <v>1229</v>
      </c>
    </row>
    <row r="160" spans="1:24" s="85" customFormat="1" ht="45" customHeight="1" x14ac:dyDescent="0.3">
      <c r="A160" s="82"/>
      <c r="B160" s="83"/>
      <c r="C160" s="84" t="s">
        <v>787</v>
      </c>
      <c r="D160" s="84" t="s">
        <v>1230</v>
      </c>
      <c r="E160" s="84"/>
      <c r="F160" s="84">
        <v>51.5</v>
      </c>
      <c r="G160" s="84"/>
      <c r="H160" s="84"/>
      <c r="I160" s="84" t="s">
        <v>522</v>
      </c>
      <c r="J160" s="81"/>
      <c r="K160" s="84"/>
      <c r="L160" s="84"/>
      <c r="M160" s="84">
        <f>F160-F160*17%</f>
        <v>42.744999999999997</v>
      </c>
      <c r="N160" s="84" t="s">
        <v>1227</v>
      </c>
      <c r="O160" s="84" t="s">
        <v>1228</v>
      </c>
      <c r="P160" s="84" t="s">
        <v>1228</v>
      </c>
      <c r="Q160" s="84">
        <v>0</v>
      </c>
      <c r="R160" s="84"/>
      <c r="S160" s="84"/>
      <c r="T160" s="84"/>
      <c r="U160" s="84"/>
      <c r="V160" s="83"/>
      <c r="W160" s="84"/>
      <c r="X160" s="84" t="s">
        <v>1229</v>
      </c>
    </row>
    <row r="161" spans="1:24" s="85" customFormat="1" ht="45" customHeight="1" x14ac:dyDescent="0.3">
      <c r="A161" s="78"/>
      <c r="B161" s="79"/>
      <c r="C161" s="80" t="s">
        <v>812</v>
      </c>
      <c r="D161" s="80" t="s">
        <v>1230</v>
      </c>
      <c r="E161" s="80"/>
      <c r="F161" s="80">
        <v>60.5</v>
      </c>
      <c r="G161" s="80"/>
      <c r="H161" s="80"/>
      <c r="I161" s="80" t="s">
        <v>522</v>
      </c>
      <c r="J161" s="87"/>
      <c r="K161" s="80"/>
      <c r="L161" s="80"/>
      <c r="M161" s="86">
        <f>F161-F161*17%</f>
        <v>50.215000000000003</v>
      </c>
      <c r="N161" s="86" t="s">
        <v>1227</v>
      </c>
      <c r="O161" s="86" t="s">
        <v>1228</v>
      </c>
      <c r="P161" s="86" t="s">
        <v>1228</v>
      </c>
      <c r="Q161" s="80">
        <v>0</v>
      </c>
      <c r="R161" s="80"/>
      <c r="S161" s="80"/>
      <c r="T161" s="80"/>
      <c r="U161" s="80"/>
      <c r="V161" s="79"/>
      <c r="W161" s="80"/>
      <c r="X161" s="80" t="s">
        <v>1229</v>
      </c>
    </row>
    <row r="162" spans="1:24" s="85" customFormat="1" ht="45" customHeight="1" x14ac:dyDescent="0.3">
      <c r="A162" s="82"/>
      <c r="B162" s="83"/>
      <c r="C162" s="84" t="s">
        <v>813</v>
      </c>
      <c r="D162" s="84" t="s">
        <v>1230</v>
      </c>
      <c r="E162" s="84"/>
      <c r="F162" s="84">
        <v>55.25</v>
      </c>
      <c r="G162" s="84"/>
      <c r="H162" s="84"/>
      <c r="I162" s="84" t="s">
        <v>522</v>
      </c>
      <c r="J162" s="81"/>
      <c r="K162" s="84"/>
      <c r="L162" s="84"/>
      <c r="M162" s="84">
        <f>F162-F162*17%</f>
        <v>45.857500000000002</v>
      </c>
      <c r="N162" s="84" t="s">
        <v>1227</v>
      </c>
      <c r="O162" s="84" t="s">
        <v>1228</v>
      </c>
      <c r="P162" s="84" t="s">
        <v>1228</v>
      </c>
      <c r="Q162" s="84">
        <v>0</v>
      </c>
      <c r="R162" s="84"/>
      <c r="S162" s="84"/>
      <c r="T162" s="84"/>
      <c r="U162" s="84"/>
      <c r="V162" s="83"/>
      <c r="W162" s="84"/>
      <c r="X162" s="84" t="s">
        <v>1229</v>
      </c>
    </row>
    <row r="163" spans="1:24" s="85" customFormat="1" ht="45" customHeight="1" x14ac:dyDescent="0.3">
      <c r="A163" s="78"/>
      <c r="B163" s="79"/>
      <c r="C163" s="80" t="s">
        <v>814</v>
      </c>
      <c r="D163" s="80" t="s">
        <v>1230</v>
      </c>
      <c r="E163" s="80"/>
      <c r="F163" s="80">
        <v>78.75</v>
      </c>
      <c r="G163" s="80"/>
      <c r="H163" s="80"/>
      <c r="I163" s="80" t="s">
        <v>522</v>
      </c>
      <c r="J163" s="87"/>
      <c r="K163" s="80"/>
      <c r="L163" s="80"/>
      <c r="M163" s="86">
        <f>F163-F163*17%</f>
        <v>65.362499999999997</v>
      </c>
      <c r="N163" s="86" t="s">
        <v>1227</v>
      </c>
      <c r="O163" s="86" t="s">
        <v>1228</v>
      </c>
      <c r="P163" s="86" t="s">
        <v>1228</v>
      </c>
      <c r="Q163" s="80">
        <v>0</v>
      </c>
      <c r="R163" s="80"/>
      <c r="S163" s="80"/>
      <c r="T163" s="80"/>
      <c r="U163" s="80"/>
      <c r="V163" s="79"/>
      <c r="W163" s="80"/>
      <c r="X163" s="80" t="s">
        <v>1229</v>
      </c>
    </row>
    <row r="164" spans="1:24" s="85" customFormat="1" ht="45" customHeight="1" x14ac:dyDescent="0.3">
      <c r="A164" s="82"/>
      <c r="B164" s="83"/>
      <c r="C164" s="84" t="s">
        <v>815</v>
      </c>
      <c r="D164" s="84" t="s">
        <v>1230</v>
      </c>
      <c r="E164" s="84"/>
      <c r="F164" s="84">
        <v>89.75</v>
      </c>
      <c r="G164" s="84"/>
      <c r="H164" s="84"/>
      <c r="I164" s="84" t="s">
        <v>522</v>
      </c>
      <c r="J164" s="81"/>
      <c r="K164" s="84"/>
      <c r="L164" s="84"/>
      <c r="M164" s="84">
        <f>F164-F164*17%</f>
        <v>74.492500000000007</v>
      </c>
      <c r="N164" s="84" t="s">
        <v>1227</v>
      </c>
      <c r="O164" s="84" t="s">
        <v>1228</v>
      </c>
      <c r="P164" s="84" t="s">
        <v>1228</v>
      </c>
      <c r="Q164" s="84">
        <v>0</v>
      </c>
      <c r="R164" s="84"/>
      <c r="S164" s="84"/>
      <c r="T164" s="84"/>
      <c r="U164" s="84"/>
      <c r="V164" s="83"/>
      <c r="W164" s="84"/>
      <c r="X164" s="84" t="s">
        <v>1229</v>
      </c>
    </row>
    <row r="165" spans="1:24" s="85" customFormat="1" ht="45" customHeight="1" x14ac:dyDescent="0.3">
      <c r="A165" s="78"/>
      <c r="B165" s="79"/>
      <c r="C165" s="80" t="s">
        <v>788</v>
      </c>
      <c r="D165" s="80" t="s">
        <v>1230</v>
      </c>
      <c r="E165" s="80"/>
      <c r="F165" s="80">
        <v>148.75</v>
      </c>
      <c r="G165" s="80"/>
      <c r="H165" s="80"/>
      <c r="I165" s="80" t="s">
        <v>522</v>
      </c>
      <c r="J165" s="87"/>
      <c r="K165" s="80"/>
      <c r="L165" s="80"/>
      <c r="M165" s="86">
        <f>F165-F165*17%</f>
        <v>123.46250000000001</v>
      </c>
      <c r="N165" s="86" t="s">
        <v>1227</v>
      </c>
      <c r="O165" s="86" t="s">
        <v>1228</v>
      </c>
      <c r="P165" s="86" t="s">
        <v>1228</v>
      </c>
      <c r="Q165" s="80">
        <v>0</v>
      </c>
      <c r="R165" s="80"/>
      <c r="S165" s="80"/>
      <c r="T165" s="80"/>
      <c r="U165" s="80"/>
      <c r="V165" s="79"/>
      <c r="W165" s="80"/>
      <c r="X165" s="80" t="s">
        <v>1229</v>
      </c>
    </row>
    <row r="166" spans="1:24" s="85" customFormat="1" ht="45" customHeight="1" x14ac:dyDescent="0.3">
      <c r="A166" s="82"/>
      <c r="B166" s="83"/>
      <c r="C166" s="84" t="s">
        <v>858</v>
      </c>
      <c r="D166" s="84" t="s">
        <v>1230</v>
      </c>
      <c r="E166" s="84"/>
      <c r="F166" s="84">
        <v>35</v>
      </c>
      <c r="G166" s="84"/>
      <c r="H166" s="84"/>
      <c r="I166" s="84" t="s">
        <v>522</v>
      </c>
      <c r="J166" s="81"/>
      <c r="K166" s="84"/>
      <c r="L166" s="84"/>
      <c r="M166" s="84">
        <f>F166-F166*17%</f>
        <v>29.05</v>
      </c>
      <c r="N166" s="84" t="s">
        <v>1227</v>
      </c>
      <c r="O166" s="84" t="s">
        <v>1228</v>
      </c>
      <c r="P166" s="84" t="s">
        <v>1228</v>
      </c>
      <c r="Q166" s="84">
        <v>0</v>
      </c>
      <c r="R166" s="84"/>
      <c r="S166" s="84"/>
      <c r="T166" s="84"/>
      <c r="U166" s="84"/>
      <c r="V166" s="83"/>
      <c r="W166" s="84"/>
      <c r="X166" s="84" t="s">
        <v>1229</v>
      </c>
    </row>
    <row r="167" spans="1:24" s="85" customFormat="1" ht="45" customHeight="1" x14ac:dyDescent="0.3">
      <c r="A167" s="78"/>
      <c r="B167" s="79"/>
      <c r="C167" s="80" t="s">
        <v>859</v>
      </c>
      <c r="D167" s="80" t="s">
        <v>1230</v>
      </c>
      <c r="E167" s="80"/>
      <c r="F167" s="80">
        <v>43.25</v>
      </c>
      <c r="G167" s="80"/>
      <c r="H167" s="80"/>
      <c r="I167" s="80" t="s">
        <v>522</v>
      </c>
      <c r="J167" s="87"/>
      <c r="K167" s="80"/>
      <c r="L167" s="80"/>
      <c r="M167" s="86">
        <f>F167-F167*17%</f>
        <v>35.897500000000001</v>
      </c>
      <c r="N167" s="86" t="s">
        <v>1227</v>
      </c>
      <c r="O167" s="86" t="s">
        <v>1228</v>
      </c>
      <c r="P167" s="86" t="s">
        <v>1228</v>
      </c>
      <c r="Q167" s="80">
        <v>0</v>
      </c>
      <c r="R167" s="80"/>
      <c r="S167" s="80"/>
      <c r="T167" s="80"/>
      <c r="U167" s="80"/>
      <c r="V167" s="79"/>
      <c r="W167" s="80"/>
      <c r="X167" s="80" t="s">
        <v>1229</v>
      </c>
    </row>
    <row r="168" spans="1:24" s="85" customFormat="1" ht="45" customHeight="1" x14ac:dyDescent="0.3">
      <c r="A168" s="82"/>
      <c r="B168" s="83"/>
      <c r="C168" s="84" t="s">
        <v>860</v>
      </c>
      <c r="D168" s="84" t="s">
        <v>1230</v>
      </c>
      <c r="E168" s="84"/>
      <c r="F168" s="84">
        <v>63.25</v>
      </c>
      <c r="G168" s="84"/>
      <c r="H168" s="84"/>
      <c r="I168" s="84" t="s">
        <v>522</v>
      </c>
      <c r="J168" s="81"/>
      <c r="K168" s="84"/>
      <c r="L168" s="84"/>
      <c r="M168" s="84">
        <f>F168-F168*17%</f>
        <v>52.497500000000002</v>
      </c>
      <c r="N168" s="84" t="s">
        <v>1227</v>
      </c>
      <c r="O168" s="84" t="s">
        <v>1228</v>
      </c>
      <c r="P168" s="84" t="s">
        <v>1228</v>
      </c>
      <c r="Q168" s="84">
        <v>0</v>
      </c>
      <c r="R168" s="84"/>
      <c r="S168" s="84"/>
      <c r="T168" s="84"/>
      <c r="U168" s="84"/>
      <c r="V168" s="83"/>
      <c r="W168" s="84"/>
      <c r="X168" s="84" t="s">
        <v>1229</v>
      </c>
    </row>
    <row r="169" spans="1:24" s="85" customFormat="1" ht="45" customHeight="1" x14ac:dyDescent="0.3">
      <c r="A169" s="78"/>
      <c r="B169" s="79"/>
      <c r="C169" s="80" t="s">
        <v>861</v>
      </c>
      <c r="D169" s="80" t="s">
        <v>1230</v>
      </c>
      <c r="E169" s="80"/>
      <c r="F169" s="80">
        <v>65.5</v>
      </c>
      <c r="G169" s="80"/>
      <c r="H169" s="80"/>
      <c r="I169" s="80" t="s">
        <v>522</v>
      </c>
      <c r="J169" s="87"/>
      <c r="K169" s="80"/>
      <c r="L169" s="80"/>
      <c r="M169" s="86">
        <f>F169-F169*17%</f>
        <v>54.364999999999995</v>
      </c>
      <c r="N169" s="86" t="s">
        <v>1227</v>
      </c>
      <c r="O169" s="86" t="s">
        <v>1228</v>
      </c>
      <c r="P169" s="86" t="s">
        <v>1228</v>
      </c>
      <c r="Q169" s="80">
        <v>0</v>
      </c>
      <c r="R169" s="80"/>
      <c r="S169" s="80"/>
      <c r="T169" s="80"/>
      <c r="U169" s="80"/>
      <c r="V169" s="79"/>
      <c r="W169" s="80"/>
      <c r="X169" s="80" t="s">
        <v>1229</v>
      </c>
    </row>
    <row r="170" spans="1:24" s="85" customFormat="1" ht="45" customHeight="1" x14ac:dyDescent="0.3">
      <c r="A170" s="82"/>
      <c r="B170" s="83"/>
      <c r="C170" s="84" t="s">
        <v>862</v>
      </c>
      <c r="D170" s="84" t="s">
        <v>1230</v>
      </c>
      <c r="E170" s="84"/>
      <c r="F170" s="84">
        <v>97.25</v>
      </c>
      <c r="G170" s="84"/>
      <c r="H170" s="84"/>
      <c r="I170" s="84" t="s">
        <v>522</v>
      </c>
      <c r="J170" s="81"/>
      <c r="K170" s="84"/>
      <c r="L170" s="84"/>
      <c r="M170" s="84">
        <f>F170-F170*17%</f>
        <v>80.717500000000001</v>
      </c>
      <c r="N170" s="84" t="s">
        <v>1227</v>
      </c>
      <c r="O170" s="84" t="s">
        <v>1228</v>
      </c>
      <c r="P170" s="84" t="s">
        <v>1228</v>
      </c>
      <c r="Q170" s="84">
        <v>0</v>
      </c>
      <c r="R170" s="84"/>
      <c r="S170" s="84"/>
      <c r="T170" s="84"/>
      <c r="U170" s="84"/>
      <c r="V170" s="83"/>
      <c r="W170" s="84"/>
      <c r="X170" s="84" t="s">
        <v>1229</v>
      </c>
    </row>
    <row r="171" spans="1:24" s="85" customFormat="1" ht="45" customHeight="1" x14ac:dyDescent="0.3">
      <c r="A171" s="78"/>
      <c r="B171" s="79"/>
      <c r="C171" s="80" t="s">
        <v>863</v>
      </c>
      <c r="D171" s="80" t="s">
        <v>1230</v>
      </c>
      <c r="E171" s="80"/>
      <c r="F171" s="80">
        <v>145.75</v>
      </c>
      <c r="G171" s="80"/>
      <c r="H171" s="80"/>
      <c r="I171" s="80" t="s">
        <v>522</v>
      </c>
      <c r="J171" s="87"/>
      <c r="K171" s="80"/>
      <c r="L171" s="80"/>
      <c r="M171" s="86">
        <f>F171-F171*17%</f>
        <v>120.9725</v>
      </c>
      <c r="N171" s="86" t="s">
        <v>1227</v>
      </c>
      <c r="O171" s="86" t="s">
        <v>1228</v>
      </c>
      <c r="P171" s="86" t="s">
        <v>1228</v>
      </c>
      <c r="Q171" s="80">
        <v>0</v>
      </c>
      <c r="R171" s="80"/>
      <c r="S171" s="80"/>
      <c r="T171" s="80"/>
      <c r="U171" s="80"/>
      <c r="V171" s="79"/>
      <c r="W171" s="80"/>
      <c r="X171" s="80" t="s">
        <v>1229</v>
      </c>
    </row>
    <row r="172" spans="1:24" s="85" customFormat="1" ht="45" customHeight="1" x14ac:dyDescent="0.3">
      <c r="A172" s="82"/>
      <c r="B172" s="83"/>
      <c r="C172" s="84" t="s">
        <v>789</v>
      </c>
      <c r="D172" s="84" t="s">
        <v>1230</v>
      </c>
      <c r="E172" s="84"/>
      <c r="F172" s="84">
        <v>245.75</v>
      </c>
      <c r="G172" s="84"/>
      <c r="H172" s="84"/>
      <c r="I172" s="84" t="s">
        <v>522</v>
      </c>
      <c r="J172" s="81"/>
      <c r="K172" s="84"/>
      <c r="L172" s="84"/>
      <c r="M172" s="84">
        <f>F172-F172*17%</f>
        <v>203.9725</v>
      </c>
      <c r="N172" s="84" t="s">
        <v>1227</v>
      </c>
      <c r="O172" s="84" t="s">
        <v>1228</v>
      </c>
      <c r="P172" s="84" t="s">
        <v>1228</v>
      </c>
      <c r="Q172" s="84">
        <v>0</v>
      </c>
      <c r="R172" s="84"/>
      <c r="S172" s="84"/>
      <c r="T172" s="84"/>
      <c r="U172" s="84"/>
      <c r="V172" s="83"/>
      <c r="W172" s="84"/>
      <c r="X172" s="84" t="s">
        <v>1229</v>
      </c>
    </row>
    <row r="173" spans="1:24" s="85" customFormat="1" ht="45" customHeight="1" x14ac:dyDescent="0.3">
      <c r="A173" s="78"/>
      <c r="B173" s="79"/>
      <c r="C173" s="80" t="s">
        <v>864</v>
      </c>
      <c r="D173" s="80" t="s">
        <v>1230</v>
      </c>
      <c r="E173" s="80"/>
      <c r="F173" s="80">
        <v>1882.25</v>
      </c>
      <c r="G173" s="80"/>
      <c r="H173" s="80"/>
      <c r="I173" s="80" t="s">
        <v>522</v>
      </c>
      <c r="J173" s="87"/>
      <c r="K173" s="80"/>
      <c r="L173" s="80"/>
      <c r="M173" s="86">
        <f>F173-F173*17%</f>
        <v>1562.2674999999999</v>
      </c>
      <c r="N173" s="86" t="s">
        <v>1227</v>
      </c>
      <c r="O173" s="86" t="s">
        <v>1228</v>
      </c>
      <c r="P173" s="86" t="s">
        <v>1228</v>
      </c>
      <c r="Q173" s="80">
        <v>0</v>
      </c>
      <c r="R173" s="80"/>
      <c r="S173" s="80"/>
      <c r="T173" s="80"/>
      <c r="U173" s="80"/>
      <c r="V173" s="79"/>
      <c r="W173" s="80"/>
      <c r="X173" s="80" t="s">
        <v>1229</v>
      </c>
    </row>
    <row r="174" spans="1:24" s="85" customFormat="1" ht="45" customHeight="1" x14ac:dyDescent="0.3">
      <c r="A174" s="82"/>
      <c r="B174" s="83"/>
      <c r="C174" s="84" t="s">
        <v>865</v>
      </c>
      <c r="D174" s="84" t="s">
        <v>1230</v>
      </c>
      <c r="E174" s="84"/>
      <c r="F174" s="84">
        <v>2295.25</v>
      </c>
      <c r="G174" s="84"/>
      <c r="H174" s="84"/>
      <c r="I174" s="84" t="s">
        <v>522</v>
      </c>
      <c r="J174" s="81"/>
      <c r="K174" s="84"/>
      <c r="L174" s="84"/>
      <c r="M174" s="84">
        <f>F174-F174*17%</f>
        <v>1905.0574999999999</v>
      </c>
      <c r="N174" s="84" t="s">
        <v>1227</v>
      </c>
      <c r="O174" s="84" t="s">
        <v>1228</v>
      </c>
      <c r="P174" s="84" t="s">
        <v>1228</v>
      </c>
      <c r="Q174" s="84">
        <v>0</v>
      </c>
      <c r="R174" s="84"/>
      <c r="S174" s="84"/>
      <c r="T174" s="84"/>
      <c r="U174" s="84"/>
      <c r="V174" s="83"/>
      <c r="W174" s="84"/>
      <c r="X174" s="84" t="s">
        <v>1229</v>
      </c>
    </row>
    <row r="175" spans="1:24" s="85" customFormat="1" ht="45" customHeight="1" x14ac:dyDescent="0.3">
      <c r="A175" s="78"/>
      <c r="B175" s="79"/>
      <c r="C175" s="80" t="s">
        <v>866</v>
      </c>
      <c r="D175" s="80" t="s">
        <v>1230</v>
      </c>
      <c r="E175" s="80"/>
      <c r="F175" s="80">
        <v>1156</v>
      </c>
      <c r="G175" s="80"/>
      <c r="H175" s="80"/>
      <c r="I175" s="80" t="s">
        <v>522</v>
      </c>
      <c r="J175" s="87"/>
      <c r="K175" s="80"/>
      <c r="L175" s="80"/>
      <c r="M175" s="86">
        <f>F175-F175*17%</f>
        <v>959.48</v>
      </c>
      <c r="N175" s="86" t="s">
        <v>1227</v>
      </c>
      <c r="O175" s="86" t="s">
        <v>1228</v>
      </c>
      <c r="P175" s="86" t="s">
        <v>1228</v>
      </c>
      <c r="Q175" s="80">
        <v>0</v>
      </c>
      <c r="R175" s="80"/>
      <c r="S175" s="80"/>
      <c r="T175" s="80"/>
      <c r="U175" s="80"/>
      <c r="V175" s="79"/>
      <c r="W175" s="80"/>
      <c r="X175" s="80" t="s">
        <v>1229</v>
      </c>
    </row>
    <row r="176" spans="1:24" s="85" customFormat="1" ht="45" customHeight="1" x14ac:dyDescent="0.3">
      <c r="A176" s="82"/>
      <c r="B176" s="83"/>
      <c r="C176" s="84" t="s">
        <v>867</v>
      </c>
      <c r="D176" s="84" t="s">
        <v>1230</v>
      </c>
      <c r="E176" s="84"/>
      <c r="F176" s="84">
        <v>294.5</v>
      </c>
      <c r="G176" s="84"/>
      <c r="H176" s="84"/>
      <c r="I176" s="84" t="s">
        <v>522</v>
      </c>
      <c r="J176" s="81"/>
      <c r="K176" s="84"/>
      <c r="L176" s="84"/>
      <c r="M176" s="84">
        <f>F176-F176*17%</f>
        <v>244.435</v>
      </c>
      <c r="N176" s="84" t="s">
        <v>1227</v>
      </c>
      <c r="O176" s="84" t="s">
        <v>1228</v>
      </c>
      <c r="P176" s="84" t="s">
        <v>1228</v>
      </c>
      <c r="Q176" s="84">
        <v>0</v>
      </c>
      <c r="R176" s="84"/>
      <c r="S176" s="84"/>
      <c r="T176" s="84"/>
      <c r="U176" s="84"/>
      <c r="V176" s="83"/>
      <c r="W176" s="84"/>
      <c r="X176" s="84" t="s">
        <v>1229</v>
      </c>
    </row>
    <row r="177" spans="1:24" s="85" customFormat="1" ht="45" customHeight="1" x14ac:dyDescent="0.3">
      <c r="A177" s="78"/>
      <c r="B177" s="79"/>
      <c r="C177" s="80" t="s">
        <v>868</v>
      </c>
      <c r="D177" s="80" t="s">
        <v>1230</v>
      </c>
      <c r="E177" s="80"/>
      <c r="F177" s="80">
        <v>336</v>
      </c>
      <c r="G177" s="80"/>
      <c r="H177" s="80"/>
      <c r="I177" s="80" t="s">
        <v>522</v>
      </c>
      <c r="J177" s="87"/>
      <c r="K177" s="80"/>
      <c r="L177" s="80"/>
      <c r="M177" s="86">
        <f>F177-F177*17%</f>
        <v>278.88</v>
      </c>
      <c r="N177" s="86" t="s">
        <v>1227</v>
      </c>
      <c r="O177" s="86" t="s">
        <v>1228</v>
      </c>
      <c r="P177" s="86" t="s">
        <v>1228</v>
      </c>
      <c r="Q177" s="80">
        <v>0</v>
      </c>
      <c r="R177" s="80"/>
      <c r="S177" s="80"/>
      <c r="T177" s="80"/>
      <c r="U177" s="80"/>
      <c r="V177" s="79"/>
      <c r="W177" s="80"/>
      <c r="X177" s="80" t="s">
        <v>1229</v>
      </c>
    </row>
    <row r="178" spans="1:24" s="85" customFormat="1" ht="45" customHeight="1" x14ac:dyDescent="0.3">
      <c r="A178" s="82"/>
      <c r="B178" s="83"/>
      <c r="C178" s="84" t="s">
        <v>869</v>
      </c>
      <c r="D178" s="84" t="s">
        <v>1230</v>
      </c>
      <c r="E178" s="84"/>
      <c r="F178" s="84">
        <v>56.5</v>
      </c>
      <c r="G178" s="84"/>
      <c r="H178" s="84"/>
      <c r="I178" s="84" t="s">
        <v>523</v>
      </c>
      <c r="J178" s="81"/>
      <c r="K178" s="84"/>
      <c r="L178" s="84"/>
      <c r="M178" s="84">
        <f>F178-F178*17%</f>
        <v>46.894999999999996</v>
      </c>
      <c r="N178" s="84" t="s">
        <v>1227</v>
      </c>
      <c r="O178" s="84" t="s">
        <v>1228</v>
      </c>
      <c r="P178" s="84" t="s">
        <v>1228</v>
      </c>
      <c r="Q178" s="84">
        <v>0</v>
      </c>
      <c r="R178" s="84"/>
      <c r="S178" s="84"/>
      <c r="T178" s="84"/>
      <c r="U178" s="84"/>
      <c r="V178" s="83"/>
      <c r="W178" s="84"/>
      <c r="X178" s="84" t="s">
        <v>1229</v>
      </c>
    </row>
    <row r="179" spans="1:24" s="85" customFormat="1" ht="45" customHeight="1" x14ac:dyDescent="0.3">
      <c r="A179" s="78"/>
      <c r="B179" s="79"/>
      <c r="C179" s="80" t="s">
        <v>870</v>
      </c>
      <c r="D179" s="80" t="s">
        <v>1230</v>
      </c>
      <c r="E179" s="80"/>
      <c r="F179" s="80">
        <v>39.25</v>
      </c>
      <c r="G179" s="80"/>
      <c r="H179" s="80"/>
      <c r="I179" s="80" t="s">
        <v>523</v>
      </c>
      <c r="J179" s="87"/>
      <c r="K179" s="80"/>
      <c r="L179" s="80"/>
      <c r="M179" s="86">
        <f>F179-F179*17%</f>
        <v>32.577500000000001</v>
      </c>
      <c r="N179" s="86" t="s">
        <v>1227</v>
      </c>
      <c r="O179" s="86" t="s">
        <v>1228</v>
      </c>
      <c r="P179" s="86" t="s">
        <v>1228</v>
      </c>
      <c r="Q179" s="80">
        <v>0</v>
      </c>
      <c r="R179" s="80"/>
      <c r="S179" s="80"/>
      <c r="T179" s="80"/>
      <c r="U179" s="80"/>
      <c r="V179" s="79"/>
      <c r="W179" s="80"/>
      <c r="X179" s="80" t="s">
        <v>1229</v>
      </c>
    </row>
    <row r="180" spans="1:24" s="85" customFormat="1" ht="45" customHeight="1" x14ac:dyDescent="0.3">
      <c r="A180" s="82"/>
      <c r="B180" s="83"/>
      <c r="C180" s="84" t="s">
        <v>745</v>
      </c>
      <c r="D180" s="84" t="s">
        <v>1230</v>
      </c>
      <c r="E180" s="84"/>
      <c r="F180" s="84">
        <v>35.75</v>
      </c>
      <c r="G180" s="84"/>
      <c r="H180" s="84"/>
      <c r="I180" s="84" t="s">
        <v>523</v>
      </c>
      <c r="J180" s="81"/>
      <c r="K180" s="84"/>
      <c r="L180" s="84"/>
      <c r="M180" s="84">
        <f>F180-F180*17%</f>
        <v>29.672499999999999</v>
      </c>
      <c r="N180" s="84" t="s">
        <v>1227</v>
      </c>
      <c r="O180" s="84" t="s">
        <v>1228</v>
      </c>
      <c r="P180" s="84" t="s">
        <v>1228</v>
      </c>
      <c r="Q180" s="84">
        <v>0</v>
      </c>
      <c r="R180" s="84"/>
      <c r="S180" s="84"/>
      <c r="T180" s="84"/>
      <c r="U180" s="84"/>
      <c r="V180" s="83"/>
      <c r="W180" s="84"/>
      <c r="X180" s="84" t="s">
        <v>1229</v>
      </c>
    </row>
    <row r="181" spans="1:24" s="85" customFormat="1" ht="45" customHeight="1" x14ac:dyDescent="0.3">
      <c r="A181" s="78"/>
      <c r="B181" s="79"/>
      <c r="C181" s="80" t="s">
        <v>746</v>
      </c>
      <c r="D181" s="80" t="s">
        <v>1230</v>
      </c>
      <c r="E181" s="80"/>
      <c r="F181" s="80">
        <v>96.5</v>
      </c>
      <c r="G181" s="80"/>
      <c r="H181" s="80"/>
      <c r="I181" s="80" t="s">
        <v>523</v>
      </c>
      <c r="J181" s="87"/>
      <c r="K181" s="80"/>
      <c r="L181" s="80"/>
      <c r="M181" s="86">
        <f>F181-F181*17%</f>
        <v>80.094999999999999</v>
      </c>
      <c r="N181" s="86" t="s">
        <v>1227</v>
      </c>
      <c r="O181" s="86" t="s">
        <v>1228</v>
      </c>
      <c r="P181" s="86" t="s">
        <v>1228</v>
      </c>
      <c r="Q181" s="80">
        <v>0</v>
      </c>
      <c r="R181" s="80"/>
      <c r="S181" s="80"/>
      <c r="T181" s="80"/>
      <c r="U181" s="80"/>
      <c r="V181" s="79"/>
      <c r="W181" s="80"/>
      <c r="X181" s="80" t="s">
        <v>1229</v>
      </c>
    </row>
    <row r="182" spans="1:24" s="85" customFormat="1" ht="45" customHeight="1" x14ac:dyDescent="0.3">
      <c r="A182" s="82"/>
      <c r="B182" s="83"/>
      <c r="C182" s="84" t="s">
        <v>747</v>
      </c>
      <c r="D182" s="84" t="s">
        <v>1230</v>
      </c>
      <c r="E182" s="84"/>
      <c r="F182" s="84">
        <v>131.5</v>
      </c>
      <c r="G182" s="84"/>
      <c r="H182" s="84"/>
      <c r="I182" s="84" t="s">
        <v>523</v>
      </c>
      <c r="J182" s="81"/>
      <c r="K182" s="84"/>
      <c r="L182" s="84"/>
      <c r="M182" s="84">
        <f>F182-F182*17%</f>
        <v>109.145</v>
      </c>
      <c r="N182" s="84" t="s">
        <v>1227</v>
      </c>
      <c r="O182" s="84" t="s">
        <v>1228</v>
      </c>
      <c r="P182" s="84" t="s">
        <v>1228</v>
      </c>
      <c r="Q182" s="84">
        <v>0</v>
      </c>
      <c r="R182" s="84"/>
      <c r="S182" s="84"/>
      <c r="T182" s="84"/>
      <c r="U182" s="84"/>
      <c r="V182" s="83"/>
      <c r="W182" s="84"/>
      <c r="X182" s="84" t="s">
        <v>1229</v>
      </c>
    </row>
    <row r="183" spans="1:24" s="85" customFormat="1" ht="45" customHeight="1" x14ac:dyDescent="0.3">
      <c r="A183" s="78"/>
      <c r="B183" s="79"/>
      <c r="C183" s="80" t="s">
        <v>790</v>
      </c>
      <c r="D183" s="80" t="s">
        <v>1230</v>
      </c>
      <c r="E183" s="80"/>
      <c r="F183" s="80">
        <v>268.25</v>
      </c>
      <c r="G183" s="80"/>
      <c r="H183" s="80"/>
      <c r="I183" s="80" t="s">
        <v>523</v>
      </c>
      <c r="J183" s="87"/>
      <c r="K183" s="80"/>
      <c r="L183" s="80"/>
      <c r="M183" s="86">
        <f>F183-F183*17%</f>
        <v>222.64749999999998</v>
      </c>
      <c r="N183" s="86" t="s">
        <v>1227</v>
      </c>
      <c r="O183" s="86" t="s">
        <v>1228</v>
      </c>
      <c r="P183" s="86" t="s">
        <v>1228</v>
      </c>
      <c r="Q183" s="80">
        <v>0</v>
      </c>
      <c r="R183" s="80"/>
      <c r="S183" s="80"/>
      <c r="T183" s="80"/>
      <c r="U183" s="80"/>
      <c r="V183" s="79"/>
      <c r="W183" s="80"/>
      <c r="X183" s="80" t="s">
        <v>1229</v>
      </c>
    </row>
    <row r="184" spans="1:24" s="85" customFormat="1" ht="45" customHeight="1" x14ac:dyDescent="0.3">
      <c r="A184" s="82"/>
      <c r="B184" s="83"/>
      <c r="C184" s="84" t="s">
        <v>535</v>
      </c>
      <c r="D184" s="84" t="s">
        <v>1230</v>
      </c>
      <c r="E184" s="84"/>
      <c r="F184" s="84">
        <v>15.75</v>
      </c>
      <c r="G184" s="84"/>
      <c r="H184" s="84"/>
      <c r="I184" s="84" t="s">
        <v>523</v>
      </c>
      <c r="J184" s="81"/>
      <c r="K184" s="84"/>
      <c r="L184" s="84"/>
      <c r="M184" s="84">
        <f>F184-F184*17%</f>
        <v>13.0725</v>
      </c>
      <c r="N184" s="84" t="s">
        <v>1227</v>
      </c>
      <c r="O184" s="84" t="s">
        <v>1228</v>
      </c>
      <c r="P184" s="84" t="s">
        <v>1228</v>
      </c>
      <c r="Q184" s="84">
        <v>0</v>
      </c>
      <c r="R184" s="84"/>
      <c r="S184" s="84"/>
      <c r="T184" s="84"/>
      <c r="U184" s="84"/>
      <c r="V184" s="83"/>
      <c r="W184" s="84"/>
      <c r="X184" s="84" t="s">
        <v>1229</v>
      </c>
    </row>
    <row r="185" spans="1:24" s="85" customFormat="1" ht="45" customHeight="1" x14ac:dyDescent="0.3">
      <c r="A185" s="78"/>
      <c r="B185" s="79"/>
      <c r="C185" s="80" t="s">
        <v>871</v>
      </c>
      <c r="D185" s="80" t="s">
        <v>1230</v>
      </c>
      <c r="E185" s="80"/>
      <c r="F185" s="80">
        <v>18.75</v>
      </c>
      <c r="G185" s="80"/>
      <c r="H185" s="80"/>
      <c r="I185" s="80" t="s">
        <v>523</v>
      </c>
      <c r="J185" s="87"/>
      <c r="K185" s="80"/>
      <c r="L185" s="80"/>
      <c r="M185" s="86">
        <f>F185-F185*17%</f>
        <v>15.5625</v>
      </c>
      <c r="N185" s="86" t="s">
        <v>1227</v>
      </c>
      <c r="O185" s="86" t="s">
        <v>1228</v>
      </c>
      <c r="P185" s="86" t="s">
        <v>1228</v>
      </c>
      <c r="Q185" s="80">
        <v>0</v>
      </c>
      <c r="R185" s="80"/>
      <c r="S185" s="80"/>
      <c r="T185" s="80"/>
      <c r="U185" s="80"/>
      <c r="V185" s="79"/>
      <c r="W185" s="80"/>
      <c r="X185" s="80" t="s">
        <v>1229</v>
      </c>
    </row>
    <row r="186" spans="1:24" s="85" customFormat="1" ht="45" customHeight="1" x14ac:dyDescent="0.3">
      <c r="A186" s="82"/>
      <c r="B186" s="83"/>
      <c r="C186" s="84" t="s">
        <v>872</v>
      </c>
      <c r="D186" s="84" t="s">
        <v>1230</v>
      </c>
      <c r="E186" s="84"/>
      <c r="F186" s="84">
        <v>18.25</v>
      </c>
      <c r="G186" s="84"/>
      <c r="H186" s="84"/>
      <c r="I186" s="84" t="s">
        <v>523</v>
      </c>
      <c r="J186" s="81"/>
      <c r="K186" s="84"/>
      <c r="L186" s="84"/>
      <c r="M186" s="84">
        <f>F186-F186*17%</f>
        <v>15.147500000000001</v>
      </c>
      <c r="N186" s="84" t="s">
        <v>1227</v>
      </c>
      <c r="O186" s="84" t="s">
        <v>1228</v>
      </c>
      <c r="P186" s="84" t="s">
        <v>1228</v>
      </c>
      <c r="Q186" s="84">
        <v>0</v>
      </c>
      <c r="R186" s="84"/>
      <c r="S186" s="84"/>
      <c r="T186" s="84"/>
      <c r="U186" s="84"/>
      <c r="V186" s="83"/>
      <c r="W186" s="84"/>
      <c r="X186" s="84" t="s">
        <v>1229</v>
      </c>
    </row>
    <row r="187" spans="1:24" s="85" customFormat="1" ht="45" customHeight="1" x14ac:dyDescent="0.3">
      <c r="A187" s="78"/>
      <c r="B187" s="79"/>
      <c r="C187" s="80" t="s">
        <v>873</v>
      </c>
      <c r="D187" s="80" t="s">
        <v>1230</v>
      </c>
      <c r="E187" s="80"/>
      <c r="F187" s="80">
        <v>34.25</v>
      </c>
      <c r="G187" s="80"/>
      <c r="H187" s="80"/>
      <c r="I187" s="80" t="s">
        <v>523</v>
      </c>
      <c r="J187" s="87"/>
      <c r="K187" s="80"/>
      <c r="L187" s="80"/>
      <c r="M187" s="86">
        <f>F187-F187*17%</f>
        <v>28.427499999999998</v>
      </c>
      <c r="N187" s="86" t="s">
        <v>1227</v>
      </c>
      <c r="O187" s="86" t="s">
        <v>1228</v>
      </c>
      <c r="P187" s="86" t="s">
        <v>1228</v>
      </c>
      <c r="Q187" s="80">
        <v>0</v>
      </c>
      <c r="R187" s="80"/>
      <c r="S187" s="80"/>
      <c r="T187" s="80"/>
      <c r="U187" s="80"/>
      <c r="V187" s="79"/>
      <c r="W187" s="80"/>
      <c r="X187" s="80" t="s">
        <v>1229</v>
      </c>
    </row>
    <row r="188" spans="1:24" s="85" customFormat="1" ht="45" customHeight="1" x14ac:dyDescent="0.3">
      <c r="A188" s="82"/>
      <c r="B188" s="83"/>
      <c r="C188" s="84" t="s">
        <v>874</v>
      </c>
      <c r="D188" s="84" t="s">
        <v>1230</v>
      </c>
      <c r="E188" s="84"/>
      <c r="F188" s="84">
        <v>51.25</v>
      </c>
      <c r="G188" s="84"/>
      <c r="H188" s="84"/>
      <c r="I188" s="84" t="s">
        <v>523</v>
      </c>
      <c r="J188" s="81"/>
      <c r="K188" s="84"/>
      <c r="L188" s="84"/>
      <c r="M188" s="84">
        <f>F188-F188*17%</f>
        <v>42.537500000000001</v>
      </c>
      <c r="N188" s="84" t="s">
        <v>1227</v>
      </c>
      <c r="O188" s="84" t="s">
        <v>1228</v>
      </c>
      <c r="P188" s="84" t="s">
        <v>1228</v>
      </c>
      <c r="Q188" s="84">
        <v>0</v>
      </c>
      <c r="R188" s="84"/>
      <c r="S188" s="84"/>
      <c r="T188" s="84"/>
      <c r="U188" s="84"/>
      <c r="V188" s="83"/>
      <c r="W188" s="84"/>
      <c r="X188" s="84" t="s">
        <v>1229</v>
      </c>
    </row>
    <row r="189" spans="1:24" s="85" customFormat="1" ht="45" customHeight="1" x14ac:dyDescent="0.3">
      <c r="A189" s="78"/>
      <c r="B189" s="79"/>
      <c r="C189" s="80" t="s">
        <v>875</v>
      </c>
      <c r="D189" s="80" t="s">
        <v>1230</v>
      </c>
      <c r="E189" s="80"/>
      <c r="F189" s="80">
        <v>52.5</v>
      </c>
      <c r="G189" s="80"/>
      <c r="H189" s="80"/>
      <c r="I189" s="80" t="s">
        <v>523</v>
      </c>
      <c r="J189" s="87"/>
      <c r="K189" s="80"/>
      <c r="L189" s="80"/>
      <c r="M189" s="86">
        <f>F189-F189*17%</f>
        <v>43.575000000000003</v>
      </c>
      <c r="N189" s="86" t="s">
        <v>1227</v>
      </c>
      <c r="O189" s="86" t="s">
        <v>1228</v>
      </c>
      <c r="P189" s="86" t="s">
        <v>1228</v>
      </c>
      <c r="Q189" s="80">
        <v>0</v>
      </c>
      <c r="R189" s="80"/>
      <c r="S189" s="80"/>
      <c r="T189" s="80"/>
      <c r="U189" s="80"/>
      <c r="V189" s="79"/>
      <c r="W189" s="80"/>
      <c r="X189" s="80" t="s">
        <v>1229</v>
      </c>
    </row>
    <row r="190" spans="1:24" s="85" customFormat="1" ht="45" customHeight="1" x14ac:dyDescent="0.3">
      <c r="A190" s="82"/>
      <c r="B190" s="83"/>
      <c r="C190" s="84" t="s">
        <v>876</v>
      </c>
      <c r="D190" s="84" t="s">
        <v>1230</v>
      </c>
      <c r="E190" s="84"/>
      <c r="F190" s="84">
        <v>75.5</v>
      </c>
      <c r="G190" s="84"/>
      <c r="H190" s="84"/>
      <c r="I190" s="84" t="s">
        <v>523</v>
      </c>
      <c r="J190" s="81"/>
      <c r="K190" s="84"/>
      <c r="L190" s="84"/>
      <c r="M190" s="84">
        <f>F190-F190*17%</f>
        <v>62.664999999999999</v>
      </c>
      <c r="N190" s="84" t="s">
        <v>1227</v>
      </c>
      <c r="O190" s="84" t="s">
        <v>1228</v>
      </c>
      <c r="P190" s="84" t="s">
        <v>1228</v>
      </c>
      <c r="Q190" s="84">
        <v>0</v>
      </c>
      <c r="R190" s="84"/>
      <c r="S190" s="84"/>
      <c r="T190" s="84"/>
      <c r="U190" s="84"/>
      <c r="V190" s="83"/>
      <c r="W190" s="84"/>
      <c r="X190" s="84" t="s">
        <v>1229</v>
      </c>
    </row>
    <row r="191" spans="1:24" s="85" customFormat="1" ht="45" customHeight="1" x14ac:dyDescent="0.3">
      <c r="A191" s="78"/>
      <c r="B191" s="79"/>
      <c r="C191" s="80" t="s">
        <v>979</v>
      </c>
      <c r="D191" s="80" t="s">
        <v>1230</v>
      </c>
      <c r="E191" s="80"/>
      <c r="F191" s="80">
        <v>104</v>
      </c>
      <c r="G191" s="80"/>
      <c r="H191" s="80"/>
      <c r="I191" s="80" t="s">
        <v>523</v>
      </c>
      <c r="J191" s="87"/>
      <c r="K191" s="80"/>
      <c r="L191" s="80"/>
      <c r="M191" s="86">
        <f>F191-F191*17%</f>
        <v>86.32</v>
      </c>
      <c r="N191" s="86" t="s">
        <v>1227</v>
      </c>
      <c r="O191" s="86" t="s">
        <v>1228</v>
      </c>
      <c r="P191" s="86" t="s">
        <v>1228</v>
      </c>
      <c r="Q191" s="80">
        <v>0</v>
      </c>
      <c r="R191" s="80"/>
      <c r="S191" s="80"/>
      <c r="T191" s="80"/>
      <c r="U191" s="80"/>
      <c r="V191" s="79"/>
      <c r="W191" s="80"/>
      <c r="X191" s="80" t="s">
        <v>1229</v>
      </c>
    </row>
    <row r="192" spans="1:24" s="85" customFormat="1" ht="45" customHeight="1" x14ac:dyDescent="0.3">
      <c r="A192" s="82"/>
      <c r="B192" s="83"/>
      <c r="C192" s="84" t="s">
        <v>877</v>
      </c>
      <c r="D192" s="84" t="s">
        <v>1230</v>
      </c>
      <c r="E192" s="84"/>
      <c r="F192" s="84">
        <v>129</v>
      </c>
      <c r="G192" s="84"/>
      <c r="H192" s="84"/>
      <c r="I192" s="84" t="s">
        <v>523</v>
      </c>
      <c r="J192" s="81"/>
      <c r="K192" s="84"/>
      <c r="L192" s="84"/>
      <c r="M192" s="84">
        <f>F192-F192*17%</f>
        <v>107.07</v>
      </c>
      <c r="N192" s="84" t="s">
        <v>1227</v>
      </c>
      <c r="O192" s="84" t="s">
        <v>1228</v>
      </c>
      <c r="P192" s="84" t="s">
        <v>1228</v>
      </c>
      <c r="Q192" s="84">
        <v>0</v>
      </c>
      <c r="R192" s="84"/>
      <c r="S192" s="84"/>
      <c r="T192" s="84"/>
      <c r="U192" s="84"/>
      <c r="V192" s="83"/>
      <c r="W192" s="84"/>
      <c r="X192" s="84" t="s">
        <v>1229</v>
      </c>
    </row>
    <row r="193" spans="1:24" s="85" customFormat="1" ht="45" customHeight="1" x14ac:dyDescent="0.3">
      <c r="A193" s="78"/>
      <c r="B193" s="79"/>
      <c r="C193" s="80" t="s">
        <v>878</v>
      </c>
      <c r="D193" s="80" t="s">
        <v>1230</v>
      </c>
      <c r="E193" s="80"/>
      <c r="F193" s="80">
        <v>310.75</v>
      </c>
      <c r="G193" s="80"/>
      <c r="H193" s="80"/>
      <c r="I193" s="80" t="s">
        <v>523</v>
      </c>
      <c r="J193" s="87"/>
      <c r="K193" s="80"/>
      <c r="L193" s="80"/>
      <c r="M193" s="86">
        <f>F193-F193*17%</f>
        <v>257.92250000000001</v>
      </c>
      <c r="N193" s="86" t="s">
        <v>1227</v>
      </c>
      <c r="O193" s="86" t="s">
        <v>1228</v>
      </c>
      <c r="P193" s="86" t="s">
        <v>1228</v>
      </c>
      <c r="Q193" s="80">
        <v>0</v>
      </c>
      <c r="R193" s="80"/>
      <c r="S193" s="80"/>
      <c r="T193" s="80"/>
      <c r="U193" s="80"/>
      <c r="V193" s="79"/>
      <c r="W193" s="80"/>
      <c r="X193" s="80" t="s">
        <v>1229</v>
      </c>
    </row>
    <row r="194" spans="1:24" s="85" customFormat="1" ht="45" customHeight="1" x14ac:dyDescent="0.3">
      <c r="A194" s="82"/>
      <c r="B194" s="83"/>
      <c r="C194" s="84" t="s">
        <v>536</v>
      </c>
      <c r="D194" s="84" t="s">
        <v>1230</v>
      </c>
      <c r="E194" s="84"/>
      <c r="F194" s="84">
        <v>15.25</v>
      </c>
      <c r="G194" s="84"/>
      <c r="H194" s="84"/>
      <c r="I194" s="84" t="s">
        <v>523</v>
      </c>
      <c r="J194" s="81"/>
      <c r="K194" s="84"/>
      <c r="L194" s="84"/>
      <c r="M194" s="84">
        <f>F194-F194*17%</f>
        <v>12.657499999999999</v>
      </c>
      <c r="N194" s="84" t="s">
        <v>1227</v>
      </c>
      <c r="O194" s="84" t="s">
        <v>1228</v>
      </c>
      <c r="P194" s="84" t="s">
        <v>1228</v>
      </c>
      <c r="Q194" s="84">
        <v>0</v>
      </c>
      <c r="R194" s="84"/>
      <c r="S194" s="84"/>
      <c r="T194" s="84"/>
      <c r="U194" s="84"/>
      <c r="V194" s="83"/>
      <c r="W194" s="84"/>
      <c r="X194" s="84" t="s">
        <v>1229</v>
      </c>
    </row>
    <row r="195" spans="1:24" s="85" customFormat="1" ht="45" customHeight="1" x14ac:dyDescent="0.3">
      <c r="A195" s="78"/>
      <c r="B195" s="79"/>
      <c r="C195" s="80" t="s">
        <v>980</v>
      </c>
      <c r="D195" s="80" t="s">
        <v>1230</v>
      </c>
      <c r="E195" s="80"/>
      <c r="F195" s="80">
        <v>18.25</v>
      </c>
      <c r="G195" s="80"/>
      <c r="H195" s="80"/>
      <c r="I195" s="80" t="s">
        <v>523</v>
      </c>
      <c r="J195" s="87"/>
      <c r="K195" s="80"/>
      <c r="L195" s="80"/>
      <c r="M195" s="86">
        <f>F195-F195*17%</f>
        <v>15.147500000000001</v>
      </c>
      <c r="N195" s="86" t="s">
        <v>1227</v>
      </c>
      <c r="O195" s="86" t="s">
        <v>1228</v>
      </c>
      <c r="P195" s="86" t="s">
        <v>1228</v>
      </c>
      <c r="Q195" s="80">
        <v>0</v>
      </c>
      <c r="R195" s="80"/>
      <c r="S195" s="80"/>
      <c r="T195" s="80"/>
      <c r="U195" s="80"/>
      <c r="V195" s="79"/>
      <c r="W195" s="80"/>
      <c r="X195" s="80" t="s">
        <v>1229</v>
      </c>
    </row>
    <row r="196" spans="1:24" s="85" customFormat="1" ht="45" customHeight="1" x14ac:dyDescent="0.3">
      <c r="A196" s="82"/>
      <c r="B196" s="83"/>
      <c r="C196" s="84" t="s">
        <v>981</v>
      </c>
      <c r="D196" s="84" t="s">
        <v>1230</v>
      </c>
      <c r="E196" s="84"/>
      <c r="F196" s="84">
        <v>18.75</v>
      </c>
      <c r="G196" s="84"/>
      <c r="H196" s="84"/>
      <c r="I196" s="84" t="s">
        <v>523</v>
      </c>
      <c r="J196" s="81"/>
      <c r="K196" s="84"/>
      <c r="L196" s="84"/>
      <c r="M196" s="84">
        <f>F196-F196*17%</f>
        <v>15.5625</v>
      </c>
      <c r="N196" s="84" t="s">
        <v>1227</v>
      </c>
      <c r="O196" s="84" t="s">
        <v>1228</v>
      </c>
      <c r="P196" s="84" t="s">
        <v>1228</v>
      </c>
      <c r="Q196" s="84">
        <v>0</v>
      </c>
      <c r="R196" s="84"/>
      <c r="S196" s="84"/>
      <c r="T196" s="84"/>
      <c r="U196" s="84"/>
      <c r="V196" s="83"/>
      <c r="W196" s="84"/>
      <c r="X196" s="84" t="s">
        <v>1229</v>
      </c>
    </row>
    <row r="197" spans="1:24" s="85" customFormat="1" ht="45" customHeight="1" x14ac:dyDescent="0.3">
      <c r="A197" s="78"/>
      <c r="B197" s="79"/>
      <c r="C197" s="80" t="s">
        <v>982</v>
      </c>
      <c r="D197" s="80" t="s">
        <v>1230</v>
      </c>
      <c r="E197" s="80"/>
      <c r="F197" s="80">
        <v>28.5</v>
      </c>
      <c r="G197" s="80"/>
      <c r="H197" s="80"/>
      <c r="I197" s="80" t="s">
        <v>523</v>
      </c>
      <c r="J197" s="87"/>
      <c r="K197" s="80"/>
      <c r="L197" s="80"/>
      <c r="M197" s="86">
        <f>F197-F197*17%</f>
        <v>23.655000000000001</v>
      </c>
      <c r="N197" s="86" t="s">
        <v>1227</v>
      </c>
      <c r="O197" s="86" t="s">
        <v>1228</v>
      </c>
      <c r="P197" s="86" t="s">
        <v>1228</v>
      </c>
      <c r="Q197" s="80">
        <v>0</v>
      </c>
      <c r="R197" s="80"/>
      <c r="S197" s="80"/>
      <c r="T197" s="80"/>
      <c r="U197" s="80"/>
      <c r="V197" s="79"/>
      <c r="W197" s="80"/>
      <c r="X197" s="80" t="s">
        <v>1229</v>
      </c>
    </row>
    <row r="198" spans="1:24" s="85" customFormat="1" ht="45" customHeight="1" x14ac:dyDescent="0.3">
      <c r="A198" s="82"/>
      <c r="B198" s="83"/>
      <c r="C198" s="84" t="s">
        <v>983</v>
      </c>
      <c r="D198" s="84" t="s">
        <v>1230</v>
      </c>
      <c r="E198" s="84"/>
      <c r="F198" s="84">
        <v>45.75</v>
      </c>
      <c r="G198" s="84"/>
      <c r="H198" s="84"/>
      <c r="I198" s="84" t="s">
        <v>523</v>
      </c>
      <c r="J198" s="81"/>
      <c r="K198" s="84"/>
      <c r="L198" s="84"/>
      <c r="M198" s="84">
        <f>F198-F198*17%</f>
        <v>37.972499999999997</v>
      </c>
      <c r="N198" s="84" t="s">
        <v>1227</v>
      </c>
      <c r="O198" s="84" t="s">
        <v>1228</v>
      </c>
      <c r="P198" s="84" t="s">
        <v>1228</v>
      </c>
      <c r="Q198" s="84">
        <v>0</v>
      </c>
      <c r="R198" s="84"/>
      <c r="S198" s="84"/>
      <c r="T198" s="84"/>
      <c r="U198" s="84"/>
      <c r="V198" s="83"/>
      <c r="W198" s="84"/>
      <c r="X198" s="84" t="s">
        <v>1229</v>
      </c>
    </row>
    <row r="199" spans="1:24" s="85" customFormat="1" ht="45" customHeight="1" x14ac:dyDescent="0.3">
      <c r="A199" s="78"/>
      <c r="B199" s="79"/>
      <c r="C199" s="80" t="s">
        <v>984</v>
      </c>
      <c r="D199" s="80" t="s">
        <v>1230</v>
      </c>
      <c r="E199" s="80"/>
      <c r="F199" s="80">
        <v>79.75</v>
      </c>
      <c r="G199" s="80"/>
      <c r="H199" s="80"/>
      <c r="I199" s="80" t="s">
        <v>523</v>
      </c>
      <c r="J199" s="87"/>
      <c r="K199" s="80"/>
      <c r="L199" s="80"/>
      <c r="M199" s="86">
        <f>F199-F199*17%</f>
        <v>66.192499999999995</v>
      </c>
      <c r="N199" s="86" t="s">
        <v>1227</v>
      </c>
      <c r="O199" s="86" t="s">
        <v>1228</v>
      </c>
      <c r="P199" s="86" t="s">
        <v>1228</v>
      </c>
      <c r="Q199" s="80">
        <v>0</v>
      </c>
      <c r="R199" s="80"/>
      <c r="S199" s="80"/>
      <c r="T199" s="80"/>
      <c r="U199" s="80"/>
      <c r="V199" s="79"/>
      <c r="W199" s="80"/>
      <c r="X199" s="80" t="s">
        <v>1229</v>
      </c>
    </row>
    <row r="200" spans="1:24" s="85" customFormat="1" ht="45" customHeight="1" x14ac:dyDescent="0.3">
      <c r="A200" s="82"/>
      <c r="B200" s="83"/>
      <c r="C200" s="84" t="s">
        <v>985</v>
      </c>
      <c r="D200" s="84" t="s">
        <v>1230</v>
      </c>
      <c r="E200" s="84"/>
      <c r="F200" s="84">
        <v>150.5</v>
      </c>
      <c r="G200" s="84"/>
      <c r="H200" s="84"/>
      <c r="I200" s="84" t="s">
        <v>523</v>
      </c>
      <c r="J200" s="81"/>
      <c r="K200" s="84"/>
      <c r="L200" s="84"/>
      <c r="M200" s="84">
        <f>F200-F200*17%</f>
        <v>124.91499999999999</v>
      </c>
      <c r="N200" s="84" t="s">
        <v>1227</v>
      </c>
      <c r="O200" s="84" t="s">
        <v>1228</v>
      </c>
      <c r="P200" s="84" t="s">
        <v>1228</v>
      </c>
      <c r="Q200" s="84">
        <v>0</v>
      </c>
      <c r="R200" s="84"/>
      <c r="S200" s="84"/>
      <c r="T200" s="84"/>
      <c r="U200" s="84"/>
      <c r="V200" s="83"/>
      <c r="W200" s="84"/>
      <c r="X200" s="84" t="s">
        <v>1229</v>
      </c>
    </row>
    <row r="201" spans="1:24" s="85" customFormat="1" ht="45" customHeight="1" x14ac:dyDescent="0.3">
      <c r="A201" s="78"/>
      <c r="B201" s="79"/>
      <c r="C201" s="80" t="s">
        <v>986</v>
      </c>
      <c r="D201" s="80" t="s">
        <v>1230</v>
      </c>
      <c r="E201" s="80"/>
      <c r="F201" s="80">
        <v>377.75</v>
      </c>
      <c r="G201" s="80"/>
      <c r="H201" s="80"/>
      <c r="I201" s="80" t="s">
        <v>523</v>
      </c>
      <c r="J201" s="87"/>
      <c r="K201" s="80"/>
      <c r="L201" s="80"/>
      <c r="M201" s="86">
        <f>F201-F201*17%</f>
        <v>313.53250000000003</v>
      </c>
      <c r="N201" s="86" t="s">
        <v>1227</v>
      </c>
      <c r="O201" s="86" t="s">
        <v>1228</v>
      </c>
      <c r="P201" s="86" t="s">
        <v>1228</v>
      </c>
      <c r="Q201" s="80">
        <v>0</v>
      </c>
      <c r="R201" s="80"/>
      <c r="S201" s="80"/>
      <c r="T201" s="80"/>
      <c r="U201" s="80"/>
      <c r="V201" s="79"/>
      <c r="W201" s="80"/>
      <c r="X201" s="80" t="s">
        <v>1229</v>
      </c>
    </row>
    <row r="202" spans="1:24" s="85" customFormat="1" ht="45" customHeight="1" x14ac:dyDescent="0.3">
      <c r="A202" s="82"/>
      <c r="B202" s="83"/>
      <c r="C202" s="84" t="s">
        <v>791</v>
      </c>
      <c r="D202" s="84" t="s">
        <v>1230</v>
      </c>
      <c r="E202" s="84"/>
      <c r="F202" s="84">
        <v>84.75</v>
      </c>
      <c r="G202" s="84"/>
      <c r="H202" s="84"/>
      <c r="I202" s="84" t="s">
        <v>523</v>
      </c>
      <c r="J202" s="81"/>
      <c r="K202" s="84"/>
      <c r="L202" s="84"/>
      <c r="M202" s="84">
        <f>F202-F202*17%</f>
        <v>70.342500000000001</v>
      </c>
      <c r="N202" s="84" t="s">
        <v>1227</v>
      </c>
      <c r="O202" s="84" t="s">
        <v>1228</v>
      </c>
      <c r="P202" s="84" t="s">
        <v>1228</v>
      </c>
      <c r="Q202" s="84">
        <v>0</v>
      </c>
      <c r="R202" s="84"/>
      <c r="S202" s="84"/>
      <c r="T202" s="84"/>
      <c r="U202" s="84"/>
      <c r="V202" s="83"/>
      <c r="W202" s="84"/>
      <c r="X202" s="84" t="s">
        <v>1229</v>
      </c>
    </row>
    <row r="203" spans="1:24" s="85" customFormat="1" ht="45" customHeight="1" x14ac:dyDescent="0.3">
      <c r="A203" s="78"/>
      <c r="B203" s="79"/>
      <c r="C203" s="80" t="s">
        <v>792</v>
      </c>
      <c r="D203" s="80" t="s">
        <v>1230</v>
      </c>
      <c r="E203" s="80"/>
      <c r="F203" s="80">
        <v>120.25</v>
      </c>
      <c r="G203" s="80"/>
      <c r="H203" s="80"/>
      <c r="I203" s="80" t="s">
        <v>523</v>
      </c>
      <c r="J203" s="87"/>
      <c r="K203" s="80"/>
      <c r="L203" s="80"/>
      <c r="M203" s="86">
        <f>F203-F203*17%</f>
        <v>99.807500000000005</v>
      </c>
      <c r="N203" s="86" t="s">
        <v>1227</v>
      </c>
      <c r="O203" s="86" t="s">
        <v>1228</v>
      </c>
      <c r="P203" s="86" t="s">
        <v>1228</v>
      </c>
      <c r="Q203" s="80">
        <v>0</v>
      </c>
      <c r="R203" s="80"/>
      <c r="S203" s="80"/>
      <c r="T203" s="80"/>
      <c r="U203" s="80"/>
      <c r="V203" s="79"/>
      <c r="W203" s="80"/>
      <c r="X203" s="80" t="s">
        <v>1229</v>
      </c>
    </row>
    <row r="204" spans="1:24" s="85" customFormat="1" ht="45" customHeight="1" x14ac:dyDescent="0.3">
      <c r="A204" s="82"/>
      <c r="B204" s="83"/>
      <c r="C204" s="84" t="s">
        <v>793</v>
      </c>
      <c r="D204" s="84" t="s">
        <v>1230</v>
      </c>
      <c r="E204" s="84"/>
      <c r="F204" s="84">
        <v>222.75</v>
      </c>
      <c r="G204" s="84"/>
      <c r="H204" s="84"/>
      <c r="I204" s="84" t="s">
        <v>523</v>
      </c>
      <c r="J204" s="81"/>
      <c r="K204" s="84"/>
      <c r="L204" s="84"/>
      <c r="M204" s="84">
        <f>F204-F204*17%</f>
        <v>184.88249999999999</v>
      </c>
      <c r="N204" s="84" t="s">
        <v>1227</v>
      </c>
      <c r="O204" s="84" t="s">
        <v>1228</v>
      </c>
      <c r="P204" s="84" t="s">
        <v>1228</v>
      </c>
      <c r="Q204" s="84">
        <v>0</v>
      </c>
      <c r="R204" s="84"/>
      <c r="S204" s="84"/>
      <c r="T204" s="84"/>
      <c r="U204" s="84"/>
      <c r="V204" s="83"/>
      <c r="W204" s="84"/>
      <c r="X204" s="84" t="s">
        <v>1229</v>
      </c>
    </row>
    <row r="205" spans="1:24" s="85" customFormat="1" ht="45" customHeight="1" x14ac:dyDescent="0.3">
      <c r="A205" s="78"/>
      <c r="B205" s="79"/>
      <c r="C205" s="80" t="s">
        <v>537</v>
      </c>
      <c r="D205" s="80" t="s">
        <v>1230</v>
      </c>
      <c r="E205" s="80"/>
      <c r="F205" s="80">
        <v>24.75</v>
      </c>
      <c r="G205" s="80"/>
      <c r="H205" s="80"/>
      <c r="I205" s="80" t="s">
        <v>523</v>
      </c>
      <c r="J205" s="87"/>
      <c r="K205" s="80"/>
      <c r="L205" s="80"/>
      <c r="M205" s="86">
        <f>F205-F205*17%</f>
        <v>20.5425</v>
      </c>
      <c r="N205" s="86" t="s">
        <v>1227</v>
      </c>
      <c r="O205" s="86" t="s">
        <v>1228</v>
      </c>
      <c r="P205" s="86" t="s">
        <v>1228</v>
      </c>
      <c r="Q205" s="80">
        <v>0</v>
      </c>
      <c r="R205" s="80"/>
      <c r="S205" s="80"/>
      <c r="T205" s="80"/>
      <c r="U205" s="80"/>
      <c r="V205" s="79"/>
      <c r="W205" s="80"/>
      <c r="X205" s="80" t="s">
        <v>1229</v>
      </c>
    </row>
    <row r="206" spans="1:24" s="85" customFormat="1" ht="45" customHeight="1" x14ac:dyDescent="0.3">
      <c r="A206" s="82"/>
      <c r="B206" s="83"/>
      <c r="C206" s="84" t="s">
        <v>879</v>
      </c>
      <c r="D206" s="84" t="s">
        <v>1230</v>
      </c>
      <c r="E206" s="84"/>
      <c r="F206" s="84">
        <v>31</v>
      </c>
      <c r="G206" s="84"/>
      <c r="H206" s="84"/>
      <c r="I206" s="84" t="s">
        <v>523</v>
      </c>
      <c r="J206" s="81"/>
      <c r="K206" s="84"/>
      <c r="L206" s="84"/>
      <c r="M206" s="84">
        <f>F206-F206*17%</f>
        <v>25.73</v>
      </c>
      <c r="N206" s="84" t="s">
        <v>1227</v>
      </c>
      <c r="O206" s="84" t="s">
        <v>1228</v>
      </c>
      <c r="P206" s="84" t="s">
        <v>1228</v>
      </c>
      <c r="Q206" s="84">
        <v>0</v>
      </c>
      <c r="R206" s="84"/>
      <c r="S206" s="84"/>
      <c r="T206" s="84"/>
      <c r="U206" s="84"/>
      <c r="V206" s="83"/>
      <c r="W206" s="84"/>
      <c r="X206" s="84" t="s">
        <v>1229</v>
      </c>
    </row>
    <row r="207" spans="1:24" s="85" customFormat="1" ht="45" customHeight="1" x14ac:dyDescent="0.3">
      <c r="A207" s="78"/>
      <c r="B207" s="79"/>
      <c r="C207" s="80" t="s">
        <v>880</v>
      </c>
      <c r="D207" s="80" t="s">
        <v>1230</v>
      </c>
      <c r="E207" s="80"/>
      <c r="F207" s="80">
        <v>30.25</v>
      </c>
      <c r="G207" s="80"/>
      <c r="H207" s="80"/>
      <c r="I207" s="80" t="s">
        <v>523</v>
      </c>
      <c r="J207" s="87"/>
      <c r="K207" s="80"/>
      <c r="L207" s="80"/>
      <c r="M207" s="86">
        <f>F207-F207*17%</f>
        <v>25.107500000000002</v>
      </c>
      <c r="N207" s="86" t="s">
        <v>1227</v>
      </c>
      <c r="O207" s="86" t="s">
        <v>1228</v>
      </c>
      <c r="P207" s="86" t="s">
        <v>1228</v>
      </c>
      <c r="Q207" s="80">
        <v>0</v>
      </c>
      <c r="R207" s="80"/>
      <c r="S207" s="80"/>
      <c r="T207" s="80"/>
      <c r="U207" s="80"/>
      <c r="V207" s="79"/>
      <c r="W207" s="80"/>
      <c r="X207" s="80" t="s">
        <v>1229</v>
      </c>
    </row>
    <row r="208" spans="1:24" s="85" customFormat="1" ht="45" customHeight="1" x14ac:dyDescent="0.3">
      <c r="A208" s="82"/>
      <c r="B208" s="83"/>
      <c r="C208" s="84" t="s">
        <v>881</v>
      </c>
      <c r="D208" s="84" t="s">
        <v>1230</v>
      </c>
      <c r="E208" s="84"/>
      <c r="F208" s="84">
        <v>69</v>
      </c>
      <c r="G208" s="84"/>
      <c r="H208" s="84"/>
      <c r="I208" s="84" t="s">
        <v>523</v>
      </c>
      <c r="J208" s="81"/>
      <c r="K208" s="84"/>
      <c r="L208" s="84"/>
      <c r="M208" s="84">
        <f>F208-F208*17%</f>
        <v>57.269999999999996</v>
      </c>
      <c r="N208" s="84" t="s">
        <v>1227</v>
      </c>
      <c r="O208" s="84" t="s">
        <v>1228</v>
      </c>
      <c r="P208" s="84" t="s">
        <v>1228</v>
      </c>
      <c r="Q208" s="84">
        <v>0</v>
      </c>
      <c r="R208" s="84"/>
      <c r="S208" s="84"/>
      <c r="T208" s="84"/>
      <c r="U208" s="84"/>
      <c r="V208" s="83"/>
      <c r="W208" s="84"/>
      <c r="X208" s="84" t="s">
        <v>1229</v>
      </c>
    </row>
    <row r="209" spans="1:24" s="85" customFormat="1" ht="45" customHeight="1" x14ac:dyDescent="0.3">
      <c r="A209" s="78"/>
      <c r="B209" s="79"/>
      <c r="C209" s="80" t="s">
        <v>882</v>
      </c>
      <c r="D209" s="80" t="s">
        <v>1230</v>
      </c>
      <c r="E209" s="80"/>
      <c r="F209" s="80">
        <v>86.75</v>
      </c>
      <c r="G209" s="80"/>
      <c r="H209" s="80"/>
      <c r="I209" s="80" t="s">
        <v>523</v>
      </c>
      <c r="J209" s="87"/>
      <c r="K209" s="80"/>
      <c r="L209" s="80"/>
      <c r="M209" s="86">
        <f>F209-F209*17%</f>
        <v>72.002499999999998</v>
      </c>
      <c r="N209" s="86" t="s">
        <v>1227</v>
      </c>
      <c r="O209" s="86" t="s">
        <v>1228</v>
      </c>
      <c r="P209" s="86" t="s">
        <v>1228</v>
      </c>
      <c r="Q209" s="80">
        <v>0</v>
      </c>
      <c r="R209" s="80"/>
      <c r="S209" s="80"/>
      <c r="T209" s="80"/>
      <c r="U209" s="80"/>
      <c r="V209" s="79"/>
      <c r="W209" s="80"/>
      <c r="X209" s="80" t="s">
        <v>1229</v>
      </c>
    </row>
    <row r="210" spans="1:24" s="85" customFormat="1" ht="45" customHeight="1" x14ac:dyDescent="0.3">
      <c r="A210" s="82"/>
      <c r="B210" s="83"/>
      <c r="C210" s="84" t="s">
        <v>883</v>
      </c>
      <c r="D210" s="84" t="s">
        <v>1230</v>
      </c>
      <c r="E210" s="84"/>
      <c r="F210" s="84">
        <v>93.5</v>
      </c>
      <c r="G210" s="84"/>
      <c r="H210" s="84"/>
      <c r="I210" s="84" t="s">
        <v>523</v>
      </c>
      <c r="J210" s="81"/>
      <c r="K210" s="84"/>
      <c r="L210" s="84"/>
      <c r="M210" s="84">
        <f>F210-F210*17%</f>
        <v>77.605000000000004</v>
      </c>
      <c r="N210" s="84" t="s">
        <v>1227</v>
      </c>
      <c r="O210" s="84" t="s">
        <v>1228</v>
      </c>
      <c r="P210" s="84" t="s">
        <v>1228</v>
      </c>
      <c r="Q210" s="84">
        <v>0</v>
      </c>
      <c r="R210" s="84"/>
      <c r="S210" s="84"/>
      <c r="T210" s="84"/>
      <c r="U210" s="84"/>
      <c r="V210" s="83"/>
      <c r="W210" s="84"/>
      <c r="X210" s="84" t="s">
        <v>1229</v>
      </c>
    </row>
    <row r="211" spans="1:24" s="85" customFormat="1" ht="45" customHeight="1" x14ac:dyDescent="0.3">
      <c r="A211" s="78"/>
      <c r="B211" s="79"/>
      <c r="C211" s="80" t="s">
        <v>884</v>
      </c>
      <c r="D211" s="80" t="s">
        <v>1230</v>
      </c>
      <c r="E211" s="80"/>
      <c r="F211" s="80">
        <v>154.5</v>
      </c>
      <c r="G211" s="80"/>
      <c r="H211" s="80"/>
      <c r="I211" s="80" t="s">
        <v>523</v>
      </c>
      <c r="J211" s="87"/>
      <c r="K211" s="80"/>
      <c r="L211" s="80"/>
      <c r="M211" s="86">
        <f>F211-F211*17%</f>
        <v>128.23500000000001</v>
      </c>
      <c r="N211" s="86" t="s">
        <v>1227</v>
      </c>
      <c r="O211" s="86" t="s">
        <v>1228</v>
      </c>
      <c r="P211" s="86" t="s">
        <v>1228</v>
      </c>
      <c r="Q211" s="80">
        <v>0</v>
      </c>
      <c r="R211" s="80"/>
      <c r="S211" s="80"/>
      <c r="T211" s="80"/>
      <c r="U211" s="80"/>
      <c r="V211" s="79"/>
      <c r="W211" s="80"/>
      <c r="X211" s="80" t="s">
        <v>1229</v>
      </c>
    </row>
    <row r="212" spans="1:24" s="85" customFormat="1" ht="45" customHeight="1" x14ac:dyDescent="0.3">
      <c r="A212" s="82"/>
      <c r="B212" s="83"/>
      <c r="C212" s="84" t="s">
        <v>987</v>
      </c>
      <c r="D212" s="84" t="s">
        <v>1230</v>
      </c>
      <c r="E212" s="84"/>
      <c r="F212" s="84">
        <v>175.75</v>
      </c>
      <c r="G212" s="84"/>
      <c r="H212" s="84"/>
      <c r="I212" s="84" t="s">
        <v>523</v>
      </c>
      <c r="J212" s="81"/>
      <c r="K212" s="84"/>
      <c r="L212" s="84"/>
      <c r="M212" s="84">
        <f>F212-F212*17%</f>
        <v>145.8725</v>
      </c>
      <c r="N212" s="84" t="s">
        <v>1227</v>
      </c>
      <c r="O212" s="84" t="s">
        <v>1228</v>
      </c>
      <c r="P212" s="84" t="s">
        <v>1228</v>
      </c>
      <c r="Q212" s="84">
        <v>0</v>
      </c>
      <c r="R212" s="84"/>
      <c r="S212" s="84"/>
      <c r="T212" s="84"/>
      <c r="U212" s="84"/>
      <c r="V212" s="83"/>
      <c r="W212" s="84"/>
      <c r="X212" s="84" t="s">
        <v>1229</v>
      </c>
    </row>
    <row r="213" spans="1:24" s="85" customFormat="1" ht="45" customHeight="1" x14ac:dyDescent="0.3">
      <c r="A213" s="78"/>
      <c r="B213" s="79"/>
      <c r="C213" s="80" t="s">
        <v>885</v>
      </c>
      <c r="D213" s="80" t="s">
        <v>1230</v>
      </c>
      <c r="E213" s="80"/>
      <c r="F213" s="80">
        <v>268.5</v>
      </c>
      <c r="G213" s="80"/>
      <c r="H213" s="80"/>
      <c r="I213" s="80" t="s">
        <v>523</v>
      </c>
      <c r="J213" s="87"/>
      <c r="K213" s="80"/>
      <c r="L213" s="80"/>
      <c r="M213" s="86">
        <f>F213-F213*17%</f>
        <v>222.85499999999999</v>
      </c>
      <c r="N213" s="86" t="s">
        <v>1227</v>
      </c>
      <c r="O213" s="86" t="s">
        <v>1228</v>
      </c>
      <c r="P213" s="86" t="s">
        <v>1228</v>
      </c>
      <c r="Q213" s="80">
        <v>0</v>
      </c>
      <c r="R213" s="80"/>
      <c r="S213" s="80"/>
      <c r="T213" s="80"/>
      <c r="U213" s="80"/>
      <c r="V213" s="79"/>
      <c r="W213" s="80"/>
      <c r="X213" s="80" t="s">
        <v>1229</v>
      </c>
    </row>
    <row r="214" spans="1:24" s="85" customFormat="1" ht="45" customHeight="1" x14ac:dyDescent="0.3">
      <c r="A214" s="82"/>
      <c r="B214" s="83"/>
      <c r="C214" s="84" t="s">
        <v>886</v>
      </c>
      <c r="D214" s="84" t="s">
        <v>1230</v>
      </c>
      <c r="E214" s="84"/>
      <c r="F214" s="84">
        <v>812.75</v>
      </c>
      <c r="G214" s="84"/>
      <c r="H214" s="84"/>
      <c r="I214" s="84" t="s">
        <v>523</v>
      </c>
      <c r="J214" s="81"/>
      <c r="K214" s="84"/>
      <c r="L214" s="84"/>
      <c r="M214" s="84">
        <f>F214-F214*17%</f>
        <v>674.58249999999998</v>
      </c>
      <c r="N214" s="84" t="s">
        <v>1227</v>
      </c>
      <c r="O214" s="84" t="s">
        <v>1228</v>
      </c>
      <c r="P214" s="84" t="s">
        <v>1228</v>
      </c>
      <c r="Q214" s="84">
        <v>0</v>
      </c>
      <c r="R214" s="84"/>
      <c r="S214" s="84"/>
      <c r="T214" s="84"/>
      <c r="U214" s="84"/>
      <c r="V214" s="83"/>
      <c r="W214" s="84"/>
      <c r="X214" s="84" t="s">
        <v>1229</v>
      </c>
    </row>
    <row r="215" spans="1:24" s="85" customFormat="1" ht="45" customHeight="1" x14ac:dyDescent="0.3">
      <c r="A215" s="78"/>
      <c r="B215" s="79"/>
      <c r="C215" s="80" t="s">
        <v>538</v>
      </c>
      <c r="D215" s="80" t="s">
        <v>1230</v>
      </c>
      <c r="E215" s="80"/>
      <c r="F215" s="80">
        <v>21</v>
      </c>
      <c r="G215" s="80"/>
      <c r="H215" s="80"/>
      <c r="I215" s="80" t="s">
        <v>523</v>
      </c>
      <c r="J215" s="87"/>
      <c r="K215" s="80"/>
      <c r="L215" s="80"/>
      <c r="M215" s="86">
        <f>F215-F215*17%</f>
        <v>17.43</v>
      </c>
      <c r="N215" s="86" t="s">
        <v>1227</v>
      </c>
      <c r="O215" s="86" t="s">
        <v>1228</v>
      </c>
      <c r="P215" s="86" t="s">
        <v>1228</v>
      </c>
      <c r="Q215" s="80">
        <v>0</v>
      </c>
      <c r="R215" s="80"/>
      <c r="S215" s="80"/>
      <c r="T215" s="80"/>
      <c r="U215" s="80"/>
      <c r="V215" s="79"/>
      <c r="W215" s="80"/>
      <c r="X215" s="80" t="s">
        <v>1229</v>
      </c>
    </row>
    <row r="216" spans="1:24" s="85" customFormat="1" ht="45" customHeight="1" x14ac:dyDescent="0.3">
      <c r="A216" s="82"/>
      <c r="B216" s="83"/>
      <c r="C216" s="84" t="s">
        <v>988</v>
      </c>
      <c r="D216" s="84" t="s">
        <v>1230</v>
      </c>
      <c r="E216" s="84"/>
      <c r="F216" s="84">
        <v>27.75</v>
      </c>
      <c r="G216" s="84"/>
      <c r="H216" s="84"/>
      <c r="I216" s="84" t="s">
        <v>523</v>
      </c>
      <c r="J216" s="81"/>
      <c r="K216" s="84"/>
      <c r="L216" s="84"/>
      <c r="M216" s="84">
        <f>F216-F216*17%</f>
        <v>23.032499999999999</v>
      </c>
      <c r="N216" s="84" t="s">
        <v>1227</v>
      </c>
      <c r="O216" s="84" t="s">
        <v>1228</v>
      </c>
      <c r="P216" s="84" t="s">
        <v>1228</v>
      </c>
      <c r="Q216" s="84">
        <v>0</v>
      </c>
      <c r="R216" s="84"/>
      <c r="S216" s="84"/>
      <c r="T216" s="84"/>
      <c r="U216" s="84"/>
      <c r="V216" s="83"/>
      <c r="W216" s="84"/>
      <c r="X216" s="84" t="s">
        <v>1229</v>
      </c>
    </row>
    <row r="217" spans="1:24" s="85" customFormat="1" ht="45" customHeight="1" x14ac:dyDescent="0.3">
      <c r="A217" s="78"/>
      <c r="B217" s="79"/>
      <c r="C217" s="80" t="s">
        <v>989</v>
      </c>
      <c r="D217" s="80" t="s">
        <v>1230</v>
      </c>
      <c r="E217" s="80"/>
      <c r="F217" s="80">
        <v>26</v>
      </c>
      <c r="G217" s="80"/>
      <c r="H217" s="80"/>
      <c r="I217" s="80" t="s">
        <v>523</v>
      </c>
      <c r="J217" s="87"/>
      <c r="K217" s="80"/>
      <c r="L217" s="80"/>
      <c r="M217" s="86">
        <f>F217-F217*17%</f>
        <v>21.58</v>
      </c>
      <c r="N217" s="86" t="s">
        <v>1227</v>
      </c>
      <c r="O217" s="86" t="s">
        <v>1228</v>
      </c>
      <c r="P217" s="86" t="s">
        <v>1228</v>
      </c>
      <c r="Q217" s="80">
        <v>0</v>
      </c>
      <c r="R217" s="80"/>
      <c r="S217" s="80"/>
      <c r="T217" s="80"/>
      <c r="U217" s="80"/>
      <c r="V217" s="79"/>
      <c r="W217" s="80"/>
      <c r="X217" s="80" t="s">
        <v>1229</v>
      </c>
    </row>
    <row r="218" spans="1:24" s="85" customFormat="1" ht="45" customHeight="1" x14ac:dyDescent="0.3">
      <c r="A218" s="82"/>
      <c r="B218" s="83"/>
      <c r="C218" s="84" t="s">
        <v>990</v>
      </c>
      <c r="D218" s="84" t="s">
        <v>1230</v>
      </c>
      <c r="E218" s="84"/>
      <c r="F218" s="84">
        <v>46</v>
      </c>
      <c r="G218" s="84"/>
      <c r="H218" s="84"/>
      <c r="I218" s="84" t="s">
        <v>523</v>
      </c>
      <c r="J218" s="81"/>
      <c r="K218" s="84"/>
      <c r="L218" s="84"/>
      <c r="M218" s="84">
        <f>F218-F218*17%</f>
        <v>38.18</v>
      </c>
      <c r="N218" s="84" t="s">
        <v>1227</v>
      </c>
      <c r="O218" s="84" t="s">
        <v>1228</v>
      </c>
      <c r="P218" s="84" t="s">
        <v>1228</v>
      </c>
      <c r="Q218" s="84">
        <v>0</v>
      </c>
      <c r="R218" s="84"/>
      <c r="S218" s="84"/>
      <c r="T218" s="84"/>
      <c r="U218" s="84"/>
      <c r="V218" s="83"/>
      <c r="W218" s="84"/>
      <c r="X218" s="84" t="s">
        <v>1229</v>
      </c>
    </row>
    <row r="219" spans="1:24" s="85" customFormat="1" ht="45" customHeight="1" x14ac:dyDescent="0.3">
      <c r="A219" s="78"/>
      <c r="B219" s="79"/>
      <c r="C219" s="80" t="s">
        <v>991</v>
      </c>
      <c r="D219" s="80" t="s">
        <v>1230</v>
      </c>
      <c r="E219" s="80"/>
      <c r="F219" s="80">
        <v>58.5</v>
      </c>
      <c r="G219" s="80"/>
      <c r="H219" s="80"/>
      <c r="I219" s="80" t="s">
        <v>523</v>
      </c>
      <c r="J219" s="87"/>
      <c r="K219" s="80"/>
      <c r="L219" s="80"/>
      <c r="M219" s="86">
        <f>F219-F219*17%</f>
        <v>48.555</v>
      </c>
      <c r="N219" s="86" t="s">
        <v>1227</v>
      </c>
      <c r="O219" s="86" t="s">
        <v>1228</v>
      </c>
      <c r="P219" s="86" t="s">
        <v>1228</v>
      </c>
      <c r="Q219" s="80">
        <v>0</v>
      </c>
      <c r="R219" s="80"/>
      <c r="S219" s="80"/>
      <c r="T219" s="80"/>
      <c r="U219" s="80"/>
      <c r="V219" s="79"/>
      <c r="W219" s="80"/>
      <c r="X219" s="80" t="s">
        <v>1229</v>
      </c>
    </row>
    <row r="220" spans="1:24" s="85" customFormat="1" ht="45" customHeight="1" x14ac:dyDescent="0.3">
      <c r="A220" s="82"/>
      <c r="B220" s="83"/>
      <c r="C220" s="84" t="s">
        <v>887</v>
      </c>
      <c r="D220" s="84" t="s">
        <v>1230</v>
      </c>
      <c r="E220" s="84"/>
      <c r="F220" s="84">
        <v>66</v>
      </c>
      <c r="G220" s="84"/>
      <c r="H220" s="84"/>
      <c r="I220" s="84" t="s">
        <v>523</v>
      </c>
      <c r="J220" s="81"/>
      <c r="K220" s="84"/>
      <c r="L220" s="84"/>
      <c r="M220" s="84">
        <f>F220-F220*17%</f>
        <v>54.78</v>
      </c>
      <c r="N220" s="84" t="s">
        <v>1227</v>
      </c>
      <c r="O220" s="84" t="s">
        <v>1228</v>
      </c>
      <c r="P220" s="84" t="s">
        <v>1228</v>
      </c>
      <c r="Q220" s="84">
        <v>0</v>
      </c>
      <c r="R220" s="84"/>
      <c r="S220" s="84"/>
      <c r="T220" s="84"/>
      <c r="U220" s="84"/>
      <c r="V220" s="83"/>
      <c r="W220" s="84"/>
      <c r="X220" s="84" t="s">
        <v>1229</v>
      </c>
    </row>
    <row r="221" spans="1:24" s="85" customFormat="1" ht="45" customHeight="1" x14ac:dyDescent="0.3">
      <c r="A221" s="78"/>
      <c r="B221" s="79"/>
      <c r="C221" s="80" t="s">
        <v>992</v>
      </c>
      <c r="D221" s="80" t="s">
        <v>1230</v>
      </c>
      <c r="E221" s="80"/>
      <c r="F221" s="80">
        <v>134.25</v>
      </c>
      <c r="G221" s="80"/>
      <c r="H221" s="80"/>
      <c r="I221" s="80" t="s">
        <v>523</v>
      </c>
      <c r="J221" s="87"/>
      <c r="K221" s="80"/>
      <c r="L221" s="80"/>
      <c r="M221" s="86">
        <f>F221-F221*17%</f>
        <v>111.42749999999999</v>
      </c>
      <c r="N221" s="86" t="s">
        <v>1227</v>
      </c>
      <c r="O221" s="86" t="s">
        <v>1228</v>
      </c>
      <c r="P221" s="86" t="s">
        <v>1228</v>
      </c>
      <c r="Q221" s="80">
        <v>0</v>
      </c>
      <c r="R221" s="80"/>
      <c r="S221" s="80"/>
      <c r="T221" s="80"/>
      <c r="U221" s="80"/>
      <c r="V221" s="79"/>
      <c r="W221" s="80"/>
      <c r="X221" s="80" t="s">
        <v>1229</v>
      </c>
    </row>
    <row r="222" spans="1:24" s="85" customFormat="1" ht="45" customHeight="1" x14ac:dyDescent="0.3">
      <c r="A222" s="82"/>
      <c r="B222" s="83"/>
      <c r="C222" s="84" t="s">
        <v>993</v>
      </c>
      <c r="D222" s="84" t="s">
        <v>1230</v>
      </c>
      <c r="E222" s="84"/>
      <c r="F222" s="84">
        <v>219.25</v>
      </c>
      <c r="G222" s="84"/>
      <c r="H222" s="84"/>
      <c r="I222" s="84" t="s">
        <v>523</v>
      </c>
      <c r="J222" s="81"/>
      <c r="K222" s="84"/>
      <c r="L222" s="84"/>
      <c r="M222" s="84">
        <f>F222-F222*17%</f>
        <v>181.97749999999999</v>
      </c>
      <c r="N222" s="84" t="s">
        <v>1227</v>
      </c>
      <c r="O222" s="84" t="s">
        <v>1228</v>
      </c>
      <c r="P222" s="84" t="s">
        <v>1228</v>
      </c>
      <c r="Q222" s="84">
        <v>0</v>
      </c>
      <c r="R222" s="84"/>
      <c r="S222" s="84"/>
      <c r="T222" s="84"/>
      <c r="U222" s="84"/>
      <c r="V222" s="83"/>
      <c r="W222" s="84"/>
      <c r="X222" s="84" t="s">
        <v>1229</v>
      </c>
    </row>
    <row r="223" spans="1:24" s="85" customFormat="1" ht="45" customHeight="1" x14ac:dyDescent="0.3">
      <c r="A223" s="78"/>
      <c r="B223" s="79"/>
      <c r="C223" s="80" t="s">
        <v>994</v>
      </c>
      <c r="D223" s="80" t="s">
        <v>1230</v>
      </c>
      <c r="E223" s="80"/>
      <c r="F223" s="80">
        <v>560.75</v>
      </c>
      <c r="G223" s="80"/>
      <c r="H223" s="80"/>
      <c r="I223" s="80" t="s">
        <v>523</v>
      </c>
      <c r="J223" s="87"/>
      <c r="K223" s="80"/>
      <c r="L223" s="80"/>
      <c r="M223" s="86">
        <f>F223-F223*17%</f>
        <v>465.42250000000001</v>
      </c>
      <c r="N223" s="86" t="s">
        <v>1227</v>
      </c>
      <c r="O223" s="86" t="s">
        <v>1228</v>
      </c>
      <c r="P223" s="86" t="s">
        <v>1228</v>
      </c>
      <c r="Q223" s="80">
        <v>0</v>
      </c>
      <c r="R223" s="80"/>
      <c r="S223" s="80"/>
      <c r="T223" s="80"/>
      <c r="U223" s="80"/>
      <c r="V223" s="79"/>
      <c r="W223" s="80"/>
      <c r="X223" s="80" t="s">
        <v>1229</v>
      </c>
    </row>
    <row r="224" spans="1:24" s="85" customFormat="1" ht="45" customHeight="1" x14ac:dyDescent="0.3">
      <c r="A224" s="82"/>
      <c r="B224" s="83"/>
      <c r="C224" s="84" t="s">
        <v>995</v>
      </c>
      <c r="D224" s="84" t="s">
        <v>1230</v>
      </c>
      <c r="E224" s="84"/>
      <c r="F224" s="84">
        <v>101.5</v>
      </c>
      <c r="G224" s="84"/>
      <c r="H224" s="84"/>
      <c r="I224" s="84" t="s">
        <v>523</v>
      </c>
      <c r="J224" s="81"/>
      <c r="K224" s="84"/>
      <c r="L224" s="84"/>
      <c r="M224" s="84">
        <f>F224-F224*17%</f>
        <v>84.245000000000005</v>
      </c>
      <c r="N224" s="84" t="s">
        <v>1227</v>
      </c>
      <c r="O224" s="84" t="s">
        <v>1228</v>
      </c>
      <c r="P224" s="84" t="s">
        <v>1228</v>
      </c>
      <c r="Q224" s="84">
        <v>0</v>
      </c>
      <c r="R224" s="84"/>
      <c r="S224" s="84"/>
      <c r="T224" s="84"/>
      <c r="U224" s="84"/>
      <c r="V224" s="83"/>
      <c r="W224" s="84"/>
      <c r="X224" s="84" t="s">
        <v>1229</v>
      </c>
    </row>
    <row r="225" spans="1:24" s="85" customFormat="1" ht="45" customHeight="1" x14ac:dyDescent="0.3">
      <c r="A225" s="78"/>
      <c r="B225" s="79"/>
      <c r="C225" s="80" t="s">
        <v>996</v>
      </c>
      <c r="D225" s="80" t="s">
        <v>1230</v>
      </c>
      <c r="E225" s="80"/>
      <c r="F225" s="80">
        <v>149.75</v>
      </c>
      <c r="G225" s="80"/>
      <c r="H225" s="80"/>
      <c r="I225" s="80" t="s">
        <v>523</v>
      </c>
      <c r="J225" s="87"/>
      <c r="K225" s="80"/>
      <c r="L225" s="80"/>
      <c r="M225" s="86">
        <f>F225-F225*17%</f>
        <v>124.29249999999999</v>
      </c>
      <c r="N225" s="86" t="s">
        <v>1227</v>
      </c>
      <c r="O225" s="86" t="s">
        <v>1228</v>
      </c>
      <c r="P225" s="86" t="s">
        <v>1228</v>
      </c>
      <c r="Q225" s="80">
        <v>0</v>
      </c>
      <c r="R225" s="80"/>
      <c r="S225" s="80"/>
      <c r="T225" s="80"/>
      <c r="U225" s="80"/>
      <c r="V225" s="79"/>
      <c r="W225" s="80"/>
      <c r="X225" s="80" t="s">
        <v>1229</v>
      </c>
    </row>
    <row r="226" spans="1:24" s="85" customFormat="1" ht="45" customHeight="1" x14ac:dyDescent="0.3">
      <c r="A226" s="82"/>
      <c r="B226" s="83"/>
      <c r="C226" s="84" t="s">
        <v>997</v>
      </c>
      <c r="D226" s="84" t="s">
        <v>1230</v>
      </c>
      <c r="E226" s="84"/>
      <c r="F226" s="84">
        <v>253.25</v>
      </c>
      <c r="G226" s="84"/>
      <c r="H226" s="84"/>
      <c r="I226" s="84" t="s">
        <v>523</v>
      </c>
      <c r="J226" s="81"/>
      <c r="K226" s="84"/>
      <c r="L226" s="84"/>
      <c r="M226" s="84">
        <f>F226-F226*17%</f>
        <v>210.19749999999999</v>
      </c>
      <c r="N226" s="84" t="s">
        <v>1227</v>
      </c>
      <c r="O226" s="84" t="s">
        <v>1228</v>
      </c>
      <c r="P226" s="84" t="s">
        <v>1228</v>
      </c>
      <c r="Q226" s="84">
        <v>0</v>
      </c>
      <c r="R226" s="84"/>
      <c r="S226" s="84"/>
      <c r="T226" s="84"/>
      <c r="U226" s="84"/>
      <c r="V226" s="83"/>
      <c r="W226" s="84"/>
      <c r="X226" s="84" t="s">
        <v>1229</v>
      </c>
    </row>
    <row r="227" spans="1:24" s="85" customFormat="1" ht="45" customHeight="1" x14ac:dyDescent="0.3">
      <c r="A227" s="78"/>
      <c r="B227" s="79"/>
      <c r="C227" s="80" t="s">
        <v>888</v>
      </c>
      <c r="D227" s="80" t="s">
        <v>1230</v>
      </c>
      <c r="E227" s="80"/>
      <c r="F227" s="80">
        <v>33</v>
      </c>
      <c r="G227" s="80"/>
      <c r="H227" s="80"/>
      <c r="I227" s="80" t="s">
        <v>523</v>
      </c>
      <c r="J227" s="87"/>
      <c r="K227" s="80"/>
      <c r="L227" s="80"/>
      <c r="M227" s="86">
        <f>F227-F227*17%</f>
        <v>27.39</v>
      </c>
      <c r="N227" s="86" t="s">
        <v>1227</v>
      </c>
      <c r="O227" s="86" t="s">
        <v>1228</v>
      </c>
      <c r="P227" s="86" t="s">
        <v>1228</v>
      </c>
      <c r="Q227" s="80">
        <v>0</v>
      </c>
      <c r="R227" s="80"/>
      <c r="S227" s="80"/>
      <c r="T227" s="80"/>
      <c r="U227" s="80"/>
      <c r="V227" s="79"/>
      <c r="W227" s="80"/>
      <c r="X227" s="80" t="s">
        <v>1229</v>
      </c>
    </row>
    <row r="228" spans="1:24" s="85" customFormat="1" ht="45" customHeight="1" x14ac:dyDescent="0.3">
      <c r="A228" s="82"/>
      <c r="B228" s="83"/>
      <c r="C228" s="84" t="s">
        <v>889</v>
      </c>
      <c r="D228" s="84" t="s">
        <v>1230</v>
      </c>
      <c r="E228" s="84"/>
      <c r="F228" s="84">
        <v>60.5</v>
      </c>
      <c r="G228" s="84"/>
      <c r="H228" s="84"/>
      <c r="I228" s="84" t="s">
        <v>523</v>
      </c>
      <c r="J228" s="81"/>
      <c r="K228" s="84"/>
      <c r="L228" s="84"/>
      <c r="M228" s="84">
        <f>F228-F228*17%</f>
        <v>50.215000000000003</v>
      </c>
      <c r="N228" s="84" t="s">
        <v>1227</v>
      </c>
      <c r="O228" s="84" t="s">
        <v>1228</v>
      </c>
      <c r="P228" s="84" t="s">
        <v>1228</v>
      </c>
      <c r="Q228" s="84">
        <v>0</v>
      </c>
      <c r="R228" s="84"/>
      <c r="S228" s="84"/>
      <c r="T228" s="84"/>
      <c r="U228" s="84"/>
      <c r="V228" s="83"/>
      <c r="W228" s="84"/>
      <c r="X228" s="84" t="s">
        <v>1229</v>
      </c>
    </row>
    <row r="229" spans="1:24" s="85" customFormat="1" ht="45" customHeight="1" x14ac:dyDescent="0.3">
      <c r="A229" s="78"/>
      <c r="B229" s="79"/>
      <c r="C229" s="80" t="s">
        <v>890</v>
      </c>
      <c r="D229" s="80" t="s">
        <v>1230</v>
      </c>
      <c r="E229" s="80"/>
      <c r="F229" s="80">
        <v>143.5</v>
      </c>
      <c r="G229" s="80"/>
      <c r="H229" s="80"/>
      <c r="I229" s="80" t="s">
        <v>523</v>
      </c>
      <c r="J229" s="87"/>
      <c r="K229" s="80"/>
      <c r="L229" s="80"/>
      <c r="M229" s="86">
        <f>F229-F229*17%</f>
        <v>119.10499999999999</v>
      </c>
      <c r="N229" s="86" t="s">
        <v>1227</v>
      </c>
      <c r="O229" s="86" t="s">
        <v>1228</v>
      </c>
      <c r="P229" s="86" t="s">
        <v>1228</v>
      </c>
      <c r="Q229" s="80">
        <v>0</v>
      </c>
      <c r="R229" s="80"/>
      <c r="S229" s="80"/>
      <c r="T229" s="80"/>
      <c r="U229" s="80"/>
      <c r="V229" s="79"/>
      <c r="W229" s="80"/>
      <c r="X229" s="80" t="s">
        <v>1229</v>
      </c>
    </row>
    <row r="230" spans="1:24" s="85" customFormat="1" ht="45" customHeight="1" x14ac:dyDescent="0.3">
      <c r="A230" s="82"/>
      <c r="B230" s="83"/>
      <c r="C230" s="84" t="s">
        <v>891</v>
      </c>
      <c r="D230" s="84" t="s">
        <v>1230</v>
      </c>
      <c r="E230" s="84"/>
      <c r="F230" s="84">
        <v>158</v>
      </c>
      <c r="G230" s="84"/>
      <c r="H230" s="84"/>
      <c r="I230" s="84" t="s">
        <v>523</v>
      </c>
      <c r="J230" s="81"/>
      <c r="K230" s="84"/>
      <c r="L230" s="84"/>
      <c r="M230" s="84">
        <f>F230-F230*17%</f>
        <v>131.13999999999999</v>
      </c>
      <c r="N230" s="84" t="s">
        <v>1227</v>
      </c>
      <c r="O230" s="84" t="s">
        <v>1228</v>
      </c>
      <c r="P230" s="84" t="s">
        <v>1228</v>
      </c>
      <c r="Q230" s="84">
        <v>0</v>
      </c>
      <c r="R230" s="84"/>
      <c r="S230" s="84"/>
      <c r="T230" s="84"/>
      <c r="U230" s="84"/>
      <c r="V230" s="83"/>
      <c r="W230" s="84"/>
      <c r="X230" s="84" t="s">
        <v>1229</v>
      </c>
    </row>
    <row r="231" spans="1:24" s="85" customFormat="1" ht="45" customHeight="1" x14ac:dyDescent="0.3">
      <c r="A231" s="78"/>
      <c r="B231" s="79"/>
      <c r="C231" s="80" t="s">
        <v>892</v>
      </c>
      <c r="D231" s="80" t="s">
        <v>1230</v>
      </c>
      <c r="E231" s="80"/>
      <c r="F231" s="80">
        <v>58</v>
      </c>
      <c r="G231" s="80"/>
      <c r="H231" s="80"/>
      <c r="I231" s="80" t="s">
        <v>523</v>
      </c>
      <c r="J231" s="87"/>
      <c r="K231" s="80"/>
      <c r="L231" s="80"/>
      <c r="M231" s="86">
        <f>F231-F231*17%</f>
        <v>48.14</v>
      </c>
      <c r="N231" s="86" t="s">
        <v>1227</v>
      </c>
      <c r="O231" s="86" t="s">
        <v>1228</v>
      </c>
      <c r="P231" s="86" t="s">
        <v>1228</v>
      </c>
      <c r="Q231" s="80">
        <v>0</v>
      </c>
      <c r="R231" s="80"/>
      <c r="S231" s="80"/>
      <c r="T231" s="80"/>
      <c r="U231" s="80"/>
      <c r="V231" s="79"/>
      <c r="W231" s="80"/>
      <c r="X231" s="80" t="s">
        <v>1229</v>
      </c>
    </row>
    <row r="232" spans="1:24" s="85" customFormat="1" ht="45" customHeight="1" x14ac:dyDescent="0.3">
      <c r="A232" s="82"/>
      <c r="B232" s="83"/>
      <c r="C232" s="84" t="s">
        <v>893</v>
      </c>
      <c r="D232" s="84" t="s">
        <v>1230</v>
      </c>
      <c r="E232" s="84"/>
      <c r="F232" s="84">
        <v>63.25</v>
      </c>
      <c r="G232" s="84"/>
      <c r="H232" s="84"/>
      <c r="I232" s="84" t="s">
        <v>523</v>
      </c>
      <c r="J232" s="81"/>
      <c r="K232" s="84"/>
      <c r="L232" s="84"/>
      <c r="M232" s="84">
        <f>F232-F232*17%</f>
        <v>52.497500000000002</v>
      </c>
      <c r="N232" s="84" t="s">
        <v>1227</v>
      </c>
      <c r="O232" s="84" t="s">
        <v>1228</v>
      </c>
      <c r="P232" s="84" t="s">
        <v>1228</v>
      </c>
      <c r="Q232" s="84">
        <v>0</v>
      </c>
      <c r="R232" s="84"/>
      <c r="S232" s="84"/>
      <c r="T232" s="84"/>
      <c r="U232" s="84"/>
      <c r="V232" s="83"/>
      <c r="W232" s="84"/>
      <c r="X232" s="84" t="s">
        <v>1229</v>
      </c>
    </row>
    <row r="233" spans="1:24" s="85" customFormat="1" ht="45" customHeight="1" x14ac:dyDescent="0.3">
      <c r="A233" s="78"/>
      <c r="B233" s="79"/>
      <c r="C233" s="80" t="s">
        <v>894</v>
      </c>
      <c r="D233" s="80" t="s">
        <v>1230</v>
      </c>
      <c r="E233" s="80"/>
      <c r="F233" s="80">
        <v>70.5</v>
      </c>
      <c r="G233" s="80"/>
      <c r="H233" s="80"/>
      <c r="I233" s="80" t="s">
        <v>523</v>
      </c>
      <c r="J233" s="87"/>
      <c r="K233" s="80"/>
      <c r="L233" s="80"/>
      <c r="M233" s="86">
        <f>F233-F233*17%</f>
        <v>58.515000000000001</v>
      </c>
      <c r="N233" s="86" t="s">
        <v>1227</v>
      </c>
      <c r="O233" s="86" t="s">
        <v>1228</v>
      </c>
      <c r="P233" s="86" t="s">
        <v>1228</v>
      </c>
      <c r="Q233" s="80">
        <v>0</v>
      </c>
      <c r="R233" s="80"/>
      <c r="S233" s="80"/>
      <c r="T233" s="80"/>
      <c r="U233" s="80"/>
      <c r="V233" s="79"/>
      <c r="W233" s="80"/>
      <c r="X233" s="80" t="s">
        <v>1229</v>
      </c>
    </row>
    <row r="234" spans="1:24" s="85" customFormat="1" ht="45" customHeight="1" x14ac:dyDescent="0.3">
      <c r="A234" s="82"/>
      <c r="B234" s="83"/>
      <c r="C234" s="84" t="s">
        <v>895</v>
      </c>
      <c r="D234" s="84" t="s">
        <v>1230</v>
      </c>
      <c r="E234" s="84"/>
      <c r="F234" s="84">
        <v>78</v>
      </c>
      <c r="G234" s="84"/>
      <c r="H234" s="84"/>
      <c r="I234" s="84" t="s">
        <v>523</v>
      </c>
      <c r="J234" s="81"/>
      <c r="K234" s="84"/>
      <c r="L234" s="84"/>
      <c r="M234" s="84">
        <f>F234-F234*17%</f>
        <v>64.739999999999995</v>
      </c>
      <c r="N234" s="84" t="s">
        <v>1227</v>
      </c>
      <c r="O234" s="84" t="s">
        <v>1228</v>
      </c>
      <c r="P234" s="84" t="s">
        <v>1228</v>
      </c>
      <c r="Q234" s="84">
        <v>0</v>
      </c>
      <c r="R234" s="84"/>
      <c r="S234" s="84"/>
      <c r="T234" s="84"/>
      <c r="U234" s="84"/>
      <c r="V234" s="83"/>
      <c r="W234" s="84"/>
      <c r="X234" s="84" t="s">
        <v>1229</v>
      </c>
    </row>
    <row r="235" spans="1:24" s="85" customFormat="1" ht="45" customHeight="1" x14ac:dyDescent="0.3">
      <c r="A235" s="78"/>
      <c r="B235" s="79"/>
      <c r="C235" s="80" t="s">
        <v>896</v>
      </c>
      <c r="D235" s="80" t="s">
        <v>1230</v>
      </c>
      <c r="E235" s="80"/>
      <c r="F235" s="80">
        <v>90.75</v>
      </c>
      <c r="G235" s="80"/>
      <c r="H235" s="80"/>
      <c r="I235" s="80" t="s">
        <v>523</v>
      </c>
      <c r="J235" s="87"/>
      <c r="K235" s="80"/>
      <c r="L235" s="80"/>
      <c r="M235" s="86">
        <f>F235-F235*17%</f>
        <v>75.322499999999991</v>
      </c>
      <c r="N235" s="86" t="s">
        <v>1227</v>
      </c>
      <c r="O235" s="86" t="s">
        <v>1228</v>
      </c>
      <c r="P235" s="86" t="s">
        <v>1228</v>
      </c>
      <c r="Q235" s="80">
        <v>0</v>
      </c>
      <c r="R235" s="80"/>
      <c r="S235" s="80"/>
      <c r="T235" s="80"/>
      <c r="U235" s="80"/>
      <c r="V235" s="79"/>
      <c r="W235" s="80"/>
      <c r="X235" s="80" t="s">
        <v>1229</v>
      </c>
    </row>
    <row r="236" spans="1:24" s="85" customFormat="1" ht="45" customHeight="1" x14ac:dyDescent="0.3">
      <c r="A236" s="82"/>
      <c r="B236" s="83"/>
      <c r="C236" s="84" t="s">
        <v>897</v>
      </c>
      <c r="D236" s="84" t="s">
        <v>1230</v>
      </c>
      <c r="E236" s="84"/>
      <c r="F236" s="84">
        <v>99.25</v>
      </c>
      <c r="G236" s="84"/>
      <c r="H236" s="84"/>
      <c r="I236" s="84" t="s">
        <v>523</v>
      </c>
      <c r="J236" s="81"/>
      <c r="K236" s="84"/>
      <c r="L236" s="84"/>
      <c r="M236" s="84">
        <f>F236-F236*17%</f>
        <v>82.377499999999998</v>
      </c>
      <c r="N236" s="84" t="s">
        <v>1227</v>
      </c>
      <c r="O236" s="84" t="s">
        <v>1228</v>
      </c>
      <c r="P236" s="84" t="s">
        <v>1228</v>
      </c>
      <c r="Q236" s="84">
        <v>0</v>
      </c>
      <c r="R236" s="84"/>
      <c r="S236" s="84"/>
      <c r="T236" s="84"/>
      <c r="U236" s="84"/>
      <c r="V236" s="83"/>
      <c r="W236" s="84"/>
      <c r="X236" s="84" t="s">
        <v>1229</v>
      </c>
    </row>
    <row r="237" spans="1:24" s="85" customFormat="1" ht="45" customHeight="1" x14ac:dyDescent="0.3">
      <c r="A237" s="78"/>
      <c r="B237" s="79"/>
      <c r="C237" s="80" t="s">
        <v>898</v>
      </c>
      <c r="D237" s="80" t="s">
        <v>1230</v>
      </c>
      <c r="E237" s="80"/>
      <c r="F237" s="80"/>
      <c r="G237" s="80"/>
      <c r="H237" s="80"/>
      <c r="I237" s="80" t="s">
        <v>523</v>
      </c>
      <c r="J237" s="87"/>
      <c r="K237" s="80"/>
      <c r="L237" s="80"/>
      <c r="M237" s="86">
        <f>F237-F237*17%</f>
        <v>0</v>
      </c>
      <c r="N237" s="86" t="s">
        <v>1227</v>
      </c>
      <c r="O237" s="86" t="s">
        <v>1228</v>
      </c>
      <c r="P237" s="86" t="s">
        <v>1228</v>
      </c>
      <c r="Q237" s="80">
        <v>0</v>
      </c>
      <c r="R237" s="80"/>
      <c r="S237" s="80"/>
      <c r="T237" s="80"/>
      <c r="U237" s="80"/>
      <c r="V237" s="79"/>
      <c r="W237" s="80"/>
      <c r="X237" s="80" t="s">
        <v>1229</v>
      </c>
    </row>
    <row r="238" spans="1:24" s="85" customFormat="1" ht="45" customHeight="1" x14ac:dyDescent="0.3">
      <c r="A238" s="82"/>
      <c r="B238" s="83"/>
      <c r="C238" s="84" t="s">
        <v>899</v>
      </c>
      <c r="D238" s="84" t="s">
        <v>1230</v>
      </c>
      <c r="E238" s="84"/>
      <c r="F238" s="84"/>
      <c r="G238" s="84"/>
      <c r="H238" s="84"/>
      <c r="I238" s="84" t="s">
        <v>523</v>
      </c>
      <c r="J238" s="81"/>
      <c r="K238" s="84"/>
      <c r="L238" s="84"/>
      <c r="M238" s="84">
        <f>F238-F238*17%</f>
        <v>0</v>
      </c>
      <c r="N238" s="84" t="s">
        <v>1227</v>
      </c>
      <c r="O238" s="84" t="s">
        <v>1228</v>
      </c>
      <c r="P238" s="84" t="s">
        <v>1228</v>
      </c>
      <c r="Q238" s="84">
        <v>0</v>
      </c>
      <c r="R238" s="84"/>
      <c r="S238" s="84"/>
      <c r="T238" s="84"/>
      <c r="U238" s="84"/>
      <c r="V238" s="83"/>
      <c r="W238" s="84"/>
      <c r="X238" s="84" t="s">
        <v>1229</v>
      </c>
    </row>
    <row r="239" spans="1:24" s="85" customFormat="1" ht="45" customHeight="1" x14ac:dyDescent="0.3">
      <c r="A239" s="78"/>
      <c r="B239" s="79"/>
      <c r="C239" s="80" t="s">
        <v>900</v>
      </c>
      <c r="D239" s="80" t="s">
        <v>1230</v>
      </c>
      <c r="E239" s="80"/>
      <c r="F239" s="80"/>
      <c r="G239" s="80"/>
      <c r="H239" s="80"/>
      <c r="I239" s="80" t="s">
        <v>523</v>
      </c>
      <c r="J239" s="87"/>
      <c r="K239" s="80"/>
      <c r="L239" s="80"/>
      <c r="M239" s="86">
        <f>F239-F239*17%</f>
        <v>0</v>
      </c>
      <c r="N239" s="86" t="s">
        <v>1227</v>
      </c>
      <c r="O239" s="86" t="s">
        <v>1228</v>
      </c>
      <c r="P239" s="86" t="s">
        <v>1228</v>
      </c>
      <c r="Q239" s="80">
        <v>0</v>
      </c>
      <c r="R239" s="80"/>
      <c r="S239" s="80"/>
      <c r="T239" s="80"/>
      <c r="U239" s="80"/>
      <c r="V239" s="79"/>
      <c r="W239" s="80"/>
      <c r="X239" s="80" t="s">
        <v>1229</v>
      </c>
    </row>
    <row r="240" spans="1:24" s="85" customFormat="1" ht="45" customHeight="1" x14ac:dyDescent="0.3">
      <c r="A240" s="82"/>
      <c r="B240" s="83"/>
      <c r="C240" s="84" t="s">
        <v>901</v>
      </c>
      <c r="D240" s="84" t="s">
        <v>1230</v>
      </c>
      <c r="E240" s="84"/>
      <c r="F240" s="84">
        <v>132</v>
      </c>
      <c r="G240" s="84"/>
      <c r="H240" s="84"/>
      <c r="I240" s="84" t="s">
        <v>523</v>
      </c>
      <c r="J240" s="81"/>
      <c r="K240" s="84"/>
      <c r="L240" s="84"/>
      <c r="M240" s="84">
        <f>F240-F240*17%</f>
        <v>109.56</v>
      </c>
      <c r="N240" s="84" t="s">
        <v>1227</v>
      </c>
      <c r="O240" s="84" t="s">
        <v>1228</v>
      </c>
      <c r="P240" s="84" t="s">
        <v>1228</v>
      </c>
      <c r="Q240" s="84">
        <v>0</v>
      </c>
      <c r="R240" s="84"/>
      <c r="S240" s="84"/>
      <c r="T240" s="84"/>
      <c r="U240" s="84"/>
      <c r="V240" s="83"/>
      <c r="W240" s="84"/>
      <c r="X240" s="84" t="s">
        <v>1229</v>
      </c>
    </row>
    <row r="241" spans="1:24" s="85" customFormat="1" ht="45" customHeight="1" x14ac:dyDescent="0.3">
      <c r="A241" s="78"/>
      <c r="B241" s="79"/>
      <c r="C241" s="80" t="s">
        <v>902</v>
      </c>
      <c r="D241" s="80" t="s">
        <v>1230</v>
      </c>
      <c r="E241" s="80"/>
      <c r="F241" s="80">
        <v>143.5</v>
      </c>
      <c r="G241" s="80"/>
      <c r="H241" s="80"/>
      <c r="I241" s="80" t="s">
        <v>523</v>
      </c>
      <c r="J241" s="87"/>
      <c r="K241" s="80"/>
      <c r="L241" s="80"/>
      <c r="M241" s="86">
        <f>F241-F241*17%</f>
        <v>119.10499999999999</v>
      </c>
      <c r="N241" s="86" t="s">
        <v>1227</v>
      </c>
      <c r="O241" s="86" t="s">
        <v>1228</v>
      </c>
      <c r="P241" s="86" t="s">
        <v>1228</v>
      </c>
      <c r="Q241" s="80">
        <v>0</v>
      </c>
      <c r="R241" s="80"/>
      <c r="S241" s="80"/>
      <c r="T241" s="80"/>
      <c r="U241" s="80"/>
      <c r="V241" s="79"/>
      <c r="W241" s="80"/>
      <c r="X241" s="80" t="s">
        <v>1229</v>
      </c>
    </row>
    <row r="242" spans="1:24" s="85" customFormat="1" ht="45" customHeight="1" x14ac:dyDescent="0.3">
      <c r="A242" s="82"/>
      <c r="B242" s="83"/>
      <c r="C242" s="84" t="s">
        <v>903</v>
      </c>
      <c r="D242" s="84" t="s">
        <v>1230</v>
      </c>
      <c r="E242" s="84"/>
      <c r="F242" s="84">
        <v>150.75</v>
      </c>
      <c r="G242" s="84"/>
      <c r="H242" s="84"/>
      <c r="I242" s="84" t="s">
        <v>523</v>
      </c>
      <c r="J242" s="81"/>
      <c r="K242" s="84"/>
      <c r="L242" s="84"/>
      <c r="M242" s="84">
        <f>F242-F242*17%</f>
        <v>125.1225</v>
      </c>
      <c r="N242" s="84" t="s">
        <v>1227</v>
      </c>
      <c r="O242" s="84" t="s">
        <v>1228</v>
      </c>
      <c r="P242" s="84" t="s">
        <v>1228</v>
      </c>
      <c r="Q242" s="84">
        <v>0</v>
      </c>
      <c r="R242" s="84"/>
      <c r="S242" s="84"/>
      <c r="T242" s="84"/>
      <c r="U242" s="84"/>
      <c r="V242" s="83"/>
      <c r="W242" s="84"/>
      <c r="X242" s="84" t="s">
        <v>1229</v>
      </c>
    </row>
    <row r="243" spans="1:24" s="85" customFormat="1" ht="45" customHeight="1" x14ac:dyDescent="0.3">
      <c r="A243" s="78"/>
      <c r="B243" s="79"/>
      <c r="C243" s="80" t="s">
        <v>904</v>
      </c>
      <c r="D243" s="80" t="s">
        <v>1230</v>
      </c>
      <c r="E243" s="80"/>
      <c r="F243" s="80">
        <v>12</v>
      </c>
      <c r="G243" s="80"/>
      <c r="H243" s="80"/>
      <c r="I243" s="80" t="s">
        <v>523</v>
      </c>
      <c r="J243" s="87"/>
      <c r="K243" s="80"/>
      <c r="L243" s="80"/>
      <c r="M243" s="86">
        <f>F243-F243*17%</f>
        <v>9.9600000000000009</v>
      </c>
      <c r="N243" s="86" t="s">
        <v>1227</v>
      </c>
      <c r="O243" s="86" t="s">
        <v>1228</v>
      </c>
      <c r="P243" s="86" t="s">
        <v>1228</v>
      </c>
      <c r="Q243" s="80">
        <v>0</v>
      </c>
      <c r="R243" s="80"/>
      <c r="S243" s="80"/>
      <c r="T243" s="80"/>
      <c r="U243" s="80"/>
      <c r="V243" s="79"/>
      <c r="W243" s="80"/>
      <c r="X243" s="80" t="s">
        <v>1229</v>
      </c>
    </row>
    <row r="244" spans="1:24" s="85" customFormat="1" ht="45" customHeight="1" x14ac:dyDescent="0.3">
      <c r="A244" s="82"/>
      <c r="B244" s="83"/>
      <c r="C244" s="84" t="s">
        <v>905</v>
      </c>
      <c r="D244" s="84" t="s">
        <v>1230</v>
      </c>
      <c r="E244" s="84"/>
      <c r="F244" s="84">
        <v>17.25</v>
      </c>
      <c r="G244" s="84"/>
      <c r="H244" s="84"/>
      <c r="I244" s="84" t="s">
        <v>523</v>
      </c>
      <c r="J244" s="81"/>
      <c r="K244" s="84"/>
      <c r="L244" s="84"/>
      <c r="M244" s="84">
        <f>F244-F244*17%</f>
        <v>14.317499999999999</v>
      </c>
      <c r="N244" s="84" t="s">
        <v>1227</v>
      </c>
      <c r="O244" s="84" t="s">
        <v>1228</v>
      </c>
      <c r="P244" s="84" t="s">
        <v>1228</v>
      </c>
      <c r="Q244" s="84">
        <v>0</v>
      </c>
      <c r="R244" s="84"/>
      <c r="S244" s="84"/>
      <c r="T244" s="84"/>
      <c r="U244" s="84"/>
      <c r="V244" s="83"/>
      <c r="W244" s="84"/>
      <c r="X244" s="84" t="s">
        <v>1229</v>
      </c>
    </row>
    <row r="245" spans="1:24" s="85" customFormat="1" ht="45" customHeight="1" x14ac:dyDescent="0.3">
      <c r="A245" s="78"/>
      <c r="B245" s="79"/>
      <c r="C245" s="80" t="s">
        <v>906</v>
      </c>
      <c r="D245" s="80" t="s">
        <v>1230</v>
      </c>
      <c r="E245" s="80"/>
      <c r="F245" s="80">
        <v>16</v>
      </c>
      <c r="G245" s="80"/>
      <c r="H245" s="80"/>
      <c r="I245" s="80" t="s">
        <v>523</v>
      </c>
      <c r="J245" s="87"/>
      <c r="K245" s="80"/>
      <c r="L245" s="80"/>
      <c r="M245" s="86">
        <f>F245-F245*17%</f>
        <v>13.28</v>
      </c>
      <c r="N245" s="86" t="s">
        <v>1227</v>
      </c>
      <c r="O245" s="86" t="s">
        <v>1228</v>
      </c>
      <c r="P245" s="86" t="s">
        <v>1228</v>
      </c>
      <c r="Q245" s="80">
        <v>0</v>
      </c>
      <c r="R245" s="80"/>
      <c r="S245" s="80"/>
      <c r="T245" s="80"/>
      <c r="U245" s="80"/>
      <c r="V245" s="79"/>
      <c r="W245" s="80"/>
      <c r="X245" s="80" t="s">
        <v>1229</v>
      </c>
    </row>
    <row r="246" spans="1:24" s="85" customFormat="1" ht="45" customHeight="1" x14ac:dyDescent="0.3">
      <c r="A246" s="82"/>
      <c r="B246" s="83"/>
      <c r="C246" s="84" t="s">
        <v>907</v>
      </c>
      <c r="D246" s="84" t="s">
        <v>1230</v>
      </c>
      <c r="E246" s="84"/>
      <c r="F246" s="84">
        <v>28.5</v>
      </c>
      <c r="G246" s="84"/>
      <c r="H246" s="84"/>
      <c r="I246" s="84" t="s">
        <v>523</v>
      </c>
      <c r="J246" s="81"/>
      <c r="K246" s="84"/>
      <c r="L246" s="84"/>
      <c r="M246" s="84">
        <f>F246-F246*17%</f>
        <v>23.655000000000001</v>
      </c>
      <c r="N246" s="84" t="s">
        <v>1227</v>
      </c>
      <c r="O246" s="84" t="s">
        <v>1228</v>
      </c>
      <c r="P246" s="84" t="s">
        <v>1228</v>
      </c>
      <c r="Q246" s="84">
        <v>0</v>
      </c>
      <c r="R246" s="84"/>
      <c r="S246" s="84"/>
      <c r="T246" s="84"/>
      <c r="U246" s="84"/>
      <c r="V246" s="83"/>
      <c r="W246" s="84"/>
      <c r="X246" s="84" t="s">
        <v>1229</v>
      </c>
    </row>
    <row r="247" spans="1:24" s="85" customFormat="1" ht="45" customHeight="1" x14ac:dyDescent="0.3">
      <c r="A247" s="78"/>
      <c r="B247" s="79"/>
      <c r="C247" s="80" t="s">
        <v>908</v>
      </c>
      <c r="D247" s="80" t="s">
        <v>1230</v>
      </c>
      <c r="E247" s="80"/>
      <c r="F247" s="80">
        <v>36</v>
      </c>
      <c r="G247" s="80"/>
      <c r="H247" s="80"/>
      <c r="I247" s="80" t="s">
        <v>523</v>
      </c>
      <c r="J247" s="87"/>
      <c r="K247" s="80"/>
      <c r="L247" s="80"/>
      <c r="M247" s="86">
        <f>F247-F247*17%</f>
        <v>29.88</v>
      </c>
      <c r="N247" s="86" t="s">
        <v>1227</v>
      </c>
      <c r="O247" s="86" t="s">
        <v>1228</v>
      </c>
      <c r="P247" s="86" t="s">
        <v>1228</v>
      </c>
      <c r="Q247" s="80">
        <v>0</v>
      </c>
      <c r="R247" s="80"/>
      <c r="S247" s="80"/>
      <c r="T247" s="80"/>
      <c r="U247" s="80"/>
      <c r="V247" s="79"/>
      <c r="W247" s="80"/>
      <c r="X247" s="80" t="s">
        <v>1229</v>
      </c>
    </row>
    <row r="248" spans="1:24" s="85" customFormat="1" ht="45" customHeight="1" x14ac:dyDescent="0.3">
      <c r="A248" s="82"/>
      <c r="B248" s="83"/>
      <c r="C248" s="84" t="s">
        <v>909</v>
      </c>
      <c r="D248" s="84" t="s">
        <v>1230</v>
      </c>
      <c r="E248" s="84"/>
      <c r="F248" s="84">
        <v>37.25</v>
      </c>
      <c r="G248" s="84"/>
      <c r="H248" s="84"/>
      <c r="I248" s="84" t="s">
        <v>523</v>
      </c>
      <c r="J248" s="81"/>
      <c r="K248" s="84"/>
      <c r="L248" s="84"/>
      <c r="M248" s="84">
        <f>F248-F248*17%</f>
        <v>30.9175</v>
      </c>
      <c r="N248" s="84" t="s">
        <v>1227</v>
      </c>
      <c r="O248" s="84" t="s">
        <v>1228</v>
      </c>
      <c r="P248" s="84" t="s">
        <v>1228</v>
      </c>
      <c r="Q248" s="84">
        <v>0</v>
      </c>
      <c r="R248" s="84"/>
      <c r="S248" s="84"/>
      <c r="T248" s="84"/>
      <c r="U248" s="84"/>
      <c r="V248" s="83"/>
      <c r="W248" s="84"/>
      <c r="X248" s="84" t="s">
        <v>1229</v>
      </c>
    </row>
    <row r="249" spans="1:24" s="85" customFormat="1" ht="45" customHeight="1" x14ac:dyDescent="0.3">
      <c r="A249" s="78"/>
      <c r="B249" s="79"/>
      <c r="C249" s="80" t="s">
        <v>998</v>
      </c>
      <c r="D249" s="80" t="s">
        <v>1230</v>
      </c>
      <c r="E249" s="80"/>
      <c r="F249" s="80">
        <v>78</v>
      </c>
      <c r="G249" s="80"/>
      <c r="H249" s="80"/>
      <c r="I249" s="80" t="s">
        <v>523</v>
      </c>
      <c r="J249" s="87"/>
      <c r="K249" s="80"/>
      <c r="L249" s="80"/>
      <c r="M249" s="86">
        <f>F249-F249*17%</f>
        <v>64.739999999999995</v>
      </c>
      <c r="N249" s="86" t="s">
        <v>1227</v>
      </c>
      <c r="O249" s="86" t="s">
        <v>1228</v>
      </c>
      <c r="P249" s="86" t="s">
        <v>1228</v>
      </c>
      <c r="Q249" s="80">
        <v>0</v>
      </c>
      <c r="R249" s="80"/>
      <c r="S249" s="80"/>
      <c r="T249" s="80"/>
      <c r="U249" s="80"/>
      <c r="V249" s="79"/>
      <c r="W249" s="80"/>
      <c r="X249" s="80" t="s">
        <v>1229</v>
      </c>
    </row>
    <row r="250" spans="1:24" s="85" customFormat="1" ht="45" customHeight="1" x14ac:dyDescent="0.3">
      <c r="A250" s="82"/>
      <c r="B250" s="83"/>
      <c r="C250" s="84" t="s">
        <v>910</v>
      </c>
      <c r="D250" s="84" t="s">
        <v>1230</v>
      </c>
      <c r="E250" s="84"/>
      <c r="F250" s="84">
        <v>63.75</v>
      </c>
      <c r="G250" s="84"/>
      <c r="H250" s="84"/>
      <c r="I250" s="84" t="s">
        <v>523</v>
      </c>
      <c r="J250" s="81"/>
      <c r="K250" s="84"/>
      <c r="L250" s="84"/>
      <c r="M250" s="84">
        <f>F250-F250*17%</f>
        <v>52.912500000000001</v>
      </c>
      <c r="N250" s="84" t="s">
        <v>1227</v>
      </c>
      <c r="O250" s="84" t="s">
        <v>1228</v>
      </c>
      <c r="P250" s="84" t="s">
        <v>1228</v>
      </c>
      <c r="Q250" s="84">
        <v>0</v>
      </c>
      <c r="R250" s="84"/>
      <c r="S250" s="84"/>
      <c r="T250" s="84"/>
      <c r="U250" s="84"/>
      <c r="V250" s="83"/>
      <c r="W250" s="84"/>
      <c r="X250" s="84" t="s">
        <v>1229</v>
      </c>
    </row>
    <row r="251" spans="1:24" s="85" customFormat="1" ht="45" customHeight="1" x14ac:dyDescent="0.3">
      <c r="A251" s="78"/>
      <c r="B251" s="79"/>
      <c r="C251" s="80" t="s">
        <v>911</v>
      </c>
      <c r="D251" s="80" t="s">
        <v>1230</v>
      </c>
      <c r="E251" s="80"/>
      <c r="F251" s="80">
        <v>100</v>
      </c>
      <c r="G251" s="80"/>
      <c r="H251" s="80"/>
      <c r="I251" s="80" t="s">
        <v>523</v>
      </c>
      <c r="J251" s="87"/>
      <c r="K251" s="80"/>
      <c r="L251" s="80"/>
      <c r="M251" s="86">
        <f>F251-F251*17%</f>
        <v>83</v>
      </c>
      <c r="N251" s="86" t="s">
        <v>1227</v>
      </c>
      <c r="O251" s="86" t="s">
        <v>1228</v>
      </c>
      <c r="P251" s="86" t="s">
        <v>1228</v>
      </c>
      <c r="Q251" s="80">
        <v>0</v>
      </c>
      <c r="R251" s="80"/>
      <c r="S251" s="80"/>
      <c r="T251" s="80"/>
      <c r="U251" s="80"/>
      <c r="V251" s="79"/>
      <c r="W251" s="80"/>
      <c r="X251" s="80" t="s">
        <v>1229</v>
      </c>
    </row>
    <row r="252" spans="1:24" s="85" customFormat="1" ht="45" customHeight="1" x14ac:dyDescent="0.3">
      <c r="A252" s="82"/>
      <c r="B252" s="83"/>
      <c r="C252" s="84" t="s">
        <v>912</v>
      </c>
      <c r="D252" s="84" t="s">
        <v>1230</v>
      </c>
      <c r="E252" s="84"/>
      <c r="F252" s="84">
        <v>252</v>
      </c>
      <c r="G252" s="84"/>
      <c r="H252" s="84"/>
      <c r="I252" s="84" t="s">
        <v>523</v>
      </c>
      <c r="J252" s="81"/>
      <c r="K252" s="84"/>
      <c r="L252" s="84"/>
      <c r="M252" s="84">
        <f>F252-F252*17%</f>
        <v>209.16</v>
      </c>
      <c r="N252" s="84" t="s">
        <v>1227</v>
      </c>
      <c r="O252" s="84" t="s">
        <v>1228</v>
      </c>
      <c r="P252" s="84" t="s">
        <v>1228</v>
      </c>
      <c r="Q252" s="84">
        <v>0</v>
      </c>
      <c r="R252" s="84"/>
      <c r="S252" s="84"/>
      <c r="T252" s="84"/>
      <c r="U252" s="84"/>
      <c r="V252" s="83"/>
      <c r="W252" s="84"/>
      <c r="X252" s="84" t="s">
        <v>1229</v>
      </c>
    </row>
    <row r="253" spans="1:24" s="85" customFormat="1" ht="45" customHeight="1" x14ac:dyDescent="0.3">
      <c r="A253" s="78"/>
      <c r="B253" s="79"/>
      <c r="C253" s="80" t="s">
        <v>913</v>
      </c>
      <c r="D253" s="80" t="s">
        <v>1230</v>
      </c>
      <c r="E253" s="80"/>
      <c r="F253" s="80">
        <v>71.25</v>
      </c>
      <c r="G253" s="80"/>
      <c r="H253" s="80"/>
      <c r="I253" s="80" t="s">
        <v>523</v>
      </c>
      <c r="J253" s="87"/>
      <c r="K253" s="80"/>
      <c r="L253" s="80"/>
      <c r="M253" s="86">
        <f>F253-F253*17%</f>
        <v>59.137500000000003</v>
      </c>
      <c r="N253" s="86" t="s">
        <v>1227</v>
      </c>
      <c r="O253" s="86" t="s">
        <v>1228</v>
      </c>
      <c r="P253" s="86" t="s">
        <v>1228</v>
      </c>
      <c r="Q253" s="80">
        <v>0</v>
      </c>
      <c r="R253" s="80"/>
      <c r="S253" s="80"/>
      <c r="T253" s="80"/>
      <c r="U253" s="80"/>
      <c r="V253" s="79"/>
      <c r="W253" s="80"/>
      <c r="X253" s="80" t="s">
        <v>1229</v>
      </c>
    </row>
    <row r="254" spans="1:24" s="85" customFormat="1" ht="45" customHeight="1" x14ac:dyDescent="0.3">
      <c r="A254" s="82"/>
      <c r="B254" s="83"/>
      <c r="C254" s="84" t="s">
        <v>914</v>
      </c>
      <c r="D254" s="84" t="s">
        <v>1230</v>
      </c>
      <c r="E254" s="84"/>
      <c r="F254" s="84">
        <v>78</v>
      </c>
      <c r="G254" s="84"/>
      <c r="H254" s="84"/>
      <c r="I254" s="84" t="s">
        <v>523</v>
      </c>
      <c r="J254" s="81"/>
      <c r="K254" s="84"/>
      <c r="L254" s="84"/>
      <c r="M254" s="84">
        <f>F254-F254*17%</f>
        <v>64.739999999999995</v>
      </c>
      <c r="N254" s="84" t="s">
        <v>1227</v>
      </c>
      <c r="O254" s="84" t="s">
        <v>1228</v>
      </c>
      <c r="P254" s="84" t="s">
        <v>1228</v>
      </c>
      <c r="Q254" s="84">
        <v>0</v>
      </c>
      <c r="R254" s="84"/>
      <c r="S254" s="84"/>
      <c r="T254" s="84"/>
      <c r="U254" s="84"/>
      <c r="V254" s="83"/>
      <c r="W254" s="84"/>
      <c r="X254" s="84" t="s">
        <v>1229</v>
      </c>
    </row>
    <row r="255" spans="1:24" s="85" customFormat="1" ht="45" customHeight="1" x14ac:dyDescent="0.3">
      <c r="A255" s="78"/>
      <c r="B255" s="79"/>
      <c r="C255" s="80" t="s">
        <v>915</v>
      </c>
      <c r="D255" s="80" t="s">
        <v>1230</v>
      </c>
      <c r="E255" s="80"/>
      <c r="F255" s="80">
        <v>127</v>
      </c>
      <c r="G255" s="80"/>
      <c r="H255" s="80"/>
      <c r="I255" s="80" t="s">
        <v>523</v>
      </c>
      <c r="J255" s="87"/>
      <c r="K255" s="80"/>
      <c r="L255" s="80"/>
      <c r="M255" s="86">
        <f>F255-F255*17%</f>
        <v>105.41</v>
      </c>
      <c r="N255" s="86" t="s">
        <v>1227</v>
      </c>
      <c r="O255" s="86" t="s">
        <v>1228</v>
      </c>
      <c r="P255" s="86" t="s">
        <v>1228</v>
      </c>
      <c r="Q255" s="80">
        <v>0</v>
      </c>
      <c r="R255" s="80"/>
      <c r="S255" s="80"/>
      <c r="T255" s="80"/>
      <c r="U255" s="80"/>
      <c r="V255" s="79"/>
      <c r="W255" s="80"/>
      <c r="X255" s="80" t="s">
        <v>1229</v>
      </c>
    </row>
    <row r="256" spans="1:24" s="85" customFormat="1" ht="45" customHeight="1" x14ac:dyDescent="0.3">
      <c r="A256" s="82"/>
      <c r="B256" s="83"/>
      <c r="C256" s="84" t="s">
        <v>916</v>
      </c>
      <c r="D256" s="84" t="s">
        <v>1230</v>
      </c>
      <c r="E256" s="84"/>
      <c r="F256" s="84">
        <v>132.75</v>
      </c>
      <c r="G256" s="84"/>
      <c r="H256" s="84"/>
      <c r="I256" s="84" t="s">
        <v>523</v>
      </c>
      <c r="J256" s="81"/>
      <c r="K256" s="84"/>
      <c r="L256" s="84"/>
      <c r="M256" s="84">
        <f>F256-F256*17%</f>
        <v>110.1825</v>
      </c>
      <c r="N256" s="84" t="s">
        <v>1227</v>
      </c>
      <c r="O256" s="84" t="s">
        <v>1228</v>
      </c>
      <c r="P256" s="84" t="s">
        <v>1228</v>
      </c>
      <c r="Q256" s="84">
        <v>0</v>
      </c>
      <c r="R256" s="84"/>
      <c r="S256" s="84"/>
      <c r="T256" s="84"/>
      <c r="U256" s="84"/>
      <c r="V256" s="83"/>
      <c r="W256" s="84"/>
      <c r="X256" s="84" t="s">
        <v>1229</v>
      </c>
    </row>
    <row r="257" spans="1:24" s="85" customFormat="1" ht="45" customHeight="1" x14ac:dyDescent="0.3">
      <c r="A257" s="78"/>
      <c r="B257" s="79"/>
      <c r="C257" s="80" t="s">
        <v>917</v>
      </c>
      <c r="D257" s="80" t="s">
        <v>1230</v>
      </c>
      <c r="E257" s="80"/>
      <c r="F257" s="80">
        <v>13.25</v>
      </c>
      <c r="G257" s="80"/>
      <c r="H257" s="80"/>
      <c r="I257" s="80" t="s">
        <v>523</v>
      </c>
      <c r="J257" s="87"/>
      <c r="K257" s="80"/>
      <c r="L257" s="80"/>
      <c r="M257" s="86">
        <f>F257-F257*17%</f>
        <v>10.9975</v>
      </c>
      <c r="N257" s="86" t="s">
        <v>1227</v>
      </c>
      <c r="O257" s="86" t="s">
        <v>1228</v>
      </c>
      <c r="P257" s="86" t="s">
        <v>1228</v>
      </c>
      <c r="Q257" s="80">
        <v>0</v>
      </c>
      <c r="R257" s="80"/>
      <c r="S257" s="80"/>
      <c r="T257" s="80"/>
      <c r="U257" s="80"/>
      <c r="V257" s="79"/>
      <c r="W257" s="80"/>
      <c r="X257" s="80" t="s">
        <v>1229</v>
      </c>
    </row>
    <row r="258" spans="1:24" s="85" customFormat="1" ht="45" customHeight="1" x14ac:dyDescent="0.3">
      <c r="A258" s="82"/>
      <c r="B258" s="83"/>
      <c r="C258" s="84" t="s">
        <v>918</v>
      </c>
      <c r="D258" s="84" t="s">
        <v>1230</v>
      </c>
      <c r="E258" s="84"/>
      <c r="F258" s="84">
        <v>17</v>
      </c>
      <c r="G258" s="84"/>
      <c r="H258" s="84"/>
      <c r="I258" s="84" t="s">
        <v>523</v>
      </c>
      <c r="J258" s="81"/>
      <c r="K258" s="84"/>
      <c r="L258" s="84"/>
      <c r="M258" s="84">
        <f>F258-F258*17%</f>
        <v>14.11</v>
      </c>
      <c r="N258" s="84" t="s">
        <v>1227</v>
      </c>
      <c r="O258" s="84" t="s">
        <v>1228</v>
      </c>
      <c r="P258" s="84" t="s">
        <v>1228</v>
      </c>
      <c r="Q258" s="84">
        <v>0</v>
      </c>
      <c r="R258" s="84"/>
      <c r="S258" s="84"/>
      <c r="T258" s="84"/>
      <c r="U258" s="84"/>
      <c r="V258" s="83"/>
      <c r="W258" s="84"/>
      <c r="X258" s="84" t="s">
        <v>1229</v>
      </c>
    </row>
    <row r="259" spans="1:24" s="85" customFormat="1" ht="45" customHeight="1" x14ac:dyDescent="0.3">
      <c r="A259" s="78"/>
      <c r="B259" s="79"/>
      <c r="C259" s="80" t="s">
        <v>919</v>
      </c>
      <c r="D259" s="80" t="s">
        <v>1230</v>
      </c>
      <c r="E259" s="80"/>
      <c r="F259" s="80">
        <v>17</v>
      </c>
      <c r="G259" s="80"/>
      <c r="H259" s="80"/>
      <c r="I259" s="80" t="s">
        <v>523</v>
      </c>
      <c r="J259" s="87"/>
      <c r="K259" s="80"/>
      <c r="L259" s="80"/>
      <c r="M259" s="86">
        <f>F259-F259*17%</f>
        <v>14.11</v>
      </c>
      <c r="N259" s="86" t="s">
        <v>1227</v>
      </c>
      <c r="O259" s="86" t="s">
        <v>1228</v>
      </c>
      <c r="P259" s="86" t="s">
        <v>1228</v>
      </c>
      <c r="Q259" s="80">
        <v>0</v>
      </c>
      <c r="R259" s="80"/>
      <c r="S259" s="80"/>
      <c r="T259" s="80"/>
      <c r="U259" s="80"/>
      <c r="V259" s="79"/>
      <c r="W259" s="80"/>
      <c r="X259" s="80" t="s">
        <v>1229</v>
      </c>
    </row>
    <row r="260" spans="1:24" s="85" customFormat="1" ht="45" customHeight="1" x14ac:dyDescent="0.3">
      <c r="A260" s="82"/>
      <c r="B260" s="83"/>
      <c r="C260" s="84" t="s">
        <v>920</v>
      </c>
      <c r="D260" s="84" t="s">
        <v>1230</v>
      </c>
      <c r="E260" s="84"/>
      <c r="F260" s="84">
        <v>51</v>
      </c>
      <c r="G260" s="84"/>
      <c r="H260" s="84"/>
      <c r="I260" s="84" t="s">
        <v>523</v>
      </c>
      <c r="J260" s="81"/>
      <c r="K260" s="84"/>
      <c r="L260" s="84"/>
      <c r="M260" s="84">
        <f>F260-F260*17%</f>
        <v>42.33</v>
      </c>
      <c r="N260" s="84" t="s">
        <v>1227</v>
      </c>
      <c r="O260" s="84" t="s">
        <v>1228</v>
      </c>
      <c r="P260" s="84" t="s">
        <v>1228</v>
      </c>
      <c r="Q260" s="84">
        <v>0</v>
      </c>
      <c r="R260" s="84"/>
      <c r="S260" s="84"/>
      <c r="T260" s="84"/>
      <c r="U260" s="84"/>
      <c r="V260" s="83"/>
      <c r="W260" s="84"/>
      <c r="X260" s="84" t="s">
        <v>1229</v>
      </c>
    </row>
    <row r="261" spans="1:24" s="85" customFormat="1" ht="45" customHeight="1" x14ac:dyDescent="0.3">
      <c r="A261" s="78"/>
      <c r="B261" s="79"/>
      <c r="C261" s="80" t="s">
        <v>921</v>
      </c>
      <c r="D261" s="80" t="s">
        <v>1230</v>
      </c>
      <c r="E261" s="80"/>
      <c r="F261" s="80">
        <v>61.25</v>
      </c>
      <c r="G261" s="80"/>
      <c r="H261" s="80"/>
      <c r="I261" s="80" t="s">
        <v>523</v>
      </c>
      <c r="J261" s="87"/>
      <c r="K261" s="80"/>
      <c r="L261" s="80"/>
      <c r="M261" s="86">
        <f>F261-F261*17%</f>
        <v>50.837499999999999</v>
      </c>
      <c r="N261" s="86" t="s">
        <v>1227</v>
      </c>
      <c r="O261" s="86" t="s">
        <v>1228</v>
      </c>
      <c r="P261" s="86" t="s">
        <v>1228</v>
      </c>
      <c r="Q261" s="80">
        <v>0</v>
      </c>
      <c r="R261" s="80"/>
      <c r="S261" s="80"/>
      <c r="T261" s="80"/>
      <c r="U261" s="80"/>
      <c r="V261" s="79"/>
      <c r="W261" s="80"/>
      <c r="X261" s="80" t="s">
        <v>1229</v>
      </c>
    </row>
    <row r="262" spans="1:24" s="85" customFormat="1" ht="45" customHeight="1" x14ac:dyDescent="0.3">
      <c r="A262" s="82"/>
      <c r="B262" s="83"/>
      <c r="C262" s="84" t="s">
        <v>922</v>
      </c>
      <c r="D262" s="84" t="s">
        <v>1230</v>
      </c>
      <c r="E262" s="84"/>
      <c r="F262" s="84">
        <v>75.75</v>
      </c>
      <c r="G262" s="84"/>
      <c r="H262" s="84"/>
      <c r="I262" s="84" t="s">
        <v>523</v>
      </c>
      <c r="J262" s="81"/>
      <c r="K262" s="84"/>
      <c r="L262" s="84"/>
      <c r="M262" s="84">
        <f>F262-F262*17%</f>
        <v>62.872500000000002</v>
      </c>
      <c r="N262" s="84" t="s">
        <v>1227</v>
      </c>
      <c r="O262" s="84" t="s">
        <v>1228</v>
      </c>
      <c r="P262" s="84" t="s">
        <v>1228</v>
      </c>
      <c r="Q262" s="84">
        <v>0</v>
      </c>
      <c r="R262" s="84"/>
      <c r="S262" s="84"/>
      <c r="T262" s="84"/>
      <c r="U262" s="84"/>
      <c r="V262" s="83"/>
      <c r="W262" s="84"/>
      <c r="X262" s="84" t="s">
        <v>1229</v>
      </c>
    </row>
    <row r="263" spans="1:24" s="85" customFormat="1" ht="45" customHeight="1" x14ac:dyDescent="0.3">
      <c r="A263" s="78"/>
      <c r="B263" s="79"/>
      <c r="C263" s="80" t="s">
        <v>999</v>
      </c>
      <c r="D263" s="80" t="s">
        <v>1230</v>
      </c>
      <c r="E263" s="80"/>
      <c r="F263" s="80">
        <v>118.5</v>
      </c>
      <c r="G263" s="80"/>
      <c r="H263" s="80"/>
      <c r="I263" s="80" t="s">
        <v>523</v>
      </c>
      <c r="J263" s="87"/>
      <c r="K263" s="80"/>
      <c r="L263" s="80"/>
      <c r="M263" s="86">
        <f>F263-F263*17%</f>
        <v>98.35499999999999</v>
      </c>
      <c r="N263" s="86" t="s">
        <v>1227</v>
      </c>
      <c r="O263" s="86" t="s">
        <v>1228</v>
      </c>
      <c r="P263" s="86" t="s">
        <v>1228</v>
      </c>
      <c r="Q263" s="80">
        <v>0</v>
      </c>
      <c r="R263" s="80"/>
      <c r="S263" s="80"/>
      <c r="T263" s="80"/>
      <c r="U263" s="80"/>
      <c r="V263" s="79"/>
      <c r="W263" s="80"/>
      <c r="X263" s="80" t="s">
        <v>1229</v>
      </c>
    </row>
    <row r="264" spans="1:24" s="85" customFormat="1" ht="45" customHeight="1" x14ac:dyDescent="0.3">
      <c r="A264" s="82"/>
      <c r="B264" s="83"/>
      <c r="C264" s="84" t="s">
        <v>923</v>
      </c>
      <c r="D264" s="84" t="s">
        <v>1230</v>
      </c>
      <c r="E264" s="84"/>
      <c r="F264" s="84">
        <v>134.25</v>
      </c>
      <c r="G264" s="84"/>
      <c r="H264" s="84"/>
      <c r="I264" s="84" t="s">
        <v>523</v>
      </c>
      <c r="J264" s="81"/>
      <c r="K264" s="84"/>
      <c r="L264" s="84"/>
      <c r="M264" s="84">
        <f>F264-F264*17%</f>
        <v>111.42749999999999</v>
      </c>
      <c r="N264" s="84" t="s">
        <v>1227</v>
      </c>
      <c r="O264" s="84" t="s">
        <v>1228</v>
      </c>
      <c r="P264" s="84" t="s">
        <v>1228</v>
      </c>
      <c r="Q264" s="84">
        <v>0</v>
      </c>
      <c r="R264" s="84"/>
      <c r="S264" s="84"/>
      <c r="T264" s="84"/>
      <c r="U264" s="84"/>
      <c r="V264" s="83"/>
      <c r="W264" s="84"/>
      <c r="X264" s="84" t="s">
        <v>1229</v>
      </c>
    </row>
    <row r="265" spans="1:24" s="85" customFormat="1" ht="45" customHeight="1" x14ac:dyDescent="0.3">
      <c r="A265" s="78"/>
      <c r="B265" s="79"/>
      <c r="C265" s="80" t="s">
        <v>924</v>
      </c>
      <c r="D265" s="80" t="s">
        <v>1230</v>
      </c>
      <c r="E265" s="80"/>
      <c r="F265" s="80">
        <v>188.75</v>
      </c>
      <c r="G265" s="80"/>
      <c r="H265" s="80"/>
      <c r="I265" s="80" t="s">
        <v>523</v>
      </c>
      <c r="J265" s="87"/>
      <c r="K265" s="80"/>
      <c r="L265" s="80"/>
      <c r="M265" s="86">
        <f>F265-F265*17%</f>
        <v>156.66249999999999</v>
      </c>
      <c r="N265" s="86" t="s">
        <v>1227</v>
      </c>
      <c r="O265" s="86" t="s">
        <v>1228</v>
      </c>
      <c r="P265" s="86" t="s">
        <v>1228</v>
      </c>
      <c r="Q265" s="80">
        <v>0</v>
      </c>
      <c r="R265" s="80"/>
      <c r="S265" s="80"/>
      <c r="T265" s="80"/>
      <c r="U265" s="80"/>
      <c r="V265" s="79"/>
      <c r="W265" s="80"/>
      <c r="X265" s="80" t="s">
        <v>1229</v>
      </c>
    </row>
    <row r="266" spans="1:24" s="85" customFormat="1" ht="45" customHeight="1" x14ac:dyDescent="0.3">
      <c r="A266" s="82"/>
      <c r="B266" s="83"/>
      <c r="C266" s="84" t="s">
        <v>1097</v>
      </c>
      <c r="D266" s="84" t="s">
        <v>1230</v>
      </c>
      <c r="E266" s="84"/>
      <c r="F266" s="84">
        <v>1478.75</v>
      </c>
      <c r="G266" s="84"/>
      <c r="H266" s="84"/>
      <c r="I266" s="84" t="s">
        <v>523</v>
      </c>
      <c r="J266" s="81"/>
      <c r="K266" s="84"/>
      <c r="L266" s="84"/>
      <c r="M266" s="84">
        <f>F266-F266*17%</f>
        <v>1227.3625</v>
      </c>
      <c r="N266" s="84" t="s">
        <v>1227</v>
      </c>
      <c r="O266" s="84" t="s">
        <v>1228</v>
      </c>
      <c r="P266" s="84" t="s">
        <v>1228</v>
      </c>
      <c r="Q266" s="84">
        <v>0</v>
      </c>
      <c r="R266" s="84"/>
      <c r="S266" s="84"/>
      <c r="T266" s="84"/>
      <c r="U266" s="84"/>
      <c r="V266" s="83"/>
      <c r="W266" s="84"/>
      <c r="X266" s="84" t="s">
        <v>1229</v>
      </c>
    </row>
    <row r="267" spans="1:24" s="85" customFormat="1" ht="45" customHeight="1" x14ac:dyDescent="0.3">
      <c r="A267" s="78"/>
      <c r="B267" s="79"/>
      <c r="C267" s="80" t="s">
        <v>1098</v>
      </c>
      <c r="D267" s="80" t="s">
        <v>1230</v>
      </c>
      <c r="E267" s="80"/>
      <c r="F267" s="80">
        <v>1478.75</v>
      </c>
      <c r="G267" s="80"/>
      <c r="H267" s="80"/>
      <c r="I267" s="80" t="s">
        <v>523</v>
      </c>
      <c r="J267" s="87"/>
      <c r="K267" s="80"/>
      <c r="L267" s="80"/>
      <c r="M267" s="86">
        <f>F267-F267*17%</f>
        <v>1227.3625</v>
      </c>
      <c r="N267" s="86" t="s">
        <v>1227</v>
      </c>
      <c r="O267" s="86" t="s">
        <v>1228</v>
      </c>
      <c r="P267" s="86" t="s">
        <v>1228</v>
      </c>
      <c r="Q267" s="80">
        <v>0</v>
      </c>
      <c r="R267" s="80"/>
      <c r="S267" s="80"/>
      <c r="T267" s="80"/>
      <c r="U267" s="80"/>
      <c r="V267" s="79"/>
      <c r="W267" s="80"/>
      <c r="X267" s="80" t="s">
        <v>1229</v>
      </c>
    </row>
    <row r="268" spans="1:24" s="85" customFormat="1" ht="45" customHeight="1" x14ac:dyDescent="0.3">
      <c r="A268" s="82"/>
      <c r="B268" s="83"/>
      <c r="C268" s="84" t="s">
        <v>925</v>
      </c>
      <c r="D268" s="84" t="s">
        <v>1230</v>
      </c>
      <c r="E268" s="84"/>
      <c r="F268" s="84">
        <v>46</v>
      </c>
      <c r="G268" s="84"/>
      <c r="H268" s="84"/>
      <c r="I268" s="84" t="s">
        <v>523</v>
      </c>
      <c r="J268" s="81"/>
      <c r="K268" s="84"/>
      <c r="L268" s="84"/>
      <c r="M268" s="84">
        <f>F268-F268*17%</f>
        <v>38.18</v>
      </c>
      <c r="N268" s="84" t="s">
        <v>1227</v>
      </c>
      <c r="O268" s="84" t="s">
        <v>1228</v>
      </c>
      <c r="P268" s="84" t="s">
        <v>1228</v>
      </c>
      <c r="Q268" s="84">
        <v>0</v>
      </c>
      <c r="R268" s="84"/>
      <c r="S268" s="84"/>
      <c r="T268" s="84"/>
      <c r="U268" s="84"/>
      <c r="V268" s="83"/>
      <c r="W268" s="84"/>
      <c r="X268" s="84" t="s">
        <v>1229</v>
      </c>
    </row>
    <row r="269" spans="1:24" s="85" customFormat="1" ht="45" customHeight="1" x14ac:dyDescent="0.3">
      <c r="A269" s="78"/>
      <c r="B269" s="79"/>
      <c r="C269" s="80" t="s">
        <v>926</v>
      </c>
      <c r="D269" s="80" t="s">
        <v>1230</v>
      </c>
      <c r="E269" s="80"/>
      <c r="F269" s="80">
        <v>58.75</v>
      </c>
      <c r="G269" s="80"/>
      <c r="H269" s="80"/>
      <c r="I269" s="80" t="s">
        <v>523</v>
      </c>
      <c r="J269" s="87"/>
      <c r="K269" s="80"/>
      <c r="L269" s="80"/>
      <c r="M269" s="86">
        <f>F269-F269*17%</f>
        <v>48.762500000000003</v>
      </c>
      <c r="N269" s="86" t="s">
        <v>1227</v>
      </c>
      <c r="O269" s="86" t="s">
        <v>1228</v>
      </c>
      <c r="P269" s="86" t="s">
        <v>1228</v>
      </c>
      <c r="Q269" s="80">
        <v>0</v>
      </c>
      <c r="R269" s="80"/>
      <c r="S269" s="80"/>
      <c r="T269" s="80"/>
      <c r="U269" s="80"/>
      <c r="V269" s="79"/>
      <c r="W269" s="80"/>
      <c r="X269" s="80" t="s">
        <v>1229</v>
      </c>
    </row>
    <row r="270" spans="1:24" s="85" customFormat="1" ht="45" customHeight="1" x14ac:dyDescent="0.3">
      <c r="A270" s="82"/>
      <c r="B270" s="83"/>
      <c r="C270" s="84" t="s">
        <v>927</v>
      </c>
      <c r="D270" s="84" t="s">
        <v>1230</v>
      </c>
      <c r="E270" s="84"/>
      <c r="F270" s="84">
        <v>78.75</v>
      </c>
      <c r="G270" s="84"/>
      <c r="H270" s="84"/>
      <c r="I270" s="84" t="s">
        <v>523</v>
      </c>
      <c r="J270" s="81"/>
      <c r="K270" s="84"/>
      <c r="L270" s="84"/>
      <c r="M270" s="84">
        <f>F270-F270*17%</f>
        <v>65.362499999999997</v>
      </c>
      <c r="N270" s="84" t="s">
        <v>1227</v>
      </c>
      <c r="O270" s="84" t="s">
        <v>1228</v>
      </c>
      <c r="P270" s="84" t="s">
        <v>1228</v>
      </c>
      <c r="Q270" s="84">
        <v>0</v>
      </c>
      <c r="R270" s="84"/>
      <c r="S270" s="84"/>
      <c r="T270" s="84"/>
      <c r="U270" s="84"/>
      <c r="V270" s="83"/>
      <c r="W270" s="84"/>
      <c r="X270" s="84" t="s">
        <v>1229</v>
      </c>
    </row>
    <row r="271" spans="1:24" s="85" customFormat="1" ht="45" customHeight="1" x14ac:dyDescent="0.3">
      <c r="A271" s="78"/>
      <c r="B271" s="79"/>
      <c r="C271" s="80" t="s">
        <v>928</v>
      </c>
      <c r="D271" s="80" t="s">
        <v>1230</v>
      </c>
      <c r="E271" s="80"/>
      <c r="F271" s="80">
        <v>71.25</v>
      </c>
      <c r="G271" s="80"/>
      <c r="H271" s="80"/>
      <c r="I271" s="80" t="s">
        <v>523</v>
      </c>
      <c r="J271" s="87"/>
      <c r="K271" s="80"/>
      <c r="L271" s="80"/>
      <c r="M271" s="86">
        <f>F271-F271*17%</f>
        <v>59.137500000000003</v>
      </c>
      <c r="N271" s="86" t="s">
        <v>1227</v>
      </c>
      <c r="O271" s="86" t="s">
        <v>1228</v>
      </c>
      <c r="P271" s="86" t="s">
        <v>1228</v>
      </c>
      <c r="Q271" s="80">
        <v>0</v>
      </c>
      <c r="R271" s="80"/>
      <c r="S271" s="80"/>
      <c r="T271" s="80"/>
      <c r="U271" s="80"/>
      <c r="V271" s="79"/>
      <c r="W271" s="80"/>
      <c r="X271" s="80" t="s">
        <v>1229</v>
      </c>
    </row>
    <row r="272" spans="1:24" s="85" customFormat="1" ht="45" customHeight="1" x14ac:dyDescent="0.3">
      <c r="A272" s="82"/>
      <c r="B272" s="83"/>
      <c r="C272" s="84" t="s">
        <v>914</v>
      </c>
      <c r="D272" s="84" t="s">
        <v>1230</v>
      </c>
      <c r="E272" s="84"/>
      <c r="F272" s="84">
        <v>78</v>
      </c>
      <c r="G272" s="84"/>
      <c r="H272" s="84"/>
      <c r="I272" s="84" t="s">
        <v>523</v>
      </c>
      <c r="J272" s="81"/>
      <c r="K272" s="84"/>
      <c r="L272" s="84"/>
      <c r="M272" s="84">
        <f>F272-F272*17%</f>
        <v>64.739999999999995</v>
      </c>
      <c r="N272" s="84" t="s">
        <v>1227</v>
      </c>
      <c r="O272" s="84" t="s">
        <v>1228</v>
      </c>
      <c r="P272" s="84" t="s">
        <v>1228</v>
      </c>
      <c r="Q272" s="84">
        <v>0</v>
      </c>
      <c r="R272" s="84"/>
      <c r="S272" s="84"/>
      <c r="T272" s="84"/>
      <c r="U272" s="84"/>
      <c r="V272" s="83"/>
      <c r="W272" s="84"/>
      <c r="X272" s="84" t="s">
        <v>1229</v>
      </c>
    </row>
    <row r="273" spans="1:24" s="85" customFormat="1" ht="45" customHeight="1" x14ac:dyDescent="0.3">
      <c r="A273" s="78"/>
      <c r="B273" s="79"/>
      <c r="C273" s="80" t="s">
        <v>929</v>
      </c>
      <c r="D273" s="80" t="s">
        <v>1230</v>
      </c>
      <c r="E273" s="80"/>
      <c r="F273" s="80">
        <v>127</v>
      </c>
      <c r="G273" s="80"/>
      <c r="H273" s="80"/>
      <c r="I273" s="80" t="s">
        <v>523</v>
      </c>
      <c r="J273" s="87"/>
      <c r="K273" s="80"/>
      <c r="L273" s="80"/>
      <c r="M273" s="86">
        <f>F273-F273*17%</f>
        <v>105.41</v>
      </c>
      <c r="N273" s="86" t="s">
        <v>1227</v>
      </c>
      <c r="O273" s="86" t="s">
        <v>1228</v>
      </c>
      <c r="P273" s="86" t="s">
        <v>1228</v>
      </c>
      <c r="Q273" s="80">
        <v>0</v>
      </c>
      <c r="R273" s="80"/>
      <c r="S273" s="80"/>
      <c r="T273" s="80"/>
      <c r="U273" s="80"/>
      <c r="V273" s="79"/>
      <c r="W273" s="80"/>
      <c r="X273" s="80" t="s">
        <v>1229</v>
      </c>
    </row>
    <row r="274" spans="1:24" s="85" customFormat="1" ht="45" customHeight="1" x14ac:dyDescent="0.3">
      <c r="A274" s="82"/>
      <c r="B274" s="83"/>
      <c r="C274" s="84" t="s">
        <v>916</v>
      </c>
      <c r="D274" s="84" t="s">
        <v>1230</v>
      </c>
      <c r="E274" s="84"/>
      <c r="F274" s="84">
        <v>132.75</v>
      </c>
      <c r="G274" s="84"/>
      <c r="H274" s="84"/>
      <c r="I274" s="84" t="s">
        <v>523</v>
      </c>
      <c r="J274" s="81"/>
      <c r="K274" s="84"/>
      <c r="L274" s="84"/>
      <c r="M274" s="84">
        <f>F274-F274*17%</f>
        <v>110.1825</v>
      </c>
      <c r="N274" s="84" t="s">
        <v>1227</v>
      </c>
      <c r="O274" s="84" t="s">
        <v>1228</v>
      </c>
      <c r="P274" s="84" t="s">
        <v>1228</v>
      </c>
      <c r="Q274" s="84">
        <v>0</v>
      </c>
      <c r="R274" s="84"/>
      <c r="S274" s="84"/>
      <c r="T274" s="84"/>
      <c r="U274" s="84"/>
      <c r="V274" s="83"/>
      <c r="W274" s="84"/>
      <c r="X274" s="84" t="s">
        <v>1229</v>
      </c>
    </row>
    <row r="275" spans="1:24" s="85" customFormat="1" ht="45" customHeight="1" x14ac:dyDescent="0.3">
      <c r="A275" s="78"/>
      <c r="B275" s="79"/>
      <c r="C275" s="80" t="s">
        <v>930</v>
      </c>
      <c r="D275" s="80" t="s">
        <v>1230</v>
      </c>
      <c r="E275" s="80"/>
      <c r="F275" s="80">
        <v>13.25</v>
      </c>
      <c r="G275" s="80"/>
      <c r="H275" s="80"/>
      <c r="I275" s="80" t="s">
        <v>523</v>
      </c>
      <c r="J275" s="87"/>
      <c r="K275" s="80"/>
      <c r="L275" s="80"/>
      <c r="M275" s="86">
        <f>F275-F275*17%</f>
        <v>10.9975</v>
      </c>
      <c r="N275" s="86" t="s">
        <v>1227</v>
      </c>
      <c r="O275" s="86" t="s">
        <v>1228</v>
      </c>
      <c r="P275" s="86" t="s">
        <v>1228</v>
      </c>
      <c r="Q275" s="80">
        <v>0</v>
      </c>
      <c r="R275" s="80"/>
      <c r="S275" s="80"/>
      <c r="T275" s="80"/>
      <c r="U275" s="80"/>
      <c r="V275" s="79"/>
      <c r="W275" s="80"/>
      <c r="X275" s="80" t="s">
        <v>1229</v>
      </c>
    </row>
    <row r="276" spans="1:24" s="85" customFormat="1" ht="45" customHeight="1" x14ac:dyDescent="0.3">
      <c r="A276" s="82"/>
      <c r="B276" s="83"/>
      <c r="C276" s="84" t="s">
        <v>918</v>
      </c>
      <c r="D276" s="84" t="s">
        <v>1230</v>
      </c>
      <c r="E276" s="84"/>
      <c r="F276" s="84">
        <v>17</v>
      </c>
      <c r="G276" s="84"/>
      <c r="H276" s="84"/>
      <c r="I276" s="84" t="s">
        <v>523</v>
      </c>
      <c r="J276" s="81"/>
      <c r="K276" s="84"/>
      <c r="L276" s="84"/>
      <c r="M276" s="84">
        <f>F276-F276*17%</f>
        <v>14.11</v>
      </c>
      <c r="N276" s="84" t="s">
        <v>1227</v>
      </c>
      <c r="O276" s="84" t="s">
        <v>1228</v>
      </c>
      <c r="P276" s="84" t="s">
        <v>1228</v>
      </c>
      <c r="Q276" s="84">
        <v>0</v>
      </c>
      <c r="R276" s="84"/>
      <c r="S276" s="84"/>
      <c r="T276" s="84"/>
      <c r="U276" s="84"/>
      <c r="V276" s="83"/>
      <c r="W276" s="84"/>
      <c r="X276" s="84" t="s">
        <v>1229</v>
      </c>
    </row>
    <row r="277" spans="1:24" s="85" customFormat="1" ht="45" customHeight="1" x14ac:dyDescent="0.3">
      <c r="A277" s="78"/>
      <c r="B277" s="79"/>
      <c r="C277" s="80" t="s">
        <v>931</v>
      </c>
      <c r="D277" s="80" t="s">
        <v>1230</v>
      </c>
      <c r="E277" s="80"/>
      <c r="F277" s="80">
        <v>17</v>
      </c>
      <c r="G277" s="80"/>
      <c r="H277" s="80"/>
      <c r="I277" s="80" t="s">
        <v>523</v>
      </c>
      <c r="J277" s="87"/>
      <c r="K277" s="80"/>
      <c r="L277" s="80"/>
      <c r="M277" s="86">
        <f>F277-F277*17%</f>
        <v>14.11</v>
      </c>
      <c r="N277" s="86" t="s">
        <v>1227</v>
      </c>
      <c r="O277" s="86" t="s">
        <v>1228</v>
      </c>
      <c r="P277" s="86" t="s">
        <v>1228</v>
      </c>
      <c r="Q277" s="80">
        <v>0</v>
      </c>
      <c r="R277" s="80"/>
      <c r="S277" s="80"/>
      <c r="T277" s="80"/>
      <c r="U277" s="80"/>
      <c r="V277" s="79"/>
      <c r="W277" s="80"/>
      <c r="X277" s="80" t="s">
        <v>1229</v>
      </c>
    </row>
    <row r="278" spans="1:24" s="85" customFormat="1" ht="45" customHeight="1" x14ac:dyDescent="0.3">
      <c r="A278" s="82"/>
      <c r="B278" s="83"/>
      <c r="C278" s="84" t="s">
        <v>920</v>
      </c>
      <c r="D278" s="84" t="s">
        <v>1230</v>
      </c>
      <c r="E278" s="84"/>
      <c r="F278" s="84">
        <v>51</v>
      </c>
      <c r="G278" s="84"/>
      <c r="H278" s="84"/>
      <c r="I278" s="84" t="s">
        <v>523</v>
      </c>
      <c r="J278" s="81"/>
      <c r="K278" s="84"/>
      <c r="L278" s="84"/>
      <c r="M278" s="84">
        <f>F278-F278*17%</f>
        <v>42.33</v>
      </c>
      <c r="N278" s="84" t="s">
        <v>1227</v>
      </c>
      <c r="O278" s="84" t="s">
        <v>1228</v>
      </c>
      <c r="P278" s="84" t="s">
        <v>1228</v>
      </c>
      <c r="Q278" s="84">
        <v>0</v>
      </c>
      <c r="R278" s="84"/>
      <c r="S278" s="84"/>
      <c r="T278" s="84"/>
      <c r="U278" s="84"/>
      <c r="V278" s="83"/>
      <c r="W278" s="84"/>
      <c r="X278" s="84" t="s">
        <v>1229</v>
      </c>
    </row>
    <row r="279" spans="1:24" s="85" customFormat="1" ht="45" customHeight="1" x14ac:dyDescent="0.3">
      <c r="A279" s="78"/>
      <c r="B279" s="79"/>
      <c r="C279" s="80" t="s">
        <v>921</v>
      </c>
      <c r="D279" s="80" t="s">
        <v>1230</v>
      </c>
      <c r="E279" s="80"/>
      <c r="F279" s="80">
        <v>61.25</v>
      </c>
      <c r="G279" s="80"/>
      <c r="H279" s="80"/>
      <c r="I279" s="80" t="s">
        <v>523</v>
      </c>
      <c r="J279" s="87"/>
      <c r="K279" s="80"/>
      <c r="L279" s="80"/>
      <c r="M279" s="86">
        <f>F279-F279*17%</f>
        <v>50.837499999999999</v>
      </c>
      <c r="N279" s="86" t="s">
        <v>1227</v>
      </c>
      <c r="O279" s="86" t="s">
        <v>1228</v>
      </c>
      <c r="P279" s="86" t="s">
        <v>1228</v>
      </c>
      <c r="Q279" s="80">
        <v>0</v>
      </c>
      <c r="R279" s="80"/>
      <c r="S279" s="80"/>
      <c r="T279" s="80"/>
      <c r="U279" s="80"/>
      <c r="V279" s="79"/>
      <c r="W279" s="80"/>
      <c r="X279" s="80" t="s">
        <v>1229</v>
      </c>
    </row>
    <row r="280" spans="1:24" s="85" customFormat="1" ht="45" customHeight="1" x14ac:dyDescent="0.3">
      <c r="A280" s="82"/>
      <c r="B280" s="83"/>
      <c r="C280" s="84" t="s">
        <v>932</v>
      </c>
      <c r="D280" s="84" t="s">
        <v>1230</v>
      </c>
      <c r="E280" s="84"/>
      <c r="F280" s="84">
        <v>75.75</v>
      </c>
      <c r="G280" s="84"/>
      <c r="H280" s="84"/>
      <c r="I280" s="84" t="s">
        <v>523</v>
      </c>
      <c r="J280" s="81"/>
      <c r="K280" s="84"/>
      <c r="L280" s="84"/>
      <c r="M280" s="84">
        <f>F280-F280*17%</f>
        <v>62.872500000000002</v>
      </c>
      <c r="N280" s="84" t="s">
        <v>1227</v>
      </c>
      <c r="O280" s="84" t="s">
        <v>1228</v>
      </c>
      <c r="P280" s="84" t="s">
        <v>1228</v>
      </c>
      <c r="Q280" s="84">
        <v>0</v>
      </c>
      <c r="R280" s="84"/>
      <c r="S280" s="84"/>
      <c r="T280" s="84"/>
      <c r="U280" s="84"/>
      <c r="V280" s="83"/>
      <c r="W280" s="84"/>
      <c r="X280" s="84" t="s">
        <v>1229</v>
      </c>
    </row>
    <row r="281" spans="1:24" s="85" customFormat="1" ht="45" customHeight="1" x14ac:dyDescent="0.3">
      <c r="A281" s="78"/>
      <c r="B281" s="79"/>
      <c r="C281" s="80" t="s">
        <v>1000</v>
      </c>
      <c r="D281" s="80" t="s">
        <v>1230</v>
      </c>
      <c r="E281" s="80"/>
      <c r="F281" s="80">
        <v>118.5</v>
      </c>
      <c r="G281" s="80"/>
      <c r="H281" s="80"/>
      <c r="I281" s="80" t="s">
        <v>523</v>
      </c>
      <c r="J281" s="87"/>
      <c r="K281" s="80"/>
      <c r="L281" s="80"/>
      <c r="M281" s="86">
        <f>F281-F281*17%</f>
        <v>98.35499999999999</v>
      </c>
      <c r="N281" s="86" t="s">
        <v>1227</v>
      </c>
      <c r="O281" s="86" t="s">
        <v>1228</v>
      </c>
      <c r="P281" s="86" t="s">
        <v>1228</v>
      </c>
      <c r="Q281" s="80">
        <v>0</v>
      </c>
      <c r="R281" s="80"/>
      <c r="S281" s="80"/>
      <c r="T281" s="80"/>
      <c r="U281" s="80"/>
      <c r="V281" s="79"/>
      <c r="W281" s="80"/>
      <c r="X281" s="80" t="s">
        <v>1229</v>
      </c>
    </row>
    <row r="282" spans="1:24" s="85" customFormat="1" ht="45" customHeight="1" x14ac:dyDescent="0.3">
      <c r="A282" s="82"/>
      <c r="B282" s="83"/>
      <c r="C282" s="84" t="s">
        <v>923</v>
      </c>
      <c r="D282" s="84" t="s">
        <v>1230</v>
      </c>
      <c r="E282" s="84"/>
      <c r="F282" s="84">
        <v>134.25</v>
      </c>
      <c r="G282" s="84"/>
      <c r="H282" s="84"/>
      <c r="I282" s="84" t="s">
        <v>523</v>
      </c>
      <c r="J282" s="81"/>
      <c r="K282" s="84"/>
      <c r="L282" s="84"/>
      <c r="M282" s="84">
        <f>F282-F282*17%</f>
        <v>111.42749999999999</v>
      </c>
      <c r="N282" s="84" t="s">
        <v>1227</v>
      </c>
      <c r="O282" s="84" t="s">
        <v>1228</v>
      </c>
      <c r="P282" s="84" t="s">
        <v>1228</v>
      </c>
      <c r="Q282" s="84">
        <v>0</v>
      </c>
      <c r="R282" s="84"/>
      <c r="S282" s="84"/>
      <c r="T282" s="84"/>
      <c r="U282" s="84"/>
      <c r="V282" s="83"/>
      <c r="W282" s="84"/>
      <c r="X282" s="84" t="s">
        <v>1229</v>
      </c>
    </row>
    <row r="283" spans="1:24" s="85" customFormat="1" ht="45" customHeight="1" x14ac:dyDescent="0.3">
      <c r="A283" s="78"/>
      <c r="B283" s="79"/>
      <c r="C283" s="80" t="s">
        <v>924</v>
      </c>
      <c r="D283" s="80" t="s">
        <v>1230</v>
      </c>
      <c r="E283" s="80"/>
      <c r="F283" s="80">
        <v>188.75</v>
      </c>
      <c r="G283" s="80"/>
      <c r="H283" s="80"/>
      <c r="I283" s="80" t="s">
        <v>523</v>
      </c>
      <c r="J283" s="87"/>
      <c r="K283" s="80"/>
      <c r="L283" s="80"/>
      <c r="M283" s="86">
        <f>F283-F283*17%</f>
        <v>156.66249999999999</v>
      </c>
      <c r="N283" s="86" t="s">
        <v>1227</v>
      </c>
      <c r="O283" s="86" t="s">
        <v>1228</v>
      </c>
      <c r="P283" s="86" t="s">
        <v>1228</v>
      </c>
      <c r="Q283" s="80">
        <v>0</v>
      </c>
      <c r="R283" s="80"/>
      <c r="S283" s="80"/>
      <c r="T283" s="80"/>
      <c r="U283" s="80"/>
      <c r="V283" s="79"/>
      <c r="W283" s="80"/>
      <c r="X283" s="80" t="s">
        <v>1229</v>
      </c>
    </row>
    <row r="284" spans="1:24" s="85" customFormat="1" ht="45" customHeight="1" x14ac:dyDescent="0.3">
      <c r="A284" s="82"/>
      <c r="B284" s="83"/>
      <c r="C284" s="84" t="s">
        <v>925</v>
      </c>
      <c r="D284" s="84" t="s">
        <v>1230</v>
      </c>
      <c r="E284" s="84"/>
      <c r="F284" s="84">
        <v>46</v>
      </c>
      <c r="G284" s="84"/>
      <c r="H284" s="84"/>
      <c r="I284" s="84" t="s">
        <v>523</v>
      </c>
      <c r="J284" s="81"/>
      <c r="K284" s="84"/>
      <c r="L284" s="84"/>
      <c r="M284" s="84">
        <f>F284-F284*17%</f>
        <v>38.18</v>
      </c>
      <c r="N284" s="84" t="s">
        <v>1227</v>
      </c>
      <c r="O284" s="84" t="s">
        <v>1228</v>
      </c>
      <c r="P284" s="84" t="s">
        <v>1228</v>
      </c>
      <c r="Q284" s="84">
        <v>0</v>
      </c>
      <c r="R284" s="84"/>
      <c r="S284" s="84"/>
      <c r="T284" s="84"/>
      <c r="U284" s="84"/>
      <c r="V284" s="83"/>
      <c r="W284" s="84"/>
      <c r="X284" s="84" t="s">
        <v>1229</v>
      </c>
    </row>
    <row r="285" spans="1:24" s="85" customFormat="1" ht="45" customHeight="1" x14ac:dyDescent="0.3">
      <c r="A285" s="78"/>
      <c r="B285" s="79"/>
      <c r="C285" s="80" t="s">
        <v>926</v>
      </c>
      <c r="D285" s="80" t="s">
        <v>1230</v>
      </c>
      <c r="E285" s="80"/>
      <c r="F285" s="80">
        <v>58.75</v>
      </c>
      <c r="G285" s="80"/>
      <c r="H285" s="80"/>
      <c r="I285" s="80" t="s">
        <v>523</v>
      </c>
      <c r="J285" s="87"/>
      <c r="K285" s="80"/>
      <c r="L285" s="80"/>
      <c r="M285" s="86">
        <f>F285-F285*17%</f>
        <v>48.762500000000003</v>
      </c>
      <c r="N285" s="86" t="s">
        <v>1227</v>
      </c>
      <c r="O285" s="86" t="s">
        <v>1228</v>
      </c>
      <c r="P285" s="86" t="s">
        <v>1228</v>
      </c>
      <c r="Q285" s="80">
        <v>0</v>
      </c>
      <c r="R285" s="80"/>
      <c r="S285" s="80"/>
      <c r="T285" s="80"/>
      <c r="U285" s="80"/>
      <c r="V285" s="79"/>
      <c r="W285" s="80"/>
      <c r="X285" s="80" t="s">
        <v>1229</v>
      </c>
    </row>
    <row r="286" spans="1:24" s="85" customFormat="1" ht="45" customHeight="1" x14ac:dyDescent="0.3">
      <c r="A286" s="82"/>
      <c r="B286" s="83"/>
      <c r="C286" s="84" t="s">
        <v>927</v>
      </c>
      <c r="D286" s="84" t="s">
        <v>1230</v>
      </c>
      <c r="E286" s="84"/>
      <c r="F286" s="84">
        <v>78.75</v>
      </c>
      <c r="G286" s="84"/>
      <c r="H286" s="84"/>
      <c r="I286" s="84" t="s">
        <v>523</v>
      </c>
      <c r="J286" s="81"/>
      <c r="K286" s="84"/>
      <c r="L286" s="84"/>
      <c r="M286" s="84">
        <f>F286-F286*17%</f>
        <v>65.362499999999997</v>
      </c>
      <c r="N286" s="84" t="s">
        <v>1227</v>
      </c>
      <c r="O286" s="84" t="s">
        <v>1228</v>
      </c>
      <c r="P286" s="84" t="s">
        <v>1228</v>
      </c>
      <c r="Q286" s="84">
        <v>0</v>
      </c>
      <c r="R286" s="84"/>
      <c r="S286" s="84"/>
      <c r="T286" s="84"/>
      <c r="U286" s="84"/>
      <c r="V286" s="83"/>
      <c r="W286" s="84"/>
      <c r="X286" s="84" t="s">
        <v>1229</v>
      </c>
    </row>
    <row r="287" spans="1:24" s="85" customFormat="1" ht="45" customHeight="1" x14ac:dyDescent="0.3">
      <c r="A287" s="78"/>
      <c r="B287" s="79"/>
      <c r="C287" s="80" t="s">
        <v>816</v>
      </c>
      <c r="D287" s="80" t="s">
        <v>1230</v>
      </c>
      <c r="E287" s="80"/>
      <c r="F287" s="80">
        <v>27</v>
      </c>
      <c r="G287" s="80"/>
      <c r="H287" s="80"/>
      <c r="I287" s="80" t="s">
        <v>523</v>
      </c>
      <c r="J287" s="87"/>
      <c r="K287" s="80"/>
      <c r="L287" s="80"/>
      <c r="M287" s="86">
        <f>F287-F287*17%</f>
        <v>22.41</v>
      </c>
      <c r="N287" s="86" t="s">
        <v>1227</v>
      </c>
      <c r="O287" s="86" t="s">
        <v>1228</v>
      </c>
      <c r="P287" s="86" t="s">
        <v>1228</v>
      </c>
      <c r="Q287" s="80">
        <v>0</v>
      </c>
      <c r="R287" s="80"/>
      <c r="S287" s="80"/>
      <c r="T287" s="80"/>
      <c r="U287" s="80"/>
      <c r="V287" s="79"/>
      <c r="W287" s="80"/>
      <c r="X287" s="80" t="s">
        <v>1229</v>
      </c>
    </row>
    <row r="288" spans="1:24" s="85" customFormat="1" ht="45" customHeight="1" x14ac:dyDescent="0.3">
      <c r="A288" s="82"/>
      <c r="B288" s="83"/>
      <c r="C288" s="84" t="s">
        <v>539</v>
      </c>
      <c r="D288" s="84" t="s">
        <v>1230</v>
      </c>
      <c r="E288" s="84"/>
      <c r="F288" s="84">
        <v>27</v>
      </c>
      <c r="G288" s="84"/>
      <c r="H288" s="84"/>
      <c r="I288" s="84" t="s">
        <v>523</v>
      </c>
      <c r="J288" s="81"/>
      <c r="K288" s="84"/>
      <c r="L288" s="84"/>
      <c r="M288" s="84">
        <f>F288-F288*17%</f>
        <v>22.41</v>
      </c>
      <c r="N288" s="84" t="s">
        <v>1227</v>
      </c>
      <c r="O288" s="84" t="s">
        <v>1228</v>
      </c>
      <c r="P288" s="84" t="s">
        <v>1228</v>
      </c>
      <c r="Q288" s="84">
        <v>0</v>
      </c>
      <c r="R288" s="84"/>
      <c r="S288" s="84"/>
      <c r="T288" s="84"/>
      <c r="U288" s="84"/>
      <c r="V288" s="83"/>
      <c r="W288" s="84"/>
      <c r="X288" s="84" t="s">
        <v>1229</v>
      </c>
    </row>
    <row r="289" spans="1:24" s="85" customFormat="1" ht="45" customHeight="1" x14ac:dyDescent="0.3">
      <c r="A289" s="78"/>
      <c r="B289" s="79"/>
      <c r="C289" s="80" t="s">
        <v>794</v>
      </c>
      <c r="D289" s="80" t="s">
        <v>1230</v>
      </c>
      <c r="E289" s="80"/>
      <c r="F289" s="80">
        <v>25.25</v>
      </c>
      <c r="G289" s="80"/>
      <c r="H289" s="80"/>
      <c r="I289" s="80" t="s">
        <v>523</v>
      </c>
      <c r="J289" s="87"/>
      <c r="K289" s="80"/>
      <c r="L289" s="80"/>
      <c r="M289" s="86">
        <f>F289-F289*17%</f>
        <v>20.9575</v>
      </c>
      <c r="N289" s="86" t="s">
        <v>1227</v>
      </c>
      <c r="O289" s="86" t="s">
        <v>1228</v>
      </c>
      <c r="P289" s="86" t="s">
        <v>1228</v>
      </c>
      <c r="Q289" s="80">
        <v>0</v>
      </c>
      <c r="R289" s="80"/>
      <c r="S289" s="80"/>
      <c r="T289" s="80"/>
      <c r="U289" s="80"/>
      <c r="V289" s="79"/>
      <c r="W289" s="80"/>
      <c r="X289" s="80" t="s">
        <v>1229</v>
      </c>
    </row>
    <row r="290" spans="1:24" s="85" customFormat="1" ht="45" customHeight="1" x14ac:dyDescent="0.3">
      <c r="A290" s="82"/>
      <c r="B290" s="83"/>
      <c r="C290" s="84" t="s">
        <v>933</v>
      </c>
      <c r="D290" s="84" t="s">
        <v>1230</v>
      </c>
      <c r="E290" s="84"/>
      <c r="F290" s="84">
        <v>32.5</v>
      </c>
      <c r="G290" s="84"/>
      <c r="H290" s="84"/>
      <c r="I290" s="84" t="s">
        <v>523</v>
      </c>
      <c r="J290" s="81"/>
      <c r="K290" s="84"/>
      <c r="L290" s="84"/>
      <c r="M290" s="84">
        <f>F290-F290*17%</f>
        <v>26.975000000000001</v>
      </c>
      <c r="N290" s="84" t="s">
        <v>1227</v>
      </c>
      <c r="O290" s="84" t="s">
        <v>1228</v>
      </c>
      <c r="P290" s="84" t="s">
        <v>1228</v>
      </c>
      <c r="Q290" s="84">
        <v>0</v>
      </c>
      <c r="R290" s="84"/>
      <c r="S290" s="84"/>
      <c r="T290" s="84"/>
      <c r="U290" s="84"/>
      <c r="V290" s="83"/>
      <c r="W290" s="84"/>
      <c r="X290" s="84" t="s">
        <v>1229</v>
      </c>
    </row>
    <row r="291" spans="1:24" s="85" customFormat="1" ht="45" customHeight="1" x14ac:dyDescent="0.3">
      <c r="A291" s="78"/>
      <c r="B291" s="79"/>
      <c r="C291" s="80" t="s">
        <v>934</v>
      </c>
      <c r="D291" s="80" t="s">
        <v>1230</v>
      </c>
      <c r="E291" s="80"/>
      <c r="F291" s="80">
        <v>64</v>
      </c>
      <c r="G291" s="80"/>
      <c r="H291" s="80"/>
      <c r="I291" s="80" t="s">
        <v>523</v>
      </c>
      <c r="J291" s="87"/>
      <c r="K291" s="80"/>
      <c r="L291" s="80"/>
      <c r="M291" s="86">
        <f>F291-F291*17%</f>
        <v>53.12</v>
      </c>
      <c r="N291" s="86" t="s">
        <v>1227</v>
      </c>
      <c r="O291" s="86" t="s">
        <v>1228</v>
      </c>
      <c r="P291" s="86" t="s">
        <v>1228</v>
      </c>
      <c r="Q291" s="80">
        <v>0</v>
      </c>
      <c r="R291" s="80"/>
      <c r="S291" s="80"/>
      <c r="T291" s="80"/>
      <c r="U291" s="80"/>
      <c r="V291" s="79"/>
      <c r="W291" s="80"/>
      <c r="X291" s="80" t="s">
        <v>1229</v>
      </c>
    </row>
    <row r="292" spans="1:24" s="85" customFormat="1" ht="45" customHeight="1" x14ac:dyDescent="0.3">
      <c r="A292" s="82"/>
      <c r="B292" s="83"/>
      <c r="C292" s="84" t="s">
        <v>1001</v>
      </c>
      <c r="D292" s="84" t="s">
        <v>1230</v>
      </c>
      <c r="E292" s="84"/>
      <c r="F292" s="84">
        <v>91.75</v>
      </c>
      <c r="G292" s="84"/>
      <c r="H292" s="84"/>
      <c r="I292" s="84" t="s">
        <v>523</v>
      </c>
      <c r="J292" s="81"/>
      <c r="K292" s="84"/>
      <c r="L292" s="84"/>
      <c r="M292" s="84">
        <f>F292-F292*17%</f>
        <v>76.152500000000003</v>
      </c>
      <c r="N292" s="84" t="s">
        <v>1227</v>
      </c>
      <c r="O292" s="84" t="s">
        <v>1228</v>
      </c>
      <c r="P292" s="84" t="s">
        <v>1228</v>
      </c>
      <c r="Q292" s="84">
        <v>0</v>
      </c>
      <c r="R292" s="84"/>
      <c r="S292" s="84"/>
      <c r="T292" s="84"/>
      <c r="U292" s="84"/>
      <c r="V292" s="83"/>
      <c r="W292" s="84"/>
      <c r="X292" s="84" t="s">
        <v>1229</v>
      </c>
    </row>
    <row r="293" spans="1:24" s="85" customFormat="1" ht="45" customHeight="1" x14ac:dyDescent="0.3">
      <c r="A293" s="78"/>
      <c r="B293" s="79"/>
      <c r="C293" s="80" t="s">
        <v>817</v>
      </c>
      <c r="D293" s="80" t="s">
        <v>1230</v>
      </c>
      <c r="E293" s="80"/>
      <c r="F293" s="80">
        <v>32.5</v>
      </c>
      <c r="G293" s="80"/>
      <c r="H293" s="80"/>
      <c r="I293" s="80" t="s">
        <v>523</v>
      </c>
      <c r="J293" s="87"/>
      <c r="K293" s="80"/>
      <c r="L293" s="80"/>
      <c r="M293" s="86">
        <f>F293-F293*17%</f>
        <v>26.975000000000001</v>
      </c>
      <c r="N293" s="86" t="s">
        <v>1227</v>
      </c>
      <c r="O293" s="86" t="s">
        <v>1228</v>
      </c>
      <c r="P293" s="86" t="s">
        <v>1228</v>
      </c>
      <c r="Q293" s="80">
        <v>0</v>
      </c>
      <c r="R293" s="80"/>
      <c r="S293" s="80"/>
      <c r="T293" s="80"/>
      <c r="U293" s="80"/>
      <c r="V293" s="79"/>
      <c r="W293" s="80"/>
      <c r="X293" s="80" t="s">
        <v>1229</v>
      </c>
    </row>
    <row r="294" spans="1:24" s="85" customFormat="1" ht="45" customHeight="1" x14ac:dyDescent="0.3">
      <c r="A294" s="82"/>
      <c r="B294" s="83"/>
      <c r="C294" s="84" t="s">
        <v>818</v>
      </c>
      <c r="D294" s="84" t="s">
        <v>1230</v>
      </c>
      <c r="E294" s="84"/>
      <c r="F294" s="84">
        <v>37.75</v>
      </c>
      <c r="G294" s="84"/>
      <c r="H294" s="84"/>
      <c r="I294" s="84" t="s">
        <v>523</v>
      </c>
      <c r="J294" s="81"/>
      <c r="K294" s="84"/>
      <c r="L294" s="84"/>
      <c r="M294" s="84">
        <f>F294-F294*17%</f>
        <v>31.3325</v>
      </c>
      <c r="N294" s="84" t="s">
        <v>1227</v>
      </c>
      <c r="O294" s="84" t="s">
        <v>1228</v>
      </c>
      <c r="P294" s="84" t="s">
        <v>1228</v>
      </c>
      <c r="Q294" s="84">
        <v>0</v>
      </c>
      <c r="R294" s="84"/>
      <c r="S294" s="84"/>
      <c r="T294" s="84"/>
      <c r="U294" s="84"/>
      <c r="V294" s="83"/>
      <c r="W294" s="84"/>
      <c r="X294" s="84" t="s">
        <v>1229</v>
      </c>
    </row>
    <row r="295" spans="1:24" s="85" customFormat="1" ht="45" customHeight="1" x14ac:dyDescent="0.3">
      <c r="A295" s="78"/>
      <c r="B295" s="79"/>
      <c r="C295" s="80" t="s">
        <v>819</v>
      </c>
      <c r="D295" s="80" t="s">
        <v>1230</v>
      </c>
      <c r="E295" s="80"/>
      <c r="F295" s="80">
        <v>62.75</v>
      </c>
      <c r="G295" s="80"/>
      <c r="H295" s="80"/>
      <c r="I295" s="80" t="s">
        <v>523</v>
      </c>
      <c r="J295" s="87"/>
      <c r="K295" s="80"/>
      <c r="L295" s="80"/>
      <c r="M295" s="86">
        <f>F295-F295*17%</f>
        <v>52.082499999999996</v>
      </c>
      <c r="N295" s="86" t="s">
        <v>1227</v>
      </c>
      <c r="O295" s="86" t="s">
        <v>1228</v>
      </c>
      <c r="P295" s="86" t="s">
        <v>1228</v>
      </c>
      <c r="Q295" s="80">
        <v>0</v>
      </c>
      <c r="R295" s="80"/>
      <c r="S295" s="80"/>
      <c r="T295" s="80"/>
      <c r="U295" s="80"/>
      <c r="V295" s="79"/>
      <c r="W295" s="80"/>
      <c r="X295" s="80" t="s">
        <v>1229</v>
      </c>
    </row>
    <row r="296" spans="1:24" s="85" customFormat="1" ht="45" customHeight="1" x14ac:dyDescent="0.3">
      <c r="A296" s="82"/>
      <c r="B296" s="83"/>
      <c r="C296" s="84" t="s">
        <v>540</v>
      </c>
      <c r="D296" s="84" t="s">
        <v>1230</v>
      </c>
      <c r="E296" s="84"/>
      <c r="F296" s="84">
        <v>73.5</v>
      </c>
      <c r="G296" s="84"/>
      <c r="H296" s="84"/>
      <c r="I296" s="84" t="s">
        <v>523</v>
      </c>
      <c r="J296" s="81"/>
      <c r="K296" s="84"/>
      <c r="L296" s="84"/>
      <c r="M296" s="84">
        <f>F296-F296*17%</f>
        <v>61.004999999999995</v>
      </c>
      <c r="N296" s="84" t="s">
        <v>1227</v>
      </c>
      <c r="O296" s="84" t="s">
        <v>1228</v>
      </c>
      <c r="P296" s="84" t="s">
        <v>1228</v>
      </c>
      <c r="Q296" s="84">
        <v>0</v>
      </c>
      <c r="R296" s="84"/>
      <c r="S296" s="84"/>
      <c r="T296" s="84"/>
      <c r="U296" s="84"/>
      <c r="V296" s="83"/>
      <c r="W296" s="84"/>
      <c r="X296" s="84" t="s">
        <v>1229</v>
      </c>
    </row>
    <row r="297" spans="1:24" s="85" customFormat="1" ht="45" customHeight="1" x14ac:dyDescent="0.3">
      <c r="A297" s="78"/>
      <c r="B297" s="79"/>
      <c r="C297" s="80" t="s">
        <v>820</v>
      </c>
      <c r="D297" s="80" t="s">
        <v>1230</v>
      </c>
      <c r="E297" s="80"/>
      <c r="F297" s="80">
        <v>83</v>
      </c>
      <c r="G297" s="80"/>
      <c r="H297" s="80"/>
      <c r="I297" s="80" t="s">
        <v>523</v>
      </c>
      <c r="J297" s="87"/>
      <c r="K297" s="80"/>
      <c r="L297" s="80"/>
      <c r="M297" s="86">
        <f>F297-F297*17%</f>
        <v>68.89</v>
      </c>
      <c r="N297" s="86" t="s">
        <v>1227</v>
      </c>
      <c r="O297" s="86" t="s">
        <v>1228</v>
      </c>
      <c r="P297" s="86" t="s">
        <v>1228</v>
      </c>
      <c r="Q297" s="80">
        <v>0</v>
      </c>
      <c r="R297" s="80"/>
      <c r="S297" s="80"/>
      <c r="T297" s="80"/>
      <c r="U297" s="80"/>
      <c r="V297" s="79"/>
      <c r="W297" s="80"/>
      <c r="X297" s="80" t="s">
        <v>1229</v>
      </c>
    </row>
    <row r="298" spans="1:24" s="85" customFormat="1" ht="45" customHeight="1" x14ac:dyDescent="0.3">
      <c r="A298" s="82"/>
      <c r="B298" s="83"/>
      <c r="C298" s="84" t="s">
        <v>1002</v>
      </c>
      <c r="D298" s="84" t="s">
        <v>1230</v>
      </c>
      <c r="E298" s="84"/>
      <c r="F298" s="84">
        <v>104.5</v>
      </c>
      <c r="G298" s="84"/>
      <c r="H298" s="84"/>
      <c r="I298" s="84" t="s">
        <v>523</v>
      </c>
      <c r="J298" s="81"/>
      <c r="K298" s="84"/>
      <c r="L298" s="84"/>
      <c r="M298" s="84">
        <f>F298-F298*17%</f>
        <v>86.734999999999999</v>
      </c>
      <c r="N298" s="84" t="s">
        <v>1227</v>
      </c>
      <c r="O298" s="84" t="s">
        <v>1228</v>
      </c>
      <c r="P298" s="84" t="s">
        <v>1228</v>
      </c>
      <c r="Q298" s="84">
        <v>0</v>
      </c>
      <c r="R298" s="84"/>
      <c r="S298" s="84"/>
      <c r="T298" s="84"/>
      <c r="U298" s="84"/>
      <c r="V298" s="83"/>
      <c r="W298" s="84"/>
      <c r="X298" s="84" t="s">
        <v>1229</v>
      </c>
    </row>
    <row r="299" spans="1:24" s="85" customFormat="1" ht="45" customHeight="1" x14ac:dyDescent="0.3">
      <c r="A299" s="78"/>
      <c r="B299" s="79"/>
      <c r="C299" s="80" t="s">
        <v>821</v>
      </c>
      <c r="D299" s="80" t="s">
        <v>1230</v>
      </c>
      <c r="E299" s="80"/>
      <c r="F299" s="80">
        <v>110</v>
      </c>
      <c r="G299" s="80"/>
      <c r="H299" s="80"/>
      <c r="I299" s="80" t="s">
        <v>523</v>
      </c>
      <c r="J299" s="87"/>
      <c r="K299" s="80"/>
      <c r="L299" s="80"/>
      <c r="M299" s="86">
        <f>F299-F299*17%</f>
        <v>91.3</v>
      </c>
      <c r="N299" s="86" t="s">
        <v>1227</v>
      </c>
      <c r="O299" s="86" t="s">
        <v>1228</v>
      </c>
      <c r="P299" s="86" t="s">
        <v>1228</v>
      </c>
      <c r="Q299" s="80">
        <v>0</v>
      </c>
      <c r="R299" s="80"/>
      <c r="S299" s="80"/>
      <c r="T299" s="80"/>
      <c r="U299" s="80"/>
      <c r="V299" s="79"/>
      <c r="W299" s="80"/>
      <c r="X299" s="80" t="s">
        <v>1229</v>
      </c>
    </row>
    <row r="300" spans="1:24" s="85" customFormat="1" ht="45" customHeight="1" x14ac:dyDescent="0.3">
      <c r="A300" s="82"/>
      <c r="B300" s="83"/>
      <c r="C300" s="84" t="s">
        <v>822</v>
      </c>
      <c r="D300" s="84" t="s">
        <v>1230</v>
      </c>
      <c r="E300" s="84"/>
      <c r="F300" s="84">
        <v>119</v>
      </c>
      <c r="G300" s="84"/>
      <c r="H300" s="84"/>
      <c r="I300" s="84" t="s">
        <v>523</v>
      </c>
      <c r="J300" s="81"/>
      <c r="K300" s="84"/>
      <c r="L300" s="84"/>
      <c r="M300" s="84">
        <f>F300-F300*17%</f>
        <v>98.77</v>
      </c>
      <c r="N300" s="84" t="s">
        <v>1227</v>
      </c>
      <c r="O300" s="84" t="s">
        <v>1228</v>
      </c>
      <c r="P300" s="84" t="s">
        <v>1228</v>
      </c>
      <c r="Q300" s="84">
        <v>0</v>
      </c>
      <c r="R300" s="84"/>
      <c r="S300" s="84"/>
      <c r="T300" s="84"/>
      <c r="U300" s="84"/>
      <c r="V300" s="83"/>
      <c r="W300" s="84"/>
      <c r="X300" s="84" t="s">
        <v>1229</v>
      </c>
    </row>
    <row r="301" spans="1:24" s="85" customFormat="1" ht="45" customHeight="1" x14ac:dyDescent="0.3">
      <c r="A301" s="78"/>
      <c r="B301" s="79"/>
      <c r="C301" s="80" t="s">
        <v>823</v>
      </c>
      <c r="D301" s="80" t="s">
        <v>1230</v>
      </c>
      <c r="E301" s="80"/>
      <c r="F301" s="80">
        <v>119</v>
      </c>
      <c r="G301" s="80"/>
      <c r="H301" s="80"/>
      <c r="I301" s="80" t="s">
        <v>523</v>
      </c>
      <c r="J301" s="87"/>
      <c r="K301" s="80"/>
      <c r="L301" s="80"/>
      <c r="M301" s="86">
        <f>F301-F301*17%</f>
        <v>98.77</v>
      </c>
      <c r="N301" s="86" t="s">
        <v>1227</v>
      </c>
      <c r="O301" s="86" t="s">
        <v>1228</v>
      </c>
      <c r="P301" s="86" t="s">
        <v>1228</v>
      </c>
      <c r="Q301" s="80">
        <v>0</v>
      </c>
      <c r="R301" s="80"/>
      <c r="S301" s="80"/>
      <c r="T301" s="80"/>
      <c r="U301" s="80"/>
      <c r="V301" s="79"/>
      <c r="W301" s="80"/>
      <c r="X301" s="80" t="s">
        <v>1229</v>
      </c>
    </row>
    <row r="302" spans="1:24" s="85" customFormat="1" ht="45" customHeight="1" x14ac:dyDescent="0.3">
      <c r="A302" s="82"/>
      <c r="B302" s="83"/>
      <c r="C302" s="84" t="s">
        <v>1103</v>
      </c>
      <c r="D302" s="84" t="s">
        <v>1230</v>
      </c>
      <c r="E302" s="84"/>
      <c r="F302" s="84">
        <v>158.5</v>
      </c>
      <c r="G302" s="84"/>
      <c r="H302" s="84"/>
      <c r="I302" s="84" t="s">
        <v>523</v>
      </c>
      <c r="J302" s="81"/>
      <c r="K302" s="84"/>
      <c r="L302" s="84"/>
      <c r="M302" s="84">
        <f>F302-F302*17%</f>
        <v>131.55500000000001</v>
      </c>
      <c r="N302" s="84" t="s">
        <v>1227</v>
      </c>
      <c r="O302" s="84" t="s">
        <v>1228</v>
      </c>
      <c r="P302" s="84" t="s">
        <v>1228</v>
      </c>
      <c r="Q302" s="84">
        <v>0</v>
      </c>
      <c r="R302" s="84"/>
      <c r="S302" s="84"/>
      <c r="T302" s="84"/>
      <c r="U302" s="84"/>
      <c r="V302" s="83"/>
      <c r="W302" s="84"/>
      <c r="X302" s="84" t="s">
        <v>1229</v>
      </c>
    </row>
    <row r="303" spans="1:24" s="85" customFormat="1" ht="45" customHeight="1" x14ac:dyDescent="0.3">
      <c r="A303" s="78"/>
      <c r="B303" s="79"/>
      <c r="C303" s="80" t="s">
        <v>1104</v>
      </c>
      <c r="D303" s="80" t="s">
        <v>1230</v>
      </c>
      <c r="E303" s="80"/>
      <c r="F303" s="80">
        <v>180.75</v>
      </c>
      <c r="G303" s="80"/>
      <c r="H303" s="80"/>
      <c r="I303" s="80" t="s">
        <v>523</v>
      </c>
      <c r="J303" s="87"/>
      <c r="K303" s="80"/>
      <c r="L303" s="80"/>
      <c r="M303" s="86">
        <f>F303-F303*17%</f>
        <v>150.02250000000001</v>
      </c>
      <c r="N303" s="86" t="s">
        <v>1227</v>
      </c>
      <c r="O303" s="86" t="s">
        <v>1228</v>
      </c>
      <c r="P303" s="86" t="s">
        <v>1228</v>
      </c>
      <c r="Q303" s="80">
        <v>0</v>
      </c>
      <c r="R303" s="80"/>
      <c r="S303" s="80"/>
      <c r="T303" s="80"/>
      <c r="U303" s="80"/>
      <c r="V303" s="79"/>
      <c r="W303" s="80"/>
      <c r="X303" s="80" t="s">
        <v>1229</v>
      </c>
    </row>
    <row r="304" spans="1:24" s="85" customFormat="1" ht="45" customHeight="1" x14ac:dyDescent="0.3">
      <c r="A304" s="82"/>
      <c r="B304" s="83"/>
      <c r="C304" s="84" t="s">
        <v>1105</v>
      </c>
      <c r="D304" s="84" t="s">
        <v>1230</v>
      </c>
      <c r="E304" s="84"/>
      <c r="F304" s="84">
        <v>289</v>
      </c>
      <c r="G304" s="84"/>
      <c r="H304" s="84"/>
      <c r="I304" s="84" t="s">
        <v>523</v>
      </c>
      <c r="J304" s="81"/>
      <c r="K304" s="84"/>
      <c r="L304" s="84"/>
      <c r="M304" s="84">
        <f>F304-F304*17%</f>
        <v>239.87</v>
      </c>
      <c r="N304" s="84" t="s">
        <v>1227</v>
      </c>
      <c r="O304" s="84" t="s">
        <v>1228</v>
      </c>
      <c r="P304" s="84" t="s">
        <v>1228</v>
      </c>
      <c r="Q304" s="84">
        <v>0</v>
      </c>
      <c r="R304" s="84"/>
      <c r="S304" s="84"/>
      <c r="T304" s="84"/>
      <c r="U304" s="84"/>
      <c r="V304" s="83"/>
      <c r="W304" s="84"/>
      <c r="X304" s="84" t="s">
        <v>1229</v>
      </c>
    </row>
    <row r="305" spans="1:24" s="85" customFormat="1" ht="45" customHeight="1" x14ac:dyDescent="0.3">
      <c r="A305" s="78"/>
      <c r="B305" s="79"/>
      <c r="C305" s="80" t="s">
        <v>1106</v>
      </c>
      <c r="D305" s="80" t="s">
        <v>1230</v>
      </c>
      <c r="E305" s="80"/>
      <c r="F305" s="80">
        <v>226</v>
      </c>
      <c r="G305" s="80"/>
      <c r="H305" s="80"/>
      <c r="I305" s="80" t="s">
        <v>523</v>
      </c>
      <c r="J305" s="87"/>
      <c r="K305" s="80"/>
      <c r="L305" s="80"/>
      <c r="M305" s="86">
        <f>F305-F305*17%</f>
        <v>187.57999999999998</v>
      </c>
      <c r="N305" s="86" t="s">
        <v>1227</v>
      </c>
      <c r="O305" s="86" t="s">
        <v>1228</v>
      </c>
      <c r="P305" s="86" t="s">
        <v>1228</v>
      </c>
      <c r="Q305" s="80">
        <v>0</v>
      </c>
      <c r="R305" s="80"/>
      <c r="S305" s="80"/>
      <c r="T305" s="80"/>
      <c r="U305" s="80"/>
      <c r="V305" s="79"/>
      <c r="W305" s="80"/>
      <c r="X305" s="80" t="s">
        <v>1229</v>
      </c>
    </row>
    <row r="306" spans="1:24" s="85" customFormat="1" ht="45" customHeight="1" x14ac:dyDescent="0.3">
      <c r="A306" s="82"/>
      <c r="B306" s="83"/>
      <c r="C306" s="84" t="s">
        <v>1107</v>
      </c>
      <c r="D306" s="84" t="s">
        <v>1230</v>
      </c>
      <c r="E306" s="84"/>
      <c r="F306" s="84">
        <v>226</v>
      </c>
      <c r="G306" s="84"/>
      <c r="H306" s="84"/>
      <c r="I306" s="84" t="s">
        <v>523</v>
      </c>
      <c r="J306" s="81"/>
      <c r="K306" s="84"/>
      <c r="L306" s="84"/>
      <c r="M306" s="84">
        <f>F306-F306*17%</f>
        <v>187.57999999999998</v>
      </c>
      <c r="N306" s="84" t="s">
        <v>1227</v>
      </c>
      <c r="O306" s="84" t="s">
        <v>1228</v>
      </c>
      <c r="P306" s="84" t="s">
        <v>1228</v>
      </c>
      <c r="Q306" s="84">
        <v>0</v>
      </c>
      <c r="R306" s="84"/>
      <c r="S306" s="84"/>
      <c r="T306" s="84"/>
      <c r="U306" s="84"/>
      <c r="V306" s="83"/>
      <c r="W306" s="84"/>
      <c r="X306" s="84" t="s">
        <v>1229</v>
      </c>
    </row>
    <row r="307" spans="1:24" s="85" customFormat="1" ht="45" customHeight="1" x14ac:dyDescent="0.3">
      <c r="A307" s="78"/>
      <c r="B307" s="79"/>
      <c r="C307" s="80" t="s">
        <v>1108</v>
      </c>
      <c r="D307" s="80" t="s">
        <v>1230</v>
      </c>
      <c r="E307" s="80"/>
      <c r="F307" s="80">
        <v>226</v>
      </c>
      <c r="G307" s="80"/>
      <c r="H307" s="80"/>
      <c r="I307" s="80" t="s">
        <v>523</v>
      </c>
      <c r="J307" s="87"/>
      <c r="K307" s="80"/>
      <c r="L307" s="80"/>
      <c r="M307" s="86">
        <f>F307-F307*17%</f>
        <v>187.57999999999998</v>
      </c>
      <c r="N307" s="86" t="s">
        <v>1227</v>
      </c>
      <c r="O307" s="86" t="s">
        <v>1228</v>
      </c>
      <c r="P307" s="86" t="s">
        <v>1228</v>
      </c>
      <c r="Q307" s="80">
        <v>0</v>
      </c>
      <c r="R307" s="80"/>
      <c r="S307" s="80"/>
      <c r="T307" s="80"/>
      <c r="U307" s="80"/>
      <c r="V307" s="79"/>
      <c r="W307" s="80"/>
      <c r="X307" s="80" t="s">
        <v>1229</v>
      </c>
    </row>
    <row r="308" spans="1:24" s="85" customFormat="1" ht="45" customHeight="1" x14ac:dyDescent="0.3">
      <c r="A308" s="82"/>
      <c r="B308" s="83"/>
      <c r="C308" s="84" t="s">
        <v>1109</v>
      </c>
      <c r="D308" s="84" t="s">
        <v>1230</v>
      </c>
      <c r="E308" s="84"/>
      <c r="F308" s="84">
        <v>226</v>
      </c>
      <c r="G308" s="84"/>
      <c r="H308" s="84"/>
      <c r="I308" s="84" t="s">
        <v>523</v>
      </c>
      <c r="J308" s="81"/>
      <c r="K308" s="84"/>
      <c r="L308" s="84"/>
      <c r="M308" s="84">
        <f>F308-F308*17%</f>
        <v>187.57999999999998</v>
      </c>
      <c r="N308" s="84" t="s">
        <v>1227</v>
      </c>
      <c r="O308" s="84" t="s">
        <v>1228</v>
      </c>
      <c r="P308" s="84" t="s">
        <v>1228</v>
      </c>
      <c r="Q308" s="84">
        <v>0</v>
      </c>
      <c r="R308" s="84"/>
      <c r="S308" s="84"/>
      <c r="T308" s="84"/>
      <c r="U308" s="84"/>
      <c r="V308" s="83"/>
      <c r="W308" s="84"/>
      <c r="X308" s="84" t="s">
        <v>1229</v>
      </c>
    </row>
    <row r="309" spans="1:24" s="85" customFormat="1" ht="45" customHeight="1" x14ac:dyDescent="0.3">
      <c r="A309" s="78"/>
      <c r="B309" s="79"/>
      <c r="C309" s="80" t="s">
        <v>1110</v>
      </c>
      <c r="D309" s="80" t="s">
        <v>1230</v>
      </c>
      <c r="E309" s="80"/>
      <c r="F309" s="80">
        <v>159.25</v>
      </c>
      <c r="G309" s="80"/>
      <c r="H309" s="80"/>
      <c r="I309" s="80" t="s">
        <v>523</v>
      </c>
      <c r="J309" s="87"/>
      <c r="K309" s="80"/>
      <c r="L309" s="80"/>
      <c r="M309" s="86">
        <f>F309-F309*17%</f>
        <v>132.17750000000001</v>
      </c>
      <c r="N309" s="86" t="s">
        <v>1227</v>
      </c>
      <c r="O309" s="86" t="s">
        <v>1228</v>
      </c>
      <c r="P309" s="86" t="s">
        <v>1228</v>
      </c>
      <c r="Q309" s="80">
        <v>0</v>
      </c>
      <c r="R309" s="80"/>
      <c r="S309" s="80"/>
      <c r="T309" s="80"/>
      <c r="U309" s="80"/>
      <c r="V309" s="79"/>
      <c r="W309" s="80"/>
      <c r="X309" s="80" t="s">
        <v>1229</v>
      </c>
    </row>
    <row r="310" spans="1:24" s="85" customFormat="1" ht="45" customHeight="1" x14ac:dyDescent="0.3">
      <c r="A310" s="82"/>
      <c r="B310" s="83"/>
      <c r="C310" s="84" t="s">
        <v>1111</v>
      </c>
      <c r="D310" s="84" t="s">
        <v>1230</v>
      </c>
      <c r="E310" s="84"/>
      <c r="F310" s="84">
        <v>159.25</v>
      </c>
      <c r="G310" s="84"/>
      <c r="H310" s="84"/>
      <c r="I310" s="84" t="s">
        <v>523</v>
      </c>
      <c r="J310" s="81"/>
      <c r="K310" s="84"/>
      <c r="L310" s="84"/>
      <c r="M310" s="84">
        <f>F310-F310*17%</f>
        <v>132.17750000000001</v>
      </c>
      <c r="N310" s="84" t="s">
        <v>1227</v>
      </c>
      <c r="O310" s="84" t="s">
        <v>1228</v>
      </c>
      <c r="P310" s="84" t="s">
        <v>1228</v>
      </c>
      <c r="Q310" s="84">
        <v>0</v>
      </c>
      <c r="R310" s="84"/>
      <c r="S310" s="84"/>
      <c r="T310" s="84"/>
      <c r="U310" s="84"/>
      <c r="V310" s="83"/>
      <c r="W310" s="84"/>
      <c r="X310" s="84" t="s">
        <v>1229</v>
      </c>
    </row>
    <row r="311" spans="1:24" s="85" customFormat="1" ht="45" customHeight="1" x14ac:dyDescent="0.3">
      <c r="A311" s="78"/>
      <c r="B311" s="79"/>
      <c r="C311" s="80" t="s">
        <v>1112</v>
      </c>
      <c r="D311" s="80" t="s">
        <v>1230</v>
      </c>
      <c r="E311" s="80"/>
      <c r="F311" s="80">
        <v>177.5</v>
      </c>
      <c r="G311" s="80"/>
      <c r="H311" s="80"/>
      <c r="I311" s="80" t="s">
        <v>523</v>
      </c>
      <c r="J311" s="87"/>
      <c r="K311" s="80"/>
      <c r="L311" s="80"/>
      <c r="M311" s="86">
        <f>F311-F311*17%</f>
        <v>147.32499999999999</v>
      </c>
      <c r="N311" s="86" t="s">
        <v>1227</v>
      </c>
      <c r="O311" s="86" t="s">
        <v>1228</v>
      </c>
      <c r="P311" s="86" t="s">
        <v>1228</v>
      </c>
      <c r="Q311" s="80">
        <v>0</v>
      </c>
      <c r="R311" s="80"/>
      <c r="S311" s="80"/>
      <c r="T311" s="80"/>
      <c r="U311" s="80"/>
      <c r="V311" s="79"/>
      <c r="W311" s="80"/>
      <c r="X311" s="80" t="s">
        <v>1229</v>
      </c>
    </row>
    <row r="312" spans="1:24" s="85" customFormat="1" ht="45" customHeight="1" x14ac:dyDescent="0.3">
      <c r="A312" s="82"/>
      <c r="B312" s="83"/>
      <c r="C312" s="84" t="s">
        <v>1113</v>
      </c>
      <c r="D312" s="84" t="s">
        <v>1230</v>
      </c>
      <c r="E312" s="84"/>
      <c r="F312" s="84">
        <v>213.5</v>
      </c>
      <c r="G312" s="84"/>
      <c r="H312" s="84"/>
      <c r="I312" s="84" t="s">
        <v>523</v>
      </c>
      <c r="J312" s="81"/>
      <c r="K312" s="84"/>
      <c r="L312" s="84"/>
      <c r="M312" s="84">
        <f>F312-F312*17%</f>
        <v>177.20499999999998</v>
      </c>
      <c r="N312" s="84" t="s">
        <v>1227</v>
      </c>
      <c r="O312" s="84" t="s">
        <v>1228</v>
      </c>
      <c r="P312" s="84" t="s">
        <v>1228</v>
      </c>
      <c r="Q312" s="84">
        <v>0</v>
      </c>
      <c r="R312" s="84"/>
      <c r="S312" s="84"/>
      <c r="T312" s="84"/>
      <c r="U312" s="84"/>
      <c r="V312" s="83"/>
      <c r="W312" s="84"/>
      <c r="X312" s="84" t="s">
        <v>1229</v>
      </c>
    </row>
    <row r="313" spans="1:24" s="85" customFormat="1" ht="45" customHeight="1" x14ac:dyDescent="0.3">
      <c r="A313" s="78"/>
      <c r="B313" s="79"/>
      <c r="C313" s="80" t="s">
        <v>1114</v>
      </c>
      <c r="D313" s="80" t="s">
        <v>1230</v>
      </c>
      <c r="E313" s="80"/>
      <c r="F313" s="80">
        <v>185.75</v>
      </c>
      <c r="G313" s="80"/>
      <c r="H313" s="80"/>
      <c r="I313" s="80" t="s">
        <v>523</v>
      </c>
      <c r="J313" s="87"/>
      <c r="K313" s="80"/>
      <c r="L313" s="80"/>
      <c r="M313" s="86">
        <f>F313-F313*17%</f>
        <v>154.17250000000001</v>
      </c>
      <c r="N313" s="86" t="s">
        <v>1227</v>
      </c>
      <c r="O313" s="86" t="s">
        <v>1228</v>
      </c>
      <c r="P313" s="86" t="s">
        <v>1228</v>
      </c>
      <c r="Q313" s="80">
        <v>0</v>
      </c>
      <c r="R313" s="80"/>
      <c r="S313" s="80"/>
      <c r="T313" s="80"/>
      <c r="U313" s="80"/>
      <c r="V313" s="79"/>
      <c r="W313" s="80"/>
      <c r="X313" s="80" t="s">
        <v>1229</v>
      </c>
    </row>
    <row r="314" spans="1:24" s="85" customFormat="1" ht="45" customHeight="1" x14ac:dyDescent="0.3">
      <c r="A314" s="82"/>
      <c r="B314" s="83"/>
      <c r="C314" s="84" t="s">
        <v>1115</v>
      </c>
      <c r="D314" s="84" t="s">
        <v>1230</v>
      </c>
      <c r="E314" s="84"/>
      <c r="F314" s="84">
        <v>2952.5</v>
      </c>
      <c r="G314" s="84"/>
      <c r="H314" s="84"/>
      <c r="I314" s="84" t="s">
        <v>523</v>
      </c>
      <c r="J314" s="81"/>
      <c r="K314" s="84"/>
      <c r="L314" s="84"/>
      <c r="M314" s="84">
        <f>F314-F314*17%</f>
        <v>2450.5749999999998</v>
      </c>
      <c r="N314" s="84" t="s">
        <v>1227</v>
      </c>
      <c r="O314" s="84" t="s">
        <v>1228</v>
      </c>
      <c r="P314" s="84" t="s">
        <v>1228</v>
      </c>
      <c r="Q314" s="84">
        <v>0</v>
      </c>
      <c r="R314" s="84"/>
      <c r="S314" s="84"/>
      <c r="T314" s="84"/>
      <c r="U314" s="84"/>
      <c r="V314" s="83"/>
      <c r="W314" s="84"/>
      <c r="X314" s="84" t="s">
        <v>1229</v>
      </c>
    </row>
    <row r="315" spans="1:24" s="85" customFormat="1" ht="45" customHeight="1" x14ac:dyDescent="0.3">
      <c r="A315" s="78"/>
      <c r="B315" s="79"/>
      <c r="C315" s="80" t="s">
        <v>824</v>
      </c>
      <c r="D315" s="80" t="s">
        <v>1230</v>
      </c>
      <c r="E315" s="80"/>
      <c r="F315" s="80">
        <v>632.5</v>
      </c>
      <c r="G315" s="80"/>
      <c r="H315" s="80"/>
      <c r="I315" s="80" t="s">
        <v>523</v>
      </c>
      <c r="J315" s="87"/>
      <c r="K315" s="80"/>
      <c r="L315" s="80"/>
      <c r="M315" s="86">
        <f>F315-F315*17%</f>
        <v>524.97500000000002</v>
      </c>
      <c r="N315" s="86" t="s">
        <v>1227</v>
      </c>
      <c r="O315" s="86" t="s">
        <v>1228</v>
      </c>
      <c r="P315" s="86" t="s">
        <v>1228</v>
      </c>
      <c r="Q315" s="80">
        <v>0</v>
      </c>
      <c r="R315" s="80"/>
      <c r="S315" s="80"/>
      <c r="T315" s="80"/>
      <c r="U315" s="80"/>
      <c r="V315" s="79"/>
      <c r="W315" s="80"/>
      <c r="X315" s="80" t="s">
        <v>1229</v>
      </c>
    </row>
    <row r="316" spans="1:24" s="85" customFormat="1" ht="45" customHeight="1" x14ac:dyDescent="0.3">
      <c r="A316" s="82"/>
      <c r="B316" s="83"/>
      <c r="C316" s="84" t="s">
        <v>935</v>
      </c>
      <c r="D316" s="84" t="s">
        <v>1230</v>
      </c>
      <c r="E316" s="84"/>
      <c r="F316" s="84">
        <v>302.5</v>
      </c>
      <c r="G316" s="84"/>
      <c r="H316" s="84"/>
      <c r="I316" s="84" t="s">
        <v>523</v>
      </c>
      <c r="J316" s="81"/>
      <c r="K316" s="84"/>
      <c r="L316" s="84"/>
      <c r="M316" s="84">
        <f>F316-F316*17%</f>
        <v>251.07499999999999</v>
      </c>
      <c r="N316" s="84" t="s">
        <v>1227</v>
      </c>
      <c r="O316" s="84" t="s">
        <v>1228</v>
      </c>
      <c r="P316" s="84" t="s">
        <v>1228</v>
      </c>
      <c r="Q316" s="84">
        <v>0</v>
      </c>
      <c r="R316" s="84"/>
      <c r="S316" s="84"/>
      <c r="T316" s="84"/>
      <c r="U316" s="84"/>
      <c r="V316" s="83"/>
      <c r="W316" s="84"/>
      <c r="X316" s="84" t="s">
        <v>1229</v>
      </c>
    </row>
    <row r="317" spans="1:24" s="85" customFormat="1" ht="45" customHeight="1" x14ac:dyDescent="0.3">
      <c r="A317" s="78"/>
      <c r="B317" s="79"/>
      <c r="C317" s="80" t="s">
        <v>1116</v>
      </c>
      <c r="D317" s="80" t="s">
        <v>1230</v>
      </c>
      <c r="E317" s="80"/>
      <c r="F317" s="80">
        <v>94.25</v>
      </c>
      <c r="G317" s="80"/>
      <c r="H317" s="80"/>
      <c r="I317" s="80" t="s">
        <v>523</v>
      </c>
      <c r="J317" s="87"/>
      <c r="K317" s="80"/>
      <c r="L317" s="80"/>
      <c r="M317" s="86">
        <f>F317-F317*17%</f>
        <v>78.227499999999992</v>
      </c>
      <c r="N317" s="86" t="s">
        <v>1227</v>
      </c>
      <c r="O317" s="86" t="s">
        <v>1228</v>
      </c>
      <c r="P317" s="86" t="s">
        <v>1228</v>
      </c>
      <c r="Q317" s="80">
        <v>0</v>
      </c>
      <c r="R317" s="80"/>
      <c r="S317" s="80"/>
      <c r="T317" s="80"/>
      <c r="U317" s="80"/>
      <c r="V317" s="79"/>
      <c r="W317" s="80"/>
      <c r="X317" s="80" t="s">
        <v>1229</v>
      </c>
    </row>
    <row r="318" spans="1:24" s="85" customFormat="1" ht="45" customHeight="1" x14ac:dyDescent="0.3">
      <c r="A318" s="82"/>
      <c r="B318" s="83"/>
      <c r="C318" s="84" t="s">
        <v>1117</v>
      </c>
      <c r="D318" s="84" t="s">
        <v>1230</v>
      </c>
      <c r="E318" s="84"/>
      <c r="F318" s="84">
        <v>341</v>
      </c>
      <c r="G318" s="84"/>
      <c r="H318" s="84"/>
      <c r="I318" s="84" t="s">
        <v>523</v>
      </c>
      <c r="J318" s="81"/>
      <c r="K318" s="84"/>
      <c r="L318" s="84"/>
      <c r="M318" s="84">
        <f>F318-F318*17%</f>
        <v>283.02999999999997</v>
      </c>
      <c r="N318" s="84" t="s">
        <v>1227</v>
      </c>
      <c r="O318" s="84" t="s">
        <v>1228</v>
      </c>
      <c r="P318" s="84" t="s">
        <v>1228</v>
      </c>
      <c r="Q318" s="84">
        <v>0</v>
      </c>
      <c r="R318" s="84"/>
      <c r="S318" s="84"/>
      <c r="T318" s="84"/>
      <c r="U318" s="84"/>
      <c r="V318" s="83"/>
      <c r="W318" s="84"/>
      <c r="X318" s="84" t="s">
        <v>1229</v>
      </c>
    </row>
    <row r="319" spans="1:24" s="85" customFormat="1" ht="45" customHeight="1" x14ac:dyDescent="0.3">
      <c r="A319" s="78"/>
      <c r="B319" s="79"/>
      <c r="C319" s="80" t="s">
        <v>825</v>
      </c>
      <c r="D319" s="80" t="s">
        <v>1230</v>
      </c>
      <c r="E319" s="80"/>
      <c r="F319" s="80">
        <v>64.5</v>
      </c>
      <c r="G319" s="80"/>
      <c r="H319" s="80"/>
      <c r="I319" s="80" t="s">
        <v>523</v>
      </c>
      <c r="J319" s="87"/>
      <c r="K319" s="80"/>
      <c r="L319" s="80"/>
      <c r="M319" s="86">
        <f>F319-F319*17%</f>
        <v>53.534999999999997</v>
      </c>
      <c r="N319" s="86" t="s">
        <v>1227</v>
      </c>
      <c r="O319" s="86" t="s">
        <v>1228</v>
      </c>
      <c r="P319" s="86" t="s">
        <v>1228</v>
      </c>
      <c r="Q319" s="80">
        <v>0</v>
      </c>
      <c r="R319" s="80"/>
      <c r="S319" s="80"/>
      <c r="T319" s="80"/>
      <c r="U319" s="80"/>
      <c r="V319" s="79"/>
      <c r="W319" s="80"/>
      <c r="X319" s="80" t="s">
        <v>1229</v>
      </c>
    </row>
    <row r="320" spans="1:24" s="85" customFormat="1" ht="45" customHeight="1" x14ac:dyDescent="0.3">
      <c r="A320" s="82"/>
      <c r="B320" s="83"/>
      <c r="C320" s="84" t="s">
        <v>795</v>
      </c>
      <c r="D320" s="84" t="s">
        <v>1230</v>
      </c>
      <c r="E320" s="84"/>
      <c r="F320" s="84">
        <v>73.25</v>
      </c>
      <c r="G320" s="84"/>
      <c r="H320" s="84"/>
      <c r="I320" s="84" t="s">
        <v>523</v>
      </c>
      <c r="J320" s="81"/>
      <c r="K320" s="84"/>
      <c r="L320" s="84"/>
      <c r="M320" s="84">
        <f>F320-F320*17%</f>
        <v>60.797499999999999</v>
      </c>
      <c r="N320" s="84" t="s">
        <v>1227</v>
      </c>
      <c r="O320" s="84" t="s">
        <v>1228</v>
      </c>
      <c r="P320" s="84" t="s">
        <v>1228</v>
      </c>
      <c r="Q320" s="84">
        <v>0</v>
      </c>
      <c r="R320" s="84"/>
      <c r="S320" s="84"/>
      <c r="T320" s="84"/>
      <c r="U320" s="84"/>
      <c r="V320" s="83"/>
      <c r="W320" s="84"/>
      <c r="X320" s="84" t="s">
        <v>1229</v>
      </c>
    </row>
    <row r="321" spans="1:24" s="85" customFormat="1" ht="45" customHeight="1" x14ac:dyDescent="0.3">
      <c r="A321" s="78"/>
      <c r="B321" s="79"/>
      <c r="C321" s="80" t="s">
        <v>936</v>
      </c>
      <c r="D321" s="80" t="s">
        <v>1230</v>
      </c>
      <c r="E321" s="80"/>
      <c r="F321" s="80">
        <v>178.25</v>
      </c>
      <c r="G321" s="80"/>
      <c r="H321" s="80"/>
      <c r="I321" s="80" t="s">
        <v>523</v>
      </c>
      <c r="J321" s="87"/>
      <c r="K321" s="80"/>
      <c r="L321" s="80"/>
      <c r="M321" s="86">
        <f>F321-F321*17%</f>
        <v>147.94749999999999</v>
      </c>
      <c r="N321" s="86" t="s">
        <v>1227</v>
      </c>
      <c r="O321" s="86" t="s">
        <v>1228</v>
      </c>
      <c r="P321" s="86" t="s">
        <v>1228</v>
      </c>
      <c r="Q321" s="80">
        <v>0</v>
      </c>
      <c r="R321" s="80"/>
      <c r="S321" s="80"/>
      <c r="T321" s="80"/>
      <c r="U321" s="80"/>
      <c r="V321" s="79"/>
      <c r="W321" s="80"/>
      <c r="X321" s="80" t="s">
        <v>1229</v>
      </c>
    </row>
    <row r="322" spans="1:24" s="85" customFormat="1" ht="45" customHeight="1" x14ac:dyDescent="0.3">
      <c r="A322" s="82"/>
      <c r="B322" s="83"/>
      <c r="C322" s="84" t="s">
        <v>937</v>
      </c>
      <c r="D322" s="84" t="s">
        <v>1230</v>
      </c>
      <c r="E322" s="84"/>
      <c r="F322" s="84">
        <v>492.5</v>
      </c>
      <c r="G322" s="84"/>
      <c r="H322" s="84"/>
      <c r="I322" s="84" t="s">
        <v>523</v>
      </c>
      <c r="J322" s="81"/>
      <c r="K322" s="84"/>
      <c r="L322" s="84"/>
      <c r="M322" s="84">
        <f>F322-F322*17%</f>
        <v>408.77499999999998</v>
      </c>
      <c r="N322" s="84" t="s">
        <v>1227</v>
      </c>
      <c r="O322" s="84" t="s">
        <v>1228</v>
      </c>
      <c r="P322" s="84" t="s">
        <v>1228</v>
      </c>
      <c r="Q322" s="84">
        <v>0</v>
      </c>
      <c r="R322" s="84"/>
      <c r="S322" s="84"/>
      <c r="T322" s="84"/>
      <c r="U322" s="84"/>
      <c r="V322" s="83"/>
      <c r="W322" s="84"/>
      <c r="X322" s="84" t="s">
        <v>1229</v>
      </c>
    </row>
    <row r="323" spans="1:24" s="85" customFormat="1" ht="45" customHeight="1" x14ac:dyDescent="0.3">
      <c r="A323" s="78"/>
      <c r="B323" s="79"/>
      <c r="C323" s="80" t="s">
        <v>737</v>
      </c>
      <c r="D323" s="80" t="s">
        <v>1230</v>
      </c>
      <c r="E323" s="80"/>
      <c r="F323" s="80">
        <v>751</v>
      </c>
      <c r="G323" s="80"/>
      <c r="H323" s="80"/>
      <c r="I323" s="80" t="s">
        <v>523</v>
      </c>
      <c r="J323" s="87"/>
      <c r="K323" s="80"/>
      <c r="L323" s="80"/>
      <c r="M323" s="86">
        <f>F323-F323*17%</f>
        <v>623.32999999999993</v>
      </c>
      <c r="N323" s="86" t="s">
        <v>1227</v>
      </c>
      <c r="O323" s="86" t="s">
        <v>1228</v>
      </c>
      <c r="P323" s="86" t="s">
        <v>1228</v>
      </c>
      <c r="Q323" s="80">
        <v>0</v>
      </c>
      <c r="R323" s="80"/>
      <c r="S323" s="80"/>
      <c r="T323" s="80"/>
      <c r="U323" s="80"/>
      <c r="V323" s="79"/>
      <c r="W323" s="80"/>
      <c r="X323" s="80" t="s">
        <v>1229</v>
      </c>
    </row>
    <row r="324" spans="1:24" s="85" customFormat="1" ht="45" customHeight="1" x14ac:dyDescent="0.3">
      <c r="A324" s="82"/>
      <c r="B324" s="83"/>
      <c r="C324" s="84" t="s">
        <v>938</v>
      </c>
      <c r="D324" s="84" t="s">
        <v>1230</v>
      </c>
      <c r="E324" s="84"/>
      <c r="F324" s="84">
        <v>9176.5</v>
      </c>
      <c r="G324" s="84"/>
      <c r="H324" s="84"/>
      <c r="I324" s="84" t="s">
        <v>523</v>
      </c>
      <c r="J324" s="81"/>
      <c r="K324" s="84"/>
      <c r="L324" s="84"/>
      <c r="M324" s="84">
        <f>F324-F324*17%</f>
        <v>7616.4949999999999</v>
      </c>
      <c r="N324" s="84" t="s">
        <v>1227</v>
      </c>
      <c r="O324" s="84" t="s">
        <v>1228</v>
      </c>
      <c r="P324" s="84" t="s">
        <v>1228</v>
      </c>
      <c r="Q324" s="84">
        <v>0</v>
      </c>
      <c r="R324" s="84"/>
      <c r="S324" s="84"/>
      <c r="T324" s="84"/>
      <c r="U324" s="84"/>
      <c r="V324" s="83"/>
      <c r="W324" s="84"/>
      <c r="X324" s="84" t="s">
        <v>1229</v>
      </c>
    </row>
    <row r="325" spans="1:24" s="85" customFormat="1" ht="45" customHeight="1" x14ac:dyDescent="0.3">
      <c r="A325" s="78"/>
      <c r="B325" s="79"/>
      <c r="C325" s="80" t="s">
        <v>939</v>
      </c>
      <c r="D325" s="80" t="s">
        <v>1230</v>
      </c>
      <c r="E325" s="80"/>
      <c r="F325" s="80">
        <v>17062.75</v>
      </c>
      <c r="G325" s="80"/>
      <c r="H325" s="80"/>
      <c r="I325" s="80" t="s">
        <v>523</v>
      </c>
      <c r="J325" s="87"/>
      <c r="K325" s="80"/>
      <c r="L325" s="80"/>
      <c r="M325" s="86">
        <f>F325-F325*17%</f>
        <v>14162.0825</v>
      </c>
      <c r="N325" s="86" t="s">
        <v>1227</v>
      </c>
      <c r="O325" s="86" t="s">
        <v>1228</v>
      </c>
      <c r="P325" s="86" t="s">
        <v>1228</v>
      </c>
      <c r="Q325" s="80">
        <v>0</v>
      </c>
      <c r="R325" s="80"/>
      <c r="S325" s="80"/>
      <c r="T325" s="80"/>
      <c r="U325" s="80"/>
      <c r="V325" s="79"/>
      <c r="W325" s="80"/>
      <c r="X325" s="80" t="s">
        <v>1229</v>
      </c>
    </row>
    <row r="326" spans="1:24" s="85" customFormat="1" ht="45" customHeight="1" x14ac:dyDescent="0.3">
      <c r="A326" s="82"/>
      <c r="B326" s="83"/>
      <c r="C326" s="84" t="s">
        <v>940</v>
      </c>
      <c r="D326" s="84" t="s">
        <v>1230</v>
      </c>
      <c r="E326" s="84"/>
      <c r="F326" s="84">
        <v>26480.25</v>
      </c>
      <c r="G326" s="84"/>
      <c r="H326" s="84"/>
      <c r="I326" s="84" t="s">
        <v>523</v>
      </c>
      <c r="J326" s="81"/>
      <c r="K326" s="84"/>
      <c r="L326" s="84"/>
      <c r="M326" s="84">
        <f>F326-F326*17%</f>
        <v>21978.607499999998</v>
      </c>
      <c r="N326" s="84" t="s">
        <v>1227</v>
      </c>
      <c r="O326" s="84" t="s">
        <v>1228</v>
      </c>
      <c r="P326" s="84" t="s">
        <v>1228</v>
      </c>
      <c r="Q326" s="84">
        <v>0</v>
      </c>
      <c r="R326" s="84"/>
      <c r="S326" s="84"/>
      <c r="T326" s="84"/>
      <c r="U326" s="84"/>
      <c r="V326" s="83"/>
      <c r="W326" s="84"/>
      <c r="X326" s="84" t="s">
        <v>1229</v>
      </c>
    </row>
    <row r="327" spans="1:24" s="85" customFormat="1" ht="45" customHeight="1" x14ac:dyDescent="0.3">
      <c r="A327" s="78"/>
      <c r="B327" s="79"/>
      <c r="C327" s="80" t="s">
        <v>796</v>
      </c>
      <c r="D327" s="80" t="s">
        <v>1230</v>
      </c>
      <c r="E327" s="80"/>
      <c r="F327" s="80">
        <v>106.5</v>
      </c>
      <c r="G327" s="80"/>
      <c r="H327" s="80"/>
      <c r="I327" s="80" t="s">
        <v>523</v>
      </c>
      <c r="J327" s="87"/>
      <c r="K327" s="80"/>
      <c r="L327" s="80"/>
      <c r="M327" s="86">
        <f>F327-F327*17%</f>
        <v>88.394999999999996</v>
      </c>
      <c r="N327" s="86" t="s">
        <v>1227</v>
      </c>
      <c r="O327" s="86" t="s">
        <v>1228</v>
      </c>
      <c r="P327" s="86" t="s">
        <v>1228</v>
      </c>
      <c r="Q327" s="80">
        <v>0</v>
      </c>
      <c r="R327" s="80"/>
      <c r="S327" s="80"/>
      <c r="T327" s="80"/>
      <c r="U327" s="80"/>
      <c r="V327" s="79"/>
      <c r="W327" s="80"/>
      <c r="X327" s="80" t="s">
        <v>1229</v>
      </c>
    </row>
    <row r="328" spans="1:24" s="85" customFormat="1" ht="45" customHeight="1" x14ac:dyDescent="0.3">
      <c r="A328" s="82"/>
      <c r="B328" s="83"/>
      <c r="C328" s="84" t="s">
        <v>797</v>
      </c>
      <c r="D328" s="84" t="s">
        <v>1230</v>
      </c>
      <c r="E328" s="84"/>
      <c r="F328" s="84">
        <v>176.75</v>
      </c>
      <c r="G328" s="84"/>
      <c r="H328" s="84"/>
      <c r="I328" s="84" t="s">
        <v>523</v>
      </c>
      <c r="J328" s="81"/>
      <c r="K328" s="84"/>
      <c r="L328" s="84"/>
      <c r="M328" s="84">
        <f>F328-F328*17%</f>
        <v>146.70249999999999</v>
      </c>
      <c r="N328" s="84" t="s">
        <v>1227</v>
      </c>
      <c r="O328" s="84" t="s">
        <v>1228</v>
      </c>
      <c r="P328" s="84" t="s">
        <v>1228</v>
      </c>
      <c r="Q328" s="84">
        <v>0</v>
      </c>
      <c r="R328" s="84"/>
      <c r="S328" s="84"/>
      <c r="T328" s="84"/>
      <c r="U328" s="84"/>
      <c r="V328" s="83"/>
      <c r="W328" s="84"/>
      <c r="X328" s="84" t="s">
        <v>1229</v>
      </c>
    </row>
    <row r="329" spans="1:24" s="85" customFormat="1" ht="45" customHeight="1" x14ac:dyDescent="0.3">
      <c r="A329" s="78"/>
      <c r="B329" s="79"/>
      <c r="C329" s="80" t="s">
        <v>748</v>
      </c>
      <c r="D329" s="80" t="s">
        <v>1230</v>
      </c>
      <c r="E329" s="80"/>
      <c r="F329" s="80">
        <v>278.5</v>
      </c>
      <c r="G329" s="80"/>
      <c r="H329" s="80"/>
      <c r="I329" s="80" t="s">
        <v>523</v>
      </c>
      <c r="J329" s="87"/>
      <c r="K329" s="80"/>
      <c r="L329" s="80"/>
      <c r="M329" s="86">
        <f>F329-F329*17%</f>
        <v>231.155</v>
      </c>
      <c r="N329" s="86" t="s">
        <v>1227</v>
      </c>
      <c r="O329" s="86" t="s">
        <v>1228</v>
      </c>
      <c r="P329" s="86" t="s">
        <v>1228</v>
      </c>
      <c r="Q329" s="80">
        <v>0</v>
      </c>
      <c r="R329" s="80"/>
      <c r="S329" s="80"/>
      <c r="T329" s="80"/>
      <c r="U329" s="80"/>
      <c r="V329" s="79"/>
      <c r="W329" s="80"/>
      <c r="X329" s="80" t="s">
        <v>1229</v>
      </c>
    </row>
    <row r="330" spans="1:24" s="85" customFormat="1" ht="45" customHeight="1" x14ac:dyDescent="0.3">
      <c r="A330" s="82"/>
      <c r="B330" s="83"/>
      <c r="C330" s="84"/>
      <c r="D330" s="84" t="s">
        <v>1230</v>
      </c>
      <c r="E330" s="84"/>
      <c r="F330" s="84"/>
      <c r="G330" s="84"/>
      <c r="H330" s="84"/>
      <c r="I330" s="84"/>
      <c r="J330" s="84"/>
      <c r="K330" s="84"/>
      <c r="L330" s="84"/>
      <c r="M330" s="84"/>
      <c r="N330" s="84" t="s">
        <v>1227</v>
      </c>
      <c r="O330" s="84" t="s">
        <v>1228</v>
      </c>
      <c r="P330" s="84" t="s">
        <v>1228</v>
      </c>
      <c r="Q330" s="84">
        <v>0</v>
      </c>
      <c r="R330" s="84"/>
      <c r="S330" s="84"/>
      <c r="T330" s="84"/>
      <c r="U330" s="84"/>
      <c r="V330" s="83"/>
      <c r="W330" s="84"/>
      <c r="X330" s="84" t="s">
        <v>1229</v>
      </c>
    </row>
    <row r="331" spans="1:24" s="85" customFormat="1" ht="45" customHeight="1" x14ac:dyDescent="0.3">
      <c r="A331" s="78"/>
      <c r="B331" s="79"/>
      <c r="C331" s="80" t="s">
        <v>541</v>
      </c>
      <c r="D331" s="80" t="s">
        <v>1230</v>
      </c>
      <c r="E331" s="80"/>
      <c r="F331" s="80"/>
      <c r="G331" s="80"/>
      <c r="H331" s="80"/>
      <c r="I331" s="80" t="s">
        <v>736</v>
      </c>
      <c r="J331" s="80"/>
      <c r="K331" s="80"/>
      <c r="L331" s="80"/>
      <c r="M331" s="80"/>
      <c r="N331" s="86" t="s">
        <v>1227</v>
      </c>
      <c r="O331" s="86" t="s">
        <v>1228</v>
      </c>
      <c r="P331" s="86" t="s">
        <v>1228</v>
      </c>
      <c r="Q331" s="80">
        <v>0</v>
      </c>
      <c r="R331" s="80"/>
      <c r="S331" s="80"/>
      <c r="T331" s="80"/>
      <c r="U331" s="80"/>
      <c r="V331" s="79"/>
      <c r="W331" s="80"/>
      <c r="X331" s="80" t="s">
        <v>1229</v>
      </c>
    </row>
    <row r="332" spans="1:24" s="85" customFormat="1" ht="45" customHeight="1" x14ac:dyDescent="0.3">
      <c r="A332" s="82"/>
      <c r="B332" s="83"/>
      <c r="C332" s="84" t="s">
        <v>542</v>
      </c>
      <c r="D332" s="84" t="s">
        <v>1230</v>
      </c>
      <c r="E332" s="84"/>
      <c r="F332" s="84"/>
      <c r="G332" s="84"/>
      <c r="H332" s="84"/>
      <c r="I332" s="84" t="s">
        <v>736</v>
      </c>
      <c r="J332" s="84"/>
      <c r="K332" s="84"/>
      <c r="L332" s="84"/>
      <c r="M332" s="84"/>
      <c r="N332" s="84" t="s">
        <v>1227</v>
      </c>
      <c r="O332" s="84" t="s">
        <v>1228</v>
      </c>
      <c r="P332" s="84" t="s">
        <v>1228</v>
      </c>
      <c r="Q332" s="84">
        <v>0</v>
      </c>
      <c r="R332" s="84"/>
      <c r="S332" s="84"/>
      <c r="T332" s="84"/>
      <c r="U332" s="84"/>
      <c r="V332" s="83"/>
      <c r="W332" s="84"/>
      <c r="X332" s="84" t="s">
        <v>1229</v>
      </c>
    </row>
    <row r="333" spans="1:24" s="85" customFormat="1" ht="45" customHeight="1" x14ac:dyDescent="0.3">
      <c r="A333" s="78"/>
      <c r="B333" s="79"/>
      <c r="C333" s="80" t="s">
        <v>543</v>
      </c>
      <c r="D333" s="80" t="s">
        <v>1230</v>
      </c>
      <c r="E333" s="80"/>
      <c r="F333" s="80"/>
      <c r="G333" s="80"/>
      <c r="H333" s="80"/>
      <c r="I333" s="80" t="s">
        <v>736</v>
      </c>
      <c r="J333" s="80"/>
      <c r="K333" s="80"/>
      <c r="L333" s="80"/>
      <c r="M333" s="80"/>
      <c r="N333" s="86" t="s">
        <v>1227</v>
      </c>
      <c r="O333" s="86" t="s">
        <v>1228</v>
      </c>
      <c r="P333" s="86" t="s">
        <v>1228</v>
      </c>
      <c r="Q333" s="80">
        <v>0</v>
      </c>
      <c r="R333" s="80"/>
      <c r="S333" s="80"/>
      <c r="T333" s="80"/>
      <c r="U333" s="80"/>
      <c r="V333" s="79"/>
      <c r="W333" s="80"/>
      <c r="X333" s="80" t="s">
        <v>1229</v>
      </c>
    </row>
    <row r="334" spans="1:24" s="85" customFormat="1" ht="45" customHeight="1" x14ac:dyDescent="0.3">
      <c r="A334" s="82"/>
      <c r="B334" s="83"/>
      <c r="C334" s="84" t="s">
        <v>544</v>
      </c>
      <c r="D334" s="84" t="s">
        <v>1230</v>
      </c>
      <c r="E334" s="84"/>
      <c r="F334" s="84"/>
      <c r="G334" s="84"/>
      <c r="H334" s="84"/>
      <c r="I334" s="84" t="s">
        <v>736</v>
      </c>
      <c r="J334" s="84"/>
      <c r="K334" s="84"/>
      <c r="L334" s="84"/>
      <c r="M334" s="84"/>
      <c r="N334" s="84" t="s">
        <v>1227</v>
      </c>
      <c r="O334" s="84" t="s">
        <v>1228</v>
      </c>
      <c r="P334" s="84" t="s">
        <v>1228</v>
      </c>
      <c r="Q334" s="84">
        <v>0</v>
      </c>
      <c r="R334" s="84"/>
      <c r="S334" s="84"/>
      <c r="T334" s="84"/>
      <c r="U334" s="84"/>
      <c r="V334" s="83"/>
      <c r="W334" s="84"/>
      <c r="X334" s="84" t="s">
        <v>1229</v>
      </c>
    </row>
    <row r="335" spans="1:24" s="85" customFormat="1" ht="45" customHeight="1" x14ac:dyDescent="0.3">
      <c r="A335" s="78"/>
      <c r="B335" s="79"/>
      <c r="C335" s="80" t="s">
        <v>545</v>
      </c>
      <c r="D335" s="80" t="s">
        <v>1230</v>
      </c>
      <c r="E335" s="80"/>
      <c r="F335" s="80"/>
      <c r="G335" s="80"/>
      <c r="H335" s="80"/>
      <c r="I335" s="80" t="s">
        <v>736</v>
      </c>
      <c r="J335" s="80"/>
      <c r="K335" s="80"/>
      <c r="L335" s="80"/>
      <c r="M335" s="80"/>
      <c r="N335" s="86" t="s">
        <v>1227</v>
      </c>
      <c r="O335" s="86" t="s">
        <v>1228</v>
      </c>
      <c r="P335" s="86" t="s">
        <v>1228</v>
      </c>
      <c r="Q335" s="80">
        <v>0</v>
      </c>
      <c r="R335" s="80"/>
      <c r="S335" s="80"/>
      <c r="T335" s="80"/>
      <c r="U335" s="80"/>
      <c r="V335" s="79"/>
      <c r="W335" s="80"/>
      <c r="X335" s="80" t="s">
        <v>1229</v>
      </c>
    </row>
    <row r="336" spans="1:24" s="85" customFormat="1" ht="45" customHeight="1" x14ac:dyDescent="0.3">
      <c r="A336" s="82"/>
      <c r="B336" s="83"/>
      <c r="C336" s="84" t="s">
        <v>1200</v>
      </c>
      <c r="D336" s="84" t="s">
        <v>1230</v>
      </c>
      <c r="E336" s="84"/>
      <c r="F336" s="84"/>
      <c r="G336" s="84"/>
      <c r="H336" s="84"/>
      <c r="I336" s="84" t="s">
        <v>736</v>
      </c>
      <c r="J336" s="84"/>
      <c r="K336" s="84"/>
      <c r="L336" s="84"/>
      <c r="M336" s="84"/>
      <c r="N336" s="84" t="s">
        <v>1227</v>
      </c>
      <c r="O336" s="84" t="s">
        <v>1228</v>
      </c>
      <c r="P336" s="84" t="s">
        <v>1228</v>
      </c>
      <c r="Q336" s="84">
        <v>0</v>
      </c>
      <c r="R336" s="84"/>
      <c r="S336" s="84"/>
      <c r="T336" s="84"/>
      <c r="U336" s="84"/>
      <c r="V336" s="83"/>
      <c r="W336" s="84"/>
      <c r="X336" s="84" t="s">
        <v>1229</v>
      </c>
    </row>
    <row r="337" spans="1:24" s="85" customFormat="1" ht="45" customHeight="1" x14ac:dyDescent="0.3">
      <c r="A337" s="78"/>
      <c r="B337" s="79"/>
      <c r="C337" s="80" t="s">
        <v>1201</v>
      </c>
      <c r="D337" s="80" t="s">
        <v>1230</v>
      </c>
      <c r="E337" s="80"/>
      <c r="F337" s="80"/>
      <c r="G337" s="80"/>
      <c r="H337" s="80"/>
      <c r="I337" s="80" t="s">
        <v>736</v>
      </c>
      <c r="J337" s="80"/>
      <c r="K337" s="80"/>
      <c r="L337" s="80"/>
      <c r="M337" s="80"/>
      <c r="N337" s="86" t="s">
        <v>1227</v>
      </c>
      <c r="O337" s="86" t="s">
        <v>1228</v>
      </c>
      <c r="P337" s="86" t="s">
        <v>1228</v>
      </c>
      <c r="Q337" s="80">
        <v>0</v>
      </c>
      <c r="R337" s="80"/>
      <c r="S337" s="80"/>
      <c r="T337" s="80"/>
      <c r="U337" s="80"/>
      <c r="V337" s="79"/>
      <c r="W337" s="80"/>
      <c r="X337" s="80" t="s">
        <v>1229</v>
      </c>
    </row>
    <row r="338" spans="1:24" s="85" customFormat="1" ht="45" customHeight="1" x14ac:dyDescent="0.3">
      <c r="A338" s="82"/>
      <c r="B338" s="83"/>
      <c r="C338" s="84" t="s">
        <v>548</v>
      </c>
      <c r="D338" s="84" t="s">
        <v>1230</v>
      </c>
      <c r="E338" s="84"/>
      <c r="F338" s="84"/>
      <c r="G338" s="84"/>
      <c r="H338" s="84"/>
      <c r="I338" s="84" t="s">
        <v>736</v>
      </c>
      <c r="J338" s="84"/>
      <c r="K338" s="84"/>
      <c r="L338" s="84"/>
      <c r="M338" s="84"/>
      <c r="N338" s="84" t="s">
        <v>1227</v>
      </c>
      <c r="O338" s="84" t="s">
        <v>1228</v>
      </c>
      <c r="P338" s="84" t="s">
        <v>1228</v>
      </c>
      <c r="Q338" s="84">
        <v>0</v>
      </c>
      <c r="R338" s="84"/>
      <c r="S338" s="84"/>
      <c r="T338" s="84"/>
      <c r="U338" s="84"/>
      <c r="V338" s="83"/>
      <c r="W338" s="84"/>
      <c r="X338" s="84" t="s">
        <v>1229</v>
      </c>
    </row>
    <row r="339" spans="1:24" s="85" customFormat="1" ht="45" customHeight="1" x14ac:dyDescent="0.3">
      <c r="A339" s="78"/>
      <c r="B339" s="79"/>
      <c r="C339" s="80" t="s">
        <v>549</v>
      </c>
      <c r="D339" s="80" t="s">
        <v>1230</v>
      </c>
      <c r="E339" s="80"/>
      <c r="F339" s="80"/>
      <c r="G339" s="80"/>
      <c r="H339" s="80"/>
      <c r="I339" s="80" t="s">
        <v>736</v>
      </c>
      <c r="J339" s="80"/>
      <c r="K339" s="80"/>
      <c r="L339" s="80"/>
      <c r="M339" s="80"/>
      <c r="N339" s="86" t="s">
        <v>1227</v>
      </c>
      <c r="O339" s="86" t="s">
        <v>1228</v>
      </c>
      <c r="P339" s="86" t="s">
        <v>1228</v>
      </c>
      <c r="Q339" s="80">
        <v>0</v>
      </c>
      <c r="R339" s="80"/>
      <c r="S339" s="80"/>
      <c r="T339" s="80"/>
      <c r="U339" s="80"/>
      <c r="V339" s="79"/>
      <c r="W339" s="80"/>
      <c r="X339" s="80" t="s">
        <v>1229</v>
      </c>
    </row>
    <row r="340" spans="1:24" s="85" customFormat="1" ht="45" customHeight="1" x14ac:dyDescent="0.3">
      <c r="A340" s="82"/>
      <c r="B340" s="83"/>
      <c r="C340" s="84" t="s">
        <v>550</v>
      </c>
      <c r="D340" s="84" t="s">
        <v>1230</v>
      </c>
      <c r="E340" s="84"/>
      <c r="F340" s="84"/>
      <c r="G340" s="84"/>
      <c r="H340" s="84"/>
      <c r="I340" s="84" t="s">
        <v>736</v>
      </c>
      <c r="J340" s="84"/>
      <c r="K340" s="84"/>
      <c r="L340" s="84"/>
      <c r="M340" s="84"/>
      <c r="N340" s="84" t="s">
        <v>1227</v>
      </c>
      <c r="O340" s="84" t="s">
        <v>1228</v>
      </c>
      <c r="P340" s="84" t="s">
        <v>1228</v>
      </c>
      <c r="Q340" s="84">
        <v>0</v>
      </c>
      <c r="R340" s="84"/>
      <c r="S340" s="84"/>
      <c r="T340" s="84"/>
      <c r="U340" s="84"/>
      <c r="V340" s="83"/>
      <c r="W340" s="84"/>
      <c r="X340" s="84" t="s">
        <v>1229</v>
      </c>
    </row>
    <row r="341" spans="1:24" s="85" customFormat="1" ht="45" customHeight="1" x14ac:dyDescent="0.3">
      <c r="A341" s="78"/>
      <c r="B341" s="79"/>
      <c r="C341" s="80" t="s">
        <v>551</v>
      </c>
      <c r="D341" s="80" t="s">
        <v>1230</v>
      </c>
      <c r="E341" s="80"/>
      <c r="F341" s="80"/>
      <c r="G341" s="80"/>
      <c r="H341" s="80"/>
      <c r="I341" s="80" t="s">
        <v>736</v>
      </c>
      <c r="J341" s="80"/>
      <c r="K341" s="80"/>
      <c r="L341" s="80"/>
      <c r="M341" s="80"/>
      <c r="N341" s="86" t="s">
        <v>1227</v>
      </c>
      <c r="O341" s="86" t="s">
        <v>1228</v>
      </c>
      <c r="P341" s="86" t="s">
        <v>1228</v>
      </c>
      <c r="Q341" s="80">
        <v>0</v>
      </c>
      <c r="R341" s="80"/>
      <c r="S341" s="80"/>
      <c r="T341" s="80"/>
      <c r="U341" s="80"/>
      <c r="V341" s="79"/>
      <c r="W341" s="80"/>
      <c r="X341" s="80" t="s">
        <v>1229</v>
      </c>
    </row>
    <row r="342" spans="1:24" s="85" customFormat="1" ht="45" customHeight="1" x14ac:dyDescent="0.3">
      <c r="A342" s="82"/>
      <c r="B342" s="83"/>
      <c r="C342" s="84" t="s">
        <v>552</v>
      </c>
      <c r="D342" s="84" t="s">
        <v>1230</v>
      </c>
      <c r="E342" s="84"/>
      <c r="F342" s="84"/>
      <c r="G342" s="84"/>
      <c r="H342" s="84"/>
      <c r="I342" s="84" t="s">
        <v>736</v>
      </c>
      <c r="J342" s="84"/>
      <c r="K342" s="84"/>
      <c r="L342" s="84"/>
      <c r="M342" s="84"/>
      <c r="N342" s="84" t="s">
        <v>1227</v>
      </c>
      <c r="O342" s="84" t="s">
        <v>1228</v>
      </c>
      <c r="P342" s="84" t="s">
        <v>1228</v>
      </c>
      <c r="Q342" s="84">
        <v>0</v>
      </c>
      <c r="R342" s="84"/>
      <c r="S342" s="84"/>
      <c r="T342" s="84"/>
      <c r="U342" s="84"/>
      <c r="V342" s="83"/>
      <c r="W342" s="84"/>
      <c r="X342" s="84" t="s">
        <v>1229</v>
      </c>
    </row>
    <row r="343" spans="1:24" s="85" customFormat="1" ht="45" customHeight="1" x14ac:dyDescent="0.3">
      <c r="A343" s="78"/>
      <c r="B343" s="79"/>
      <c r="C343" s="80" t="s">
        <v>553</v>
      </c>
      <c r="D343" s="80" t="s">
        <v>1230</v>
      </c>
      <c r="E343" s="80"/>
      <c r="F343" s="80"/>
      <c r="G343" s="80"/>
      <c r="H343" s="80"/>
      <c r="I343" s="80" t="s">
        <v>736</v>
      </c>
      <c r="J343" s="80"/>
      <c r="K343" s="80"/>
      <c r="L343" s="80"/>
      <c r="M343" s="80"/>
      <c r="N343" s="86" t="s">
        <v>1227</v>
      </c>
      <c r="O343" s="86" t="s">
        <v>1228</v>
      </c>
      <c r="P343" s="86" t="s">
        <v>1228</v>
      </c>
      <c r="Q343" s="80">
        <v>0</v>
      </c>
      <c r="R343" s="80"/>
      <c r="S343" s="80"/>
      <c r="T343" s="80"/>
      <c r="U343" s="80"/>
      <c r="V343" s="79"/>
      <c r="W343" s="80"/>
      <c r="X343" s="80" t="s">
        <v>1229</v>
      </c>
    </row>
    <row r="344" spans="1:24" s="85" customFormat="1" ht="45" customHeight="1" x14ac:dyDescent="0.3">
      <c r="A344" s="82"/>
      <c r="B344" s="83"/>
      <c r="C344" s="84" t="s">
        <v>554</v>
      </c>
      <c r="D344" s="84" t="s">
        <v>1230</v>
      </c>
      <c r="E344" s="84"/>
      <c r="F344" s="84"/>
      <c r="G344" s="84"/>
      <c r="H344" s="84"/>
      <c r="I344" s="84" t="s">
        <v>736</v>
      </c>
      <c r="J344" s="84"/>
      <c r="K344" s="84"/>
      <c r="L344" s="84"/>
      <c r="M344" s="84"/>
      <c r="N344" s="84" t="s">
        <v>1227</v>
      </c>
      <c r="O344" s="84" t="s">
        <v>1228</v>
      </c>
      <c r="P344" s="84" t="s">
        <v>1228</v>
      </c>
      <c r="Q344" s="84">
        <v>0</v>
      </c>
      <c r="R344" s="84"/>
      <c r="S344" s="84"/>
      <c r="T344" s="84"/>
      <c r="U344" s="84"/>
      <c r="V344" s="83"/>
      <c r="W344" s="84"/>
      <c r="X344" s="84" t="s">
        <v>1229</v>
      </c>
    </row>
    <row r="345" spans="1:24" s="85" customFormat="1" ht="45" customHeight="1" x14ac:dyDescent="0.3">
      <c r="A345" s="78"/>
      <c r="B345" s="79"/>
      <c r="C345" s="80" t="s">
        <v>555</v>
      </c>
      <c r="D345" s="80" t="s">
        <v>1230</v>
      </c>
      <c r="E345" s="80"/>
      <c r="F345" s="80"/>
      <c r="G345" s="80"/>
      <c r="H345" s="80"/>
      <c r="I345" s="80" t="s">
        <v>736</v>
      </c>
      <c r="J345" s="80"/>
      <c r="K345" s="80"/>
      <c r="L345" s="80"/>
      <c r="M345" s="80"/>
      <c r="N345" s="86" t="s">
        <v>1227</v>
      </c>
      <c r="O345" s="86" t="s">
        <v>1228</v>
      </c>
      <c r="P345" s="86" t="s">
        <v>1228</v>
      </c>
      <c r="Q345" s="80">
        <v>0</v>
      </c>
      <c r="R345" s="80"/>
      <c r="S345" s="80"/>
      <c r="T345" s="80"/>
      <c r="U345" s="80"/>
      <c r="V345" s="79"/>
      <c r="W345" s="80"/>
      <c r="X345" s="80" t="s">
        <v>1229</v>
      </c>
    </row>
    <row r="346" spans="1:24" s="85" customFormat="1" ht="45" customHeight="1" x14ac:dyDescent="0.3">
      <c r="A346" s="82"/>
      <c r="B346" s="83"/>
      <c r="C346" s="84" t="s">
        <v>556</v>
      </c>
      <c r="D346" s="84" t="s">
        <v>1230</v>
      </c>
      <c r="E346" s="84"/>
      <c r="F346" s="84"/>
      <c r="G346" s="84"/>
      <c r="H346" s="84"/>
      <c r="I346" s="84" t="s">
        <v>736</v>
      </c>
      <c r="J346" s="84"/>
      <c r="K346" s="84"/>
      <c r="L346" s="84"/>
      <c r="M346" s="84"/>
      <c r="N346" s="84" t="s">
        <v>1227</v>
      </c>
      <c r="O346" s="84" t="s">
        <v>1228</v>
      </c>
      <c r="P346" s="84" t="s">
        <v>1228</v>
      </c>
      <c r="Q346" s="84">
        <v>0</v>
      </c>
      <c r="R346" s="84"/>
      <c r="S346" s="84"/>
      <c r="T346" s="84"/>
      <c r="U346" s="84"/>
      <c r="V346" s="83"/>
      <c r="W346" s="84"/>
      <c r="X346" s="84" t="s">
        <v>1229</v>
      </c>
    </row>
    <row r="347" spans="1:24" s="85" customFormat="1" ht="45" customHeight="1" x14ac:dyDescent="0.3">
      <c r="A347" s="78"/>
      <c r="B347" s="79"/>
      <c r="C347" s="80" t="s">
        <v>557</v>
      </c>
      <c r="D347" s="80" t="s">
        <v>1230</v>
      </c>
      <c r="E347" s="80"/>
      <c r="F347" s="80"/>
      <c r="G347" s="80"/>
      <c r="H347" s="80"/>
      <c r="I347" s="80" t="s">
        <v>736</v>
      </c>
      <c r="J347" s="80"/>
      <c r="K347" s="80"/>
      <c r="L347" s="80"/>
      <c r="M347" s="80"/>
      <c r="N347" s="86" t="s">
        <v>1227</v>
      </c>
      <c r="O347" s="86" t="s">
        <v>1228</v>
      </c>
      <c r="P347" s="86" t="s">
        <v>1228</v>
      </c>
      <c r="Q347" s="80">
        <v>0</v>
      </c>
      <c r="R347" s="80"/>
      <c r="S347" s="80"/>
      <c r="T347" s="80"/>
      <c r="U347" s="80"/>
      <c r="V347" s="79"/>
      <c r="W347" s="80"/>
      <c r="X347" s="80" t="s">
        <v>1229</v>
      </c>
    </row>
    <row r="348" spans="1:24" s="85" customFormat="1" ht="45" customHeight="1" x14ac:dyDescent="0.3">
      <c r="A348" s="82"/>
      <c r="B348" s="83"/>
      <c r="C348" s="84" t="s">
        <v>558</v>
      </c>
      <c r="D348" s="84" t="s">
        <v>1230</v>
      </c>
      <c r="E348" s="84"/>
      <c r="F348" s="84"/>
      <c r="G348" s="84"/>
      <c r="H348" s="84"/>
      <c r="I348" s="84" t="s">
        <v>736</v>
      </c>
      <c r="J348" s="84"/>
      <c r="K348" s="84"/>
      <c r="L348" s="84"/>
      <c r="M348" s="84"/>
      <c r="N348" s="84" t="s">
        <v>1227</v>
      </c>
      <c r="O348" s="84" t="s">
        <v>1228</v>
      </c>
      <c r="P348" s="84" t="s">
        <v>1228</v>
      </c>
      <c r="Q348" s="84">
        <v>0</v>
      </c>
      <c r="R348" s="84"/>
      <c r="S348" s="84"/>
      <c r="T348" s="84"/>
      <c r="U348" s="84"/>
      <c r="V348" s="83"/>
      <c r="W348" s="84"/>
      <c r="X348" s="84" t="s">
        <v>1229</v>
      </c>
    </row>
    <row r="349" spans="1:24" s="85" customFormat="1" ht="45" customHeight="1" x14ac:dyDescent="0.3">
      <c r="A349" s="78"/>
      <c r="B349" s="79"/>
      <c r="C349" s="80" t="s">
        <v>559</v>
      </c>
      <c r="D349" s="80" t="s">
        <v>1230</v>
      </c>
      <c r="E349" s="80"/>
      <c r="F349" s="80"/>
      <c r="G349" s="80"/>
      <c r="H349" s="80"/>
      <c r="I349" s="80" t="s">
        <v>736</v>
      </c>
      <c r="J349" s="80"/>
      <c r="K349" s="80"/>
      <c r="L349" s="80"/>
      <c r="M349" s="80"/>
      <c r="N349" s="86" t="s">
        <v>1227</v>
      </c>
      <c r="O349" s="86" t="s">
        <v>1228</v>
      </c>
      <c r="P349" s="86" t="s">
        <v>1228</v>
      </c>
      <c r="Q349" s="80">
        <v>0</v>
      </c>
      <c r="R349" s="80"/>
      <c r="S349" s="80"/>
      <c r="T349" s="80"/>
      <c r="U349" s="80"/>
      <c r="V349" s="79"/>
      <c r="W349" s="80"/>
      <c r="X349" s="80" t="s">
        <v>1229</v>
      </c>
    </row>
    <row r="350" spans="1:24" s="85" customFormat="1" ht="45" customHeight="1" x14ac:dyDescent="0.3">
      <c r="A350" s="82"/>
      <c r="B350" s="83"/>
      <c r="C350" s="84" t="s">
        <v>560</v>
      </c>
      <c r="D350" s="84" t="s">
        <v>1230</v>
      </c>
      <c r="E350" s="84"/>
      <c r="F350" s="84"/>
      <c r="G350" s="84"/>
      <c r="H350" s="84"/>
      <c r="I350" s="84" t="s">
        <v>736</v>
      </c>
      <c r="J350" s="84"/>
      <c r="K350" s="84"/>
      <c r="L350" s="84"/>
      <c r="M350" s="84"/>
      <c r="N350" s="84" t="s">
        <v>1227</v>
      </c>
      <c r="O350" s="84" t="s">
        <v>1228</v>
      </c>
      <c r="P350" s="84" t="s">
        <v>1228</v>
      </c>
      <c r="Q350" s="84">
        <v>0</v>
      </c>
      <c r="R350" s="84"/>
      <c r="S350" s="84"/>
      <c r="T350" s="84"/>
      <c r="U350" s="84"/>
      <c r="V350" s="83"/>
      <c r="W350" s="84"/>
      <c r="X350" s="84" t="s">
        <v>1229</v>
      </c>
    </row>
    <row r="351" spans="1:24" s="85" customFormat="1" ht="45" customHeight="1" x14ac:dyDescent="0.3">
      <c r="A351" s="78"/>
      <c r="B351" s="79"/>
      <c r="C351" s="80" t="s">
        <v>561</v>
      </c>
      <c r="D351" s="80" t="s">
        <v>1230</v>
      </c>
      <c r="E351" s="80"/>
      <c r="F351" s="80"/>
      <c r="G351" s="80"/>
      <c r="H351" s="80"/>
      <c r="I351" s="80" t="s">
        <v>736</v>
      </c>
      <c r="J351" s="80"/>
      <c r="K351" s="80"/>
      <c r="L351" s="80"/>
      <c r="M351" s="80"/>
      <c r="N351" s="86" t="s">
        <v>1227</v>
      </c>
      <c r="O351" s="86" t="s">
        <v>1228</v>
      </c>
      <c r="P351" s="86" t="s">
        <v>1228</v>
      </c>
      <c r="Q351" s="80">
        <v>0</v>
      </c>
      <c r="R351" s="80"/>
      <c r="S351" s="80"/>
      <c r="T351" s="80"/>
      <c r="U351" s="80"/>
      <c r="V351" s="79"/>
      <c r="W351" s="80"/>
      <c r="X351" s="80" t="s">
        <v>1229</v>
      </c>
    </row>
    <row r="352" spans="1:24" s="85" customFormat="1" ht="45" customHeight="1" x14ac:dyDescent="0.3">
      <c r="A352" s="82"/>
      <c r="B352" s="83"/>
      <c r="C352" s="84" t="s">
        <v>562</v>
      </c>
      <c r="D352" s="84" t="s">
        <v>1230</v>
      </c>
      <c r="E352" s="84"/>
      <c r="F352" s="84"/>
      <c r="G352" s="84"/>
      <c r="H352" s="84"/>
      <c r="I352" s="84" t="s">
        <v>736</v>
      </c>
      <c r="J352" s="84"/>
      <c r="K352" s="84"/>
      <c r="L352" s="84"/>
      <c r="M352" s="84"/>
      <c r="N352" s="84" t="s">
        <v>1227</v>
      </c>
      <c r="O352" s="84" t="s">
        <v>1228</v>
      </c>
      <c r="P352" s="84" t="s">
        <v>1228</v>
      </c>
      <c r="Q352" s="84">
        <v>0</v>
      </c>
      <c r="R352" s="84"/>
      <c r="S352" s="84"/>
      <c r="T352" s="84"/>
      <c r="U352" s="84"/>
      <c r="V352" s="83"/>
      <c r="W352" s="84"/>
      <c r="X352" s="84" t="s">
        <v>1229</v>
      </c>
    </row>
    <row r="353" spans="1:24" s="85" customFormat="1" ht="45" customHeight="1" x14ac:dyDescent="0.3">
      <c r="A353" s="78"/>
      <c r="B353" s="79"/>
      <c r="C353" s="80" t="s">
        <v>563</v>
      </c>
      <c r="D353" s="80" t="s">
        <v>1230</v>
      </c>
      <c r="E353" s="80"/>
      <c r="F353" s="80"/>
      <c r="G353" s="80"/>
      <c r="H353" s="80"/>
      <c r="I353" s="80" t="s">
        <v>736</v>
      </c>
      <c r="J353" s="80"/>
      <c r="K353" s="80"/>
      <c r="L353" s="80"/>
      <c r="M353" s="80"/>
      <c r="N353" s="86" t="s">
        <v>1227</v>
      </c>
      <c r="O353" s="86" t="s">
        <v>1228</v>
      </c>
      <c r="P353" s="86" t="s">
        <v>1228</v>
      </c>
      <c r="Q353" s="80">
        <v>0</v>
      </c>
      <c r="R353" s="80"/>
      <c r="S353" s="80"/>
      <c r="T353" s="80"/>
      <c r="U353" s="80"/>
      <c r="V353" s="79"/>
      <c r="W353" s="80"/>
      <c r="X353" s="80" t="s">
        <v>1229</v>
      </c>
    </row>
    <row r="354" spans="1:24" s="85" customFormat="1" ht="45" customHeight="1" x14ac:dyDescent="0.3">
      <c r="A354" s="82"/>
      <c r="B354" s="83"/>
      <c r="C354" s="84" t="s">
        <v>564</v>
      </c>
      <c r="D354" s="84" t="s">
        <v>1230</v>
      </c>
      <c r="E354" s="84"/>
      <c r="F354" s="84"/>
      <c r="G354" s="84"/>
      <c r="H354" s="84"/>
      <c r="I354" s="84" t="s">
        <v>736</v>
      </c>
      <c r="J354" s="84"/>
      <c r="K354" s="84"/>
      <c r="L354" s="84"/>
      <c r="M354" s="84"/>
      <c r="N354" s="84" t="s">
        <v>1227</v>
      </c>
      <c r="O354" s="84" t="s">
        <v>1228</v>
      </c>
      <c r="P354" s="84" t="s">
        <v>1228</v>
      </c>
      <c r="Q354" s="84">
        <v>0</v>
      </c>
      <c r="R354" s="84"/>
      <c r="S354" s="84"/>
      <c r="T354" s="84"/>
      <c r="U354" s="84"/>
      <c r="V354" s="83"/>
      <c r="W354" s="84"/>
      <c r="X354" s="84" t="s">
        <v>1229</v>
      </c>
    </row>
    <row r="355" spans="1:24" s="85" customFormat="1" ht="45" customHeight="1" x14ac:dyDescent="0.3">
      <c r="A355" s="78"/>
      <c r="B355" s="79"/>
      <c r="C355" s="80" t="s">
        <v>565</v>
      </c>
      <c r="D355" s="80" t="s">
        <v>1230</v>
      </c>
      <c r="E355" s="80"/>
      <c r="F355" s="80"/>
      <c r="G355" s="80"/>
      <c r="H355" s="80"/>
      <c r="I355" s="80" t="s">
        <v>736</v>
      </c>
      <c r="J355" s="80"/>
      <c r="K355" s="80"/>
      <c r="L355" s="80"/>
      <c r="M355" s="80"/>
      <c r="N355" s="86" t="s">
        <v>1227</v>
      </c>
      <c r="O355" s="86" t="s">
        <v>1228</v>
      </c>
      <c r="P355" s="86" t="s">
        <v>1228</v>
      </c>
      <c r="Q355" s="80">
        <v>0</v>
      </c>
      <c r="R355" s="80"/>
      <c r="S355" s="80"/>
      <c r="T355" s="80"/>
      <c r="U355" s="80"/>
      <c r="V355" s="79"/>
      <c r="W355" s="80"/>
      <c r="X355" s="80" t="s">
        <v>1229</v>
      </c>
    </row>
    <row r="356" spans="1:24" s="85" customFormat="1" ht="45" customHeight="1" x14ac:dyDescent="0.3">
      <c r="A356" s="82"/>
      <c r="B356" s="83"/>
      <c r="C356" s="84" t="s">
        <v>566</v>
      </c>
      <c r="D356" s="84" t="s">
        <v>1230</v>
      </c>
      <c r="E356" s="84"/>
      <c r="F356" s="84"/>
      <c r="G356" s="84"/>
      <c r="H356" s="84"/>
      <c r="I356" s="84" t="s">
        <v>736</v>
      </c>
      <c r="J356" s="84"/>
      <c r="K356" s="84"/>
      <c r="L356" s="84"/>
      <c r="M356" s="84"/>
      <c r="N356" s="84" t="s">
        <v>1227</v>
      </c>
      <c r="O356" s="84" t="s">
        <v>1228</v>
      </c>
      <c r="P356" s="84" t="s">
        <v>1228</v>
      </c>
      <c r="Q356" s="84">
        <v>0</v>
      </c>
      <c r="R356" s="84"/>
      <c r="S356" s="84"/>
      <c r="T356" s="84"/>
      <c r="U356" s="84"/>
      <c r="V356" s="83"/>
      <c r="W356" s="84"/>
      <c r="X356" s="84" t="s">
        <v>1229</v>
      </c>
    </row>
    <row r="357" spans="1:24" s="85" customFormat="1" ht="45" customHeight="1" x14ac:dyDescent="0.3">
      <c r="A357" s="78"/>
      <c r="B357" s="79"/>
      <c r="C357" s="80" t="s">
        <v>567</v>
      </c>
      <c r="D357" s="80" t="s">
        <v>1230</v>
      </c>
      <c r="E357" s="80"/>
      <c r="F357" s="80"/>
      <c r="G357" s="80"/>
      <c r="H357" s="80"/>
      <c r="I357" s="80" t="s">
        <v>736</v>
      </c>
      <c r="J357" s="80"/>
      <c r="K357" s="80"/>
      <c r="L357" s="80"/>
      <c r="M357" s="80"/>
      <c r="N357" s="86" t="s">
        <v>1227</v>
      </c>
      <c r="O357" s="86" t="s">
        <v>1228</v>
      </c>
      <c r="P357" s="86" t="s">
        <v>1228</v>
      </c>
      <c r="Q357" s="80">
        <v>0</v>
      </c>
      <c r="R357" s="80"/>
      <c r="S357" s="80"/>
      <c r="T357" s="80"/>
      <c r="U357" s="80"/>
      <c r="V357" s="79"/>
      <c r="W357" s="80"/>
      <c r="X357" s="80" t="s">
        <v>1229</v>
      </c>
    </row>
    <row r="358" spans="1:24" s="85" customFormat="1" ht="45" customHeight="1" x14ac:dyDescent="0.3">
      <c r="A358" s="82"/>
      <c r="B358" s="83"/>
      <c r="C358" s="84" t="s">
        <v>568</v>
      </c>
      <c r="D358" s="84" t="s">
        <v>1230</v>
      </c>
      <c r="E358" s="84"/>
      <c r="F358" s="84"/>
      <c r="G358" s="84"/>
      <c r="H358" s="84"/>
      <c r="I358" s="84" t="s">
        <v>736</v>
      </c>
      <c r="J358" s="84"/>
      <c r="K358" s="84"/>
      <c r="L358" s="84"/>
      <c r="M358" s="84"/>
      <c r="N358" s="84" t="s">
        <v>1227</v>
      </c>
      <c r="O358" s="84" t="s">
        <v>1228</v>
      </c>
      <c r="P358" s="84" t="s">
        <v>1228</v>
      </c>
      <c r="Q358" s="84">
        <v>0</v>
      </c>
      <c r="R358" s="84"/>
      <c r="S358" s="84"/>
      <c r="T358" s="84"/>
      <c r="U358" s="84"/>
      <c r="V358" s="83"/>
      <c r="W358" s="84"/>
      <c r="X358" s="84" t="s">
        <v>1229</v>
      </c>
    </row>
    <row r="359" spans="1:24" s="85" customFormat="1" ht="45" customHeight="1" x14ac:dyDescent="0.3">
      <c r="A359" s="78"/>
      <c r="B359" s="79"/>
      <c r="C359" s="80" t="s">
        <v>569</v>
      </c>
      <c r="D359" s="80" t="s">
        <v>1230</v>
      </c>
      <c r="E359" s="80"/>
      <c r="F359" s="80"/>
      <c r="G359" s="80"/>
      <c r="H359" s="80"/>
      <c r="I359" s="80" t="s">
        <v>736</v>
      </c>
      <c r="J359" s="80"/>
      <c r="K359" s="80"/>
      <c r="L359" s="80"/>
      <c r="M359" s="80"/>
      <c r="N359" s="86" t="s">
        <v>1227</v>
      </c>
      <c r="O359" s="86" t="s">
        <v>1228</v>
      </c>
      <c r="P359" s="86" t="s">
        <v>1228</v>
      </c>
      <c r="Q359" s="80">
        <v>0</v>
      </c>
      <c r="R359" s="80"/>
      <c r="S359" s="80"/>
      <c r="T359" s="80"/>
      <c r="U359" s="80"/>
      <c r="V359" s="79"/>
      <c r="W359" s="80"/>
      <c r="X359" s="80" t="s">
        <v>1229</v>
      </c>
    </row>
    <row r="360" spans="1:24" s="85" customFormat="1" ht="45" customHeight="1" x14ac:dyDescent="0.3">
      <c r="A360" s="82"/>
      <c r="B360" s="83"/>
      <c r="C360" s="84" t="s">
        <v>570</v>
      </c>
      <c r="D360" s="84" t="s">
        <v>1230</v>
      </c>
      <c r="E360" s="84"/>
      <c r="F360" s="84"/>
      <c r="G360" s="84"/>
      <c r="H360" s="84"/>
      <c r="I360" s="84" t="s">
        <v>736</v>
      </c>
      <c r="J360" s="84"/>
      <c r="K360" s="84"/>
      <c r="L360" s="84"/>
      <c r="M360" s="84"/>
      <c r="N360" s="84" t="s">
        <v>1227</v>
      </c>
      <c r="O360" s="84" t="s">
        <v>1228</v>
      </c>
      <c r="P360" s="84" t="s">
        <v>1228</v>
      </c>
      <c r="Q360" s="84">
        <v>0</v>
      </c>
      <c r="R360" s="84"/>
      <c r="S360" s="84"/>
      <c r="T360" s="84"/>
      <c r="U360" s="84"/>
      <c r="V360" s="83"/>
      <c r="W360" s="84"/>
      <c r="X360" s="84" t="s">
        <v>1229</v>
      </c>
    </row>
    <row r="361" spans="1:24" s="85" customFormat="1" ht="45" customHeight="1" x14ac:dyDescent="0.3">
      <c r="A361" s="78"/>
      <c r="B361" s="79"/>
      <c r="C361" s="80" t="s">
        <v>571</v>
      </c>
      <c r="D361" s="80" t="s">
        <v>1230</v>
      </c>
      <c r="E361" s="80"/>
      <c r="F361" s="80"/>
      <c r="G361" s="80"/>
      <c r="H361" s="80"/>
      <c r="I361" s="80" t="s">
        <v>736</v>
      </c>
      <c r="J361" s="80"/>
      <c r="K361" s="80"/>
      <c r="L361" s="80"/>
      <c r="M361" s="80"/>
      <c r="N361" s="86" t="s">
        <v>1227</v>
      </c>
      <c r="O361" s="86" t="s">
        <v>1228</v>
      </c>
      <c r="P361" s="86" t="s">
        <v>1228</v>
      </c>
      <c r="Q361" s="80">
        <v>0</v>
      </c>
      <c r="R361" s="80"/>
      <c r="S361" s="80"/>
      <c r="T361" s="80"/>
      <c r="U361" s="80"/>
      <c r="V361" s="79"/>
      <c r="W361" s="80"/>
      <c r="X361" s="80" t="s">
        <v>1229</v>
      </c>
    </row>
    <row r="362" spans="1:24" s="85" customFormat="1" ht="45" customHeight="1" x14ac:dyDescent="0.3">
      <c r="A362" s="82"/>
      <c r="B362" s="83"/>
      <c r="C362" s="84" t="s">
        <v>572</v>
      </c>
      <c r="D362" s="84" t="s">
        <v>1230</v>
      </c>
      <c r="E362" s="84"/>
      <c r="F362" s="84"/>
      <c r="G362" s="84"/>
      <c r="H362" s="84"/>
      <c r="I362" s="84" t="s">
        <v>736</v>
      </c>
      <c r="J362" s="84"/>
      <c r="K362" s="84"/>
      <c r="L362" s="84"/>
      <c r="M362" s="84"/>
      <c r="N362" s="84" t="s">
        <v>1227</v>
      </c>
      <c r="O362" s="84" t="s">
        <v>1228</v>
      </c>
      <c r="P362" s="84" t="s">
        <v>1228</v>
      </c>
      <c r="Q362" s="84">
        <v>0</v>
      </c>
      <c r="R362" s="84"/>
      <c r="S362" s="84"/>
      <c r="T362" s="84"/>
      <c r="U362" s="84"/>
      <c r="V362" s="83"/>
      <c r="W362" s="84"/>
      <c r="X362" s="84" t="s">
        <v>1229</v>
      </c>
    </row>
    <row r="363" spans="1:24" s="85" customFormat="1" ht="45" customHeight="1" x14ac:dyDescent="0.3">
      <c r="A363" s="78"/>
      <c r="B363" s="79"/>
      <c r="C363" s="80" t="s">
        <v>573</v>
      </c>
      <c r="D363" s="80" t="s">
        <v>1230</v>
      </c>
      <c r="E363" s="80"/>
      <c r="F363" s="80"/>
      <c r="G363" s="80"/>
      <c r="H363" s="80"/>
      <c r="I363" s="80" t="s">
        <v>736</v>
      </c>
      <c r="J363" s="80"/>
      <c r="K363" s="80"/>
      <c r="L363" s="80"/>
      <c r="M363" s="80"/>
      <c r="N363" s="86" t="s">
        <v>1227</v>
      </c>
      <c r="O363" s="86" t="s">
        <v>1228</v>
      </c>
      <c r="P363" s="86" t="s">
        <v>1228</v>
      </c>
      <c r="Q363" s="80">
        <v>0</v>
      </c>
      <c r="R363" s="80"/>
      <c r="S363" s="80"/>
      <c r="T363" s="80"/>
      <c r="U363" s="80"/>
      <c r="V363" s="79"/>
      <c r="W363" s="80"/>
      <c r="X363" s="80" t="s">
        <v>1229</v>
      </c>
    </row>
    <row r="364" spans="1:24" s="85" customFormat="1" ht="45" customHeight="1" x14ac:dyDescent="0.3">
      <c r="A364" s="82"/>
      <c r="B364" s="83"/>
      <c r="C364" s="84" t="s">
        <v>574</v>
      </c>
      <c r="D364" s="84" t="s">
        <v>1230</v>
      </c>
      <c r="E364" s="84"/>
      <c r="F364" s="84"/>
      <c r="G364" s="84"/>
      <c r="H364" s="84"/>
      <c r="I364" s="84" t="s">
        <v>736</v>
      </c>
      <c r="J364" s="84"/>
      <c r="K364" s="84"/>
      <c r="L364" s="84"/>
      <c r="M364" s="84"/>
      <c r="N364" s="84" t="s">
        <v>1227</v>
      </c>
      <c r="O364" s="84" t="s">
        <v>1228</v>
      </c>
      <c r="P364" s="84" t="s">
        <v>1228</v>
      </c>
      <c r="Q364" s="84">
        <v>0</v>
      </c>
      <c r="R364" s="84"/>
      <c r="S364" s="84"/>
      <c r="T364" s="84"/>
      <c r="U364" s="84"/>
      <c r="V364" s="83"/>
      <c r="W364" s="84"/>
      <c r="X364" s="84" t="s">
        <v>1229</v>
      </c>
    </row>
    <row r="365" spans="1:24" s="85" customFormat="1" ht="45" customHeight="1" x14ac:dyDescent="0.3">
      <c r="A365" s="78"/>
      <c r="B365" s="79"/>
      <c r="C365" s="80" t="s">
        <v>575</v>
      </c>
      <c r="D365" s="80" t="s">
        <v>1230</v>
      </c>
      <c r="E365" s="80"/>
      <c r="F365" s="80"/>
      <c r="G365" s="80"/>
      <c r="H365" s="80"/>
      <c r="I365" s="80" t="s">
        <v>736</v>
      </c>
      <c r="J365" s="80"/>
      <c r="K365" s="80"/>
      <c r="L365" s="80"/>
      <c r="M365" s="80"/>
      <c r="N365" s="86" t="s">
        <v>1227</v>
      </c>
      <c r="O365" s="86" t="s">
        <v>1228</v>
      </c>
      <c r="P365" s="86" t="s">
        <v>1228</v>
      </c>
      <c r="Q365" s="80">
        <v>0</v>
      </c>
      <c r="R365" s="80"/>
      <c r="S365" s="80"/>
      <c r="T365" s="80"/>
      <c r="U365" s="80"/>
      <c r="V365" s="79"/>
      <c r="W365" s="80"/>
      <c r="X365" s="80" t="s">
        <v>1229</v>
      </c>
    </row>
    <row r="366" spans="1:24" s="85" customFormat="1" ht="45" customHeight="1" x14ac:dyDescent="0.3">
      <c r="A366" s="82"/>
      <c r="B366" s="83"/>
      <c r="C366" s="84" t="s">
        <v>576</v>
      </c>
      <c r="D366" s="84" t="s">
        <v>1230</v>
      </c>
      <c r="E366" s="84"/>
      <c r="F366" s="84"/>
      <c r="G366" s="84"/>
      <c r="H366" s="84"/>
      <c r="I366" s="84" t="s">
        <v>736</v>
      </c>
      <c r="J366" s="84"/>
      <c r="K366" s="84"/>
      <c r="L366" s="84"/>
      <c r="M366" s="84"/>
      <c r="N366" s="84" t="s">
        <v>1227</v>
      </c>
      <c r="O366" s="84" t="s">
        <v>1228</v>
      </c>
      <c r="P366" s="84" t="s">
        <v>1228</v>
      </c>
      <c r="Q366" s="84">
        <v>0</v>
      </c>
      <c r="R366" s="84"/>
      <c r="S366" s="84"/>
      <c r="T366" s="84"/>
      <c r="U366" s="84"/>
      <c r="V366" s="83"/>
      <c r="W366" s="84"/>
      <c r="X366" s="84" t="s">
        <v>1229</v>
      </c>
    </row>
    <row r="367" spans="1:24" s="85" customFormat="1" ht="45" customHeight="1" x14ac:dyDescent="0.3">
      <c r="A367" s="78"/>
      <c r="B367" s="79"/>
      <c r="C367" s="80" t="s">
        <v>577</v>
      </c>
      <c r="D367" s="80" t="s">
        <v>1230</v>
      </c>
      <c r="E367" s="80"/>
      <c r="F367" s="80"/>
      <c r="G367" s="80"/>
      <c r="H367" s="80"/>
      <c r="I367" s="80" t="s">
        <v>736</v>
      </c>
      <c r="J367" s="80"/>
      <c r="K367" s="80"/>
      <c r="L367" s="80"/>
      <c r="M367" s="80"/>
      <c r="N367" s="86" t="s">
        <v>1227</v>
      </c>
      <c r="O367" s="86" t="s">
        <v>1228</v>
      </c>
      <c r="P367" s="86" t="s">
        <v>1228</v>
      </c>
      <c r="Q367" s="80">
        <v>0</v>
      </c>
      <c r="R367" s="80"/>
      <c r="S367" s="80"/>
      <c r="T367" s="80"/>
      <c r="U367" s="80"/>
      <c r="V367" s="79"/>
      <c r="W367" s="80"/>
      <c r="X367" s="80" t="s">
        <v>1229</v>
      </c>
    </row>
    <row r="368" spans="1:24" s="85" customFormat="1" ht="45" customHeight="1" x14ac:dyDescent="0.3">
      <c r="A368" s="82"/>
      <c r="B368" s="83"/>
      <c r="C368" s="84" t="s">
        <v>578</v>
      </c>
      <c r="D368" s="84" t="s">
        <v>1230</v>
      </c>
      <c r="E368" s="84"/>
      <c r="F368" s="84"/>
      <c r="G368" s="84"/>
      <c r="H368" s="84"/>
      <c r="I368" s="84" t="s">
        <v>736</v>
      </c>
      <c r="J368" s="84"/>
      <c r="K368" s="84"/>
      <c r="L368" s="84"/>
      <c r="M368" s="84"/>
      <c r="N368" s="84" t="s">
        <v>1227</v>
      </c>
      <c r="O368" s="84" t="s">
        <v>1228</v>
      </c>
      <c r="P368" s="84" t="s">
        <v>1228</v>
      </c>
      <c r="Q368" s="84">
        <v>0</v>
      </c>
      <c r="R368" s="84"/>
      <c r="S368" s="84"/>
      <c r="T368" s="84"/>
      <c r="U368" s="84"/>
      <c r="V368" s="83"/>
      <c r="W368" s="84"/>
      <c r="X368" s="84" t="s">
        <v>1229</v>
      </c>
    </row>
    <row r="369" spans="1:24" s="85" customFormat="1" ht="45" customHeight="1" x14ac:dyDescent="0.3">
      <c r="A369" s="78"/>
      <c r="B369" s="79"/>
      <c r="C369" s="80" t="s">
        <v>579</v>
      </c>
      <c r="D369" s="80" t="s">
        <v>1230</v>
      </c>
      <c r="E369" s="80"/>
      <c r="F369" s="80"/>
      <c r="G369" s="80"/>
      <c r="H369" s="80"/>
      <c r="I369" s="80" t="s">
        <v>736</v>
      </c>
      <c r="J369" s="80"/>
      <c r="K369" s="80"/>
      <c r="L369" s="80"/>
      <c r="M369" s="80"/>
      <c r="N369" s="86" t="s">
        <v>1227</v>
      </c>
      <c r="O369" s="86" t="s">
        <v>1228</v>
      </c>
      <c r="P369" s="86" t="s">
        <v>1228</v>
      </c>
      <c r="Q369" s="80">
        <v>0</v>
      </c>
      <c r="R369" s="80"/>
      <c r="S369" s="80"/>
      <c r="T369" s="80"/>
      <c r="U369" s="80"/>
      <c r="V369" s="79"/>
      <c r="W369" s="80"/>
      <c r="X369" s="80" t="s">
        <v>1229</v>
      </c>
    </row>
    <row r="370" spans="1:24" s="85" customFormat="1" ht="45" customHeight="1" x14ac:dyDescent="0.3">
      <c r="A370" s="82"/>
      <c r="B370" s="83"/>
      <c r="C370" s="84" t="s">
        <v>580</v>
      </c>
      <c r="D370" s="84" t="s">
        <v>1230</v>
      </c>
      <c r="E370" s="84"/>
      <c r="F370" s="84"/>
      <c r="G370" s="84"/>
      <c r="H370" s="84"/>
      <c r="I370" s="84" t="s">
        <v>736</v>
      </c>
      <c r="J370" s="84"/>
      <c r="K370" s="84"/>
      <c r="L370" s="84"/>
      <c r="M370" s="84"/>
      <c r="N370" s="84" t="s">
        <v>1227</v>
      </c>
      <c r="O370" s="84" t="s">
        <v>1228</v>
      </c>
      <c r="P370" s="84" t="s">
        <v>1228</v>
      </c>
      <c r="Q370" s="84">
        <v>0</v>
      </c>
      <c r="R370" s="84"/>
      <c r="S370" s="84"/>
      <c r="T370" s="84"/>
      <c r="U370" s="84"/>
      <c r="V370" s="83"/>
      <c r="W370" s="84"/>
      <c r="X370" s="84" t="s">
        <v>1229</v>
      </c>
    </row>
    <row r="371" spans="1:24" s="85" customFormat="1" ht="45" customHeight="1" x14ac:dyDescent="0.3">
      <c r="A371" s="78"/>
      <c r="B371" s="79"/>
      <c r="C371" s="80" t="s">
        <v>581</v>
      </c>
      <c r="D371" s="80" t="s">
        <v>1230</v>
      </c>
      <c r="E371" s="80"/>
      <c r="F371" s="80"/>
      <c r="G371" s="80"/>
      <c r="H371" s="80"/>
      <c r="I371" s="80" t="s">
        <v>736</v>
      </c>
      <c r="J371" s="80"/>
      <c r="K371" s="80"/>
      <c r="L371" s="80"/>
      <c r="M371" s="80"/>
      <c r="N371" s="86" t="s">
        <v>1227</v>
      </c>
      <c r="O371" s="86" t="s">
        <v>1228</v>
      </c>
      <c r="P371" s="86" t="s">
        <v>1228</v>
      </c>
      <c r="Q371" s="80">
        <v>0</v>
      </c>
      <c r="R371" s="80"/>
      <c r="S371" s="80"/>
      <c r="T371" s="80"/>
      <c r="U371" s="80"/>
      <c r="V371" s="79"/>
      <c r="W371" s="80"/>
      <c r="X371" s="80" t="s">
        <v>1229</v>
      </c>
    </row>
    <row r="372" spans="1:24" s="85" customFormat="1" ht="45" customHeight="1" x14ac:dyDescent="0.3">
      <c r="A372" s="82"/>
      <c r="B372" s="83"/>
      <c r="C372" s="84" t="s">
        <v>583</v>
      </c>
      <c r="D372" s="84" t="s">
        <v>1230</v>
      </c>
      <c r="E372" s="84"/>
      <c r="F372" s="84"/>
      <c r="G372" s="84"/>
      <c r="H372" s="84"/>
      <c r="I372" s="84" t="s">
        <v>736</v>
      </c>
      <c r="J372" s="84"/>
      <c r="K372" s="84"/>
      <c r="L372" s="84"/>
      <c r="M372" s="84"/>
      <c r="N372" s="84" t="s">
        <v>1227</v>
      </c>
      <c r="O372" s="84" t="s">
        <v>1228</v>
      </c>
      <c r="P372" s="84" t="s">
        <v>1228</v>
      </c>
      <c r="Q372" s="84">
        <v>0</v>
      </c>
      <c r="R372" s="84"/>
      <c r="S372" s="84"/>
      <c r="T372" s="84"/>
      <c r="U372" s="84"/>
      <c r="V372" s="83"/>
      <c r="W372" s="84"/>
      <c r="X372" s="84" t="s">
        <v>1229</v>
      </c>
    </row>
    <row r="373" spans="1:24" s="85" customFormat="1" ht="45" customHeight="1" x14ac:dyDescent="0.3">
      <c r="A373" s="78"/>
      <c r="B373" s="79"/>
      <c r="C373" s="80" t="s">
        <v>584</v>
      </c>
      <c r="D373" s="80" t="s">
        <v>1230</v>
      </c>
      <c r="E373" s="80"/>
      <c r="F373" s="80"/>
      <c r="G373" s="80"/>
      <c r="H373" s="80"/>
      <c r="I373" s="80" t="s">
        <v>736</v>
      </c>
      <c r="J373" s="80"/>
      <c r="K373" s="80"/>
      <c r="L373" s="80"/>
      <c r="M373" s="80"/>
      <c r="N373" s="86" t="s">
        <v>1227</v>
      </c>
      <c r="O373" s="86" t="s">
        <v>1228</v>
      </c>
      <c r="P373" s="86" t="s">
        <v>1228</v>
      </c>
      <c r="Q373" s="80">
        <v>0</v>
      </c>
      <c r="R373" s="80"/>
      <c r="S373" s="80"/>
      <c r="T373" s="80"/>
      <c r="U373" s="80"/>
      <c r="V373" s="79"/>
      <c r="W373" s="80"/>
      <c r="X373" s="80" t="s">
        <v>1229</v>
      </c>
    </row>
    <row r="374" spans="1:24" s="85" customFormat="1" ht="45" customHeight="1" x14ac:dyDescent="0.3">
      <c r="A374" s="82"/>
      <c r="B374" s="83"/>
      <c r="C374" s="84" t="s">
        <v>590</v>
      </c>
      <c r="D374" s="84" t="s">
        <v>1230</v>
      </c>
      <c r="E374" s="84"/>
      <c r="F374" s="84"/>
      <c r="G374" s="84"/>
      <c r="H374" s="84"/>
      <c r="I374" s="84" t="s">
        <v>736</v>
      </c>
      <c r="J374" s="84"/>
      <c r="K374" s="84"/>
      <c r="L374" s="84"/>
      <c r="M374" s="84"/>
      <c r="N374" s="84" t="s">
        <v>1227</v>
      </c>
      <c r="O374" s="84" t="s">
        <v>1228</v>
      </c>
      <c r="P374" s="84" t="s">
        <v>1228</v>
      </c>
      <c r="Q374" s="84">
        <v>0</v>
      </c>
      <c r="R374" s="84"/>
      <c r="S374" s="84"/>
      <c r="T374" s="84"/>
      <c r="U374" s="84"/>
      <c r="V374" s="83"/>
      <c r="W374" s="84"/>
      <c r="X374" s="84" t="s">
        <v>1229</v>
      </c>
    </row>
    <row r="375" spans="1:24" s="85" customFormat="1" ht="45" customHeight="1" x14ac:dyDescent="0.3">
      <c r="A375" s="78"/>
      <c r="B375" s="79"/>
      <c r="C375" s="80" t="s">
        <v>591</v>
      </c>
      <c r="D375" s="80" t="s">
        <v>1230</v>
      </c>
      <c r="E375" s="80"/>
      <c r="F375" s="80"/>
      <c r="G375" s="80"/>
      <c r="H375" s="80"/>
      <c r="I375" s="80" t="s">
        <v>736</v>
      </c>
      <c r="J375" s="80"/>
      <c r="K375" s="80"/>
      <c r="L375" s="80"/>
      <c r="M375" s="80"/>
      <c r="N375" s="86" t="s">
        <v>1227</v>
      </c>
      <c r="O375" s="86" t="s">
        <v>1228</v>
      </c>
      <c r="P375" s="86" t="s">
        <v>1228</v>
      </c>
      <c r="Q375" s="80">
        <v>0</v>
      </c>
      <c r="R375" s="80"/>
      <c r="S375" s="80"/>
      <c r="T375" s="80"/>
      <c r="U375" s="80"/>
      <c r="V375" s="79"/>
      <c r="W375" s="80"/>
      <c r="X375" s="80" t="s">
        <v>1229</v>
      </c>
    </row>
    <row r="376" spans="1:24" s="85" customFormat="1" ht="45" customHeight="1" x14ac:dyDescent="0.3">
      <c r="A376" s="82"/>
      <c r="B376" s="83"/>
      <c r="C376" s="84" t="s">
        <v>592</v>
      </c>
      <c r="D376" s="84" t="s">
        <v>1230</v>
      </c>
      <c r="E376" s="84"/>
      <c r="F376" s="84"/>
      <c r="G376" s="84"/>
      <c r="H376" s="84"/>
      <c r="I376" s="84" t="s">
        <v>736</v>
      </c>
      <c r="J376" s="84"/>
      <c r="K376" s="84"/>
      <c r="L376" s="84"/>
      <c r="M376" s="84"/>
      <c r="N376" s="84" t="s">
        <v>1227</v>
      </c>
      <c r="O376" s="84" t="s">
        <v>1228</v>
      </c>
      <c r="P376" s="84" t="s">
        <v>1228</v>
      </c>
      <c r="Q376" s="84">
        <v>0</v>
      </c>
      <c r="R376" s="84"/>
      <c r="S376" s="84"/>
      <c r="T376" s="84"/>
      <c r="U376" s="84"/>
      <c r="V376" s="83"/>
      <c r="W376" s="84"/>
      <c r="X376" s="84" t="s">
        <v>1229</v>
      </c>
    </row>
    <row r="377" spans="1:24" s="85" customFormat="1" ht="45" customHeight="1" x14ac:dyDescent="0.3">
      <c r="A377" s="78"/>
      <c r="B377" s="79"/>
      <c r="C377" s="80" t="s">
        <v>593</v>
      </c>
      <c r="D377" s="80" t="s">
        <v>1230</v>
      </c>
      <c r="E377" s="80"/>
      <c r="F377" s="80"/>
      <c r="G377" s="80"/>
      <c r="H377" s="80"/>
      <c r="I377" s="80" t="s">
        <v>736</v>
      </c>
      <c r="J377" s="80"/>
      <c r="K377" s="80"/>
      <c r="L377" s="80"/>
      <c r="M377" s="80"/>
      <c r="N377" s="86" t="s">
        <v>1227</v>
      </c>
      <c r="O377" s="86" t="s">
        <v>1228</v>
      </c>
      <c r="P377" s="86" t="s">
        <v>1228</v>
      </c>
      <c r="Q377" s="80">
        <v>0</v>
      </c>
      <c r="R377" s="80"/>
      <c r="S377" s="80"/>
      <c r="T377" s="80"/>
      <c r="U377" s="80"/>
      <c r="V377" s="79"/>
      <c r="W377" s="80"/>
      <c r="X377" s="80" t="s">
        <v>1229</v>
      </c>
    </row>
    <row r="378" spans="1:24" s="85" customFormat="1" ht="45" customHeight="1" x14ac:dyDescent="0.3">
      <c r="A378" s="82"/>
      <c r="B378" s="83"/>
      <c r="C378" s="84" t="s">
        <v>594</v>
      </c>
      <c r="D378" s="84" t="s">
        <v>1230</v>
      </c>
      <c r="E378" s="84"/>
      <c r="F378" s="84"/>
      <c r="G378" s="84"/>
      <c r="H378" s="84"/>
      <c r="I378" s="84" t="s">
        <v>736</v>
      </c>
      <c r="J378" s="84"/>
      <c r="K378" s="84"/>
      <c r="L378" s="84"/>
      <c r="M378" s="84"/>
      <c r="N378" s="84" t="s">
        <v>1227</v>
      </c>
      <c r="O378" s="84" t="s">
        <v>1228</v>
      </c>
      <c r="P378" s="84" t="s">
        <v>1228</v>
      </c>
      <c r="Q378" s="84">
        <v>0</v>
      </c>
      <c r="R378" s="84"/>
      <c r="S378" s="84"/>
      <c r="T378" s="84"/>
      <c r="U378" s="84"/>
      <c r="V378" s="83"/>
      <c r="W378" s="84"/>
      <c r="X378" s="84" t="s">
        <v>1229</v>
      </c>
    </row>
    <row r="379" spans="1:24" s="85" customFormat="1" ht="45" customHeight="1" x14ac:dyDescent="0.3">
      <c r="A379" s="78"/>
      <c r="B379" s="79"/>
      <c r="C379" s="80" t="s">
        <v>595</v>
      </c>
      <c r="D379" s="80" t="s">
        <v>1230</v>
      </c>
      <c r="E379" s="80"/>
      <c r="F379" s="80"/>
      <c r="G379" s="80"/>
      <c r="H379" s="80"/>
      <c r="I379" s="80" t="s">
        <v>736</v>
      </c>
      <c r="J379" s="80"/>
      <c r="K379" s="80"/>
      <c r="L379" s="80"/>
      <c r="M379" s="80"/>
      <c r="N379" s="86" t="s">
        <v>1227</v>
      </c>
      <c r="O379" s="86" t="s">
        <v>1228</v>
      </c>
      <c r="P379" s="86" t="s">
        <v>1228</v>
      </c>
      <c r="Q379" s="80">
        <v>0</v>
      </c>
      <c r="R379" s="80"/>
      <c r="S379" s="80"/>
      <c r="T379" s="80"/>
      <c r="U379" s="80"/>
      <c r="V379" s="79"/>
      <c r="W379" s="80"/>
      <c r="X379" s="80" t="s">
        <v>1229</v>
      </c>
    </row>
    <row r="380" spans="1:24" s="85" customFormat="1" ht="45" customHeight="1" x14ac:dyDescent="0.3">
      <c r="A380" s="82"/>
      <c r="B380" s="83"/>
      <c r="C380" s="84" t="s">
        <v>596</v>
      </c>
      <c r="D380" s="84" t="s">
        <v>1230</v>
      </c>
      <c r="E380" s="84"/>
      <c r="F380" s="84"/>
      <c r="G380" s="84"/>
      <c r="H380" s="84"/>
      <c r="I380" s="84" t="s">
        <v>736</v>
      </c>
      <c r="J380" s="84"/>
      <c r="K380" s="84"/>
      <c r="L380" s="84"/>
      <c r="M380" s="84"/>
      <c r="N380" s="84" t="s">
        <v>1227</v>
      </c>
      <c r="O380" s="84" t="s">
        <v>1228</v>
      </c>
      <c r="P380" s="84" t="s">
        <v>1228</v>
      </c>
      <c r="Q380" s="84">
        <v>0</v>
      </c>
      <c r="R380" s="84"/>
      <c r="S380" s="84"/>
      <c r="T380" s="84"/>
      <c r="U380" s="84"/>
      <c r="V380" s="83"/>
      <c r="W380" s="84"/>
      <c r="X380" s="84" t="s">
        <v>1229</v>
      </c>
    </row>
    <row r="381" spans="1:24" s="85" customFormat="1" ht="45" customHeight="1" x14ac:dyDescent="0.3">
      <c r="A381" s="78"/>
      <c r="B381" s="79"/>
      <c r="C381" s="80" t="s">
        <v>597</v>
      </c>
      <c r="D381" s="80" t="s">
        <v>1230</v>
      </c>
      <c r="E381" s="80"/>
      <c r="F381" s="80"/>
      <c r="G381" s="80"/>
      <c r="H381" s="80"/>
      <c r="I381" s="80" t="s">
        <v>736</v>
      </c>
      <c r="J381" s="80"/>
      <c r="K381" s="80"/>
      <c r="L381" s="80"/>
      <c r="M381" s="80"/>
      <c r="N381" s="86" t="s">
        <v>1227</v>
      </c>
      <c r="O381" s="86" t="s">
        <v>1228</v>
      </c>
      <c r="P381" s="86" t="s">
        <v>1228</v>
      </c>
      <c r="Q381" s="80">
        <v>0</v>
      </c>
      <c r="R381" s="80"/>
      <c r="S381" s="80"/>
      <c r="T381" s="80"/>
      <c r="U381" s="80"/>
      <c r="V381" s="79"/>
      <c r="W381" s="80"/>
      <c r="X381" s="80" t="s">
        <v>1229</v>
      </c>
    </row>
    <row r="382" spans="1:24" s="85" customFormat="1" ht="45" customHeight="1" x14ac:dyDescent="0.3">
      <c r="A382" s="82"/>
      <c r="B382" s="83"/>
      <c r="C382" s="84" t="s">
        <v>598</v>
      </c>
      <c r="D382" s="84" t="s">
        <v>1230</v>
      </c>
      <c r="E382" s="84"/>
      <c r="F382" s="84"/>
      <c r="G382" s="84"/>
      <c r="H382" s="84"/>
      <c r="I382" s="84" t="s">
        <v>736</v>
      </c>
      <c r="J382" s="84"/>
      <c r="K382" s="84"/>
      <c r="L382" s="84"/>
      <c r="M382" s="84"/>
      <c r="N382" s="84" t="s">
        <v>1227</v>
      </c>
      <c r="O382" s="84" t="s">
        <v>1228</v>
      </c>
      <c r="P382" s="84" t="s">
        <v>1228</v>
      </c>
      <c r="Q382" s="84">
        <v>0</v>
      </c>
      <c r="R382" s="84"/>
      <c r="S382" s="84"/>
      <c r="T382" s="84"/>
      <c r="U382" s="84"/>
      <c r="V382" s="83"/>
      <c r="W382" s="84"/>
      <c r="X382" s="84" t="s">
        <v>1229</v>
      </c>
    </row>
    <row r="383" spans="1:24" s="85" customFormat="1" ht="45" customHeight="1" x14ac:dyDescent="0.3">
      <c r="A383" s="78"/>
      <c r="B383" s="79"/>
      <c r="C383" s="80" t="s">
        <v>599</v>
      </c>
      <c r="D383" s="80" t="s">
        <v>1230</v>
      </c>
      <c r="E383" s="80"/>
      <c r="F383" s="80"/>
      <c r="G383" s="80"/>
      <c r="H383" s="80"/>
      <c r="I383" s="80" t="s">
        <v>736</v>
      </c>
      <c r="J383" s="80"/>
      <c r="K383" s="80"/>
      <c r="L383" s="80"/>
      <c r="M383" s="80"/>
      <c r="N383" s="86" t="s">
        <v>1227</v>
      </c>
      <c r="O383" s="86" t="s">
        <v>1228</v>
      </c>
      <c r="P383" s="86" t="s">
        <v>1228</v>
      </c>
      <c r="Q383" s="80">
        <v>0</v>
      </c>
      <c r="R383" s="80"/>
      <c r="S383" s="80"/>
      <c r="T383" s="80"/>
      <c r="U383" s="80"/>
      <c r="V383" s="79"/>
      <c r="W383" s="80"/>
      <c r="X383" s="80" t="s">
        <v>1229</v>
      </c>
    </row>
    <row r="384" spans="1:24" s="85" customFormat="1" ht="45" customHeight="1" x14ac:dyDescent="0.3">
      <c r="A384" s="82"/>
      <c r="B384" s="83"/>
      <c r="C384" s="84" t="s">
        <v>604</v>
      </c>
      <c r="D384" s="84" t="s">
        <v>1230</v>
      </c>
      <c r="E384" s="84"/>
      <c r="F384" s="84"/>
      <c r="G384" s="84"/>
      <c r="H384" s="84"/>
      <c r="I384" s="84" t="s">
        <v>736</v>
      </c>
      <c r="J384" s="84"/>
      <c r="K384" s="84"/>
      <c r="L384" s="84"/>
      <c r="M384" s="84"/>
      <c r="N384" s="84" t="s">
        <v>1227</v>
      </c>
      <c r="O384" s="84" t="s">
        <v>1228</v>
      </c>
      <c r="P384" s="84" t="s">
        <v>1228</v>
      </c>
      <c r="Q384" s="84">
        <v>0</v>
      </c>
      <c r="R384" s="84"/>
      <c r="S384" s="84"/>
      <c r="T384" s="84"/>
      <c r="U384" s="84"/>
      <c r="V384" s="83"/>
      <c r="W384" s="84"/>
      <c r="X384" s="84" t="s">
        <v>1229</v>
      </c>
    </row>
    <row r="385" spans="1:24" s="85" customFormat="1" ht="45" customHeight="1" x14ac:dyDescent="0.3">
      <c r="A385" s="78"/>
      <c r="B385" s="79"/>
      <c r="C385" s="80" t="s">
        <v>606</v>
      </c>
      <c r="D385" s="80" t="s">
        <v>1230</v>
      </c>
      <c r="E385" s="80"/>
      <c r="F385" s="80"/>
      <c r="G385" s="80"/>
      <c r="H385" s="80"/>
      <c r="I385" s="80" t="s">
        <v>736</v>
      </c>
      <c r="J385" s="80"/>
      <c r="K385" s="80"/>
      <c r="L385" s="80"/>
      <c r="M385" s="80"/>
      <c r="N385" s="86" t="s">
        <v>1227</v>
      </c>
      <c r="O385" s="86" t="s">
        <v>1228</v>
      </c>
      <c r="P385" s="86" t="s">
        <v>1228</v>
      </c>
      <c r="Q385" s="80">
        <v>0</v>
      </c>
      <c r="R385" s="80"/>
      <c r="S385" s="80"/>
      <c r="T385" s="80"/>
      <c r="U385" s="80"/>
      <c r="V385" s="79"/>
      <c r="W385" s="80"/>
      <c r="X385" s="80" t="s">
        <v>1229</v>
      </c>
    </row>
    <row r="386" spans="1:24" s="85" customFormat="1" ht="45" customHeight="1" x14ac:dyDescent="0.3">
      <c r="A386" s="82"/>
      <c r="B386" s="83"/>
      <c r="C386" s="84" t="s">
        <v>607</v>
      </c>
      <c r="D386" s="84" t="s">
        <v>1230</v>
      </c>
      <c r="E386" s="84"/>
      <c r="F386" s="84"/>
      <c r="G386" s="84"/>
      <c r="H386" s="84"/>
      <c r="I386" s="84" t="s">
        <v>736</v>
      </c>
      <c r="J386" s="84"/>
      <c r="K386" s="84"/>
      <c r="L386" s="84"/>
      <c r="M386" s="84"/>
      <c r="N386" s="84" t="s">
        <v>1227</v>
      </c>
      <c r="O386" s="84" t="s">
        <v>1228</v>
      </c>
      <c r="P386" s="84" t="s">
        <v>1228</v>
      </c>
      <c r="Q386" s="84">
        <v>0</v>
      </c>
      <c r="R386" s="84"/>
      <c r="S386" s="84"/>
      <c r="T386" s="84"/>
      <c r="U386" s="84"/>
      <c r="V386" s="83"/>
      <c r="W386" s="84"/>
      <c r="X386" s="84" t="s">
        <v>1229</v>
      </c>
    </row>
    <row r="387" spans="1:24" s="85" customFormat="1" ht="45" customHeight="1" x14ac:dyDescent="0.3">
      <c r="A387" s="78"/>
      <c r="B387" s="79"/>
      <c r="C387" s="80" t="s">
        <v>608</v>
      </c>
      <c r="D387" s="80" t="s">
        <v>1230</v>
      </c>
      <c r="E387" s="80"/>
      <c r="F387" s="80"/>
      <c r="G387" s="80"/>
      <c r="H387" s="80"/>
      <c r="I387" s="80" t="s">
        <v>736</v>
      </c>
      <c r="J387" s="80"/>
      <c r="K387" s="80"/>
      <c r="L387" s="80"/>
      <c r="M387" s="80"/>
      <c r="N387" s="86" t="s">
        <v>1227</v>
      </c>
      <c r="O387" s="86" t="s">
        <v>1228</v>
      </c>
      <c r="P387" s="86" t="s">
        <v>1228</v>
      </c>
      <c r="Q387" s="80">
        <v>0</v>
      </c>
      <c r="R387" s="80"/>
      <c r="S387" s="80"/>
      <c r="T387" s="80"/>
      <c r="U387" s="80"/>
      <c r="V387" s="79"/>
      <c r="W387" s="80"/>
      <c r="X387" s="80" t="s">
        <v>1229</v>
      </c>
    </row>
    <row r="388" spans="1:24" s="85" customFormat="1" ht="45" customHeight="1" x14ac:dyDescent="0.3">
      <c r="A388" s="82"/>
      <c r="B388" s="83"/>
      <c r="C388" s="84" t="s">
        <v>609</v>
      </c>
      <c r="D388" s="84" t="s">
        <v>1230</v>
      </c>
      <c r="E388" s="84"/>
      <c r="F388" s="84"/>
      <c r="G388" s="84"/>
      <c r="H388" s="84"/>
      <c r="I388" s="84" t="s">
        <v>736</v>
      </c>
      <c r="J388" s="84"/>
      <c r="K388" s="84"/>
      <c r="L388" s="84"/>
      <c r="M388" s="84"/>
      <c r="N388" s="84" t="s">
        <v>1227</v>
      </c>
      <c r="O388" s="84" t="s">
        <v>1228</v>
      </c>
      <c r="P388" s="84" t="s">
        <v>1228</v>
      </c>
      <c r="Q388" s="84">
        <v>0</v>
      </c>
      <c r="R388" s="84"/>
      <c r="S388" s="84"/>
      <c r="T388" s="84"/>
      <c r="U388" s="84"/>
      <c r="V388" s="83"/>
      <c r="W388" s="84"/>
      <c r="X388" s="84" t="s">
        <v>1229</v>
      </c>
    </row>
    <row r="389" spans="1:24" s="85" customFormat="1" ht="45" customHeight="1" x14ac:dyDescent="0.3">
      <c r="A389" s="78"/>
      <c r="B389" s="79"/>
      <c r="C389" s="80" t="s">
        <v>610</v>
      </c>
      <c r="D389" s="80" t="s">
        <v>1230</v>
      </c>
      <c r="E389" s="80"/>
      <c r="F389" s="80"/>
      <c r="G389" s="80"/>
      <c r="H389" s="80"/>
      <c r="I389" s="80" t="s">
        <v>736</v>
      </c>
      <c r="J389" s="80"/>
      <c r="K389" s="80"/>
      <c r="L389" s="80"/>
      <c r="M389" s="80"/>
      <c r="N389" s="86" t="s">
        <v>1227</v>
      </c>
      <c r="O389" s="86" t="s">
        <v>1228</v>
      </c>
      <c r="P389" s="86" t="s">
        <v>1228</v>
      </c>
      <c r="Q389" s="80">
        <v>0</v>
      </c>
      <c r="R389" s="80"/>
      <c r="S389" s="80"/>
      <c r="T389" s="80"/>
      <c r="U389" s="80"/>
      <c r="V389" s="79"/>
      <c r="W389" s="80"/>
      <c r="X389" s="80" t="s">
        <v>1229</v>
      </c>
    </row>
    <row r="390" spans="1:24" s="85" customFormat="1" ht="45" customHeight="1" x14ac:dyDescent="0.3">
      <c r="A390" s="82"/>
      <c r="B390" s="83"/>
      <c r="C390" s="84" t="s">
        <v>612</v>
      </c>
      <c r="D390" s="84" t="s">
        <v>1230</v>
      </c>
      <c r="E390" s="84"/>
      <c r="F390" s="84"/>
      <c r="G390" s="84"/>
      <c r="H390" s="84"/>
      <c r="I390" s="84" t="s">
        <v>736</v>
      </c>
      <c r="J390" s="84"/>
      <c r="K390" s="84"/>
      <c r="L390" s="84"/>
      <c r="M390" s="84"/>
      <c r="N390" s="84" t="s">
        <v>1227</v>
      </c>
      <c r="O390" s="84" t="s">
        <v>1228</v>
      </c>
      <c r="P390" s="84" t="s">
        <v>1228</v>
      </c>
      <c r="Q390" s="84">
        <v>0</v>
      </c>
      <c r="R390" s="84"/>
      <c r="S390" s="84"/>
      <c r="T390" s="84"/>
      <c r="U390" s="84"/>
      <c r="V390" s="83"/>
      <c r="W390" s="84"/>
      <c r="X390" s="84" t="s">
        <v>1229</v>
      </c>
    </row>
    <row r="391" spans="1:24" s="85" customFormat="1" ht="45" customHeight="1" x14ac:dyDescent="0.3">
      <c r="A391" s="78"/>
      <c r="B391" s="79"/>
      <c r="C391" s="80" t="s">
        <v>613</v>
      </c>
      <c r="D391" s="80" t="s">
        <v>1230</v>
      </c>
      <c r="E391" s="80"/>
      <c r="F391" s="80"/>
      <c r="G391" s="80"/>
      <c r="H391" s="80"/>
      <c r="I391" s="80" t="s">
        <v>736</v>
      </c>
      <c r="J391" s="80"/>
      <c r="K391" s="80"/>
      <c r="L391" s="80"/>
      <c r="M391" s="80"/>
      <c r="N391" s="86" t="s">
        <v>1227</v>
      </c>
      <c r="O391" s="86" t="s">
        <v>1228</v>
      </c>
      <c r="P391" s="86" t="s">
        <v>1228</v>
      </c>
      <c r="Q391" s="80">
        <v>0</v>
      </c>
      <c r="R391" s="80"/>
      <c r="S391" s="80"/>
      <c r="T391" s="80"/>
      <c r="U391" s="80"/>
      <c r="V391" s="79"/>
      <c r="W391" s="80"/>
      <c r="X391" s="80" t="s">
        <v>1229</v>
      </c>
    </row>
    <row r="392" spans="1:24" s="85" customFormat="1" ht="45" customHeight="1" x14ac:dyDescent="0.3">
      <c r="A392" s="82"/>
      <c r="B392" s="83"/>
      <c r="C392" s="84" t="s">
        <v>614</v>
      </c>
      <c r="D392" s="84" t="s">
        <v>1230</v>
      </c>
      <c r="E392" s="84"/>
      <c r="F392" s="84"/>
      <c r="G392" s="84"/>
      <c r="H392" s="84"/>
      <c r="I392" s="84" t="s">
        <v>736</v>
      </c>
      <c r="J392" s="84"/>
      <c r="K392" s="84"/>
      <c r="L392" s="84"/>
      <c r="M392" s="84"/>
      <c r="N392" s="84" t="s">
        <v>1227</v>
      </c>
      <c r="O392" s="84" t="s">
        <v>1228</v>
      </c>
      <c r="P392" s="84" t="s">
        <v>1228</v>
      </c>
      <c r="Q392" s="84">
        <v>0</v>
      </c>
      <c r="R392" s="84"/>
      <c r="S392" s="84"/>
      <c r="T392" s="84"/>
      <c r="U392" s="84"/>
      <c r="V392" s="83"/>
      <c r="W392" s="84"/>
      <c r="X392" s="84" t="s">
        <v>1229</v>
      </c>
    </row>
    <row r="393" spans="1:24" s="85" customFormat="1" ht="45" customHeight="1" x14ac:dyDescent="0.3">
      <c r="A393" s="78"/>
      <c r="B393" s="79"/>
      <c r="C393" s="80" t="s">
        <v>615</v>
      </c>
      <c r="D393" s="80" t="s">
        <v>1230</v>
      </c>
      <c r="E393" s="80"/>
      <c r="F393" s="80"/>
      <c r="G393" s="80"/>
      <c r="H393" s="80"/>
      <c r="I393" s="80" t="s">
        <v>736</v>
      </c>
      <c r="J393" s="80"/>
      <c r="K393" s="80"/>
      <c r="L393" s="80"/>
      <c r="M393" s="80"/>
      <c r="N393" s="86" t="s">
        <v>1227</v>
      </c>
      <c r="O393" s="86" t="s">
        <v>1228</v>
      </c>
      <c r="P393" s="86" t="s">
        <v>1228</v>
      </c>
      <c r="Q393" s="80">
        <v>0</v>
      </c>
      <c r="R393" s="80"/>
      <c r="S393" s="80"/>
      <c r="T393" s="80"/>
      <c r="U393" s="80"/>
      <c r="V393" s="79"/>
      <c r="W393" s="80"/>
      <c r="X393" s="80" t="s">
        <v>1229</v>
      </c>
    </row>
    <row r="394" spans="1:24" s="85" customFormat="1" ht="45" customHeight="1" x14ac:dyDescent="0.3">
      <c r="A394" s="82"/>
      <c r="B394" s="83"/>
      <c r="C394" s="84" t="s">
        <v>616</v>
      </c>
      <c r="D394" s="84" t="s">
        <v>1230</v>
      </c>
      <c r="E394" s="84"/>
      <c r="F394" s="84"/>
      <c r="G394" s="84"/>
      <c r="H394" s="84"/>
      <c r="I394" s="84" t="s">
        <v>736</v>
      </c>
      <c r="J394" s="84"/>
      <c r="K394" s="84"/>
      <c r="L394" s="84"/>
      <c r="M394" s="84"/>
      <c r="N394" s="84" t="s">
        <v>1227</v>
      </c>
      <c r="O394" s="84" t="s">
        <v>1228</v>
      </c>
      <c r="P394" s="84" t="s">
        <v>1228</v>
      </c>
      <c r="Q394" s="84">
        <v>0</v>
      </c>
      <c r="R394" s="84"/>
      <c r="S394" s="84"/>
      <c r="T394" s="84"/>
      <c r="U394" s="84"/>
      <c r="V394" s="83"/>
      <c r="W394" s="84"/>
      <c r="X394" s="84" t="s">
        <v>1229</v>
      </c>
    </row>
    <row r="395" spans="1:24" s="85" customFormat="1" ht="45" customHeight="1" x14ac:dyDescent="0.3">
      <c r="A395" s="78"/>
      <c r="B395" s="79"/>
      <c r="C395" s="80" t="s">
        <v>617</v>
      </c>
      <c r="D395" s="80" t="s">
        <v>1230</v>
      </c>
      <c r="E395" s="80"/>
      <c r="F395" s="80"/>
      <c r="G395" s="80"/>
      <c r="H395" s="80"/>
      <c r="I395" s="80" t="s">
        <v>736</v>
      </c>
      <c r="J395" s="80"/>
      <c r="K395" s="80"/>
      <c r="L395" s="80"/>
      <c r="M395" s="80"/>
      <c r="N395" s="86" t="s">
        <v>1227</v>
      </c>
      <c r="O395" s="86" t="s">
        <v>1228</v>
      </c>
      <c r="P395" s="86" t="s">
        <v>1228</v>
      </c>
      <c r="Q395" s="80">
        <v>0</v>
      </c>
      <c r="R395" s="80"/>
      <c r="S395" s="80"/>
      <c r="T395" s="80"/>
      <c r="U395" s="80"/>
      <c r="V395" s="79"/>
      <c r="W395" s="80"/>
      <c r="X395" s="80" t="s">
        <v>1229</v>
      </c>
    </row>
    <row r="396" spans="1:24" s="85" customFormat="1" ht="45" customHeight="1" x14ac:dyDescent="0.3">
      <c r="A396" s="82"/>
      <c r="B396" s="83"/>
      <c r="C396" s="84" t="s">
        <v>618</v>
      </c>
      <c r="D396" s="84" t="s">
        <v>1230</v>
      </c>
      <c r="E396" s="84"/>
      <c r="F396" s="84"/>
      <c r="G396" s="84"/>
      <c r="H396" s="84"/>
      <c r="I396" s="84" t="s">
        <v>736</v>
      </c>
      <c r="J396" s="84"/>
      <c r="K396" s="84"/>
      <c r="L396" s="84"/>
      <c r="M396" s="84"/>
      <c r="N396" s="84" t="s">
        <v>1227</v>
      </c>
      <c r="O396" s="84" t="s">
        <v>1228</v>
      </c>
      <c r="P396" s="84" t="s">
        <v>1228</v>
      </c>
      <c r="Q396" s="84">
        <v>0</v>
      </c>
      <c r="R396" s="84"/>
      <c r="S396" s="84"/>
      <c r="T396" s="84"/>
      <c r="U396" s="84"/>
      <c r="V396" s="83"/>
      <c r="W396" s="84"/>
      <c r="X396" s="84" t="s">
        <v>1229</v>
      </c>
    </row>
    <row r="397" spans="1:24" s="85" customFormat="1" ht="45" customHeight="1" x14ac:dyDescent="0.3">
      <c r="A397" s="78"/>
      <c r="B397" s="79"/>
      <c r="C397" s="80" t="s">
        <v>619</v>
      </c>
      <c r="D397" s="80" t="s">
        <v>1230</v>
      </c>
      <c r="E397" s="80"/>
      <c r="F397" s="80"/>
      <c r="G397" s="80"/>
      <c r="H397" s="80"/>
      <c r="I397" s="80" t="s">
        <v>736</v>
      </c>
      <c r="J397" s="80"/>
      <c r="K397" s="80"/>
      <c r="L397" s="80"/>
      <c r="M397" s="80"/>
      <c r="N397" s="86" t="s">
        <v>1227</v>
      </c>
      <c r="O397" s="86" t="s">
        <v>1228</v>
      </c>
      <c r="P397" s="86" t="s">
        <v>1228</v>
      </c>
      <c r="Q397" s="80">
        <v>0</v>
      </c>
      <c r="R397" s="80"/>
      <c r="S397" s="80"/>
      <c r="T397" s="80"/>
      <c r="U397" s="80"/>
      <c r="V397" s="79"/>
      <c r="W397" s="80"/>
      <c r="X397" s="80" t="s">
        <v>1229</v>
      </c>
    </row>
    <row r="398" spans="1:24" s="85" customFormat="1" ht="45" customHeight="1" x14ac:dyDescent="0.3">
      <c r="A398" s="82"/>
      <c r="B398" s="83"/>
      <c r="C398" s="84" t="s">
        <v>620</v>
      </c>
      <c r="D398" s="84" t="s">
        <v>1230</v>
      </c>
      <c r="E398" s="84"/>
      <c r="F398" s="84"/>
      <c r="G398" s="84"/>
      <c r="H398" s="84"/>
      <c r="I398" s="84" t="s">
        <v>736</v>
      </c>
      <c r="J398" s="84"/>
      <c r="K398" s="84"/>
      <c r="L398" s="84"/>
      <c r="M398" s="84"/>
      <c r="N398" s="84" t="s">
        <v>1227</v>
      </c>
      <c r="O398" s="84" t="s">
        <v>1228</v>
      </c>
      <c r="P398" s="84" t="s">
        <v>1228</v>
      </c>
      <c r="Q398" s="84">
        <v>0</v>
      </c>
      <c r="R398" s="84"/>
      <c r="S398" s="84"/>
      <c r="T398" s="84"/>
      <c r="U398" s="84"/>
      <c r="V398" s="83"/>
      <c r="W398" s="84"/>
      <c r="X398" s="84" t="s">
        <v>1229</v>
      </c>
    </row>
    <row r="399" spans="1:24" s="85" customFormat="1" ht="45" customHeight="1" x14ac:dyDescent="0.3">
      <c r="A399" s="78"/>
      <c r="B399" s="79"/>
      <c r="C399" s="80" t="s">
        <v>621</v>
      </c>
      <c r="D399" s="80" t="s">
        <v>1230</v>
      </c>
      <c r="E399" s="80"/>
      <c r="F399" s="80"/>
      <c r="G399" s="80"/>
      <c r="H399" s="80"/>
      <c r="I399" s="80" t="s">
        <v>736</v>
      </c>
      <c r="J399" s="80"/>
      <c r="K399" s="80"/>
      <c r="L399" s="80"/>
      <c r="M399" s="80"/>
      <c r="N399" s="86" t="s">
        <v>1227</v>
      </c>
      <c r="O399" s="86" t="s">
        <v>1228</v>
      </c>
      <c r="P399" s="86" t="s">
        <v>1228</v>
      </c>
      <c r="Q399" s="80">
        <v>0</v>
      </c>
      <c r="R399" s="80"/>
      <c r="S399" s="80"/>
      <c r="T399" s="80"/>
      <c r="U399" s="80"/>
      <c r="V399" s="79"/>
      <c r="W399" s="80"/>
      <c r="X399" s="80" t="s">
        <v>1229</v>
      </c>
    </row>
    <row r="400" spans="1:24" s="85" customFormat="1" ht="45" customHeight="1" x14ac:dyDescent="0.3">
      <c r="A400" s="82"/>
      <c r="B400" s="83"/>
      <c r="C400" s="84" t="s">
        <v>622</v>
      </c>
      <c r="D400" s="84" t="s">
        <v>1230</v>
      </c>
      <c r="E400" s="84"/>
      <c r="F400" s="84"/>
      <c r="G400" s="84"/>
      <c r="H400" s="84"/>
      <c r="I400" s="84" t="s">
        <v>736</v>
      </c>
      <c r="J400" s="84"/>
      <c r="K400" s="84"/>
      <c r="L400" s="84"/>
      <c r="M400" s="84"/>
      <c r="N400" s="84" t="s">
        <v>1227</v>
      </c>
      <c r="O400" s="84" t="s">
        <v>1228</v>
      </c>
      <c r="P400" s="84" t="s">
        <v>1228</v>
      </c>
      <c r="Q400" s="84">
        <v>0</v>
      </c>
      <c r="R400" s="84"/>
      <c r="S400" s="84"/>
      <c r="T400" s="84"/>
      <c r="U400" s="84"/>
      <c r="V400" s="83"/>
      <c r="W400" s="84"/>
      <c r="X400" s="84" t="s">
        <v>1229</v>
      </c>
    </row>
    <row r="401" spans="1:24" s="85" customFormat="1" ht="45" customHeight="1" x14ac:dyDescent="0.3">
      <c r="A401" s="78"/>
      <c r="B401" s="79"/>
      <c r="C401" s="80" t="s">
        <v>623</v>
      </c>
      <c r="D401" s="80" t="s">
        <v>1230</v>
      </c>
      <c r="E401" s="80"/>
      <c r="F401" s="80"/>
      <c r="G401" s="80"/>
      <c r="H401" s="80"/>
      <c r="I401" s="80" t="s">
        <v>736</v>
      </c>
      <c r="J401" s="80"/>
      <c r="K401" s="80"/>
      <c r="L401" s="80"/>
      <c r="M401" s="80"/>
      <c r="N401" s="86" t="s">
        <v>1227</v>
      </c>
      <c r="O401" s="86" t="s">
        <v>1228</v>
      </c>
      <c r="P401" s="86" t="s">
        <v>1228</v>
      </c>
      <c r="Q401" s="80">
        <v>0</v>
      </c>
      <c r="R401" s="80"/>
      <c r="S401" s="80"/>
      <c r="T401" s="80"/>
      <c r="U401" s="80"/>
      <c r="V401" s="79"/>
      <c r="W401" s="80"/>
      <c r="X401" s="80" t="s">
        <v>1229</v>
      </c>
    </row>
    <row r="402" spans="1:24" s="85" customFormat="1" ht="45" customHeight="1" x14ac:dyDescent="0.3">
      <c r="A402" s="82"/>
      <c r="B402" s="83"/>
      <c r="C402" s="84" t="s">
        <v>624</v>
      </c>
      <c r="D402" s="84" t="s">
        <v>1230</v>
      </c>
      <c r="E402" s="84"/>
      <c r="F402" s="84"/>
      <c r="G402" s="84"/>
      <c r="H402" s="84"/>
      <c r="I402" s="84" t="s">
        <v>736</v>
      </c>
      <c r="J402" s="84"/>
      <c r="K402" s="84"/>
      <c r="L402" s="84"/>
      <c r="M402" s="84"/>
      <c r="N402" s="84" t="s">
        <v>1227</v>
      </c>
      <c r="O402" s="84" t="s">
        <v>1228</v>
      </c>
      <c r="P402" s="84" t="s">
        <v>1228</v>
      </c>
      <c r="Q402" s="84">
        <v>0</v>
      </c>
      <c r="R402" s="84"/>
      <c r="S402" s="84"/>
      <c r="T402" s="84"/>
      <c r="U402" s="84"/>
      <c r="V402" s="83"/>
      <c r="W402" s="84"/>
      <c r="X402" s="84" t="s">
        <v>1229</v>
      </c>
    </row>
    <row r="403" spans="1:24" s="85" customFormat="1" ht="45" customHeight="1" x14ac:dyDescent="0.3">
      <c r="A403" s="78"/>
      <c r="B403" s="79"/>
      <c r="C403" s="80" t="s">
        <v>625</v>
      </c>
      <c r="D403" s="80" t="s">
        <v>1230</v>
      </c>
      <c r="E403" s="80"/>
      <c r="F403" s="80"/>
      <c r="G403" s="80"/>
      <c r="H403" s="80"/>
      <c r="I403" s="80" t="s">
        <v>736</v>
      </c>
      <c r="J403" s="80"/>
      <c r="K403" s="80"/>
      <c r="L403" s="80"/>
      <c r="M403" s="80"/>
      <c r="N403" s="86" t="s">
        <v>1227</v>
      </c>
      <c r="O403" s="86" t="s">
        <v>1228</v>
      </c>
      <c r="P403" s="86" t="s">
        <v>1228</v>
      </c>
      <c r="Q403" s="80">
        <v>0</v>
      </c>
      <c r="R403" s="80"/>
      <c r="S403" s="80"/>
      <c r="T403" s="80"/>
      <c r="U403" s="80"/>
      <c r="V403" s="79"/>
      <c r="W403" s="80"/>
      <c r="X403" s="80" t="s">
        <v>1229</v>
      </c>
    </row>
    <row r="404" spans="1:24" s="85" customFormat="1" ht="45" customHeight="1" x14ac:dyDescent="0.3">
      <c r="A404" s="82"/>
      <c r="B404" s="83"/>
      <c r="C404" s="84" t="s">
        <v>626</v>
      </c>
      <c r="D404" s="84" t="s">
        <v>1230</v>
      </c>
      <c r="E404" s="84"/>
      <c r="F404" s="84"/>
      <c r="G404" s="84"/>
      <c r="H404" s="84"/>
      <c r="I404" s="84" t="s">
        <v>736</v>
      </c>
      <c r="J404" s="84"/>
      <c r="K404" s="84"/>
      <c r="L404" s="84"/>
      <c r="M404" s="84"/>
      <c r="N404" s="84" t="s">
        <v>1227</v>
      </c>
      <c r="O404" s="84" t="s">
        <v>1228</v>
      </c>
      <c r="P404" s="84" t="s">
        <v>1228</v>
      </c>
      <c r="Q404" s="84">
        <v>0</v>
      </c>
      <c r="R404" s="84"/>
      <c r="S404" s="84"/>
      <c r="T404" s="84"/>
      <c r="U404" s="84"/>
      <c r="V404" s="83"/>
      <c r="W404" s="84"/>
      <c r="X404" s="84" t="s">
        <v>1229</v>
      </c>
    </row>
    <row r="405" spans="1:24" s="85" customFormat="1" ht="45" customHeight="1" x14ac:dyDescent="0.3">
      <c r="A405" s="78"/>
      <c r="B405" s="79"/>
      <c r="C405" s="80" t="s">
        <v>627</v>
      </c>
      <c r="D405" s="80" t="s">
        <v>1230</v>
      </c>
      <c r="E405" s="80"/>
      <c r="F405" s="80"/>
      <c r="G405" s="80"/>
      <c r="H405" s="80"/>
      <c r="I405" s="80" t="s">
        <v>736</v>
      </c>
      <c r="J405" s="80"/>
      <c r="K405" s="80"/>
      <c r="L405" s="80"/>
      <c r="M405" s="80"/>
      <c r="N405" s="86" t="s">
        <v>1227</v>
      </c>
      <c r="O405" s="86" t="s">
        <v>1228</v>
      </c>
      <c r="P405" s="86" t="s">
        <v>1228</v>
      </c>
      <c r="Q405" s="80">
        <v>0</v>
      </c>
      <c r="R405" s="80"/>
      <c r="S405" s="80"/>
      <c r="T405" s="80"/>
      <c r="U405" s="80"/>
      <c r="V405" s="79"/>
      <c r="W405" s="80"/>
      <c r="X405" s="80" t="s">
        <v>1229</v>
      </c>
    </row>
    <row r="406" spans="1:24" s="85" customFormat="1" ht="45" customHeight="1" x14ac:dyDescent="0.3">
      <c r="A406" s="82"/>
      <c r="B406" s="83"/>
      <c r="C406" s="84" t="s">
        <v>628</v>
      </c>
      <c r="D406" s="84" t="s">
        <v>1230</v>
      </c>
      <c r="E406" s="84"/>
      <c r="F406" s="84"/>
      <c r="G406" s="84"/>
      <c r="H406" s="84"/>
      <c r="I406" s="84" t="s">
        <v>736</v>
      </c>
      <c r="J406" s="84"/>
      <c r="K406" s="84"/>
      <c r="L406" s="84"/>
      <c r="M406" s="84"/>
      <c r="N406" s="84" t="s">
        <v>1227</v>
      </c>
      <c r="O406" s="84" t="s">
        <v>1228</v>
      </c>
      <c r="P406" s="84" t="s">
        <v>1228</v>
      </c>
      <c r="Q406" s="84">
        <v>0</v>
      </c>
      <c r="R406" s="84"/>
      <c r="S406" s="84"/>
      <c r="T406" s="84"/>
      <c r="U406" s="84"/>
      <c r="V406" s="83"/>
      <c r="W406" s="84"/>
      <c r="X406" s="84" t="s">
        <v>1229</v>
      </c>
    </row>
    <row r="407" spans="1:24" s="85" customFormat="1" ht="45" customHeight="1" x14ac:dyDescent="0.3">
      <c r="A407" s="78"/>
      <c r="B407" s="79"/>
      <c r="C407" s="80" t="s">
        <v>629</v>
      </c>
      <c r="D407" s="80" t="s">
        <v>1230</v>
      </c>
      <c r="E407" s="80"/>
      <c r="F407" s="80"/>
      <c r="G407" s="80"/>
      <c r="H407" s="80"/>
      <c r="I407" s="80" t="s">
        <v>736</v>
      </c>
      <c r="J407" s="80"/>
      <c r="K407" s="80"/>
      <c r="L407" s="80"/>
      <c r="M407" s="80"/>
      <c r="N407" s="86" t="s">
        <v>1227</v>
      </c>
      <c r="O407" s="86" t="s">
        <v>1228</v>
      </c>
      <c r="P407" s="86" t="s">
        <v>1228</v>
      </c>
      <c r="Q407" s="80">
        <v>0</v>
      </c>
      <c r="R407" s="80"/>
      <c r="S407" s="80"/>
      <c r="T407" s="80"/>
      <c r="U407" s="80"/>
      <c r="V407" s="79"/>
      <c r="W407" s="80"/>
      <c r="X407" s="80" t="s">
        <v>1229</v>
      </c>
    </row>
    <row r="408" spans="1:24" s="85" customFormat="1" ht="45" customHeight="1" x14ac:dyDescent="0.3">
      <c r="A408" s="82"/>
      <c r="B408" s="83"/>
      <c r="C408" s="84" t="s">
        <v>630</v>
      </c>
      <c r="D408" s="84" t="s">
        <v>1230</v>
      </c>
      <c r="E408" s="84"/>
      <c r="F408" s="84"/>
      <c r="G408" s="84"/>
      <c r="H408" s="84"/>
      <c r="I408" s="84" t="s">
        <v>736</v>
      </c>
      <c r="J408" s="84"/>
      <c r="K408" s="84"/>
      <c r="L408" s="84"/>
      <c r="M408" s="84"/>
      <c r="N408" s="84" t="s">
        <v>1227</v>
      </c>
      <c r="O408" s="84" t="s">
        <v>1228</v>
      </c>
      <c r="P408" s="84" t="s">
        <v>1228</v>
      </c>
      <c r="Q408" s="84">
        <v>0</v>
      </c>
      <c r="R408" s="84"/>
      <c r="S408" s="84"/>
      <c r="T408" s="84"/>
      <c r="U408" s="84"/>
      <c r="V408" s="83"/>
      <c r="W408" s="84"/>
      <c r="X408" s="84" t="s">
        <v>1229</v>
      </c>
    </row>
    <row r="409" spans="1:24" s="85" customFormat="1" ht="45" customHeight="1" x14ac:dyDescent="0.3">
      <c r="A409" s="78"/>
      <c r="B409" s="79"/>
      <c r="C409" s="80" t="s">
        <v>631</v>
      </c>
      <c r="D409" s="80" t="s">
        <v>1230</v>
      </c>
      <c r="E409" s="80"/>
      <c r="F409" s="80"/>
      <c r="G409" s="80"/>
      <c r="H409" s="80"/>
      <c r="I409" s="80" t="s">
        <v>736</v>
      </c>
      <c r="J409" s="80"/>
      <c r="K409" s="80"/>
      <c r="L409" s="80"/>
      <c r="M409" s="80"/>
      <c r="N409" s="86" t="s">
        <v>1227</v>
      </c>
      <c r="O409" s="86" t="s">
        <v>1228</v>
      </c>
      <c r="P409" s="86" t="s">
        <v>1228</v>
      </c>
      <c r="Q409" s="80">
        <v>0</v>
      </c>
      <c r="R409" s="80"/>
      <c r="S409" s="80"/>
      <c r="T409" s="80"/>
      <c r="U409" s="80"/>
      <c r="V409" s="79"/>
      <c r="W409" s="80"/>
      <c r="X409" s="80" t="s">
        <v>1229</v>
      </c>
    </row>
    <row r="410" spans="1:24" s="85" customFormat="1" ht="45" customHeight="1" x14ac:dyDescent="0.3">
      <c r="A410" s="82"/>
      <c r="B410" s="83"/>
      <c r="C410" s="84" t="s">
        <v>632</v>
      </c>
      <c r="D410" s="84" t="s">
        <v>1230</v>
      </c>
      <c r="E410" s="84"/>
      <c r="F410" s="84"/>
      <c r="G410" s="84"/>
      <c r="H410" s="84"/>
      <c r="I410" s="84" t="s">
        <v>736</v>
      </c>
      <c r="J410" s="84"/>
      <c r="K410" s="84"/>
      <c r="L410" s="84"/>
      <c r="M410" s="84"/>
      <c r="N410" s="84" t="s">
        <v>1227</v>
      </c>
      <c r="O410" s="84" t="s">
        <v>1228</v>
      </c>
      <c r="P410" s="84" t="s">
        <v>1228</v>
      </c>
      <c r="Q410" s="84">
        <v>0</v>
      </c>
      <c r="R410" s="84"/>
      <c r="S410" s="84"/>
      <c r="T410" s="84"/>
      <c r="U410" s="84"/>
      <c r="V410" s="83"/>
      <c r="W410" s="84"/>
      <c r="X410" s="84" t="s">
        <v>1229</v>
      </c>
    </row>
    <row r="411" spans="1:24" s="85" customFormat="1" ht="45" customHeight="1" x14ac:dyDescent="0.3">
      <c r="A411" s="78"/>
      <c r="B411" s="79"/>
      <c r="C411" s="80" t="s">
        <v>633</v>
      </c>
      <c r="D411" s="80" t="s">
        <v>1230</v>
      </c>
      <c r="E411" s="80"/>
      <c r="F411" s="80"/>
      <c r="G411" s="80"/>
      <c r="H411" s="80"/>
      <c r="I411" s="80" t="s">
        <v>736</v>
      </c>
      <c r="J411" s="80"/>
      <c r="K411" s="80"/>
      <c r="L411" s="80"/>
      <c r="M411" s="80"/>
      <c r="N411" s="86" t="s">
        <v>1227</v>
      </c>
      <c r="O411" s="86" t="s">
        <v>1228</v>
      </c>
      <c r="P411" s="86" t="s">
        <v>1228</v>
      </c>
      <c r="Q411" s="80">
        <v>0</v>
      </c>
      <c r="R411" s="80"/>
      <c r="S411" s="80"/>
      <c r="T411" s="80"/>
      <c r="U411" s="80"/>
      <c r="V411" s="79"/>
      <c r="W411" s="80"/>
      <c r="X411" s="80" t="s">
        <v>1229</v>
      </c>
    </row>
    <row r="412" spans="1:24" s="85" customFormat="1" ht="45" customHeight="1" x14ac:dyDescent="0.3">
      <c r="A412" s="82"/>
      <c r="B412" s="83"/>
      <c r="C412" s="84" t="s">
        <v>634</v>
      </c>
      <c r="D412" s="84" t="s">
        <v>1230</v>
      </c>
      <c r="E412" s="84"/>
      <c r="F412" s="84"/>
      <c r="G412" s="84"/>
      <c r="H412" s="84"/>
      <c r="I412" s="84" t="s">
        <v>736</v>
      </c>
      <c r="J412" s="84"/>
      <c r="K412" s="84"/>
      <c r="L412" s="84"/>
      <c r="M412" s="84"/>
      <c r="N412" s="84" t="s">
        <v>1227</v>
      </c>
      <c r="O412" s="84" t="s">
        <v>1228</v>
      </c>
      <c r="P412" s="84" t="s">
        <v>1228</v>
      </c>
      <c r="Q412" s="84">
        <v>0</v>
      </c>
      <c r="R412" s="84"/>
      <c r="S412" s="84"/>
      <c r="T412" s="84"/>
      <c r="U412" s="84"/>
      <c r="V412" s="83"/>
      <c r="W412" s="84"/>
      <c r="X412" s="84" t="s">
        <v>1229</v>
      </c>
    </row>
    <row r="413" spans="1:24" s="85" customFormat="1" ht="45" customHeight="1" x14ac:dyDescent="0.3">
      <c r="A413" s="78"/>
      <c r="B413" s="79"/>
      <c r="C413" s="80" t="s">
        <v>635</v>
      </c>
      <c r="D413" s="80" t="s">
        <v>1230</v>
      </c>
      <c r="E413" s="80"/>
      <c r="F413" s="80"/>
      <c r="G413" s="80"/>
      <c r="H413" s="80"/>
      <c r="I413" s="80" t="s">
        <v>736</v>
      </c>
      <c r="J413" s="80"/>
      <c r="K413" s="80"/>
      <c r="L413" s="80"/>
      <c r="M413" s="80"/>
      <c r="N413" s="86" t="s">
        <v>1227</v>
      </c>
      <c r="O413" s="86" t="s">
        <v>1228</v>
      </c>
      <c r="P413" s="86" t="s">
        <v>1228</v>
      </c>
      <c r="Q413" s="80">
        <v>0</v>
      </c>
      <c r="R413" s="80"/>
      <c r="S413" s="80"/>
      <c r="T413" s="80"/>
      <c r="U413" s="80"/>
      <c r="V413" s="79"/>
      <c r="W413" s="80"/>
      <c r="X413" s="80" t="s">
        <v>1229</v>
      </c>
    </row>
    <row r="414" spans="1:24" s="85" customFormat="1" ht="45" customHeight="1" x14ac:dyDescent="0.3">
      <c r="A414" s="82"/>
      <c r="B414" s="83"/>
      <c r="C414" s="84" t="s">
        <v>636</v>
      </c>
      <c r="D414" s="84" t="s">
        <v>1230</v>
      </c>
      <c r="E414" s="84"/>
      <c r="F414" s="84"/>
      <c r="G414" s="84"/>
      <c r="H414" s="84"/>
      <c r="I414" s="84" t="s">
        <v>736</v>
      </c>
      <c r="J414" s="84"/>
      <c r="K414" s="84"/>
      <c r="L414" s="84"/>
      <c r="M414" s="84"/>
      <c r="N414" s="84" t="s">
        <v>1227</v>
      </c>
      <c r="O414" s="84" t="s">
        <v>1228</v>
      </c>
      <c r="P414" s="84" t="s">
        <v>1228</v>
      </c>
      <c r="Q414" s="84">
        <v>0</v>
      </c>
      <c r="R414" s="84"/>
      <c r="S414" s="84"/>
      <c r="T414" s="84"/>
      <c r="U414" s="84"/>
      <c r="V414" s="83"/>
      <c r="W414" s="84"/>
      <c r="X414" s="84" t="s">
        <v>1229</v>
      </c>
    </row>
    <row r="415" spans="1:24" s="85" customFormat="1" ht="45" customHeight="1" x14ac:dyDescent="0.3">
      <c r="A415" s="78"/>
      <c r="B415" s="79"/>
      <c r="C415" s="80" t="s">
        <v>637</v>
      </c>
      <c r="D415" s="80" t="s">
        <v>1230</v>
      </c>
      <c r="E415" s="80"/>
      <c r="F415" s="80"/>
      <c r="G415" s="80"/>
      <c r="H415" s="80"/>
      <c r="I415" s="80" t="s">
        <v>736</v>
      </c>
      <c r="J415" s="80"/>
      <c r="K415" s="80"/>
      <c r="L415" s="80"/>
      <c r="M415" s="80"/>
      <c r="N415" s="86" t="s">
        <v>1227</v>
      </c>
      <c r="O415" s="86" t="s">
        <v>1228</v>
      </c>
      <c r="P415" s="86" t="s">
        <v>1228</v>
      </c>
      <c r="Q415" s="80">
        <v>0</v>
      </c>
      <c r="R415" s="80"/>
      <c r="S415" s="80"/>
      <c r="T415" s="80"/>
      <c r="U415" s="80"/>
      <c r="V415" s="79"/>
      <c r="W415" s="80"/>
      <c r="X415" s="80" t="s">
        <v>1229</v>
      </c>
    </row>
    <row r="416" spans="1:24" s="85" customFormat="1" ht="45" customHeight="1" x14ac:dyDescent="0.3">
      <c r="A416" s="82"/>
      <c r="B416" s="83"/>
      <c r="C416" s="84" t="s">
        <v>638</v>
      </c>
      <c r="D416" s="84" t="s">
        <v>1230</v>
      </c>
      <c r="E416" s="84"/>
      <c r="F416" s="84"/>
      <c r="G416" s="84"/>
      <c r="H416" s="84"/>
      <c r="I416" s="84" t="s">
        <v>736</v>
      </c>
      <c r="J416" s="84"/>
      <c r="K416" s="84"/>
      <c r="L416" s="84"/>
      <c r="M416" s="84"/>
      <c r="N416" s="84" t="s">
        <v>1227</v>
      </c>
      <c r="O416" s="84" t="s">
        <v>1228</v>
      </c>
      <c r="P416" s="84" t="s">
        <v>1228</v>
      </c>
      <c r="Q416" s="84">
        <v>0</v>
      </c>
      <c r="R416" s="84"/>
      <c r="S416" s="84"/>
      <c r="T416" s="84"/>
      <c r="U416" s="84"/>
      <c r="V416" s="83"/>
      <c r="W416" s="84"/>
      <c r="X416" s="84" t="s">
        <v>1229</v>
      </c>
    </row>
    <row r="417" spans="1:24" s="85" customFormat="1" ht="45" customHeight="1" x14ac:dyDescent="0.3">
      <c r="A417" s="78"/>
      <c r="B417" s="79"/>
      <c r="C417" s="80" t="s">
        <v>941</v>
      </c>
      <c r="D417" s="80" t="s">
        <v>1230</v>
      </c>
      <c r="E417" s="80"/>
      <c r="F417" s="80"/>
      <c r="G417" s="80"/>
      <c r="H417" s="80"/>
      <c r="I417" s="80" t="s">
        <v>736</v>
      </c>
      <c r="J417" s="80"/>
      <c r="K417" s="80"/>
      <c r="L417" s="80"/>
      <c r="M417" s="80"/>
      <c r="N417" s="86" t="s">
        <v>1227</v>
      </c>
      <c r="O417" s="86" t="s">
        <v>1228</v>
      </c>
      <c r="P417" s="86" t="s">
        <v>1228</v>
      </c>
      <c r="Q417" s="80">
        <v>0</v>
      </c>
      <c r="R417" s="80"/>
      <c r="S417" s="80"/>
      <c r="T417" s="80"/>
      <c r="U417" s="80"/>
      <c r="V417" s="79"/>
      <c r="W417" s="80"/>
      <c r="X417" s="80" t="s">
        <v>1229</v>
      </c>
    </row>
    <row r="418" spans="1:24" s="85" customFormat="1" ht="45" customHeight="1" x14ac:dyDescent="0.3">
      <c r="A418" s="82"/>
      <c r="B418" s="83"/>
      <c r="C418" s="84" t="s">
        <v>640</v>
      </c>
      <c r="D418" s="84" t="s">
        <v>1230</v>
      </c>
      <c r="E418" s="84"/>
      <c r="F418" s="84"/>
      <c r="G418" s="84"/>
      <c r="H418" s="84"/>
      <c r="I418" s="84" t="s">
        <v>736</v>
      </c>
      <c r="J418" s="84"/>
      <c r="K418" s="84"/>
      <c r="L418" s="84"/>
      <c r="M418" s="84"/>
      <c r="N418" s="84" t="s">
        <v>1227</v>
      </c>
      <c r="O418" s="84" t="s">
        <v>1228</v>
      </c>
      <c r="P418" s="84" t="s">
        <v>1228</v>
      </c>
      <c r="Q418" s="84">
        <v>0</v>
      </c>
      <c r="R418" s="84"/>
      <c r="S418" s="84"/>
      <c r="T418" s="84"/>
      <c r="U418" s="84"/>
      <c r="V418" s="83"/>
      <c r="W418" s="84"/>
      <c r="X418" s="84" t="s">
        <v>1229</v>
      </c>
    </row>
    <row r="419" spans="1:24" s="85" customFormat="1" ht="45" customHeight="1" x14ac:dyDescent="0.3">
      <c r="A419" s="78"/>
      <c r="B419" s="79"/>
      <c r="C419" s="80" t="s">
        <v>641</v>
      </c>
      <c r="D419" s="80" t="s">
        <v>1230</v>
      </c>
      <c r="E419" s="80"/>
      <c r="F419" s="80"/>
      <c r="G419" s="80"/>
      <c r="H419" s="80"/>
      <c r="I419" s="80" t="s">
        <v>736</v>
      </c>
      <c r="J419" s="80"/>
      <c r="K419" s="80"/>
      <c r="L419" s="80"/>
      <c r="M419" s="80"/>
      <c r="N419" s="86" t="s">
        <v>1227</v>
      </c>
      <c r="O419" s="86" t="s">
        <v>1228</v>
      </c>
      <c r="P419" s="86" t="s">
        <v>1228</v>
      </c>
      <c r="Q419" s="80">
        <v>0</v>
      </c>
      <c r="R419" s="80"/>
      <c r="S419" s="80"/>
      <c r="T419" s="80"/>
      <c r="U419" s="80"/>
      <c r="V419" s="79"/>
      <c r="W419" s="80"/>
      <c r="X419" s="80" t="s">
        <v>1229</v>
      </c>
    </row>
    <row r="420" spans="1:24" s="85" customFormat="1" ht="45" customHeight="1" x14ac:dyDescent="0.3">
      <c r="A420" s="82"/>
      <c r="B420" s="83"/>
      <c r="C420" s="84" t="s">
        <v>642</v>
      </c>
      <c r="D420" s="84" t="s">
        <v>1230</v>
      </c>
      <c r="E420" s="84"/>
      <c r="F420" s="84"/>
      <c r="G420" s="84"/>
      <c r="H420" s="84"/>
      <c r="I420" s="84" t="s">
        <v>736</v>
      </c>
      <c r="J420" s="84"/>
      <c r="K420" s="84"/>
      <c r="L420" s="84"/>
      <c r="M420" s="84"/>
      <c r="N420" s="84" t="s">
        <v>1227</v>
      </c>
      <c r="O420" s="84" t="s">
        <v>1228</v>
      </c>
      <c r="P420" s="84" t="s">
        <v>1228</v>
      </c>
      <c r="Q420" s="84">
        <v>0</v>
      </c>
      <c r="R420" s="84"/>
      <c r="S420" s="84"/>
      <c r="T420" s="84"/>
      <c r="U420" s="84"/>
      <c r="V420" s="83"/>
      <c r="W420" s="84"/>
      <c r="X420" s="84" t="s">
        <v>1229</v>
      </c>
    </row>
    <row r="421" spans="1:24" s="85" customFormat="1" ht="45" customHeight="1" x14ac:dyDescent="0.3">
      <c r="A421" s="78"/>
      <c r="B421" s="79"/>
      <c r="C421" s="80" t="s">
        <v>643</v>
      </c>
      <c r="D421" s="80" t="s">
        <v>1230</v>
      </c>
      <c r="E421" s="80"/>
      <c r="F421" s="80"/>
      <c r="G421" s="80"/>
      <c r="H421" s="80"/>
      <c r="I421" s="80" t="s">
        <v>736</v>
      </c>
      <c r="J421" s="80"/>
      <c r="K421" s="80"/>
      <c r="L421" s="80"/>
      <c r="M421" s="80"/>
      <c r="N421" s="86" t="s">
        <v>1227</v>
      </c>
      <c r="O421" s="86" t="s">
        <v>1228</v>
      </c>
      <c r="P421" s="86" t="s">
        <v>1228</v>
      </c>
      <c r="Q421" s="80">
        <v>0</v>
      </c>
      <c r="R421" s="80"/>
      <c r="S421" s="80"/>
      <c r="T421" s="80"/>
      <c r="U421" s="80"/>
      <c r="V421" s="79"/>
      <c r="W421" s="80"/>
      <c r="X421" s="80" t="s">
        <v>1229</v>
      </c>
    </row>
    <row r="422" spans="1:24" s="85" customFormat="1" ht="45" customHeight="1" x14ac:dyDescent="0.3">
      <c r="A422" s="82"/>
      <c r="B422" s="83"/>
      <c r="C422" s="84" t="s">
        <v>644</v>
      </c>
      <c r="D422" s="84" t="s">
        <v>1230</v>
      </c>
      <c r="E422" s="84"/>
      <c r="F422" s="84"/>
      <c r="G422" s="84"/>
      <c r="H422" s="84"/>
      <c r="I422" s="84" t="s">
        <v>736</v>
      </c>
      <c r="J422" s="84"/>
      <c r="K422" s="84"/>
      <c r="L422" s="84"/>
      <c r="M422" s="84"/>
      <c r="N422" s="84" t="s">
        <v>1227</v>
      </c>
      <c r="O422" s="84" t="s">
        <v>1228</v>
      </c>
      <c r="P422" s="84" t="s">
        <v>1228</v>
      </c>
      <c r="Q422" s="84">
        <v>0</v>
      </c>
      <c r="R422" s="84"/>
      <c r="S422" s="84"/>
      <c r="T422" s="84"/>
      <c r="U422" s="84"/>
      <c r="V422" s="83"/>
      <c r="W422" s="84"/>
      <c r="X422" s="84" t="s">
        <v>1229</v>
      </c>
    </row>
    <row r="423" spans="1:24" s="85" customFormat="1" ht="45" customHeight="1" x14ac:dyDescent="0.3">
      <c r="A423" s="78"/>
      <c r="B423" s="79"/>
      <c r="C423" s="80" t="s">
        <v>645</v>
      </c>
      <c r="D423" s="80" t="s">
        <v>1230</v>
      </c>
      <c r="E423" s="80"/>
      <c r="F423" s="80"/>
      <c r="G423" s="80"/>
      <c r="H423" s="80"/>
      <c r="I423" s="80" t="s">
        <v>736</v>
      </c>
      <c r="J423" s="80"/>
      <c r="K423" s="80"/>
      <c r="L423" s="80"/>
      <c r="M423" s="80"/>
      <c r="N423" s="86" t="s">
        <v>1227</v>
      </c>
      <c r="O423" s="86" t="s">
        <v>1228</v>
      </c>
      <c r="P423" s="86" t="s">
        <v>1228</v>
      </c>
      <c r="Q423" s="80">
        <v>0</v>
      </c>
      <c r="R423" s="80"/>
      <c r="S423" s="80"/>
      <c r="T423" s="80"/>
      <c r="U423" s="80"/>
      <c r="V423" s="79"/>
      <c r="W423" s="80"/>
      <c r="X423" s="80" t="s">
        <v>1229</v>
      </c>
    </row>
    <row r="424" spans="1:24" s="85" customFormat="1" ht="45" customHeight="1" x14ac:dyDescent="0.3">
      <c r="A424" s="82"/>
      <c r="B424" s="83"/>
      <c r="C424" s="84" t="s">
        <v>646</v>
      </c>
      <c r="D424" s="84" t="s">
        <v>1230</v>
      </c>
      <c r="E424" s="84"/>
      <c r="F424" s="84"/>
      <c r="G424" s="84"/>
      <c r="H424" s="84"/>
      <c r="I424" s="84" t="s">
        <v>736</v>
      </c>
      <c r="J424" s="84"/>
      <c r="K424" s="84"/>
      <c r="L424" s="84"/>
      <c r="M424" s="84"/>
      <c r="N424" s="84" t="s">
        <v>1227</v>
      </c>
      <c r="O424" s="84" t="s">
        <v>1228</v>
      </c>
      <c r="P424" s="84" t="s">
        <v>1228</v>
      </c>
      <c r="Q424" s="84">
        <v>0</v>
      </c>
      <c r="R424" s="84"/>
      <c r="S424" s="84"/>
      <c r="T424" s="84"/>
      <c r="U424" s="84"/>
      <c r="V424" s="83"/>
      <c r="W424" s="84"/>
      <c r="X424" s="84" t="s">
        <v>1229</v>
      </c>
    </row>
    <row r="425" spans="1:24" s="85" customFormat="1" ht="45" customHeight="1" x14ac:dyDescent="0.3">
      <c r="A425" s="78"/>
      <c r="B425" s="79"/>
      <c r="C425" s="80" t="s">
        <v>647</v>
      </c>
      <c r="D425" s="80" t="s">
        <v>1230</v>
      </c>
      <c r="E425" s="80"/>
      <c r="F425" s="80"/>
      <c r="G425" s="80"/>
      <c r="H425" s="80"/>
      <c r="I425" s="80" t="s">
        <v>736</v>
      </c>
      <c r="J425" s="80"/>
      <c r="K425" s="80"/>
      <c r="L425" s="80"/>
      <c r="M425" s="80"/>
      <c r="N425" s="86" t="s">
        <v>1227</v>
      </c>
      <c r="O425" s="86" t="s">
        <v>1228</v>
      </c>
      <c r="P425" s="86" t="s">
        <v>1228</v>
      </c>
      <c r="Q425" s="80">
        <v>0</v>
      </c>
      <c r="R425" s="80"/>
      <c r="S425" s="80"/>
      <c r="T425" s="80"/>
      <c r="U425" s="80"/>
      <c r="V425" s="79"/>
      <c r="W425" s="80"/>
      <c r="X425" s="80" t="s">
        <v>1229</v>
      </c>
    </row>
    <row r="426" spans="1:24" s="85" customFormat="1" ht="45" customHeight="1" x14ac:dyDescent="0.3">
      <c r="A426" s="82"/>
      <c r="B426" s="83"/>
      <c r="C426" s="84" t="s">
        <v>648</v>
      </c>
      <c r="D426" s="84" t="s">
        <v>1230</v>
      </c>
      <c r="E426" s="84"/>
      <c r="F426" s="84"/>
      <c r="G426" s="84"/>
      <c r="H426" s="84"/>
      <c r="I426" s="84" t="s">
        <v>736</v>
      </c>
      <c r="J426" s="84"/>
      <c r="K426" s="84"/>
      <c r="L426" s="84"/>
      <c r="M426" s="84"/>
      <c r="N426" s="84" t="s">
        <v>1227</v>
      </c>
      <c r="O426" s="84" t="s">
        <v>1228</v>
      </c>
      <c r="P426" s="84" t="s">
        <v>1228</v>
      </c>
      <c r="Q426" s="84">
        <v>0</v>
      </c>
      <c r="R426" s="84"/>
      <c r="S426" s="84"/>
      <c r="T426" s="84"/>
      <c r="U426" s="84"/>
      <c r="V426" s="83"/>
      <c r="W426" s="84"/>
      <c r="X426" s="84" t="s">
        <v>1229</v>
      </c>
    </row>
    <row r="427" spans="1:24" s="85" customFormat="1" ht="45" customHeight="1" x14ac:dyDescent="0.3">
      <c r="A427" s="78"/>
      <c r="B427" s="79"/>
      <c r="C427" s="80" t="s">
        <v>649</v>
      </c>
      <c r="D427" s="80" t="s">
        <v>1230</v>
      </c>
      <c r="E427" s="80"/>
      <c r="F427" s="80"/>
      <c r="G427" s="80"/>
      <c r="H427" s="80"/>
      <c r="I427" s="80" t="s">
        <v>736</v>
      </c>
      <c r="J427" s="80"/>
      <c r="K427" s="80"/>
      <c r="L427" s="80"/>
      <c r="M427" s="80"/>
      <c r="N427" s="86" t="s">
        <v>1227</v>
      </c>
      <c r="O427" s="86" t="s">
        <v>1228</v>
      </c>
      <c r="P427" s="86" t="s">
        <v>1228</v>
      </c>
      <c r="Q427" s="80">
        <v>0</v>
      </c>
      <c r="R427" s="80"/>
      <c r="S427" s="80"/>
      <c r="T427" s="80"/>
      <c r="U427" s="80"/>
      <c r="V427" s="79"/>
      <c r="W427" s="80"/>
      <c r="X427" s="80" t="s">
        <v>1229</v>
      </c>
    </row>
    <row r="428" spans="1:24" s="85" customFormat="1" ht="45" customHeight="1" x14ac:dyDescent="0.3">
      <c r="A428" s="82"/>
      <c r="B428" s="83"/>
      <c r="C428" s="84" t="s">
        <v>650</v>
      </c>
      <c r="D428" s="84" t="s">
        <v>1230</v>
      </c>
      <c r="E428" s="84"/>
      <c r="F428" s="84"/>
      <c r="G428" s="84"/>
      <c r="H428" s="84"/>
      <c r="I428" s="84" t="s">
        <v>736</v>
      </c>
      <c r="J428" s="84"/>
      <c r="K428" s="84"/>
      <c r="L428" s="84"/>
      <c r="M428" s="84"/>
      <c r="N428" s="84" t="s">
        <v>1227</v>
      </c>
      <c r="O428" s="84" t="s">
        <v>1228</v>
      </c>
      <c r="P428" s="84" t="s">
        <v>1228</v>
      </c>
      <c r="Q428" s="84">
        <v>0</v>
      </c>
      <c r="R428" s="84"/>
      <c r="S428" s="84"/>
      <c r="T428" s="84"/>
      <c r="U428" s="84"/>
      <c r="V428" s="83"/>
      <c r="W428" s="84"/>
      <c r="X428" s="84" t="s">
        <v>1229</v>
      </c>
    </row>
    <row r="429" spans="1:24" s="85" customFormat="1" ht="45" customHeight="1" x14ac:dyDescent="0.3">
      <c r="A429" s="78"/>
      <c r="B429" s="79"/>
      <c r="C429" s="80" t="s">
        <v>653</v>
      </c>
      <c r="D429" s="80" t="s">
        <v>1230</v>
      </c>
      <c r="E429" s="80"/>
      <c r="F429" s="80"/>
      <c r="G429" s="80"/>
      <c r="H429" s="80"/>
      <c r="I429" s="80" t="s">
        <v>736</v>
      </c>
      <c r="J429" s="80"/>
      <c r="K429" s="80"/>
      <c r="L429" s="80"/>
      <c r="M429" s="80"/>
      <c r="N429" s="86" t="s">
        <v>1227</v>
      </c>
      <c r="O429" s="86" t="s">
        <v>1228</v>
      </c>
      <c r="P429" s="86" t="s">
        <v>1228</v>
      </c>
      <c r="Q429" s="80">
        <v>0</v>
      </c>
      <c r="R429" s="80"/>
      <c r="S429" s="80"/>
      <c r="T429" s="80"/>
      <c r="U429" s="80"/>
      <c r="V429" s="79"/>
      <c r="W429" s="80"/>
      <c r="X429" s="80" t="s">
        <v>1229</v>
      </c>
    </row>
    <row r="430" spans="1:24" s="85" customFormat="1" ht="45" customHeight="1" x14ac:dyDescent="0.3">
      <c r="A430" s="82"/>
      <c r="B430" s="83"/>
      <c r="C430" s="84" t="s">
        <v>654</v>
      </c>
      <c r="D430" s="84" t="s">
        <v>1230</v>
      </c>
      <c r="E430" s="84"/>
      <c r="F430" s="84"/>
      <c r="G430" s="84"/>
      <c r="H430" s="84"/>
      <c r="I430" s="84" t="s">
        <v>736</v>
      </c>
      <c r="J430" s="84"/>
      <c r="K430" s="84"/>
      <c r="L430" s="84"/>
      <c r="M430" s="84"/>
      <c r="N430" s="84" t="s">
        <v>1227</v>
      </c>
      <c r="O430" s="84" t="s">
        <v>1228</v>
      </c>
      <c r="P430" s="84" t="s">
        <v>1228</v>
      </c>
      <c r="Q430" s="84">
        <v>0</v>
      </c>
      <c r="R430" s="84"/>
      <c r="S430" s="84"/>
      <c r="T430" s="84"/>
      <c r="U430" s="84"/>
      <c r="V430" s="83"/>
      <c r="W430" s="84"/>
      <c r="X430" s="84" t="s">
        <v>1229</v>
      </c>
    </row>
    <row r="431" spans="1:24" s="85" customFormat="1" ht="45" customHeight="1" x14ac:dyDescent="0.3">
      <c r="A431" s="78"/>
      <c r="B431" s="79"/>
      <c r="C431" s="80" t="s">
        <v>655</v>
      </c>
      <c r="D431" s="80" t="s">
        <v>1230</v>
      </c>
      <c r="E431" s="80"/>
      <c r="F431" s="80"/>
      <c r="G431" s="80"/>
      <c r="H431" s="80"/>
      <c r="I431" s="80" t="s">
        <v>736</v>
      </c>
      <c r="J431" s="80"/>
      <c r="K431" s="80"/>
      <c r="L431" s="80"/>
      <c r="M431" s="80"/>
      <c r="N431" s="86" t="s">
        <v>1227</v>
      </c>
      <c r="O431" s="86" t="s">
        <v>1228</v>
      </c>
      <c r="P431" s="86" t="s">
        <v>1228</v>
      </c>
      <c r="Q431" s="80">
        <v>0</v>
      </c>
      <c r="R431" s="80"/>
      <c r="S431" s="80"/>
      <c r="T431" s="80"/>
      <c r="U431" s="80"/>
      <c r="V431" s="79"/>
      <c r="W431" s="80"/>
      <c r="X431" s="80" t="s">
        <v>1229</v>
      </c>
    </row>
    <row r="432" spans="1:24" s="85" customFormat="1" ht="45" customHeight="1" x14ac:dyDescent="0.3">
      <c r="A432" s="82"/>
      <c r="B432" s="83"/>
      <c r="C432" s="84" t="s">
        <v>656</v>
      </c>
      <c r="D432" s="84" t="s">
        <v>1230</v>
      </c>
      <c r="E432" s="84"/>
      <c r="F432" s="84"/>
      <c r="G432" s="84"/>
      <c r="H432" s="84"/>
      <c r="I432" s="84" t="s">
        <v>736</v>
      </c>
      <c r="J432" s="84"/>
      <c r="K432" s="84"/>
      <c r="L432" s="84"/>
      <c r="M432" s="84"/>
      <c r="N432" s="84" t="s">
        <v>1227</v>
      </c>
      <c r="O432" s="84" t="s">
        <v>1228</v>
      </c>
      <c r="P432" s="84" t="s">
        <v>1228</v>
      </c>
      <c r="Q432" s="84">
        <v>0</v>
      </c>
      <c r="R432" s="84"/>
      <c r="S432" s="84"/>
      <c r="T432" s="84"/>
      <c r="U432" s="84"/>
      <c r="V432" s="83"/>
      <c r="W432" s="84"/>
      <c r="X432" s="84" t="s">
        <v>1229</v>
      </c>
    </row>
    <row r="433" spans="1:24" s="85" customFormat="1" ht="45" customHeight="1" x14ac:dyDescent="0.3">
      <c r="A433" s="78"/>
      <c r="B433" s="79"/>
      <c r="C433" s="80" t="s">
        <v>658</v>
      </c>
      <c r="D433" s="80" t="s">
        <v>1230</v>
      </c>
      <c r="E433" s="80"/>
      <c r="F433" s="80"/>
      <c r="G433" s="80"/>
      <c r="H433" s="80"/>
      <c r="I433" s="80" t="s">
        <v>736</v>
      </c>
      <c r="J433" s="80"/>
      <c r="K433" s="80"/>
      <c r="L433" s="80"/>
      <c r="M433" s="80"/>
      <c r="N433" s="86" t="s">
        <v>1227</v>
      </c>
      <c r="O433" s="86" t="s">
        <v>1228</v>
      </c>
      <c r="P433" s="86" t="s">
        <v>1228</v>
      </c>
      <c r="Q433" s="80">
        <v>0</v>
      </c>
      <c r="R433" s="80"/>
      <c r="S433" s="80"/>
      <c r="T433" s="80"/>
      <c r="U433" s="80"/>
      <c r="V433" s="79"/>
      <c r="W433" s="80"/>
      <c r="X433" s="80" t="s">
        <v>1229</v>
      </c>
    </row>
    <row r="434" spans="1:24" s="85" customFormat="1" ht="45" customHeight="1" x14ac:dyDescent="0.3">
      <c r="A434" s="82"/>
      <c r="B434" s="83"/>
      <c r="C434" s="84" t="s">
        <v>659</v>
      </c>
      <c r="D434" s="84" t="s">
        <v>1230</v>
      </c>
      <c r="E434" s="84"/>
      <c r="F434" s="84"/>
      <c r="G434" s="84"/>
      <c r="H434" s="84"/>
      <c r="I434" s="84" t="s">
        <v>736</v>
      </c>
      <c r="J434" s="84"/>
      <c r="K434" s="84"/>
      <c r="L434" s="84"/>
      <c r="M434" s="84"/>
      <c r="N434" s="84" t="s">
        <v>1227</v>
      </c>
      <c r="O434" s="84" t="s">
        <v>1228</v>
      </c>
      <c r="P434" s="84" t="s">
        <v>1228</v>
      </c>
      <c r="Q434" s="84">
        <v>0</v>
      </c>
      <c r="R434" s="84"/>
      <c r="S434" s="84"/>
      <c r="T434" s="84"/>
      <c r="U434" s="84"/>
      <c r="V434" s="83"/>
      <c r="W434" s="84"/>
      <c r="X434" s="84" t="s">
        <v>1229</v>
      </c>
    </row>
    <row r="435" spans="1:24" s="85" customFormat="1" ht="45" customHeight="1" x14ac:dyDescent="0.3">
      <c r="A435" s="78"/>
      <c r="B435" s="79"/>
      <c r="C435" s="80" t="s">
        <v>661</v>
      </c>
      <c r="D435" s="80" t="s">
        <v>1230</v>
      </c>
      <c r="E435" s="80"/>
      <c r="F435" s="80"/>
      <c r="G435" s="80"/>
      <c r="H435" s="80"/>
      <c r="I435" s="80" t="s">
        <v>736</v>
      </c>
      <c r="J435" s="80"/>
      <c r="K435" s="80"/>
      <c r="L435" s="80"/>
      <c r="M435" s="80"/>
      <c r="N435" s="86" t="s">
        <v>1227</v>
      </c>
      <c r="O435" s="86" t="s">
        <v>1228</v>
      </c>
      <c r="P435" s="86" t="s">
        <v>1228</v>
      </c>
      <c r="Q435" s="80">
        <v>0</v>
      </c>
      <c r="R435" s="80"/>
      <c r="S435" s="80"/>
      <c r="T435" s="80"/>
      <c r="U435" s="80"/>
      <c r="V435" s="79"/>
      <c r="W435" s="80"/>
      <c r="X435" s="80" t="s">
        <v>1229</v>
      </c>
    </row>
    <row r="436" spans="1:24" s="85" customFormat="1" ht="45" customHeight="1" x14ac:dyDescent="0.3">
      <c r="A436" s="82"/>
      <c r="B436" s="83"/>
      <c r="C436" s="84" t="s">
        <v>662</v>
      </c>
      <c r="D436" s="84" t="s">
        <v>1230</v>
      </c>
      <c r="E436" s="84"/>
      <c r="F436" s="84"/>
      <c r="G436" s="84"/>
      <c r="H436" s="84"/>
      <c r="I436" s="84" t="s">
        <v>736</v>
      </c>
      <c r="J436" s="84"/>
      <c r="K436" s="84"/>
      <c r="L436" s="84"/>
      <c r="M436" s="84"/>
      <c r="N436" s="84" t="s">
        <v>1227</v>
      </c>
      <c r="O436" s="84" t="s">
        <v>1228</v>
      </c>
      <c r="P436" s="84" t="s">
        <v>1228</v>
      </c>
      <c r="Q436" s="84">
        <v>0</v>
      </c>
      <c r="R436" s="84"/>
      <c r="S436" s="84"/>
      <c r="T436" s="84"/>
      <c r="U436" s="84"/>
      <c r="V436" s="83"/>
      <c r="W436" s="84"/>
      <c r="X436" s="84" t="s">
        <v>1229</v>
      </c>
    </row>
    <row r="437" spans="1:24" s="85" customFormat="1" ht="45" customHeight="1" x14ac:dyDescent="0.3">
      <c r="A437" s="78"/>
      <c r="B437" s="79"/>
      <c r="C437" s="80" t="s">
        <v>663</v>
      </c>
      <c r="D437" s="80" t="s">
        <v>1230</v>
      </c>
      <c r="E437" s="80"/>
      <c r="F437" s="80"/>
      <c r="G437" s="80"/>
      <c r="H437" s="80"/>
      <c r="I437" s="80" t="s">
        <v>736</v>
      </c>
      <c r="J437" s="80"/>
      <c r="K437" s="80"/>
      <c r="L437" s="80"/>
      <c r="M437" s="80"/>
      <c r="N437" s="86" t="s">
        <v>1227</v>
      </c>
      <c r="O437" s="86" t="s">
        <v>1228</v>
      </c>
      <c r="P437" s="86" t="s">
        <v>1228</v>
      </c>
      <c r="Q437" s="80">
        <v>0</v>
      </c>
      <c r="R437" s="80"/>
      <c r="S437" s="80"/>
      <c r="T437" s="80"/>
      <c r="U437" s="80"/>
      <c r="V437" s="79"/>
      <c r="W437" s="80"/>
      <c r="X437" s="80" t="s">
        <v>1229</v>
      </c>
    </row>
    <row r="438" spans="1:24" s="85" customFormat="1" ht="45" customHeight="1" x14ac:dyDescent="0.3">
      <c r="A438" s="82"/>
      <c r="B438" s="83"/>
      <c r="C438" s="84" t="s">
        <v>664</v>
      </c>
      <c r="D438" s="84" t="s">
        <v>1230</v>
      </c>
      <c r="E438" s="84"/>
      <c r="F438" s="84"/>
      <c r="G438" s="84"/>
      <c r="H438" s="84"/>
      <c r="I438" s="84" t="s">
        <v>736</v>
      </c>
      <c r="J438" s="84"/>
      <c r="K438" s="84"/>
      <c r="L438" s="84"/>
      <c r="M438" s="84"/>
      <c r="N438" s="84" t="s">
        <v>1227</v>
      </c>
      <c r="O438" s="84" t="s">
        <v>1228</v>
      </c>
      <c r="P438" s="84" t="s">
        <v>1228</v>
      </c>
      <c r="Q438" s="84">
        <v>0</v>
      </c>
      <c r="R438" s="84"/>
      <c r="S438" s="84"/>
      <c r="T438" s="84"/>
      <c r="U438" s="84"/>
      <c r="V438" s="83"/>
      <c r="W438" s="84"/>
      <c r="X438" s="84" t="s">
        <v>1229</v>
      </c>
    </row>
    <row r="439" spans="1:24" s="85" customFormat="1" ht="45" customHeight="1" x14ac:dyDescent="0.3">
      <c r="A439" s="78"/>
      <c r="B439" s="79"/>
      <c r="C439" s="80" t="s">
        <v>1203</v>
      </c>
      <c r="D439" s="80" t="s">
        <v>1230</v>
      </c>
      <c r="E439" s="80"/>
      <c r="F439" s="80"/>
      <c r="G439" s="80"/>
      <c r="H439" s="80"/>
      <c r="I439" s="80" t="s">
        <v>736</v>
      </c>
      <c r="J439" s="80"/>
      <c r="K439" s="80"/>
      <c r="L439" s="80"/>
      <c r="M439" s="80"/>
      <c r="N439" s="86" t="s">
        <v>1227</v>
      </c>
      <c r="O439" s="86" t="s">
        <v>1228</v>
      </c>
      <c r="P439" s="86" t="s">
        <v>1228</v>
      </c>
      <c r="Q439" s="80">
        <v>0</v>
      </c>
      <c r="R439" s="80"/>
      <c r="S439" s="80"/>
      <c r="T439" s="80"/>
      <c r="U439" s="80"/>
      <c r="V439" s="79"/>
      <c r="W439" s="80"/>
      <c r="X439" s="80" t="s">
        <v>1229</v>
      </c>
    </row>
    <row r="440" spans="1:24" s="85" customFormat="1" ht="45" customHeight="1" x14ac:dyDescent="0.3">
      <c r="A440" s="82"/>
      <c r="B440" s="83"/>
      <c r="C440" s="84" t="s">
        <v>666</v>
      </c>
      <c r="D440" s="84" t="s">
        <v>1230</v>
      </c>
      <c r="E440" s="84"/>
      <c r="F440" s="84"/>
      <c r="G440" s="84"/>
      <c r="H440" s="84"/>
      <c r="I440" s="84" t="s">
        <v>736</v>
      </c>
      <c r="J440" s="84"/>
      <c r="K440" s="84"/>
      <c r="L440" s="84"/>
      <c r="M440" s="84"/>
      <c r="N440" s="84" t="s">
        <v>1227</v>
      </c>
      <c r="O440" s="84" t="s">
        <v>1228</v>
      </c>
      <c r="P440" s="84" t="s">
        <v>1228</v>
      </c>
      <c r="Q440" s="84">
        <v>0</v>
      </c>
      <c r="R440" s="84"/>
      <c r="S440" s="84"/>
      <c r="T440" s="84"/>
      <c r="U440" s="84"/>
      <c r="V440" s="83"/>
      <c r="W440" s="84"/>
      <c r="X440" s="84" t="s">
        <v>1229</v>
      </c>
    </row>
    <row r="441" spans="1:24" s="85" customFormat="1" ht="45" customHeight="1" x14ac:dyDescent="0.3">
      <c r="A441" s="78"/>
      <c r="B441" s="79"/>
      <c r="C441" s="80" t="s">
        <v>667</v>
      </c>
      <c r="D441" s="80" t="s">
        <v>1230</v>
      </c>
      <c r="E441" s="80"/>
      <c r="F441" s="80"/>
      <c r="G441" s="80"/>
      <c r="H441" s="80"/>
      <c r="I441" s="80" t="s">
        <v>736</v>
      </c>
      <c r="J441" s="80"/>
      <c r="K441" s="80"/>
      <c r="L441" s="80"/>
      <c r="M441" s="80"/>
      <c r="N441" s="86" t="s">
        <v>1227</v>
      </c>
      <c r="O441" s="86" t="s">
        <v>1228</v>
      </c>
      <c r="P441" s="86" t="s">
        <v>1228</v>
      </c>
      <c r="Q441" s="80">
        <v>0</v>
      </c>
      <c r="R441" s="80"/>
      <c r="S441" s="80"/>
      <c r="T441" s="80"/>
      <c r="U441" s="80"/>
      <c r="V441" s="79"/>
      <c r="W441" s="80"/>
      <c r="X441" s="80" t="s">
        <v>1229</v>
      </c>
    </row>
    <row r="442" spans="1:24" s="85" customFormat="1" ht="45" customHeight="1" x14ac:dyDescent="0.3">
      <c r="A442" s="82"/>
      <c r="B442" s="83"/>
      <c r="C442" s="84" t="s">
        <v>668</v>
      </c>
      <c r="D442" s="84" t="s">
        <v>1230</v>
      </c>
      <c r="E442" s="84"/>
      <c r="F442" s="84"/>
      <c r="G442" s="84"/>
      <c r="H442" s="84"/>
      <c r="I442" s="84" t="s">
        <v>736</v>
      </c>
      <c r="J442" s="84"/>
      <c r="K442" s="84"/>
      <c r="L442" s="84"/>
      <c r="M442" s="84"/>
      <c r="N442" s="84" t="s">
        <v>1227</v>
      </c>
      <c r="O442" s="84" t="s">
        <v>1228</v>
      </c>
      <c r="P442" s="84" t="s">
        <v>1228</v>
      </c>
      <c r="Q442" s="84">
        <v>0</v>
      </c>
      <c r="R442" s="84"/>
      <c r="S442" s="84"/>
      <c r="T442" s="84"/>
      <c r="U442" s="84"/>
      <c r="V442" s="83"/>
      <c r="W442" s="84"/>
      <c r="X442" s="84" t="s">
        <v>1229</v>
      </c>
    </row>
    <row r="443" spans="1:24" s="85" customFormat="1" ht="45" customHeight="1" x14ac:dyDescent="0.3">
      <c r="A443" s="78"/>
      <c r="B443" s="79"/>
      <c r="C443" s="80" t="s">
        <v>669</v>
      </c>
      <c r="D443" s="80" t="s">
        <v>1230</v>
      </c>
      <c r="E443" s="80"/>
      <c r="F443" s="80"/>
      <c r="G443" s="80"/>
      <c r="H443" s="80"/>
      <c r="I443" s="80" t="s">
        <v>736</v>
      </c>
      <c r="J443" s="80"/>
      <c r="K443" s="80"/>
      <c r="L443" s="80"/>
      <c r="M443" s="80"/>
      <c r="N443" s="86" t="s">
        <v>1227</v>
      </c>
      <c r="O443" s="86" t="s">
        <v>1228</v>
      </c>
      <c r="P443" s="86" t="s">
        <v>1228</v>
      </c>
      <c r="Q443" s="80">
        <v>0</v>
      </c>
      <c r="R443" s="80"/>
      <c r="S443" s="80"/>
      <c r="T443" s="80"/>
      <c r="U443" s="80"/>
      <c r="V443" s="79"/>
      <c r="W443" s="80"/>
      <c r="X443" s="80" t="s">
        <v>1229</v>
      </c>
    </row>
    <row r="444" spans="1:24" s="85" customFormat="1" ht="45" customHeight="1" x14ac:dyDescent="0.3">
      <c r="A444" s="82"/>
      <c r="B444" s="83"/>
      <c r="C444" s="84" t="s">
        <v>670</v>
      </c>
      <c r="D444" s="84" t="s">
        <v>1230</v>
      </c>
      <c r="E444" s="84"/>
      <c r="F444" s="84"/>
      <c r="G444" s="84"/>
      <c r="H444" s="84"/>
      <c r="I444" s="84" t="s">
        <v>736</v>
      </c>
      <c r="J444" s="84"/>
      <c r="K444" s="84"/>
      <c r="L444" s="84"/>
      <c r="M444" s="84"/>
      <c r="N444" s="84" t="s">
        <v>1227</v>
      </c>
      <c r="O444" s="84" t="s">
        <v>1228</v>
      </c>
      <c r="P444" s="84" t="s">
        <v>1228</v>
      </c>
      <c r="Q444" s="84">
        <v>0</v>
      </c>
      <c r="R444" s="84"/>
      <c r="S444" s="84"/>
      <c r="T444" s="84"/>
      <c r="U444" s="84"/>
      <c r="V444" s="83"/>
      <c r="W444" s="84"/>
      <c r="X444" s="84" t="s">
        <v>1229</v>
      </c>
    </row>
    <row r="445" spans="1:24" s="85" customFormat="1" ht="45" customHeight="1" x14ac:dyDescent="0.3">
      <c r="A445" s="78"/>
      <c r="B445" s="79"/>
      <c r="C445" s="80" t="s">
        <v>672</v>
      </c>
      <c r="D445" s="80" t="s">
        <v>1230</v>
      </c>
      <c r="E445" s="80"/>
      <c r="F445" s="80"/>
      <c r="G445" s="80"/>
      <c r="H445" s="80"/>
      <c r="I445" s="80" t="s">
        <v>736</v>
      </c>
      <c r="J445" s="80"/>
      <c r="K445" s="80"/>
      <c r="L445" s="80"/>
      <c r="M445" s="80"/>
      <c r="N445" s="86" t="s">
        <v>1227</v>
      </c>
      <c r="O445" s="86" t="s">
        <v>1228</v>
      </c>
      <c r="P445" s="86" t="s">
        <v>1228</v>
      </c>
      <c r="Q445" s="80">
        <v>0</v>
      </c>
      <c r="R445" s="80"/>
      <c r="S445" s="80"/>
      <c r="T445" s="80"/>
      <c r="U445" s="80"/>
      <c r="V445" s="79"/>
      <c r="W445" s="80"/>
      <c r="X445" s="80" t="s">
        <v>1229</v>
      </c>
    </row>
    <row r="446" spans="1:24" s="85" customFormat="1" ht="45" customHeight="1" x14ac:dyDescent="0.3">
      <c r="A446" s="82"/>
      <c r="B446" s="83"/>
      <c r="C446" s="84" t="s">
        <v>673</v>
      </c>
      <c r="D446" s="84" t="s">
        <v>1230</v>
      </c>
      <c r="E446" s="84"/>
      <c r="F446" s="84"/>
      <c r="G446" s="84"/>
      <c r="H446" s="84"/>
      <c r="I446" s="84" t="s">
        <v>736</v>
      </c>
      <c r="J446" s="84"/>
      <c r="K446" s="84"/>
      <c r="L446" s="84"/>
      <c r="M446" s="84"/>
      <c r="N446" s="84" t="s">
        <v>1227</v>
      </c>
      <c r="O446" s="84" t="s">
        <v>1228</v>
      </c>
      <c r="P446" s="84" t="s">
        <v>1228</v>
      </c>
      <c r="Q446" s="84">
        <v>0</v>
      </c>
      <c r="R446" s="84"/>
      <c r="S446" s="84"/>
      <c r="T446" s="84"/>
      <c r="U446" s="84"/>
      <c r="V446" s="83"/>
      <c r="W446" s="84"/>
      <c r="X446" s="84" t="s">
        <v>1229</v>
      </c>
    </row>
    <row r="447" spans="1:24" s="85" customFormat="1" ht="45" customHeight="1" x14ac:dyDescent="0.3">
      <c r="A447" s="78"/>
      <c r="B447" s="79"/>
      <c r="C447" s="80" t="s">
        <v>674</v>
      </c>
      <c r="D447" s="80" t="s">
        <v>1230</v>
      </c>
      <c r="E447" s="80"/>
      <c r="F447" s="80"/>
      <c r="G447" s="80"/>
      <c r="H447" s="80"/>
      <c r="I447" s="80" t="s">
        <v>736</v>
      </c>
      <c r="J447" s="80"/>
      <c r="K447" s="80"/>
      <c r="L447" s="80"/>
      <c r="M447" s="80"/>
      <c r="N447" s="86" t="s">
        <v>1227</v>
      </c>
      <c r="O447" s="86" t="s">
        <v>1228</v>
      </c>
      <c r="P447" s="86" t="s">
        <v>1228</v>
      </c>
      <c r="Q447" s="80">
        <v>0</v>
      </c>
      <c r="R447" s="80"/>
      <c r="S447" s="80"/>
      <c r="T447" s="80"/>
      <c r="U447" s="80"/>
      <c r="V447" s="79"/>
      <c r="W447" s="80"/>
      <c r="X447" s="80" t="s">
        <v>1229</v>
      </c>
    </row>
    <row r="448" spans="1:24" s="85" customFormat="1" ht="45" customHeight="1" x14ac:dyDescent="0.3">
      <c r="A448" s="82"/>
      <c r="B448" s="83"/>
      <c r="C448" s="84" t="s">
        <v>942</v>
      </c>
      <c r="D448" s="84" t="s">
        <v>1230</v>
      </c>
      <c r="E448" s="84"/>
      <c r="F448" s="84"/>
      <c r="G448" s="84"/>
      <c r="H448" s="84"/>
      <c r="I448" s="84" t="s">
        <v>736</v>
      </c>
      <c r="J448" s="84"/>
      <c r="K448" s="84"/>
      <c r="L448" s="84"/>
      <c r="M448" s="84"/>
      <c r="N448" s="84" t="s">
        <v>1227</v>
      </c>
      <c r="O448" s="84" t="s">
        <v>1228</v>
      </c>
      <c r="P448" s="84" t="s">
        <v>1228</v>
      </c>
      <c r="Q448" s="84">
        <v>0</v>
      </c>
      <c r="R448" s="84"/>
      <c r="S448" s="84"/>
      <c r="T448" s="84"/>
      <c r="U448" s="84"/>
      <c r="V448" s="83"/>
      <c r="W448" s="84"/>
      <c r="X448" s="84" t="s">
        <v>1229</v>
      </c>
    </row>
    <row r="449" spans="1:24" s="85" customFormat="1" ht="45" customHeight="1" x14ac:dyDescent="0.3">
      <c r="A449" s="78"/>
      <c r="B449" s="79"/>
      <c r="C449" s="80" t="s">
        <v>676</v>
      </c>
      <c r="D449" s="80" t="s">
        <v>1230</v>
      </c>
      <c r="E449" s="80"/>
      <c r="F449" s="80"/>
      <c r="G449" s="80"/>
      <c r="H449" s="80"/>
      <c r="I449" s="80" t="s">
        <v>736</v>
      </c>
      <c r="J449" s="80"/>
      <c r="K449" s="80"/>
      <c r="L449" s="80"/>
      <c r="M449" s="80"/>
      <c r="N449" s="86" t="s">
        <v>1227</v>
      </c>
      <c r="O449" s="86" t="s">
        <v>1228</v>
      </c>
      <c r="P449" s="86" t="s">
        <v>1228</v>
      </c>
      <c r="Q449" s="80">
        <v>0</v>
      </c>
      <c r="R449" s="80"/>
      <c r="S449" s="80"/>
      <c r="T449" s="80"/>
      <c r="U449" s="80"/>
      <c r="V449" s="79"/>
      <c r="W449" s="80"/>
      <c r="X449" s="80" t="s">
        <v>1229</v>
      </c>
    </row>
    <row r="450" spans="1:24" s="85" customFormat="1" ht="45" customHeight="1" x14ac:dyDescent="0.3">
      <c r="A450" s="82"/>
      <c r="B450" s="83"/>
      <c r="C450" s="84" t="s">
        <v>677</v>
      </c>
      <c r="D450" s="84" t="s">
        <v>1230</v>
      </c>
      <c r="E450" s="84"/>
      <c r="F450" s="84"/>
      <c r="G450" s="84"/>
      <c r="H450" s="84"/>
      <c r="I450" s="84" t="s">
        <v>736</v>
      </c>
      <c r="J450" s="84"/>
      <c r="K450" s="84"/>
      <c r="L450" s="84"/>
      <c r="M450" s="84"/>
      <c r="N450" s="84" t="s">
        <v>1227</v>
      </c>
      <c r="O450" s="84" t="s">
        <v>1228</v>
      </c>
      <c r="P450" s="84" t="s">
        <v>1228</v>
      </c>
      <c r="Q450" s="84">
        <v>0</v>
      </c>
      <c r="R450" s="84"/>
      <c r="S450" s="84"/>
      <c r="T450" s="84"/>
      <c r="U450" s="84"/>
      <c r="V450" s="83"/>
      <c r="W450" s="84"/>
      <c r="X450" s="84" t="s">
        <v>1229</v>
      </c>
    </row>
    <row r="451" spans="1:24" s="85" customFormat="1" ht="45" customHeight="1" x14ac:dyDescent="0.3">
      <c r="A451" s="78"/>
      <c r="B451" s="79"/>
      <c r="C451" s="80" t="s">
        <v>678</v>
      </c>
      <c r="D451" s="80" t="s">
        <v>1230</v>
      </c>
      <c r="E451" s="80"/>
      <c r="F451" s="80"/>
      <c r="G451" s="80"/>
      <c r="H451" s="80"/>
      <c r="I451" s="80" t="s">
        <v>736</v>
      </c>
      <c r="J451" s="80"/>
      <c r="K451" s="80"/>
      <c r="L451" s="80"/>
      <c r="M451" s="80"/>
      <c r="N451" s="86" t="s">
        <v>1227</v>
      </c>
      <c r="O451" s="86" t="s">
        <v>1228</v>
      </c>
      <c r="P451" s="86" t="s">
        <v>1228</v>
      </c>
      <c r="Q451" s="80">
        <v>0</v>
      </c>
      <c r="R451" s="80"/>
      <c r="S451" s="80"/>
      <c r="T451" s="80"/>
      <c r="U451" s="80"/>
      <c r="V451" s="79"/>
      <c r="W451" s="80"/>
      <c r="X451" s="80" t="s">
        <v>1229</v>
      </c>
    </row>
    <row r="452" spans="1:24" s="85" customFormat="1" ht="45" customHeight="1" x14ac:dyDescent="0.3">
      <c r="A452" s="82"/>
      <c r="B452" s="83"/>
      <c r="C452" s="84" t="s">
        <v>679</v>
      </c>
      <c r="D452" s="84" t="s">
        <v>1230</v>
      </c>
      <c r="E452" s="84"/>
      <c r="F452" s="84"/>
      <c r="G452" s="84"/>
      <c r="H452" s="84"/>
      <c r="I452" s="84" t="s">
        <v>736</v>
      </c>
      <c r="J452" s="84"/>
      <c r="K452" s="84"/>
      <c r="L452" s="84"/>
      <c r="M452" s="84"/>
      <c r="N452" s="84" t="s">
        <v>1227</v>
      </c>
      <c r="O452" s="84" t="s">
        <v>1228</v>
      </c>
      <c r="P452" s="84" t="s">
        <v>1228</v>
      </c>
      <c r="Q452" s="84">
        <v>0</v>
      </c>
      <c r="R452" s="84"/>
      <c r="S452" s="84"/>
      <c r="T452" s="84"/>
      <c r="U452" s="84"/>
      <c r="V452" s="83"/>
      <c r="W452" s="84"/>
      <c r="X452" s="84" t="s">
        <v>1229</v>
      </c>
    </row>
    <row r="453" spans="1:24" s="85" customFormat="1" ht="45" customHeight="1" x14ac:dyDescent="0.3">
      <c r="A453" s="78"/>
      <c r="B453" s="79"/>
      <c r="C453" s="80" t="s">
        <v>680</v>
      </c>
      <c r="D453" s="80" t="s">
        <v>1230</v>
      </c>
      <c r="E453" s="80"/>
      <c r="F453" s="80"/>
      <c r="G453" s="80"/>
      <c r="H453" s="80"/>
      <c r="I453" s="80" t="s">
        <v>736</v>
      </c>
      <c r="J453" s="80"/>
      <c r="K453" s="80"/>
      <c r="L453" s="80"/>
      <c r="M453" s="80"/>
      <c r="N453" s="86" t="s">
        <v>1227</v>
      </c>
      <c r="O453" s="86" t="s">
        <v>1228</v>
      </c>
      <c r="P453" s="86" t="s">
        <v>1228</v>
      </c>
      <c r="Q453" s="80">
        <v>0</v>
      </c>
      <c r="R453" s="80"/>
      <c r="S453" s="80"/>
      <c r="T453" s="80"/>
      <c r="U453" s="80"/>
      <c r="V453" s="79"/>
      <c r="W453" s="80"/>
      <c r="X453" s="80" t="s">
        <v>1229</v>
      </c>
    </row>
    <row r="454" spans="1:24" s="85" customFormat="1" ht="45" customHeight="1" x14ac:dyDescent="0.3">
      <c r="A454" s="82"/>
      <c r="B454" s="83"/>
      <c r="C454" s="84" t="s">
        <v>681</v>
      </c>
      <c r="D454" s="84" t="s">
        <v>1230</v>
      </c>
      <c r="E454" s="84"/>
      <c r="F454" s="84"/>
      <c r="G454" s="84"/>
      <c r="H454" s="84"/>
      <c r="I454" s="84" t="s">
        <v>736</v>
      </c>
      <c r="J454" s="84"/>
      <c r="K454" s="84"/>
      <c r="L454" s="84"/>
      <c r="M454" s="84"/>
      <c r="N454" s="84" t="s">
        <v>1227</v>
      </c>
      <c r="O454" s="84" t="s">
        <v>1228</v>
      </c>
      <c r="P454" s="84" t="s">
        <v>1228</v>
      </c>
      <c r="Q454" s="84">
        <v>0</v>
      </c>
      <c r="R454" s="84"/>
      <c r="S454" s="84"/>
      <c r="T454" s="84"/>
      <c r="U454" s="84"/>
      <c r="V454" s="83"/>
      <c r="W454" s="84"/>
      <c r="X454" s="84" t="s">
        <v>1229</v>
      </c>
    </row>
    <row r="455" spans="1:24" s="85" customFormat="1" ht="45" customHeight="1" x14ac:dyDescent="0.3">
      <c r="A455" s="78"/>
      <c r="B455" s="79"/>
      <c r="C455" s="80" t="s">
        <v>580</v>
      </c>
      <c r="D455" s="80" t="s">
        <v>1230</v>
      </c>
      <c r="E455" s="80"/>
      <c r="F455" s="80"/>
      <c r="G455" s="80"/>
      <c r="H455" s="80"/>
      <c r="I455" s="80" t="s">
        <v>736</v>
      </c>
      <c r="J455" s="80"/>
      <c r="K455" s="80"/>
      <c r="L455" s="80"/>
      <c r="M455" s="80"/>
      <c r="N455" s="86" t="s">
        <v>1227</v>
      </c>
      <c r="O455" s="86" t="s">
        <v>1228</v>
      </c>
      <c r="P455" s="86" t="s">
        <v>1228</v>
      </c>
      <c r="Q455" s="80">
        <v>0</v>
      </c>
      <c r="R455" s="80"/>
      <c r="S455" s="80"/>
      <c r="T455" s="80"/>
      <c r="U455" s="80"/>
      <c r="V455" s="79"/>
      <c r="W455" s="80"/>
      <c r="X455" s="80" t="s">
        <v>1229</v>
      </c>
    </row>
    <row r="456" spans="1:24" s="85" customFormat="1" ht="45" customHeight="1" x14ac:dyDescent="0.3">
      <c r="A456" s="82"/>
      <c r="B456" s="83"/>
      <c r="C456" s="84" t="s">
        <v>581</v>
      </c>
      <c r="D456" s="84" t="s">
        <v>1230</v>
      </c>
      <c r="E456" s="84"/>
      <c r="F456" s="84"/>
      <c r="G456" s="84"/>
      <c r="H456" s="84"/>
      <c r="I456" s="84" t="s">
        <v>736</v>
      </c>
      <c r="J456" s="84"/>
      <c r="K456" s="84"/>
      <c r="L456" s="84"/>
      <c r="M456" s="84"/>
      <c r="N456" s="84" t="s">
        <v>1227</v>
      </c>
      <c r="O456" s="84" t="s">
        <v>1228</v>
      </c>
      <c r="P456" s="84" t="s">
        <v>1228</v>
      </c>
      <c r="Q456" s="84">
        <v>0</v>
      </c>
      <c r="R456" s="84"/>
      <c r="S456" s="84"/>
      <c r="T456" s="84"/>
      <c r="U456" s="84"/>
      <c r="V456" s="83"/>
      <c r="W456" s="84"/>
      <c r="X456" s="84" t="s">
        <v>1229</v>
      </c>
    </row>
    <row r="457" spans="1:24" s="85" customFormat="1" ht="45" customHeight="1" x14ac:dyDescent="0.3">
      <c r="A457" s="78"/>
      <c r="B457" s="79"/>
      <c r="C457" s="80" t="s">
        <v>684</v>
      </c>
      <c r="D457" s="80" t="s">
        <v>1230</v>
      </c>
      <c r="E457" s="80"/>
      <c r="F457" s="80"/>
      <c r="G457" s="80"/>
      <c r="H457" s="80"/>
      <c r="I457" s="80" t="s">
        <v>736</v>
      </c>
      <c r="J457" s="80"/>
      <c r="K457" s="80"/>
      <c r="L457" s="80"/>
      <c r="M457" s="80"/>
      <c r="N457" s="86" t="s">
        <v>1227</v>
      </c>
      <c r="O457" s="86" t="s">
        <v>1228</v>
      </c>
      <c r="P457" s="86" t="s">
        <v>1228</v>
      </c>
      <c r="Q457" s="80">
        <v>0</v>
      </c>
      <c r="R457" s="80"/>
      <c r="S457" s="80"/>
      <c r="T457" s="80"/>
      <c r="U457" s="80"/>
      <c r="V457" s="79"/>
      <c r="W457" s="80"/>
      <c r="X457" s="80" t="s">
        <v>1229</v>
      </c>
    </row>
    <row r="458" spans="1:24" s="85" customFormat="1" ht="45" customHeight="1" x14ac:dyDescent="0.3">
      <c r="A458" s="82"/>
      <c r="B458" s="83"/>
      <c r="C458" s="84" t="s">
        <v>685</v>
      </c>
      <c r="D458" s="84" t="s">
        <v>1230</v>
      </c>
      <c r="E458" s="84"/>
      <c r="F458" s="84"/>
      <c r="G458" s="84"/>
      <c r="H458" s="84"/>
      <c r="I458" s="84" t="s">
        <v>736</v>
      </c>
      <c r="J458" s="84"/>
      <c r="K458" s="84"/>
      <c r="L458" s="84"/>
      <c r="M458" s="84"/>
      <c r="N458" s="84" t="s">
        <v>1227</v>
      </c>
      <c r="O458" s="84" t="s">
        <v>1228</v>
      </c>
      <c r="P458" s="84" t="s">
        <v>1228</v>
      </c>
      <c r="Q458" s="84">
        <v>0</v>
      </c>
      <c r="R458" s="84"/>
      <c r="S458" s="84"/>
      <c r="T458" s="84"/>
      <c r="U458" s="84"/>
      <c r="V458" s="83"/>
      <c r="W458" s="84"/>
      <c r="X458" s="84" t="s">
        <v>1229</v>
      </c>
    </row>
    <row r="459" spans="1:24" s="85" customFormat="1" ht="45" customHeight="1" x14ac:dyDescent="0.3">
      <c r="A459" s="78"/>
      <c r="B459" s="79"/>
      <c r="C459" s="80" t="s">
        <v>686</v>
      </c>
      <c r="D459" s="80" t="s">
        <v>1230</v>
      </c>
      <c r="E459" s="80"/>
      <c r="F459" s="80"/>
      <c r="G459" s="80"/>
      <c r="H459" s="80"/>
      <c r="I459" s="80" t="s">
        <v>736</v>
      </c>
      <c r="J459" s="80"/>
      <c r="K459" s="80"/>
      <c r="L459" s="80"/>
      <c r="M459" s="80"/>
      <c r="N459" s="86" t="s">
        <v>1227</v>
      </c>
      <c r="O459" s="86" t="s">
        <v>1228</v>
      </c>
      <c r="P459" s="86" t="s">
        <v>1228</v>
      </c>
      <c r="Q459" s="80">
        <v>0</v>
      </c>
      <c r="R459" s="80"/>
      <c r="S459" s="80"/>
      <c r="T459" s="80"/>
      <c r="U459" s="80"/>
      <c r="V459" s="79"/>
      <c r="W459" s="80"/>
      <c r="X459" s="80" t="s">
        <v>1229</v>
      </c>
    </row>
    <row r="460" spans="1:24" s="85" customFormat="1" ht="45" customHeight="1" x14ac:dyDescent="0.3">
      <c r="A460" s="82"/>
      <c r="B460" s="83"/>
      <c r="C460" s="84" t="s">
        <v>687</v>
      </c>
      <c r="D460" s="84" t="s">
        <v>1230</v>
      </c>
      <c r="E460" s="84"/>
      <c r="F460" s="84"/>
      <c r="G460" s="84"/>
      <c r="H460" s="84"/>
      <c r="I460" s="84" t="s">
        <v>736</v>
      </c>
      <c r="J460" s="84"/>
      <c r="K460" s="84"/>
      <c r="L460" s="84"/>
      <c r="M460" s="84"/>
      <c r="N460" s="84" t="s">
        <v>1227</v>
      </c>
      <c r="O460" s="84" t="s">
        <v>1228</v>
      </c>
      <c r="P460" s="84" t="s">
        <v>1228</v>
      </c>
      <c r="Q460" s="84">
        <v>0</v>
      </c>
      <c r="R460" s="84"/>
      <c r="S460" s="84"/>
      <c r="T460" s="84"/>
      <c r="U460" s="84"/>
      <c r="V460" s="83"/>
      <c r="W460" s="84"/>
      <c r="X460" s="84" t="s">
        <v>1229</v>
      </c>
    </row>
    <row r="461" spans="1:24" s="85" customFormat="1" ht="45" customHeight="1" x14ac:dyDescent="0.3">
      <c r="A461" s="78"/>
      <c r="B461" s="79"/>
      <c r="C461" s="80" t="s">
        <v>688</v>
      </c>
      <c r="D461" s="80" t="s">
        <v>1230</v>
      </c>
      <c r="E461" s="80"/>
      <c r="F461" s="80"/>
      <c r="G461" s="80"/>
      <c r="H461" s="80"/>
      <c r="I461" s="80" t="s">
        <v>1202</v>
      </c>
      <c r="J461" s="80"/>
      <c r="K461" s="80"/>
      <c r="L461" s="80"/>
      <c r="M461" s="80"/>
      <c r="N461" s="86" t="s">
        <v>1227</v>
      </c>
      <c r="O461" s="86" t="s">
        <v>1228</v>
      </c>
      <c r="P461" s="86" t="s">
        <v>1228</v>
      </c>
      <c r="Q461" s="80">
        <v>0</v>
      </c>
      <c r="R461" s="80"/>
      <c r="S461" s="80"/>
      <c r="T461" s="80"/>
      <c r="U461" s="80"/>
      <c r="V461" s="79"/>
      <c r="W461" s="80"/>
      <c r="X461" s="80" t="s">
        <v>1229</v>
      </c>
    </row>
    <row r="462" spans="1:24" s="85" customFormat="1" ht="45" customHeight="1" x14ac:dyDescent="0.3">
      <c r="A462" s="82"/>
      <c r="B462" s="83"/>
      <c r="C462" s="84" t="s">
        <v>689</v>
      </c>
      <c r="D462" s="84" t="s">
        <v>1230</v>
      </c>
      <c r="E462" s="84"/>
      <c r="F462" s="84"/>
      <c r="G462" s="84"/>
      <c r="H462" s="84"/>
      <c r="I462" s="84" t="s">
        <v>1202</v>
      </c>
      <c r="J462" s="84"/>
      <c r="K462" s="84"/>
      <c r="L462" s="84"/>
      <c r="M462" s="84"/>
      <c r="N462" s="84" t="s">
        <v>1227</v>
      </c>
      <c r="O462" s="84" t="s">
        <v>1228</v>
      </c>
      <c r="P462" s="84" t="s">
        <v>1228</v>
      </c>
      <c r="Q462" s="84">
        <v>0</v>
      </c>
      <c r="R462" s="84"/>
      <c r="S462" s="84"/>
      <c r="T462" s="84"/>
      <c r="U462" s="84"/>
      <c r="V462" s="83"/>
      <c r="W462" s="84"/>
      <c r="X462" s="84" t="s">
        <v>1229</v>
      </c>
    </row>
    <row r="463" spans="1:24" s="85" customFormat="1" ht="45" customHeight="1" x14ac:dyDescent="0.3">
      <c r="A463" s="78"/>
      <c r="B463" s="79"/>
      <c r="C463" s="80" t="s">
        <v>690</v>
      </c>
      <c r="D463" s="80" t="s">
        <v>1230</v>
      </c>
      <c r="E463" s="80"/>
      <c r="F463" s="80"/>
      <c r="G463" s="80"/>
      <c r="H463" s="80"/>
      <c r="I463" s="80" t="s">
        <v>1202</v>
      </c>
      <c r="J463" s="80"/>
      <c r="K463" s="80"/>
      <c r="L463" s="80"/>
      <c r="M463" s="80"/>
      <c r="N463" s="86" t="s">
        <v>1227</v>
      </c>
      <c r="O463" s="86" t="s">
        <v>1228</v>
      </c>
      <c r="P463" s="86" t="s">
        <v>1228</v>
      </c>
      <c r="Q463" s="80">
        <v>0</v>
      </c>
      <c r="R463" s="80"/>
      <c r="S463" s="80"/>
      <c r="T463" s="80"/>
      <c r="U463" s="80"/>
      <c r="V463" s="79"/>
      <c r="W463" s="80"/>
      <c r="X463" s="80" t="s">
        <v>1229</v>
      </c>
    </row>
    <row r="464" spans="1:24" s="85" customFormat="1" ht="45" customHeight="1" x14ac:dyDescent="0.3">
      <c r="A464" s="82"/>
      <c r="B464" s="83"/>
      <c r="C464" s="84" t="s">
        <v>691</v>
      </c>
      <c r="D464" s="84" t="s">
        <v>1230</v>
      </c>
      <c r="E464" s="84"/>
      <c r="F464" s="84"/>
      <c r="G464" s="84"/>
      <c r="H464" s="84"/>
      <c r="I464" s="84" t="s">
        <v>1202</v>
      </c>
      <c r="J464" s="84"/>
      <c r="K464" s="84"/>
      <c r="L464" s="84"/>
      <c r="M464" s="84"/>
      <c r="N464" s="84" t="s">
        <v>1227</v>
      </c>
      <c r="O464" s="84" t="s">
        <v>1228</v>
      </c>
      <c r="P464" s="84" t="s">
        <v>1228</v>
      </c>
      <c r="Q464" s="84">
        <v>0</v>
      </c>
      <c r="R464" s="84"/>
      <c r="S464" s="84"/>
      <c r="T464" s="84"/>
      <c r="U464" s="84"/>
      <c r="V464" s="83"/>
      <c r="W464" s="84"/>
      <c r="X464" s="84" t="s">
        <v>1229</v>
      </c>
    </row>
    <row r="465" spans="1:24" s="85" customFormat="1" ht="45" customHeight="1" x14ac:dyDescent="0.3">
      <c r="A465" s="78"/>
      <c r="B465" s="79"/>
      <c r="C465" s="80" t="s">
        <v>692</v>
      </c>
      <c r="D465" s="80" t="s">
        <v>1230</v>
      </c>
      <c r="E465" s="80"/>
      <c r="F465" s="80"/>
      <c r="G465" s="80"/>
      <c r="H465" s="80"/>
      <c r="I465" s="80" t="s">
        <v>1202</v>
      </c>
      <c r="J465" s="80"/>
      <c r="K465" s="80"/>
      <c r="L465" s="80"/>
      <c r="M465" s="80"/>
      <c r="N465" s="86" t="s">
        <v>1227</v>
      </c>
      <c r="O465" s="86" t="s">
        <v>1228</v>
      </c>
      <c r="P465" s="86" t="s">
        <v>1228</v>
      </c>
      <c r="Q465" s="80">
        <v>0</v>
      </c>
      <c r="R465" s="80"/>
      <c r="S465" s="80"/>
      <c r="T465" s="80"/>
      <c r="U465" s="80"/>
      <c r="V465" s="79"/>
      <c r="W465" s="80"/>
      <c r="X465" s="80" t="s">
        <v>1229</v>
      </c>
    </row>
    <row r="466" spans="1:24" s="85" customFormat="1" ht="45" customHeight="1" x14ac:dyDescent="0.3">
      <c r="A466" s="82"/>
      <c r="B466" s="83"/>
      <c r="C466" s="84" t="s">
        <v>693</v>
      </c>
      <c r="D466" s="84" t="s">
        <v>1230</v>
      </c>
      <c r="E466" s="84"/>
      <c r="F466" s="84"/>
      <c r="G466" s="84"/>
      <c r="H466" s="84"/>
      <c r="I466" s="84" t="s">
        <v>1202</v>
      </c>
      <c r="J466" s="84"/>
      <c r="K466" s="84"/>
      <c r="L466" s="84"/>
      <c r="M466" s="84"/>
      <c r="N466" s="84" t="s">
        <v>1227</v>
      </c>
      <c r="O466" s="84" t="s">
        <v>1228</v>
      </c>
      <c r="P466" s="84" t="s">
        <v>1228</v>
      </c>
      <c r="Q466" s="84">
        <v>0</v>
      </c>
      <c r="R466" s="84"/>
      <c r="S466" s="84"/>
      <c r="T466" s="84"/>
      <c r="U466" s="84"/>
      <c r="V466" s="83"/>
      <c r="W466" s="84"/>
      <c r="X466" s="84" t="s">
        <v>1229</v>
      </c>
    </row>
    <row r="467" spans="1:24" s="85" customFormat="1" ht="45" customHeight="1" x14ac:dyDescent="0.3">
      <c r="A467" s="78"/>
      <c r="B467" s="79"/>
      <c r="C467" s="80" t="s">
        <v>694</v>
      </c>
      <c r="D467" s="80" t="s">
        <v>1230</v>
      </c>
      <c r="E467" s="80"/>
      <c r="F467" s="80"/>
      <c r="G467" s="80"/>
      <c r="H467" s="80"/>
      <c r="I467" s="80" t="s">
        <v>1202</v>
      </c>
      <c r="J467" s="80"/>
      <c r="K467" s="80"/>
      <c r="L467" s="80"/>
      <c r="M467" s="80"/>
      <c r="N467" s="86" t="s">
        <v>1227</v>
      </c>
      <c r="O467" s="86" t="s">
        <v>1228</v>
      </c>
      <c r="P467" s="86" t="s">
        <v>1228</v>
      </c>
      <c r="Q467" s="80">
        <v>0</v>
      </c>
      <c r="R467" s="80"/>
      <c r="S467" s="80"/>
      <c r="T467" s="80"/>
      <c r="U467" s="80"/>
      <c r="V467" s="79"/>
      <c r="W467" s="80"/>
      <c r="X467" s="80" t="s">
        <v>1229</v>
      </c>
    </row>
    <row r="468" spans="1:24" s="85" customFormat="1" ht="45" customHeight="1" x14ac:dyDescent="0.3">
      <c r="A468" s="82"/>
      <c r="B468" s="83"/>
      <c r="C468" s="84" t="s">
        <v>695</v>
      </c>
      <c r="D468" s="84" t="s">
        <v>1230</v>
      </c>
      <c r="E468" s="84"/>
      <c r="F468" s="84"/>
      <c r="G468" s="84"/>
      <c r="H468" s="84"/>
      <c r="I468" s="84" t="s">
        <v>1202</v>
      </c>
      <c r="J468" s="84"/>
      <c r="K468" s="84"/>
      <c r="L468" s="84"/>
      <c r="M468" s="84"/>
      <c r="N468" s="84" t="s">
        <v>1227</v>
      </c>
      <c r="O468" s="84" t="s">
        <v>1228</v>
      </c>
      <c r="P468" s="84" t="s">
        <v>1228</v>
      </c>
      <c r="Q468" s="84">
        <v>0</v>
      </c>
      <c r="R468" s="84"/>
      <c r="S468" s="84"/>
      <c r="T468" s="84"/>
      <c r="U468" s="84"/>
      <c r="V468" s="83"/>
      <c r="W468" s="84"/>
      <c r="X468" s="84" t="s">
        <v>1229</v>
      </c>
    </row>
    <row r="469" spans="1:24" s="85" customFormat="1" ht="45" customHeight="1" x14ac:dyDescent="0.3">
      <c r="A469" s="78"/>
      <c r="B469" s="79"/>
      <c r="C469" s="80" t="s">
        <v>696</v>
      </c>
      <c r="D469" s="80" t="s">
        <v>1230</v>
      </c>
      <c r="E469" s="80"/>
      <c r="F469" s="80"/>
      <c r="G469" s="80"/>
      <c r="H469" s="80"/>
      <c r="I469" s="80" t="s">
        <v>1202</v>
      </c>
      <c r="J469" s="80"/>
      <c r="K469" s="80"/>
      <c r="L469" s="80"/>
      <c r="M469" s="80"/>
      <c r="N469" s="86" t="s">
        <v>1227</v>
      </c>
      <c r="O469" s="86" t="s">
        <v>1228</v>
      </c>
      <c r="P469" s="86" t="s">
        <v>1228</v>
      </c>
      <c r="Q469" s="80">
        <v>0</v>
      </c>
      <c r="R469" s="80"/>
      <c r="S469" s="80"/>
      <c r="T469" s="80"/>
      <c r="U469" s="80"/>
      <c r="V469" s="79"/>
      <c r="W469" s="80"/>
      <c r="X469" s="80" t="s">
        <v>1229</v>
      </c>
    </row>
    <row r="470" spans="1:24" s="85" customFormat="1" ht="45" customHeight="1" x14ac:dyDescent="0.3">
      <c r="A470" s="82"/>
      <c r="B470" s="83"/>
      <c r="C470" s="84" t="s">
        <v>943</v>
      </c>
      <c r="D470" s="84" t="s">
        <v>1230</v>
      </c>
      <c r="E470" s="84"/>
      <c r="F470" s="84"/>
      <c r="G470" s="84"/>
      <c r="H470" s="84"/>
      <c r="I470" s="84" t="s">
        <v>1202</v>
      </c>
      <c r="J470" s="84"/>
      <c r="K470" s="84"/>
      <c r="L470" s="84"/>
      <c r="M470" s="84"/>
      <c r="N470" s="84" t="s">
        <v>1227</v>
      </c>
      <c r="O470" s="84" t="s">
        <v>1228</v>
      </c>
      <c r="P470" s="84" t="s">
        <v>1228</v>
      </c>
      <c r="Q470" s="84">
        <v>0</v>
      </c>
      <c r="R470" s="84"/>
      <c r="S470" s="84"/>
      <c r="T470" s="84"/>
      <c r="U470" s="84"/>
      <c r="V470" s="83"/>
      <c r="W470" s="84"/>
      <c r="X470" s="84" t="s">
        <v>1229</v>
      </c>
    </row>
    <row r="471" spans="1:24" s="85" customFormat="1" ht="45" customHeight="1" x14ac:dyDescent="0.3">
      <c r="A471" s="78"/>
      <c r="B471" s="79"/>
      <c r="C471" s="80" t="s">
        <v>944</v>
      </c>
      <c r="D471" s="80" t="s">
        <v>1230</v>
      </c>
      <c r="E471" s="80"/>
      <c r="F471" s="80"/>
      <c r="G471" s="80"/>
      <c r="H471" s="80"/>
      <c r="I471" s="80" t="s">
        <v>1202</v>
      </c>
      <c r="J471" s="80"/>
      <c r="K471" s="80"/>
      <c r="L471" s="80"/>
      <c r="M471" s="80"/>
      <c r="N471" s="86" t="s">
        <v>1227</v>
      </c>
      <c r="O471" s="86" t="s">
        <v>1228</v>
      </c>
      <c r="P471" s="86" t="s">
        <v>1228</v>
      </c>
      <c r="Q471" s="80">
        <v>0</v>
      </c>
      <c r="R471" s="80"/>
      <c r="S471" s="80"/>
      <c r="T471" s="80"/>
      <c r="U471" s="80"/>
      <c r="V471" s="79"/>
      <c r="W471" s="80"/>
      <c r="X471" s="80" t="s">
        <v>1229</v>
      </c>
    </row>
    <row r="472" spans="1:24" s="85" customFormat="1" ht="45" customHeight="1" x14ac:dyDescent="0.3">
      <c r="A472" s="82"/>
      <c r="B472" s="83"/>
      <c r="C472" s="84" t="s">
        <v>521</v>
      </c>
      <c r="D472" s="84" t="s">
        <v>1230</v>
      </c>
      <c r="E472" s="84"/>
      <c r="F472" s="84"/>
      <c r="G472" s="84"/>
      <c r="H472" s="84"/>
      <c r="I472" s="84" t="s">
        <v>1202</v>
      </c>
      <c r="J472" s="84"/>
      <c r="K472" s="84"/>
      <c r="L472" s="84"/>
      <c r="M472" s="84"/>
      <c r="N472" s="84" t="s">
        <v>1227</v>
      </c>
      <c r="O472" s="84" t="s">
        <v>1228</v>
      </c>
      <c r="P472" s="84" t="s">
        <v>1228</v>
      </c>
      <c r="Q472" s="84">
        <v>0</v>
      </c>
      <c r="R472" s="84"/>
      <c r="S472" s="84"/>
      <c r="T472" s="84"/>
      <c r="U472" s="84"/>
      <c r="V472" s="83"/>
      <c r="W472" s="84"/>
      <c r="X472" s="84" t="s">
        <v>1229</v>
      </c>
    </row>
    <row r="473" spans="1:24" s="85" customFormat="1" ht="45" customHeight="1" x14ac:dyDescent="0.3">
      <c r="A473" s="78"/>
      <c r="B473" s="79"/>
      <c r="C473" s="80" t="s">
        <v>699</v>
      </c>
      <c r="D473" s="80" t="s">
        <v>1230</v>
      </c>
      <c r="E473" s="80"/>
      <c r="F473" s="80"/>
      <c r="G473" s="80"/>
      <c r="H473" s="80"/>
      <c r="I473" s="80" t="s">
        <v>1202</v>
      </c>
      <c r="J473" s="80"/>
      <c r="K473" s="80"/>
      <c r="L473" s="80"/>
      <c r="M473" s="80"/>
      <c r="N473" s="86" t="s">
        <v>1227</v>
      </c>
      <c r="O473" s="86" t="s">
        <v>1228</v>
      </c>
      <c r="P473" s="86" t="s">
        <v>1228</v>
      </c>
      <c r="Q473" s="80">
        <v>0</v>
      </c>
      <c r="R473" s="80"/>
      <c r="S473" s="80"/>
      <c r="T473" s="80"/>
      <c r="U473" s="80"/>
      <c r="V473" s="79"/>
      <c r="W473" s="80"/>
      <c r="X473" s="80" t="s">
        <v>1229</v>
      </c>
    </row>
    <row r="474" spans="1:24" s="85" customFormat="1" ht="45" customHeight="1" x14ac:dyDescent="0.3">
      <c r="A474" s="82"/>
      <c r="B474" s="83"/>
      <c r="C474" s="84" t="s">
        <v>700</v>
      </c>
      <c r="D474" s="84" t="s">
        <v>1230</v>
      </c>
      <c r="E474" s="84"/>
      <c r="F474" s="84"/>
      <c r="G474" s="84"/>
      <c r="H474" s="84"/>
      <c r="I474" s="84" t="s">
        <v>1202</v>
      </c>
      <c r="J474" s="84"/>
      <c r="K474" s="84"/>
      <c r="L474" s="84"/>
      <c r="M474" s="84"/>
      <c r="N474" s="84" t="s">
        <v>1227</v>
      </c>
      <c r="O474" s="84" t="s">
        <v>1228</v>
      </c>
      <c r="P474" s="84" t="s">
        <v>1228</v>
      </c>
      <c r="Q474" s="84">
        <v>0</v>
      </c>
      <c r="R474" s="84"/>
      <c r="S474" s="84"/>
      <c r="T474" s="84"/>
      <c r="U474" s="84"/>
      <c r="V474" s="83"/>
      <c r="W474" s="84"/>
      <c r="X474" s="84" t="s">
        <v>1229</v>
      </c>
    </row>
    <row r="475" spans="1:24" s="85" customFormat="1" ht="45" customHeight="1" x14ac:dyDescent="0.3">
      <c r="A475" s="78"/>
      <c r="B475" s="79"/>
      <c r="C475" s="80" t="s">
        <v>701</v>
      </c>
      <c r="D475" s="80" t="s">
        <v>1230</v>
      </c>
      <c r="E475" s="80"/>
      <c r="F475" s="80"/>
      <c r="G475" s="80"/>
      <c r="H475" s="80"/>
      <c r="I475" s="80" t="s">
        <v>1202</v>
      </c>
      <c r="J475" s="80"/>
      <c r="K475" s="80"/>
      <c r="L475" s="80"/>
      <c r="M475" s="80"/>
      <c r="N475" s="86" t="s">
        <v>1227</v>
      </c>
      <c r="O475" s="86" t="s">
        <v>1228</v>
      </c>
      <c r="P475" s="86" t="s">
        <v>1228</v>
      </c>
      <c r="Q475" s="80">
        <v>0</v>
      </c>
      <c r="R475" s="80"/>
      <c r="S475" s="80"/>
      <c r="T475" s="80"/>
      <c r="U475" s="80"/>
      <c r="V475" s="79"/>
      <c r="W475" s="80"/>
      <c r="X475" s="80" t="s">
        <v>1229</v>
      </c>
    </row>
    <row r="476" spans="1:24" s="85" customFormat="1" ht="45" customHeight="1" x14ac:dyDescent="0.3">
      <c r="A476" s="82"/>
      <c r="B476" s="83"/>
      <c r="C476" s="84" t="s">
        <v>702</v>
      </c>
      <c r="D476" s="84" t="s">
        <v>1230</v>
      </c>
      <c r="E476" s="84"/>
      <c r="F476" s="84"/>
      <c r="G476" s="84"/>
      <c r="H476" s="84"/>
      <c r="I476" s="84" t="s">
        <v>1202</v>
      </c>
      <c r="J476" s="84"/>
      <c r="K476" s="84"/>
      <c r="L476" s="84"/>
      <c r="M476" s="84"/>
      <c r="N476" s="84" t="s">
        <v>1227</v>
      </c>
      <c r="O476" s="84" t="s">
        <v>1228</v>
      </c>
      <c r="P476" s="84" t="s">
        <v>1228</v>
      </c>
      <c r="Q476" s="84">
        <v>0</v>
      </c>
      <c r="R476" s="84"/>
      <c r="S476" s="84"/>
      <c r="T476" s="84"/>
      <c r="U476" s="84"/>
      <c r="V476" s="83"/>
      <c r="W476" s="84"/>
      <c r="X476" s="84" t="s">
        <v>1229</v>
      </c>
    </row>
    <row r="477" spans="1:24" s="85" customFormat="1" ht="45" customHeight="1" x14ac:dyDescent="0.3">
      <c r="A477" s="78"/>
      <c r="B477" s="79"/>
      <c r="C477" s="80" t="s">
        <v>703</v>
      </c>
      <c r="D477" s="80" t="s">
        <v>1230</v>
      </c>
      <c r="E477" s="80"/>
      <c r="F477" s="80"/>
      <c r="G477" s="80"/>
      <c r="H477" s="80"/>
      <c r="I477" s="80" t="s">
        <v>1202</v>
      </c>
      <c r="J477" s="80"/>
      <c r="K477" s="80"/>
      <c r="L477" s="80"/>
      <c r="M477" s="80"/>
      <c r="N477" s="86" t="s">
        <v>1227</v>
      </c>
      <c r="O477" s="86" t="s">
        <v>1228</v>
      </c>
      <c r="P477" s="86" t="s">
        <v>1228</v>
      </c>
      <c r="Q477" s="80">
        <v>0</v>
      </c>
      <c r="R477" s="80"/>
      <c r="S477" s="80"/>
      <c r="T477" s="80"/>
      <c r="U477" s="80"/>
      <c r="V477" s="79"/>
      <c r="W477" s="80"/>
      <c r="X477" s="80" t="s">
        <v>1229</v>
      </c>
    </row>
    <row r="478" spans="1:24" s="85" customFormat="1" ht="45" customHeight="1" x14ac:dyDescent="0.3">
      <c r="A478" s="82"/>
      <c r="B478" s="83"/>
      <c r="C478" s="84" t="s">
        <v>704</v>
      </c>
      <c r="D478" s="84" t="s">
        <v>1230</v>
      </c>
      <c r="E478" s="84"/>
      <c r="F478" s="84"/>
      <c r="G478" s="84"/>
      <c r="H478" s="84"/>
      <c r="I478" s="84" t="s">
        <v>1202</v>
      </c>
      <c r="J478" s="84"/>
      <c r="K478" s="84"/>
      <c r="L478" s="84"/>
      <c r="M478" s="84"/>
      <c r="N478" s="84" t="s">
        <v>1227</v>
      </c>
      <c r="O478" s="84" t="s">
        <v>1228</v>
      </c>
      <c r="P478" s="84" t="s">
        <v>1228</v>
      </c>
      <c r="Q478" s="84">
        <v>0</v>
      </c>
      <c r="R478" s="84"/>
      <c r="S478" s="84"/>
      <c r="T478" s="84"/>
      <c r="U478" s="84"/>
      <c r="V478" s="83"/>
      <c r="W478" s="84"/>
      <c r="X478" s="84" t="s">
        <v>1229</v>
      </c>
    </row>
    <row r="479" spans="1:24" s="85" customFormat="1" ht="45" customHeight="1" x14ac:dyDescent="0.3">
      <c r="A479" s="78"/>
      <c r="B479" s="79"/>
      <c r="C479" s="80" t="s">
        <v>705</v>
      </c>
      <c r="D479" s="80" t="s">
        <v>1230</v>
      </c>
      <c r="E479" s="80"/>
      <c r="F479" s="80"/>
      <c r="G479" s="80"/>
      <c r="H479" s="80"/>
      <c r="I479" s="80" t="s">
        <v>1202</v>
      </c>
      <c r="J479" s="80"/>
      <c r="K479" s="80"/>
      <c r="L479" s="80"/>
      <c r="M479" s="80"/>
      <c r="N479" s="86" t="s">
        <v>1227</v>
      </c>
      <c r="O479" s="86" t="s">
        <v>1228</v>
      </c>
      <c r="P479" s="86" t="s">
        <v>1228</v>
      </c>
      <c r="Q479" s="80">
        <v>0</v>
      </c>
      <c r="R479" s="80"/>
      <c r="S479" s="80"/>
      <c r="T479" s="80"/>
      <c r="U479" s="80"/>
      <c r="V479" s="79"/>
      <c r="W479" s="80"/>
      <c r="X479" s="80" t="s">
        <v>1229</v>
      </c>
    </row>
    <row r="480" spans="1:24" s="85" customFormat="1" ht="45" customHeight="1" x14ac:dyDescent="0.3">
      <c r="A480" s="82"/>
      <c r="B480" s="83"/>
      <c r="C480" s="84" t="s">
        <v>706</v>
      </c>
      <c r="D480" s="84" t="s">
        <v>1230</v>
      </c>
      <c r="E480" s="84"/>
      <c r="F480" s="84"/>
      <c r="G480" s="84"/>
      <c r="H480" s="84"/>
      <c r="I480" s="84" t="s">
        <v>1202</v>
      </c>
      <c r="J480" s="84"/>
      <c r="K480" s="84"/>
      <c r="L480" s="84"/>
      <c r="M480" s="84"/>
      <c r="N480" s="84" t="s">
        <v>1227</v>
      </c>
      <c r="O480" s="84" t="s">
        <v>1228</v>
      </c>
      <c r="P480" s="84" t="s">
        <v>1228</v>
      </c>
      <c r="Q480" s="84">
        <v>0</v>
      </c>
      <c r="R480" s="84"/>
      <c r="S480" s="84"/>
      <c r="T480" s="84"/>
      <c r="U480" s="84"/>
      <c r="V480" s="83"/>
      <c r="W480" s="84"/>
      <c r="X480" s="84" t="s">
        <v>1229</v>
      </c>
    </row>
    <row r="481" spans="1:24" s="85" customFormat="1" ht="45" customHeight="1" x14ac:dyDescent="0.3">
      <c r="A481" s="78"/>
      <c r="B481" s="79"/>
      <c r="C481" s="80" t="s">
        <v>707</v>
      </c>
      <c r="D481" s="80" t="s">
        <v>1230</v>
      </c>
      <c r="E481" s="80"/>
      <c r="F481" s="80"/>
      <c r="G481" s="80"/>
      <c r="H481" s="80"/>
      <c r="I481" s="80" t="s">
        <v>1202</v>
      </c>
      <c r="J481" s="80"/>
      <c r="K481" s="80"/>
      <c r="L481" s="80"/>
      <c r="M481" s="80"/>
      <c r="N481" s="86" t="s">
        <v>1227</v>
      </c>
      <c r="O481" s="86" t="s">
        <v>1228</v>
      </c>
      <c r="P481" s="86" t="s">
        <v>1228</v>
      </c>
      <c r="Q481" s="80">
        <v>0</v>
      </c>
      <c r="R481" s="80"/>
      <c r="S481" s="80"/>
      <c r="T481" s="80"/>
      <c r="U481" s="80"/>
      <c r="V481" s="79"/>
      <c r="W481" s="80"/>
      <c r="X481" s="80" t="s">
        <v>1229</v>
      </c>
    </row>
    <row r="482" spans="1:24" s="85" customFormat="1" ht="45" customHeight="1" x14ac:dyDescent="0.3">
      <c r="A482" s="82"/>
      <c r="B482" s="83"/>
      <c r="C482" s="84" t="s">
        <v>708</v>
      </c>
      <c r="D482" s="84" t="s">
        <v>1230</v>
      </c>
      <c r="E482" s="84"/>
      <c r="F482" s="84"/>
      <c r="G482" s="84"/>
      <c r="H482" s="84"/>
      <c r="I482" s="84" t="s">
        <v>1202</v>
      </c>
      <c r="J482" s="84"/>
      <c r="K482" s="84"/>
      <c r="L482" s="84"/>
      <c r="M482" s="84"/>
      <c r="N482" s="84" t="s">
        <v>1227</v>
      </c>
      <c r="O482" s="84" t="s">
        <v>1228</v>
      </c>
      <c r="P482" s="84" t="s">
        <v>1228</v>
      </c>
      <c r="Q482" s="84">
        <v>0</v>
      </c>
      <c r="R482" s="84"/>
      <c r="S482" s="84"/>
      <c r="T482" s="84"/>
      <c r="U482" s="84"/>
      <c r="V482" s="83"/>
      <c r="W482" s="84"/>
      <c r="X482" s="84" t="s">
        <v>1229</v>
      </c>
    </row>
    <row r="483" spans="1:24" s="85" customFormat="1" ht="45" customHeight="1" x14ac:dyDescent="0.3">
      <c r="A483" s="78"/>
      <c r="B483" s="79"/>
      <c r="C483" s="80" t="s">
        <v>709</v>
      </c>
      <c r="D483" s="80" t="s">
        <v>1230</v>
      </c>
      <c r="E483" s="80"/>
      <c r="F483" s="80"/>
      <c r="G483" s="80"/>
      <c r="H483" s="80"/>
      <c r="I483" s="80" t="s">
        <v>1202</v>
      </c>
      <c r="J483" s="80"/>
      <c r="K483" s="80"/>
      <c r="L483" s="80"/>
      <c r="M483" s="80"/>
      <c r="N483" s="86" t="s">
        <v>1227</v>
      </c>
      <c r="O483" s="86" t="s">
        <v>1228</v>
      </c>
      <c r="P483" s="86" t="s">
        <v>1228</v>
      </c>
      <c r="Q483" s="80">
        <v>0</v>
      </c>
      <c r="R483" s="80"/>
      <c r="S483" s="80"/>
      <c r="T483" s="80"/>
      <c r="U483" s="80"/>
      <c r="V483" s="79"/>
      <c r="W483" s="80"/>
      <c r="X483" s="80" t="s">
        <v>1229</v>
      </c>
    </row>
    <row r="484" spans="1:24" s="85" customFormat="1" ht="45" customHeight="1" x14ac:dyDescent="0.3">
      <c r="A484" s="82"/>
      <c r="B484" s="83"/>
      <c r="C484" s="84" t="s">
        <v>710</v>
      </c>
      <c r="D484" s="84" t="s">
        <v>1230</v>
      </c>
      <c r="E484" s="84"/>
      <c r="F484" s="84"/>
      <c r="G484" s="84"/>
      <c r="H484" s="84"/>
      <c r="I484" s="84" t="s">
        <v>1202</v>
      </c>
      <c r="J484" s="84"/>
      <c r="K484" s="84"/>
      <c r="L484" s="84"/>
      <c r="M484" s="84"/>
      <c r="N484" s="84" t="s">
        <v>1227</v>
      </c>
      <c r="O484" s="84" t="s">
        <v>1228</v>
      </c>
      <c r="P484" s="84" t="s">
        <v>1228</v>
      </c>
      <c r="Q484" s="84">
        <v>0</v>
      </c>
      <c r="R484" s="84"/>
      <c r="S484" s="84"/>
      <c r="T484" s="84"/>
      <c r="U484" s="84"/>
      <c r="V484" s="83"/>
      <c r="W484" s="84"/>
      <c r="X484" s="84" t="s">
        <v>1229</v>
      </c>
    </row>
    <row r="485" spans="1:24" s="85" customFormat="1" ht="45" customHeight="1" x14ac:dyDescent="0.3">
      <c r="A485" s="78"/>
      <c r="B485" s="79"/>
      <c r="C485" s="80" t="s">
        <v>711</v>
      </c>
      <c r="D485" s="80" t="s">
        <v>1230</v>
      </c>
      <c r="E485" s="80"/>
      <c r="F485" s="80"/>
      <c r="G485" s="80"/>
      <c r="H485" s="80"/>
      <c r="I485" s="80" t="s">
        <v>1202</v>
      </c>
      <c r="J485" s="80"/>
      <c r="K485" s="80"/>
      <c r="L485" s="80"/>
      <c r="M485" s="80"/>
      <c r="N485" s="86" t="s">
        <v>1227</v>
      </c>
      <c r="O485" s="86" t="s">
        <v>1228</v>
      </c>
      <c r="P485" s="86" t="s">
        <v>1228</v>
      </c>
      <c r="Q485" s="80">
        <v>0</v>
      </c>
      <c r="R485" s="80"/>
      <c r="S485" s="80"/>
      <c r="T485" s="80"/>
      <c r="U485" s="80"/>
      <c r="V485" s="79"/>
      <c r="W485" s="80"/>
      <c r="X485" s="80" t="s">
        <v>1229</v>
      </c>
    </row>
    <row r="486" spans="1:24" s="85" customFormat="1" ht="45" customHeight="1" x14ac:dyDescent="0.3">
      <c r="A486" s="82"/>
      <c r="B486" s="83"/>
      <c r="C486" s="84" t="s">
        <v>712</v>
      </c>
      <c r="D486" s="84" t="s">
        <v>1230</v>
      </c>
      <c r="E486" s="84"/>
      <c r="F486" s="84"/>
      <c r="G486" s="84"/>
      <c r="H486" s="84"/>
      <c r="I486" s="84" t="s">
        <v>1202</v>
      </c>
      <c r="J486" s="84"/>
      <c r="K486" s="84"/>
      <c r="L486" s="84"/>
      <c r="M486" s="84"/>
      <c r="N486" s="84" t="s">
        <v>1227</v>
      </c>
      <c r="O486" s="84" t="s">
        <v>1228</v>
      </c>
      <c r="P486" s="84" t="s">
        <v>1228</v>
      </c>
      <c r="Q486" s="84">
        <v>0</v>
      </c>
      <c r="R486" s="84"/>
      <c r="S486" s="84"/>
      <c r="T486" s="84"/>
      <c r="U486" s="84"/>
      <c r="V486" s="83"/>
      <c r="W486" s="84"/>
      <c r="X486" s="84" t="s">
        <v>1229</v>
      </c>
    </row>
    <row r="487" spans="1:24" s="85" customFormat="1" ht="45" customHeight="1" x14ac:dyDescent="0.3">
      <c r="A487" s="78"/>
      <c r="B487" s="79"/>
      <c r="C487" s="80" t="s">
        <v>713</v>
      </c>
      <c r="D487" s="80" t="s">
        <v>1230</v>
      </c>
      <c r="E487" s="80"/>
      <c r="F487" s="80"/>
      <c r="G487" s="80"/>
      <c r="H487" s="80"/>
      <c r="I487" s="80" t="s">
        <v>1202</v>
      </c>
      <c r="J487" s="80"/>
      <c r="K487" s="80"/>
      <c r="L487" s="80"/>
      <c r="M487" s="80"/>
      <c r="N487" s="86" t="s">
        <v>1227</v>
      </c>
      <c r="O487" s="86" t="s">
        <v>1228</v>
      </c>
      <c r="P487" s="86" t="s">
        <v>1228</v>
      </c>
      <c r="Q487" s="80">
        <v>0</v>
      </c>
      <c r="R487" s="80"/>
      <c r="S487" s="80"/>
      <c r="T487" s="80"/>
      <c r="U487" s="80"/>
      <c r="V487" s="79"/>
      <c r="W487" s="80"/>
      <c r="X487" s="80" t="s">
        <v>1229</v>
      </c>
    </row>
    <row r="488" spans="1:24" s="85" customFormat="1" ht="45" customHeight="1" x14ac:dyDescent="0.3">
      <c r="A488" s="82"/>
      <c r="B488" s="83"/>
      <c r="C488" s="84" t="s">
        <v>714</v>
      </c>
      <c r="D488" s="84" t="s">
        <v>1230</v>
      </c>
      <c r="E488" s="84"/>
      <c r="F488" s="84"/>
      <c r="G488" s="84"/>
      <c r="H488" s="84"/>
      <c r="I488" s="84" t="s">
        <v>1202</v>
      </c>
      <c r="J488" s="84"/>
      <c r="K488" s="84"/>
      <c r="L488" s="84"/>
      <c r="M488" s="84"/>
      <c r="N488" s="84" t="s">
        <v>1227</v>
      </c>
      <c r="O488" s="84" t="s">
        <v>1228</v>
      </c>
      <c r="P488" s="84" t="s">
        <v>1228</v>
      </c>
      <c r="Q488" s="84">
        <v>0</v>
      </c>
      <c r="R488" s="84"/>
      <c r="S488" s="84"/>
      <c r="T488" s="84"/>
      <c r="U488" s="84"/>
      <c r="V488" s="83"/>
      <c r="W488" s="84"/>
      <c r="X488" s="84" t="s">
        <v>1229</v>
      </c>
    </row>
    <row r="489" spans="1:24" s="85" customFormat="1" ht="45" customHeight="1" x14ac:dyDescent="0.3">
      <c r="A489" s="78"/>
      <c r="B489" s="79"/>
      <c r="C489" s="80" t="s">
        <v>715</v>
      </c>
      <c r="D489" s="80" t="s">
        <v>1230</v>
      </c>
      <c r="E489" s="80"/>
      <c r="F489" s="80"/>
      <c r="G489" s="80"/>
      <c r="H489" s="80"/>
      <c r="I489" s="80" t="s">
        <v>1202</v>
      </c>
      <c r="J489" s="80"/>
      <c r="K489" s="80"/>
      <c r="L489" s="80"/>
      <c r="M489" s="80"/>
      <c r="N489" s="86" t="s">
        <v>1227</v>
      </c>
      <c r="O489" s="86" t="s">
        <v>1228</v>
      </c>
      <c r="P489" s="86" t="s">
        <v>1228</v>
      </c>
      <c r="Q489" s="80">
        <v>0</v>
      </c>
      <c r="R489" s="80"/>
      <c r="S489" s="80"/>
      <c r="T489" s="80"/>
      <c r="U489" s="80"/>
      <c r="V489" s="79"/>
      <c r="W489" s="80"/>
      <c r="X489" s="80" t="s">
        <v>1229</v>
      </c>
    </row>
    <row r="490" spans="1:24" s="85" customFormat="1" ht="45" customHeight="1" x14ac:dyDescent="0.3">
      <c r="A490" s="82"/>
      <c r="B490" s="83"/>
      <c r="C490" s="84" t="s">
        <v>716</v>
      </c>
      <c r="D490" s="84" t="s">
        <v>1230</v>
      </c>
      <c r="E490" s="84"/>
      <c r="F490" s="84"/>
      <c r="G490" s="84"/>
      <c r="H490" s="84"/>
      <c r="I490" s="84" t="s">
        <v>1202</v>
      </c>
      <c r="J490" s="84"/>
      <c r="K490" s="84"/>
      <c r="L490" s="84"/>
      <c r="M490" s="84"/>
      <c r="N490" s="84" t="s">
        <v>1227</v>
      </c>
      <c r="O490" s="84" t="s">
        <v>1228</v>
      </c>
      <c r="P490" s="84" t="s">
        <v>1228</v>
      </c>
      <c r="Q490" s="84">
        <v>0</v>
      </c>
      <c r="R490" s="84"/>
      <c r="S490" s="84"/>
      <c r="T490" s="84"/>
      <c r="U490" s="84"/>
      <c r="V490" s="83"/>
      <c r="W490" s="84"/>
      <c r="X490" s="84" t="s">
        <v>1229</v>
      </c>
    </row>
    <row r="491" spans="1:24" s="85" customFormat="1" ht="45" customHeight="1" x14ac:dyDescent="0.3">
      <c r="A491" s="78"/>
      <c r="B491" s="79"/>
      <c r="C491" s="80" t="s">
        <v>717</v>
      </c>
      <c r="D491" s="80" t="s">
        <v>1230</v>
      </c>
      <c r="E491" s="80"/>
      <c r="F491" s="80"/>
      <c r="G491" s="80"/>
      <c r="H491" s="80"/>
      <c r="I491" s="80" t="s">
        <v>1202</v>
      </c>
      <c r="J491" s="80"/>
      <c r="K491" s="80"/>
      <c r="L491" s="80"/>
      <c r="M491" s="80"/>
      <c r="N491" s="86" t="s">
        <v>1227</v>
      </c>
      <c r="O491" s="86" t="s">
        <v>1228</v>
      </c>
      <c r="P491" s="86" t="s">
        <v>1228</v>
      </c>
      <c r="Q491" s="80">
        <v>0</v>
      </c>
      <c r="R491" s="80"/>
      <c r="S491" s="80"/>
      <c r="T491" s="80"/>
      <c r="U491" s="80"/>
      <c r="V491" s="79"/>
      <c r="W491" s="80"/>
      <c r="X491" s="80" t="s">
        <v>1229</v>
      </c>
    </row>
    <row r="492" spans="1:24" s="85" customFormat="1" ht="45" customHeight="1" x14ac:dyDescent="0.3">
      <c r="A492" s="82"/>
      <c r="B492" s="83"/>
      <c r="C492" s="84" t="s">
        <v>1003</v>
      </c>
      <c r="D492" s="84" t="s">
        <v>1230</v>
      </c>
      <c r="E492" s="84"/>
      <c r="F492" s="84"/>
      <c r="G492" s="84"/>
      <c r="H492" s="84"/>
      <c r="I492" s="84" t="s">
        <v>1202</v>
      </c>
      <c r="J492" s="84"/>
      <c r="K492" s="84"/>
      <c r="L492" s="84"/>
      <c r="M492" s="84"/>
      <c r="N492" s="84" t="s">
        <v>1227</v>
      </c>
      <c r="O492" s="84" t="s">
        <v>1228</v>
      </c>
      <c r="P492" s="84" t="s">
        <v>1228</v>
      </c>
      <c r="Q492" s="84">
        <v>0</v>
      </c>
      <c r="R492" s="84"/>
      <c r="S492" s="84"/>
      <c r="T492" s="84"/>
      <c r="U492" s="84"/>
      <c r="V492" s="83"/>
      <c r="W492" s="84"/>
      <c r="X492" s="84" t="s">
        <v>1229</v>
      </c>
    </row>
    <row r="493" spans="1:24" s="85" customFormat="1" ht="45" customHeight="1" x14ac:dyDescent="0.3">
      <c r="A493" s="78"/>
      <c r="B493" s="79"/>
      <c r="C493" s="80" t="s">
        <v>719</v>
      </c>
      <c r="D493" s="80" t="s">
        <v>1230</v>
      </c>
      <c r="E493" s="80"/>
      <c r="F493" s="80"/>
      <c r="G493" s="80"/>
      <c r="H493" s="80"/>
      <c r="I493" s="80" t="s">
        <v>1202</v>
      </c>
      <c r="J493" s="80"/>
      <c r="K493" s="80"/>
      <c r="L493" s="80"/>
      <c r="M493" s="80"/>
      <c r="N493" s="86" t="s">
        <v>1227</v>
      </c>
      <c r="O493" s="86" t="s">
        <v>1228</v>
      </c>
      <c r="P493" s="86" t="s">
        <v>1228</v>
      </c>
      <c r="Q493" s="80">
        <v>0</v>
      </c>
      <c r="R493" s="80"/>
      <c r="S493" s="80"/>
      <c r="T493" s="80"/>
      <c r="U493" s="80"/>
      <c r="V493" s="79"/>
      <c r="W493" s="80"/>
      <c r="X493" s="80" t="s">
        <v>1229</v>
      </c>
    </row>
    <row r="494" spans="1:24" s="85" customFormat="1" ht="45" customHeight="1" x14ac:dyDescent="0.3">
      <c r="A494" s="82"/>
      <c r="B494" s="83"/>
      <c r="C494" s="84" t="s">
        <v>720</v>
      </c>
      <c r="D494" s="84" t="s">
        <v>1230</v>
      </c>
      <c r="E494" s="84"/>
      <c r="F494" s="84"/>
      <c r="G494" s="84"/>
      <c r="H494" s="84"/>
      <c r="I494" s="84" t="s">
        <v>1202</v>
      </c>
      <c r="J494" s="84"/>
      <c r="K494" s="84"/>
      <c r="L494" s="84"/>
      <c r="M494" s="84"/>
      <c r="N494" s="84" t="s">
        <v>1227</v>
      </c>
      <c r="O494" s="84" t="s">
        <v>1228</v>
      </c>
      <c r="P494" s="84" t="s">
        <v>1228</v>
      </c>
      <c r="Q494" s="84">
        <v>0</v>
      </c>
      <c r="R494" s="84"/>
      <c r="S494" s="84"/>
      <c r="T494" s="84"/>
      <c r="U494" s="84"/>
      <c r="V494" s="83"/>
      <c r="W494" s="84"/>
      <c r="X494" s="84" t="s">
        <v>1229</v>
      </c>
    </row>
    <row r="495" spans="1:24" s="85" customFormat="1" ht="45" customHeight="1" x14ac:dyDescent="0.3">
      <c r="A495" s="78"/>
      <c r="B495" s="79"/>
      <c r="C495" s="80" t="s">
        <v>721</v>
      </c>
      <c r="D495" s="80" t="s">
        <v>1230</v>
      </c>
      <c r="E495" s="80"/>
      <c r="F495" s="80"/>
      <c r="G495" s="80"/>
      <c r="H495" s="80"/>
      <c r="I495" s="80" t="s">
        <v>1202</v>
      </c>
      <c r="J495" s="80"/>
      <c r="K495" s="80"/>
      <c r="L495" s="80"/>
      <c r="M495" s="80"/>
      <c r="N495" s="86" t="s">
        <v>1227</v>
      </c>
      <c r="O495" s="86" t="s">
        <v>1228</v>
      </c>
      <c r="P495" s="86" t="s">
        <v>1228</v>
      </c>
      <c r="Q495" s="80">
        <v>0</v>
      </c>
      <c r="R495" s="80"/>
      <c r="S495" s="80"/>
      <c r="T495" s="80"/>
      <c r="U495" s="80"/>
      <c r="V495" s="79"/>
      <c r="W495" s="80"/>
      <c r="X495" s="80" t="s">
        <v>1229</v>
      </c>
    </row>
    <row r="496" spans="1:24" s="85" customFormat="1" ht="45" customHeight="1" x14ac:dyDescent="0.3">
      <c r="A496" s="82"/>
      <c r="B496" s="83"/>
      <c r="C496" s="84" t="s">
        <v>731</v>
      </c>
      <c r="D496" s="84" t="s">
        <v>1230</v>
      </c>
      <c r="E496" s="84"/>
      <c r="F496" s="84"/>
      <c r="G496" s="84"/>
      <c r="H496" s="84"/>
      <c r="I496" s="84" t="s">
        <v>1202</v>
      </c>
      <c r="J496" s="84"/>
      <c r="K496" s="84"/>
      <c r="L496" s="84"/>
      <c r="M496" s="84"/>
      <c r="N496" s="84" t="s">
        <v>1227</v>
      </c>
      <c r="O496" s="84" t="s">
        <v>1228</v>
      </c>
      <c r="P496" s="84" t="s">
        <v>1228</v>
      </c>
      <c r="Q496" s="84">
        <v>0</v>
      </c>
      <c r="R496" s="84"/>
      <c r="S496" s="84"/>
      <c r="T496" s="84"/>
      <c r="U496" s="84"/>
      <c r="V496" s="83"/>
      <c r="W496" s="84"/>
      <c r="X496" s="84" t="s">
        <v>1229</v>
      </c>
    </row>
    <row r="497" spans="1:24" s="85" customFormat="1" ht="45" customHeight="1" x14ac:dyDescent="0.3">
      <c r="A497" s="78"/>
      <c r="B497" s="79"/>
      <c r="C497" s="80" t="s">
        <v>732</v>
      </c>
      <c r="D497" s="80" t="s">
        <v>1230</v>
      </c>
      <c r="E497" s="80"/>
      <c r="F497" s="80"/>
      <c r="G497" s="80"/>
      <c r="H497" s="80"/>
      <c r="I497" s="80" t="s">
        <v>1202</v>
      </c>
      <c r="J497" s="80"/>
      <c r="K497" s="80"/>
      <c r="L497" s="80"/>
      <c r="M497" s="80"/>
      <c r="N497" s="86" t="s">
        <v>1227</v>
      </c>
      <c r="O497" s="86" t="s">
        <v>1228</v>
      </c>
      <c r="P497" s="86" t="s">
        <v>1228</v>
      </c>
      <c r="Q497" s="80">
        <v>0</v>
      </c>
      <c r="R497" s="80"/>
      <c r="S497" s="80"/>
      <c r="T497" s="80"/>
      <c r="U497" s="80"/>
      <c r="V497" s="79"/>
      <c r="W497" s="80"/>
      <c r="X497" s="80" t="s">
        <v>1229</v>
      </c>
    </row>
    <row r="498" spans="1:24" ht="45" customHeight="1" x14ac:dyDescent="0.4">
      <c r="A498" s="75"/>
      <c r="B498" s="76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6"/>
      <c r="W498" s="77"/>
      <c r="X498" s="77"/>
    </row>
    <row r="499" spans="1:24" ht="45" customHeight="1" x14ac:dyDescent="0.4">
      <c r="A499" s="72"/>
      <c r="B499" s="73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3"/>
      <c r="W499" s="74"/>
      <c r="X499" s="74"/>
    </row>
    <row r="500" spans="1:24" ht="45" customHeight="1" x14ac:dyDescent="0.4">
      <c r="A500" s="75"/>
      <c r="B500" s="76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6"/>
      <c r="W500" s="77"/>
      <c r="X500" s="77"/>
    </row>
    <row r="501" spans="1:24" ht="45" customHeight="1" x14ac:dyDescent="0.4">
      <c r="A501" s="72"/>
      <c r="B501" s="73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3"/>
      <c r="W501" s="74"/>
      <c r="X501" s="74"/>
    </row>
    <row r="502" spans="1:24" ht="45" customHeight="1" x14ac:dyDescent="0.4">
      <c r="A502" s="75"/>
      <c r="B502" s="76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6"/>
      <c r="W502" s="77"/>
      <c r="X502" s="77"/>
    </row>
    <row r="503" spans="1:24" ht="45" customHeight="1" x14ac:dyDescent="0.4">
      <c r="A503" s="72"/>
      <c r="B503" s="73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3"/>
      <c r="W503" s="74"/>
      <c r="X503" s="74"/>
    </row>
    <row r="504" spans="1:24" ht="45" customHeight="1" x14ac:dyDescent="0.4">
      <c r="A504" s="75"/>
      <c r="B504" s="76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6"/>
      <c r="W504" s="77"/>
      <c r="X504" s="77"/>
    </row>
    <row r="505" spans="1:24" ht="45" customHeight="1" x14ac:dyDescent="0.4">
      <c r="A505" s="72"/>
      <c r="B505" s="73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3"/>
      <c r="W505" s="74"/>
      <c r="X505" s="74"/>
    </row>
    <row r="506" spans="1:24" ht="45" customHeight="1" x14ac:dyDescent="0.4">
      <c r="A506" s="75"/>
      <c r="B506" s="76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6"/>
      <c r="W506" s="77"/>
      <c r="X506" s="77"/>
    </row>
    <row r="507" spans="1:24" ht="45" customHeight="1" x14ac:dyDescent="0.4">
      <c r="A507" s="72"/>
      <c r="B507" s="73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3"/>
      <c r="W507" s="74"/>
      <c r="X507" s="74"/>
    </row>
    <row r="508" spans="1:24" ht="45" customHeight="1" x14ac:dyDescent="0.4">
      <c r="A508" s="75"/>
      <c r="B508" s="76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6"/>
      <c r="W508" s="77"/>
      <c r="X508" s="77"/>
    </row>
    <row r="509" spans="1:24" ht="45" customHeight="1" x14ac:dyDescent="0.4">
      <c r="A509" s="72"/>
      <c r="B509" s="73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3"/>
      <c r="W509" s="74"/>
      <c r="X509" s="74"/>
    </row>
    <row r="510" spans="1:24" ht="45" customHeight="1" x14ac:dyDescent="0.4">
      <c r="A510" s="75"/>
      <c r="B510" s="76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6"/>
      <c r="W510" s="77"/>
      <c r="X510" s="77"/>
    </row>
    <row r="511" spans="1:24" ht="45" customHeight="1" x14ac:dyDescent="0.4">
      <c r="A511" s="72"/>
      <c r="B511" s="73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3"/>
      <c r="W511" s="74"/>
      <c r="X511" s="74"/>
    </row>
    <row r="512" spans="1:24" ht="45" customHeight="1" x14ac:dyDescent="0.4">
      <c r="A512" s="75"/>
      <c r="B512" s="76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6"/>
      <c r="W512" s="77"/>
      <c r="X512" s="77"/>
    </row>
    <row r="513" spans="1:24" ht="45" customHeight="1" x14ac:dyDescent="0.4">
      <c r="A513" s="72"/>
      <c r="B513" s="73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3"/>
      <c r="W513" s="74"/>
      <c r="X513" s="74"/>
    </row>
    <row r="514" spans="1:24" ht="45" customHeight="1" x14ac:dyDescent="0.4">
      <c r="A514" s="75"/>
      <c r="B514" s="76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6"/>
      <c r="W514" s="77"/>
      <c r="X514" s="77"/>
    </row>
    <row r="515" spans="1:24" ht="45" customHeight="1" x14ac:dyDescent="0.4">
      <c r="A515" s="72"/>
      <c r="B515" s="73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3"/>
      <c r="W515" s="74"/>
      <c r="X515" s="74"/>
    </row>
    <row r="516" spans="1:24" ht="45" customHeight="1" x14ac:dyDescent="0.4">
      <c r="A516" s="75"/>
      <c r="B516" s="76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6"/>
      <c r="W516" s="77"/>
      <c r="X516" s="77"/>
    </row>
    <row r="517" spans="1:24" ht="45" customHeight="1" x14ac:dyDescent="0.4">
      <c r="A517" s="72"/>
      <c r="B517" s="73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3"/>
      <c r="W517" s="74"/>
      <c r="X517" s="74"/>
    </row>
    <row r="518" spans="1:24" ht="45" customHeight="1" x14ac:dyDescent="0.4">
      <c r="A518" s="75"/>
      <c r="B518" s="76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6"/>
      <c r="W518" s="77"/>
      <c r="X518" s="77"/>
    </row>
    <row r="519" spans="1:24" ht="45" customHeight="1" x14ac:dyDescent="0.4">
      <c r="A519" s="72"/>
      <c r="B519" s="73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3"/>
      <c r="W519" s="74"/>
      <c r="X519" s="74"/>
    </row>
    <row r="520" spans="1:24" ht="45" customHeight="1" x14ac:dyDescent="0.4">
      <c r="A520" s="75"/>
      <c r="B520" s="76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6"/>
      <c r="W520" s="77"/>
      <c r="X520" s="77"/>
    </row>
    <row r="521" spans="1:24" ht="45" customHeight="1" x14ac:dyDescent="0.4">
      <c r="A521" s="72"/>
      <c r="B521" s="73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3"/>
      <c r="W521" s="74"/>
      <c r="X521" s="74"/>
    </row>
    <row r="522" spans="1:24" ht="45" customHeight="1" x14ac:dyDescent="0.4">
      <c r="A522" s="75"/>
      <c r="B522" s="76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6"/>
      <c r="W522" s="77"/>
      <c r="X522" s="77"/>
    </row>
    <row r="523" spans="1:24" ht="45" customHeight="1" x14ac:dyDescent="0.4">
      <c r="A523" s="72"/>
      <c r="B523" s="73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3"/>
      <c r="W523" s="74"/>
      <c r="X523" s="74"/>
    </row>
    <row r="524" spans="1:24" ht="45" customHeight="1" x14ac:dyDescent="0.4">
      <c r="A524" s="75"/>
      <c r="B524" s="76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6"/>
      <c r="W524" s="77"/>
      <c r="X524" s="77"/>
    </row>
    <row r="525" spans="1:24" ht="45" customHeight="1" x14ac:dyDescent="0.4">
      <c r="A525" s="72"/>
      <c r="B525" s="73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3"/>
      <c r="W525" s="74"/>
      <c r="X525" s="74"/>
    </row>
    <row r="526" spans="1:24" ht="45" customHeight="1" x14ac:dyDescent="0.4">
      <c r="A526" s="75"/>
      <c r="B526" s="76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6"/>
      <c r="W526" s="77"/>
      <c r="X526" s="77"/>
    </row>
    <row r="527" spans="1:24" ht="45" customHeight="1" x14ac:dyDescent="0.4">
      <c r="A527" s="72"/>
      <c r="B527" s="73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3"/>
      <c r="W527" s="74"/>
      <c r="X527" s="74"/>
    </row>
    <row r="528" spans="1:24" ht="45" customHeight="1" x14ac:dyDescent="0.4">
      <c r="A528" s="75"/>
      <c r="B528" s="76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6"/>
      <c r="W528" s="77"/>
      <c r="X528" s="77"/>
    </row>
    <row r="529" spans="1:24" ht="45" customHeight="1" x14ac:dyDescent="0.4">
      <c r="A529" s="72"/>
      <c r="B529" s="73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3"/>
      <c r="W529" s="74"/>
      <c r="X529" s="74"/>
    </row>
    <row r="530" spans="1:24" ht="45" customHeight="1" x14ac:dyDescent="0.4">
      <c r="A530" s="75"/>
      <c r="B530" s="76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6"/>
      <c r="W530" s="77"/>
      <c r="X530" s="77"/>
    </row>
    <row r="531" spans="1:24" ht="45" customHeight="1" x14ac:dyDescent="0.4">
      <c r="A531" s="72"/>
      <c r="B531" s="73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3"/>
      <c r="W531" s="74"/>
      <c r="X531" s="74"/>
    </row>
    <row r="532" spans="1:24" ht="45" customHeight="1" x14ac:dyDescent="0.4">
      <c r="A532" s="75"/>
      <c r="B532" s="76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6"/>
      <c r="W532" s="77"/>
      <c r="X532" s="77"/>
    </row>
    <row r="533" spans="1:24" ht="45" customHeight="1" x14ac:dyDescent="0.4">
      <c r="A533" s="72"/>
      <c r="B533" s="73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3"/>
      <c r="W533" s="74"/>
      <c r="X533" s="74"/>
    </row>
    <row r="534" spans="1:24" ht="45" customHeight="1" x14ac:dyDescent="0.4">
      <c r="A534" s="75"/>
      <c r="B534" s="76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6"/>
      <c r="W534" s="77"/>
      <c r="X534" s="77"/>
    </row>
    <row r="535" spans="1:24" ht="45" customHeight="1" x14ac:dyDescent="0.4">
      <c r="A535" s="72"/>
      <c r="B535" s="73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3"/>
      <c r="W535" s="74"/>
      <c r="X535" s="74"/>
    </row>
    <row r="536" spans="1:24" ht="45" customHeight="1" x14ac:dyDescent="0.4">
      <c r="A536" s="75"/>
      <c r="B536" s="76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6"/>
      <c r="W536" s="77"/>
      <c r="X536" s="77"/>
    </row>
    <row r="537" spans="1:24" ht="45" customHeight="1" x14ac:dyDescent="0.4">
      <c r="A537" s="72"/>
      <c r="B537" s="73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3"/>
      <c r="W537" s="74"/>
      <c r="X537" s="74"/>
    </row>
    <row r="538" spans="1:24" ht="45" customHeight="1" x14ac:dyDescent="0.4">
      <c r="A538" s="75"/>
      <c r="B538" s="76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6"/>
      <c r="W538" s="77"/>
      <c r="X538" s="77"/>
    </row>
    <row r="539" spans="1:24" ht="45" customHeight="1" x14ac:dyDescent="0.4">
      <c r="A539" s="72"/>
      <c r="B539" s="73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3"/>
      <c r="W539" s="74"/>
      <c r="X539" s="74"/>
    </row>
    <row r="540" spans="1:24" ht="45" customHeight="1" x14ac:dyDescent="0.4">
      <c r="A540" s="75"/>
      <c r="B540" s="76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6"/>
      <c r="W540" s="77"/>
      <c r="X540" s="77"/>
    </row>
    <row r="541" spans="1:24" ht="45" customHeight="1" x14ac:dyDescent="0.4">
      <c r="A541" s="72"/>
      <c r="B541" s="73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3"/>
      <c r="W541" s="74"/>
      <c r="X541" s="74"/>
    </row>
    <row r="542" spans="1:24" ht="45" customHeight="1" x14ac:dyDescent="0.4">
      <c r="A542" s="75"/>
      <c r="B542" s="76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6"/>
      <c r="W542" s="77"/>
      <c r="X542" s="77"/>
    </row>
    <row r="543" spans="1:24" ht="45" customHeight="1" x14ac:dyDescent="0.4">
      <c r="A543" s="72"/>
      <c r="B543" s="73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3"/>
      <c r="W543" s="74"/>
      <c r="X543" s="74"/>
    </row>
    <row r="544" spans="1:24" ht="45" customHeight="1" x14ac:dyDescent="0.4">
      <c r="A544" s="75"/>
      <c r="B544" s="76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6"/>
      <c r="W544" s="77"/>
      <c r="X544" s="77"/>
    </row>
    <row r="545" spans="1:24" ht="45" customHeight="1" x14ac:dyDescent="0.4">
      <c r="A545" s="72"/>
      <c r="B545" s="73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3"/>
      <c r="W545" s="74"/>
      <c r="X545" s="74"/>
    </row>
    <row r="546" spans="1:24" ht="45" customHeight="1" x14ac:dyDescent="0.4">
      <c r="A546" s="75"/>
      <c r="B546" s="76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6"/>
      <c r="W546" s="77"/>
      <c r="X546" s="77"/>
    </row>
    <row r="547" spans="1:24" ht="45" customHeight="1" x14ac:dyDescent="0.4">
      <c r="A547" s="72"/>
      <c r="B547" s="73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3"/>
      <c r="W547" s="74"/>
      <c r="X547" s="74"/>
    </row>
    <row r="548" spans="1:24" ht="45" customHeight="1" x14ac:dyDescent="0.4">
      <c r="A548" s="75"/>
      <c r="B548" s="76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6"/>
      <c r="W548" s="77"/>
      <c r="X548" s="77"/>
    </row>
    <row r="549" spans="1:24" ht="45" customHeight="1" x14ac:dyDescent="0.4">
      <c r="A549" s="72"/>
      <c r="B549" s="73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3"/>
      <c r="W549" s="74"/>
      <c r="X549" s="74"/>
    </row>
    <row r="550" spans="1:24" ht="45" customHeight="1" x14ac:dyDescent="0.4">
      <c r="A550" s="75"/>
      <c r="B550" s="76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6"/>
      <c r="W550" s="77"/>
      <c r="X550" s="77"/>
    </row>
    <row r="551" spans="1:24" ht="45" customHeight="1" x14ac:dyDescent="0.4">
      <c r="A551" s="72"/>
      <c r="B551" s="73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3"/>
      <c r="W551" s="74"/>
      <c r="X551" s="74"/>
    </row>
    <row r="552" spans="1:24" ht="45" customHeight="1" x14ac:dyDescent="0.4">
      <c r="A552" s="75"/>
      <c r="B552" s="76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6"/>
      <c r="W552" s="77"/>
      <c r="X552" s="77"/>
    </row>
    <row r="553" spans="1:24" ht="45" customHeight="1" x14ac:dyDescent="0.4">
      <c r="A553" s="72"/>
      <c r="B553" s="73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3"/>
      <c r="W553" s="74"/>
      <c r="X553" s="74"/>
    </row>
    <row r="554" spans="1:24" ht="45" customHeight="1" x14ac:dyDescent="0.4">
      <c r="A554" s="75"/>
      <c r="B554" s="76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6"/>
      <c r="W554" s="77"/>
      <c r="X554" s="77"/>
    </row>
    <row r="555" spans="1:24" ht="45" customHeight="1" x14ac:dyDescent="0.4">
      <c r="A555" s="72"/>
      <c r="B555" s="73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3"/>
      <c r="W555" s="74"/>
      <c r="X555" s="74"/>
    </row>
    <row r="556" spans="1:24" ht="45" customHeight="1" x14ac:dyDescent="0.4">
      <c r="A556" s="75"/>
      <c r="B556" s="76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6"/>
      <c r="W556" s="77"/>
      <c r="X556" s="77"/>
    </row>
    <row r="557" spans="1:24" ht="45" customHeight="1" x14ac:dyDescent="0.4">
      <c r="A557" s="72"/>
      <c r="B557" s="73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3"/>
      <c r="W557" s="74"/>
      <c r="X557" s="74"/>
    </row>
    <row r="558" spans="1:24" ht="45" customHeight="1" x14ac:dyDescent="0.4">
      <c r="A558" s="75"/>
      <c r="B558" s="76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6"/>
      <c r="W558" s="77"/>
      <c r="X558" s="77"/>
    </row>
    <row r="559" spans="1:24" ht="45" customHeight="1" x14ac:dyDescent="0.4">
      <c r="A559" s="72"/>
      <c r="B559" s="73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3"/>
      <c r="W559" s="74"/>
      <c r="X559" s="74"/>
    </row>
    <row r="560" spans="1:24" ht="45" customHeight="1" x14ac:dyDescent="0.4">
      <c r="A560" s="75"/>
      <c r="B560" s="76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6"/>
      <c r="W560" s="77"/>
      <c r="X560" s="77"/>
    </row>
    <row r="561" spans="1:24" ht="45" customHeight="1" x14ac:dyDescent="0.4">
      <c r="A561" s="72"/>
      <c r="B561" s="73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3"/>
      <c r="W561" s="74"/>
      <c r="X561" s="74"/>
    </row>
    <row r="562" spans="1:24" ht="45" customHeight="1" x14ac:dyDescent="0.4">
      <c r="A562" s="75"/>
      <c r="B562" s="76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6"/>
      <c r="W562" s="77"/>
      <c r="X562" s="77"/>
    </row>
    <row r="563" spans="1:24" ht="45" customHeight="1" x14ac:dyDescent="0.4">
      <c r="A563" s="72"/>
      <c r="B563" s="73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3"/>
      <c r="W563" s="74"/>
      <c r="X563" s="74"/>
    </row>
    <row r="564" spans="1:24" ht="45" customHeight="1" x14ac:dyDescent="0.4">
      <c r="A564" s="75"/>
      <c r="B564" s="76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6"/>
      <c r="W564" s="77"/>
      <c r="X564" s="77"/>
    </row>
    <row r="565" spans="1:24" ht="45" customHeight="1" x14ac:dyDescent="0.4">
      <c r="A565" s="72"/>
      <c r="B565" s="73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3"/>
      <c r="W565" s="74"/>
      <c r="X565" s="74"/>
    </row>
    <row r="566" spans="1:24" ht="45" customHeight="1" x14ac:dyDescent="0.4">
      <c r="A566" s="75"/>
      <c r="B566" s="76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6"/>
      <c r="W566" s="77"/>
      <c r="X566" s="77"/>
    </row>
    <row r="567" spans="1:24" ht="45" customHeight="1" x14ac:dyDescent="0.4">
      <c r="A567" s="72"/>
      <c r="B567" s="73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3"/>
      <c r="W567" s="74"/>
      <c r="X567" s="74"/>
    </row>
    <row r="568" spans="1:24" ht="45" customHeight="1" x14ac:dyDescent="0.4">
      <c r="A568" s="75"/>
      <c r="B568" s="76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6"/>
      <c r="W568" s="77"/>
      <c r="X568" s="77"/>
    </row>
    <row r="569" spans="1:24" ht="45" customHeight="1" x14ac:dyDescent="0.4">
      <c r="A569" s="72"/>
      <c r="B569" s="73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3"/>
      <c r="W569" s="74"/>
      <c r="X569" s="74"/>
    </row>
    <row r="570" spans="1:24" ht="45" customHeight="1" x14ac:dyDescent="0.4">
      <c r="A570" s="75"/>
      <c r="B570" s="76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6"/>
      <c r="W570" s="77"/>
      <c r="X570" s="77"/>
    </row>
    <row r="571" spans="1:24" ht="45" customHeight="1" x14ac:dyDescent="0.4">
      <c r="A571" s="72"/>
      <c r="B571" s="73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3"/>
      <c r="W571" s="74"/>
      <c r="X571" s="74"/>
    </row>
    <row r="572" spans="1:24" ht="45" customHeight="1" x14ac:dyDescent="0.4">
      <c r="A572" s="75"/>
      <c r="B572" s="76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6"/>
      <c r="W572" s="77"/>
      <c r="X572" s="77"/>
    </row>
    <row r="573" spans="1:24" ht="45" customHeight="1" x14ac:dyDescent="0.4">
      <c r="A573" s="72"/>
      <c r="B573" s="73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3"/>
      <c r="W573" s="74"/>
      <c r="X573" s="74"/>
    </row>
    <row r="574" spans="1:24" ht="45" customHeight="1" x14ac:dyDescent="0.4">
      <c r="A574" s="75"/>
      <c r="B574" s="76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6"/>
      <c r="W574" s="77"/>
      <c r="X574" s="77"/>
    </row>
    <row r="575" spans="1:24" ht="45" customHeight="1" x14ac:dyDescent="0.4">
      <c r="A575" s="72"/>
      <c r="B575" s="73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3"/>
      <c r="W575" s="74"/>
      <c r="X575" s="74"/>
    </row>
    <row r="576" spans="1:24" ht="45" customHeight="1" x14ac:dyDescent="0.4">
      <c r="A576" s="75"/>
      <c r="B576" s="76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6"/>
      <c r="W576" s="77"/>
      <c r="X576" s="77"/>
    </row>
    <row r="577" spans="1:24" ht="45" customHeight="1" x14ac:dyDescent="0.4">
      <c r="A577" s="72"/>
      <c r="B577" s="73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3"/>
      <c r="W577" s="74"/>
      <c r="X577" s="74"/>
    </row>
    <row r="578" spans="1:24" ht="45" customHeight="1" x14ac:dyDescent="0.4">
      <c r="A578" s="75"/>
      <c r="B578" s="76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6"/>
      <c r="W578" s="77"/>
      <c r="X578" s="77"/>
    </row>
    <row r="579" spans="1:24" ht="45" customHeight="1" x14ac:dyDescent="0.4">
      <c r="A579" s="72"/>
      <c r="B579" s="73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3"/>
      <c r="W579" s="74"/>
      <c r="X579" s="74"/>
    </row>
    <row r="580" spans="1:24" ht="45" customHeight="1" x14ac:dyDescent="0.4">
      <c r="A580" s="75"/>
      <c r="B580" s="76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6"/>
      <c r="W580" s="77"/>
      <c r="X580" s="77"/>
    </row>
    <row r="581" spans="1:24" ht="45" customHeight="1" x14ac:dyDescent="0.4">
      <c r="A581" s="72"/>
      <c r="B581" s="73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3"/>
      <c r="W581" s="74"/>
      <c r="X581" s="74"/>
    </row>
    <row r="582" spans="1:24" ht="45" customHeight="1" x14ac:dyDescent="0.4">
      <c r="A582" s="75"/>
      <c r="B582" s="76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6"/>
      <c r="W582" s="77"/>
      <c r="X582" s="77"/>
    </row>
    <row r="583" spans="1:24" ht="45" customHeight="1" x14ac:dyDescent="0.4">
      <c r="A583" s="72"/>
      <c r="B583" s="73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3"/>
      <c r="W583" s="74"/>
      <c r="X583" s="74"/>
    </row>
    <row r="584" spans="1:24" ht="45" customHeight="1" x14ac:dyDescent="0.4">
      <c r="A584" s="75"/>
      <c r="B584" s="76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6"/>
      <c r="W584" s="77"/>
      <c r="X584" s="77"/>
    </row>
    <row r="585" spans="1:24" ht="45" customHeight="1" x14ac:dyDescent="0.4">
      <c r="A585" s="72"/>
      <c r="B585" s="73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3"/>
      <c r="W585" s="74"/>
      <c r="X585" s="74"/>
    </row>
    <row r="586" spans="1:24" ht="45" customHeight="1" x14ac:dyDescent="0.4">
      <c r="A586" s="75"/>
      <c r="B586" s="76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6"/>
      <c r="W586" s="77"/>
      <c r="X586" s="77"/>
    </row>
    <row r="587" spans="1:24" ht="45" customHeight="1" x14ac:dyDescent="0.4">
      <c r="A587" s="72"/>
      <c r="B587" s="73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3"/>
      <c r="W587" s="74"/>
      <c r="X587" s="74"/>
    </row>
    <row r="588" spans="1:24" ht="45" customHeight="1" x14ac:dyDescent="0.4">
      <c r="A588" s="75"/>
      <c r="B588" s="76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6"/>
      <c r="W588" s="77"/>
      <c r="X588" s="77"/>
    </row>
    <row r="589" spans="1:24" ht="45" customHeight="1" x14ac:dyDescent="0.4">
      <c r="A589" s="72"/>
      <c r="B589" s="73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3"/>
      <c r="W589" s="74"/>
      <c r="X589" s="74"/>
    </row>
    <row r="590" spans="1:24" ht="45" customHeight="1" x14ac:dyDescent="0.4">
      <c r="A590" s="75"/>
      <c r="B590" s="76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6"/>
      <c r="W590" s="77"/>
      <c r="X590" s="77"/>
    </row>
    <row r="591" spans="1:24" ht="45" customHeight="1" x14ac:dyDescent="0.4">
      <c r="A591" s="72"/>
      <c r="B591" s="73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3"/>
      <c r="W591" s="74"/>
      <c r="X591" s="74"/>
    </row>
    <row r="592" spans="1:24" ht="45" customHeight="1" x14ac:dyDescent="0.4">
      <c r="A592" s="75"/>
      <c r="B592" s="76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6"/>
      <c r="W592" s="77"/>
      <c r="X592" s="77"/>
    </row>
    <row r="593" spans="1:24" ht="45" customHeight="1" x14ac:dyDescent="0.4">
      <c r="A593" s="72"/>
      <c r="B593" s="73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3"/>
      <c r="W593" s="74"/>
      <c r="X593" s="74"/>
    </row>
    <row r="594" spans="1:24" ht="45" customHeight="1" x14ac:dyDescent="0.4">
      <c r="A594" s="75"/>
      <c r="B594" s="76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6"/>
      <c r="W594" s="77"/>
      <c r="X594" s="77"/>
    </row>
    <row r="595" spans="1:24" ht="45" customHeight="1" x14ac:dyDescent="0.4">
      <c r="A595" s="72"/>
      <c r="B595" s="73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3"/>
      <c r="W595" s="74"/>
      <c r="X595" s="74"/>
    </row>
    <row r="596" spans="1:24" ht="45" customHeight="1" x14ac:dyDescent="0.4">
      <c r="A596" s="75"/>
      <c r="B596" s="76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6"/>
      <c r="W596" s="77"/>
      <c r="X596" s="77"/>
    </row>
    <row r="597" spans="1:24" ht="45" customHeight="1" x14ac:dyDescent="0.4">
      <c r="A597" s="72"/>
      <c r="B597" s="73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3"/>
      <c r="W597" s="74"/>
      <c r="X597" s="74"/>
    </row>
    <row r="598" spans="1:24" ht="45" customHeight="1" x14ac:dyDescent="0.4">
      <c r="A598" s="75"/>
      <c r="B598" s="76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6"/>
      <c r="W598" s="77"/>
      <c r="X598" s="77"/>
    </row>
    <row r="599" spans="1:24" ht="45" customHeight="1" x14ac:dyDescent="0.4">
      <c r="A599" s="72"/>
      <c r="B599" s="73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3"/>
      <c r="W599" s="74"/>
      <c r="X599" s="74"/>
    </row>
    <row r="600" spans="1:24" ht="45" customHeight="1" x14ac:dyDescent="0.4">
      <c r="A600" s="75"/>
      <c r="B600" s="76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6"/>
      <c r="W600" s="77"/>
      <c r="X600" s="77"/>
    </row>
    <row r="601" spans="1:24" ht="45" customHeight="1" x14ac:dyDescent="0.4">
      <c r="A601" s="72"/>
      <c r="B601" s="73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3"/>
      <c r="W601" s="74"/>
      <c r="X601" s="74"/>
    </row>
    <row r="602" spans="1:24" ht="45" customHeight="1" x14ac:dyDescent="0.4">
      <c r="A602" s="75"/>
      <c r="B602" s="76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6"/>
      <c r="W602" s="77"/>
      <c r="X602" s="77"/>
    </row>
    <row r="603" spans="1:24" ht="45" customHeight="1" x14ac:dyDescent="0.4">
      <c r="A603" s="72"/>
      <c r="B603" s="73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3"/>
      <c r="W603" s="74"/>
      <c r="X603" s="74"/>
    </row>
    <row r="604" spans="1:24" ht="45" customHeight="1" x14ac:dyDescent="0.4">
      <c r="A604" s="75"/>
      <c r="B604" s="76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6"/>
      <c r="W604" s="77"/>
      <c r="X604" s="77"/>
    </row>
    <row r="605" spans="1:24" ht="45" customHeight="1" x14ac:dyDescent="0.4">
      <c r="A605" s="72"/>
      <c r="B605" s="73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3"/>
      <c r="W605" s="74"/>
      <c r="X605" s="74"/>
    </row>
    <row r="606" spans="1:24" ht="45" customHeight="1" x14ac:dyDescent="0.4">
      <c r="A606" s="75"/>
      <c r="B606" s="76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6"/>
      <c r="W606" s="77"/>
      <c r="X606" s="77"/>
    </row>
    <row r="607" spans="1:24" ht="45" customHeight="1" x14ac:dyDescent="0.4">
      <c r="A607" s="72"/>
      <c r="B607" s="73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3"/>
      <c r="W607" s="74"/>
      <c r="X607" s="74"/>
    </row>
    <row r="608" spans="1:24" ht="45" customHeight="1" x14ac:dyDescent="0.4">
      <c r="A608" s="75"/>
      <c r="B608" s="76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6"/>
      <c r="W608" s="77"/>
      <c r="X608" s="77"/>
    </row>
    <row r="609" spans="1:24" ht="45" customHeight="1" x14ac:dyDescent="0.4">
      <c r="A609" s="72"/>
      <c r="B609" s="73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3"/>
      <c r="W609" s="74"/>
      <c r="X609" s="74"/>
    </row>
    <row r="610" spans="1:24" ht="45" customHeight="1" x14ac:dyDescent="0.4">
      <c r="A610" s="75"/>
      <c r="B610" s="76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6"/>
      <c r="W610" s="77"/>
      <c r="X610" s="77"/>
    </row>
    <row r="611" spans="1:24" ht="45" customHeight="1" x14ac:dyDescent="0.4">
      <c r="A611" s="72"/>
      <c r="B611" s="73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3"/>
      <c r="W611" s="74"/>
      <c r="X611" s="74"/>
    </row>
    <row r="612" spans="1:24" ht="45" customHeight="1" x14ac:dyDescent="0.4">
      <c r="A612" s="75"/>
      <c r="B612" s="76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6"/>
      <c r="W612" s="77"/>
      <c r="X612" s="77"/>
    </row>
    <row r="613" spans="1:24" ht="45" customHeight="1" x14ac:dyDescent="0.4">
      <c r="A613" s="72"/>
      <c r="B613" s="73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3"/>
      <c r="W613" s="74"/>
      <c r="X613" s="74"/>
    </row>
    <row r="614" spans="1:24" ht="45" customHeight="1" x14ac:dyDescent="0.4">
      <c r="A614" s="75"/>
      <c r="B614" s="76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6"/>
      <c r="W614" s="77"/>
      <c r="X614" s="77"/>
    </row>
    <row r="615" spans="1:24" ht="45" customHeight="1" x14ac:dyDescent="0.4">
      <c r="A615" s="72"/>
      <c r="B615" s="73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3"/>
      <c r="W615" s="74"/>
      <c r="X615" s="74"/>
    </row>
    <row r="616" spans="1:24" ht="45" customHeight="1" x14ac:dyDescent="0.4">
      <c r="A616" s="75"/>
      <c r="B616" s="76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6"/>
      <c r="W616" s="77"/>
      <c r="X616" s="77"/>
    </row>
    <row r="617" spans="1:24" ht="45" customHeight="1" x14ac:dyDescent="0.4">
      <c r="A617" s="72"/>
      <c r="B617" s="73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3"/>
      <c r="W617" s="74"/>
      <c r="X617" s="74"/>
    </row>
    <row r="618" spans="1:24" ht="45" customHeight="1" x14ac:dyDescent="0.4">
      <c r="A618" s="75"/>
      <c r="B618" s="76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6"/>
      <c r="W618" s="77"/>
      <c r="X618" s="77"/>
    </row>
    <row r="619" spans="1:24" ht="45" customHeight="1" x14ac:dyDescent="0.4">
      <c r="A619" s="72"/>
      <c r="B619" s="73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3"/>
      <c r="W619" s="74"/>
      <c r="X619" s="74"/>
    </row>
    <row r="620" spans="1:24" ht="45" customHeight="1" x14ac:dyDescent="0.4">
      <c r="A620" s="75"/>
      <c r="B620" s="76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6"/>
      <c r="W620" s="77"/>
      <c r="X620" s="77"/>
    </row>
    <row r="621" spans="1:24" ht="45" customHeight="1" x14ac:dyDescent="0.4">
      <c r="A621" s="72"/>
      <c r="B621" s="73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3"/>
      <c r="W621" s="74"/>
      <c r="X621" s="74"/>
    </row>
    <row r="622" spans="1:24" ht="45" customHeight="1" x14ac:dyDescent="0.4">
      <c r="A622" s="75"/>
      <c r="B622" s="76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6"/>
      <c r="W622" s="77"/>
      <c r="X622" s="77"/>
    </row>
    <row r="623" spans="1:24" ht="45" customHeight="1" x14ac:dyDescent="0.4">
      <c r="A623" s="72"/>
      <c r="B623" s="73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3"/>
      <c r="W623" s="74"/>
      <c r="X623" s="74"/>
    </row>
    <row r="624" spans="1:24" ht="45" customHeight="1" x14ac:dyDescent="0.4">
      <c r="A624" s="75"/>
      <c r="B624" s="76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6"/>
      <c r="W624" s="77"/>
      <c r="X624" s="77"/>
    </row>
    <row r="625" spans="1:24" ht="45" customHeight="1" x14ac:dyDescent="0.4">
      <c r="A625" s="72"/>
      <c r="B625" s="73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3"/>
      <c r="W625" s="74"/>
      <c r="X625" s="74"/>
    </row>
    <row r="626" spans="1:24" ht="45" customHeight="1" x14ac:dyDescent="0.4">
      <c r="A626" s="75"/>
      <c r="B626" s="76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6"/>
      <c r="W626" s="77"/>
      <c r="X626" s="77"/>
    </row>
    <row r="627" spans="1:24" ht="45" customHeight="1" x14ac:dyDescent="0.4">
      <c r="A627" s="72"/>
      <c r="B627" s="73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3"/>
      <c r="W627" s="74"/>
      <c r="X627" s="74"/>
    </row>
    <row r="628" spans="1:24" ht="45" customHeight="1" x14ac:dyDescent="0.4">
      <c r="A628" s="75"/>
      <c r="B628" s="76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6"/>
      <c r="W628" s="77"/>
      <c r="X628" s="77"/>
    </row>
    <row r="629" spans="1:24" ht="45" customHeight="1" x14ac:dyDescent="0.4">
      <c r="A629" s="72"/>
      <c r="B629" s="73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3"/>
      <c r="W629" s="74"/>
      <c r="X629" s="74"/>
    </row>
    <row r="630" spans="1:24" ht="45" customHeight="1" x14ac:dyDescent="0.4">
      <c r="A630" s="75"/>
      <c r="B630" s="76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6"/>
      <c r="W630" s="77"/>
      <c r="X630" s="77"/>
    </row>
    <row r="631" spans="1:24" ht="45" customHeight="1" x14ac:dyDescent="0.4">
      <c r="A631" s="72"/>
      <c r="B631" s="73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3"/>
      <c r="W631" s="74"/>
      <c r="X631" s="74"/>
    </row>
    <row r="632" spans="1:24" ht="45" customHeight="1" x14ac:dyDescent="0.4">
      <c r="A632" s="75"/>
      <c r="B632" s="76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6"/>
      <c r="W632" s="77"/>
      <c r="X632" s="77"/>
    </row>
    <row r="633" spans="1:24" ht="45" customHeight="1" x14ac:dyDescent="0.4">
      <c r="A633" s="72"/>
      <c r="B633" s="73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3"/>
      <c r="W633" s="74"/>
      <c r="X633" s="74"/>
    </row>
    <row r="634" spans="1:24" ht="45" customHeight="1" x14ac:dyDescent="0.4">
      <c r="A634" s="75"/>
      <c r="B634" s="76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6"/>
      <c r="W634" s="77"/>
      <c r="X634" s="77"/>
    </row>
    <row r="635" spans="1:24" ht="45" customHeight="1" x14ac:dyDescent="0.4">
      <c r="A635" s="72"/>
      <c r="B635" s="73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3"/>
      <c r="W635" s="74"/>
      <c r="X635" s="74"/>
    </row>
    <row r="636" spans="1:24" ht="45" customHeight="1" x14ac:dyDescent="0.4">
      <c r="A636" s="75"/>
      <c r="B636" s="76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6"/>
      <c r="W636" s="77"/>
      <c r="X636" s="77"/>
    </row>
    <row r="637" spans="1:24" ht="45" customHeight="1" x14ac:dyDescent="0.4">
      <c r="A637" s="72"/>
      <c r="B637" s="73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3"/>
      <c r="W637" s="74"/>
      <c r="X637" s="74"/>
    </row>
    <row r="638" spans="1:24" ht="45" customHeight="1" x14ac:dyDescent="0.4">
      <c r="A638" s="75"/>
      <c r="B638" s="76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6"/>
      <c r="W638" s="77"/>
      <c r="X638" s="77"/>
    </row>
    <row r="639" spans="1:24" ht="45" customHeight="1" x14ac:dyDescent="0.4">
      <c r="A639" s="72"/>
      <c r="B639" s="73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3"/>
      <c r="W639" s="74"/>
      <c r="X639" s="74"/>
    </row>
    <row r="640" spans="1:24" ht="45" customHeight="1" x14ac:dyDescent="0.4">
      <c r="A640" s="75"/>
      <c r="B640" s="76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6"/>
      <c r="W640" s="77"/>
      <c r="X640" s="77"/>
    </row>
    <row r="641" spans="1:24" ht="45" customHeight="1" x14ac:dyDescent="0.4">
      <c r="A641" s="72"/>
      <c r="B641" s="73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3"/>
      <c r="W641" s="74"/>
      <c r="X641" s="74"/>
    </row>
    <row r="642" spans="1:24" ht="45" customHeight="1" x14ac:dyDescent="0.4">
      <c r="A642" s="75"/>
      <c r="B642" s="76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6"/>
      <c r="W642" s="77"/>
      <c r="X642" s="77"/>
    </row>
    <row r="643" spans="1:24" ht="45" customHeight="1" x14ac:dyDescent="0.4">
      <c r="A643" s="72"/>
      <c r="B643" s="73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3"/>
      <c r="W643" s="74"/>
      <c r="X643" s="74"/>
    </row>
    <row r="644" spans="1:24" ht="45" customHeight="1" x14ac:dyDescent="0.4">
      <c r="A644" s="75"/>
      <c r="B644" s="76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6"/>
      <c r="W644" s="77"/>
      <c r="X644" s="77"/>
    </row>
    <row r="645" spans="1:24" ht="45" customHeight="1" x14ac:dyDescent="0.4">
      <c r="A645" s="72"/>
      <c r="B645" s="73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3"/>
      <c r="W645" s="74"/>
      <c r="X645" s="74"/>
    </row>
    <row r="646" spans="1:24" ht="45" customHeight="1" x14ac:dyDescent="0.4">
      <c r="A646" s="75"/>
      <c r="B646" s="76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6"/>
      <c r="W646" s="77"/>
      <c r="X646" s="77"/>
    </row>
    <row r="647" spans="1:24" ht="45" customHeight="1" x14ac:dyDescent="0.4">
      <c r="A647" s="72"/>
      <c r="B647" s="73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3"/>
      <c r="W647" s="74"/>
      <c r="X647" s="74"/>
    </row>
    <row r="648" spans="1:24" ht="45" customHeight="1" x14ac:dyDescent="0.4">
      <c r="A648" s="75"/>
      <c r="B648" s="76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6"/>
      <c r="W648" s="77"/>
      <c r="X648" s="77"/>
    </row>
    <row r="649" spans="1:24" ht="45" customHeight="1" x14ac:dyDescent="0.4">
      <c r="A649" s="72"/>
      <c r="B649" s="73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3"/>
      <c r="W649" s="74"/>
      <c r="X649" s="74"/>
    </row>
    <row r="650" spans="1:24" ht="45" customHeight="1" x14ac:dyDescent="0.4">
      <c r="A650" s="75"/>
      <c r="B650" s="76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6"/>
      <c r="W650" s="77"/>
      <c r="X650" s="77"/>
    </row>
    <row r="651" spans="1:24" ht="45" customHeight="1" x14ac:dyDescent="0.4">
      <c r="A651" s="72"/>
      <c r="B651" s="73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3"/>
      <c r="W651" s="74"/>
      <c r="X651" s="74"/>
    </row>
    <row r="652" spans="1:24" ht="45" customHeight="1" x14ac:dyDescent="0.4">
      <c r="A652" s="75"/>
      <c r="B652" s="76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6"/>
      <c r="W652" s="77"/>
      <c r="X652" s="77"/>
    </row>
    <row r="653" spans="1:24" ht="45" customHeight="1" x14ac:dyDescent="0.4">
      <c r="A653" s="72"/>
      <c r="B653" s="73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3"/>
      <c r="W653" s="74"/>
      <c r="X653" s="74"/>
    </row>
    <row r="654" spans="1:24" ht="45" customHeight="1" x14ac:dyDescent="0.4">
      <c r="A654" s="75"/>
      <c r="B654" s="76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6"/>
      <c r="W654" s="77"/>
      <c r="X654" s="77"/>
    </row>
    <row r="655" spans="1:24" ht="45" customHeight="1" x14ac:dyDescent="0.4">
      <c r="A655" s="72"/>
      <c r="B655" s="73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3"/>
      <c r="W655" s="74"/>
      <c r="X655" s="74"/>
    </row>
    <row r="656" spans="1:24" ht="45" customHeight="1" x14ac:dyDescent="0.4">
      <c r="A656" s="75"/>
      <c r="B656" s="76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6"/>
      <c r="W656" s="77"/>
      <c r="X656" s="77"/>
    </row>
    <row r="657" spans="1:24" ht="45" customHeight="1" x14ac:dyDescent="0.4">
      <c r="A657" s="72"/>
      <c r="B657" s="73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3"/>
      <c r="W657" s="74"/>
      <c r="X657" s="74"/>
    </row>
    <row r="658" spans="1:24" ht="45" customHeight="1" x14ac:dyDescent="0.4">
      <c r="A658" s="75"/>
      <c r="B658" s="76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6"/>
      <c r="W658" s="77"/>
      <c r="X658" s="77"/>
    </row>
    <row r="659" spans="1:24" ht="45" customHeight="1" x14ac:dyDescent="0.4">
      <c r="A659" s="72"/>
      <c r="B659" s="73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3"/>
      <c r="W659" s="74"/>
      <c r="X659" s="74"/>
    </row>
    <row r="660" spans="1:24" ht="45" customHeight="1" x14ac:dyDescent="0.4">
      <c r="A660" s="75"/>
      <c r="B660" s="76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6"/>
      <c r="W660" s="77"/>
      <c r="X660" s="77"/>
    </row>
    <row r="661" spans="1:24" ht="45" customHeight="1" x14ac:dyDescent="0.4">
      <c r="A661" s="72"/>
      <c r="B661" s="73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3"/>
      <c r="W661" s="74"/>
      <c r="X661" s="74"/>
    </row>
    <row r="662" spans="1:24" ht="45" customHeight="1" x14ac:dyDescent="0.4">
      <c r="A662" s="75"/>
      <c r="B662" s="76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6"/>
      <c r="W662" s="77"/>
      <c r="X662" s="77"/>
    </row>
    <row r="663" spans="1:24" ht="45" customHeight="1" x14ac:dyDescent="0.4">
      <c r="A663" s="72"/>
      <c r="B663" s="73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3"/>
      <c r="W663" s="74"/>
      <c r="X663" s="74"/>
    </row>
    <row r="664" spans="1:24" ht="45" customHeight="1" x14ac:dyDescent="0.4">
      <c r="A664" s="75"/>
      <c r="B664" s="76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6"/>
      <c r="W664" s="77"/>
      <c r="X664" s="77"/>
    </row>
    <row r="665" spans="1:24" ht="45" customHeight="1" x14ac:dyDescent="0.4">
      <c r="A665" s="72"/>
      <c r="B665" s="73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3"/>
      <c r="W665" s="74"/>
      <c r="X665" s="74"/>
    </row>
    <row r="666" spans="1:24" ht="45" customHeight="1" x14ac:dyDescent="0.4">
      <c r="A666" s="75"/>
      <c r="B666" s="76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6"/>
      <c r="W666" s="77"/>
      <c r="X666" s="77"/>
    </row>
    <row r="667" spans="1:24" ht="45" customHeight="1" x14ac:dyDescent="0.4">
      <c r="A667" s="72"/>
      <c r="B667" s="73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3"/>
      <c r="W667" s="74"/>
      <c r="X667" s="74"/>
    </row>
    <row r="668" spans="1:24" ht="45" customHeight="1" x14ac:dyDescent="0.4">
      <c r="A668" s="75"/>
      <c r="B668" s="76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6"/>
      <c r="W668" s="77"/>
      <c r="X668" s="77"/>
    </row>
    <row r="669" spans="1:24" ht="45" customHeight="1" x14ac:dyDescent="0.4">
      <c r="A669" s="72"/>
      <c r="B669" s="73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3"/>
      <c r="W669" s="74"/>
      <c r="X669" s="74"/>
    </row>
    <row r="670" spans="1:24" ht="45" customHeight="1" x14ac:dyDescent="0.4">
      <c r="A670" s="75"/>
      <c r="B670" s="76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6"/>
      <c r="W670" s="77"/>
      <c r="X670" s="77"/>
    </row>
    <row r="671" spans="1:24" ht="45" customHeight="1" x14ac:dyDescent="0.4">
      <c r="A671" s="72"/>
      <c r="B671" s="73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3"/>
      <c r="W671" s="74"/>
      <c r="X671" s="74"/>
    </row>
    <row r="672" spans="1:24" ht="45" customHeight="1" x14ac:dyDescent="0.4">
      <c r="A672" s="75"/>
      <c r="B672" s="76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6"/>
      <c r="W672" s="77"/>
      <c r="X672" s="77"/>
    </row>
    <row r="673" spans="1:24" ht="45" customHeight="1" x14ac:dyDescent="0.4">
      <c r="A673" s="72"/>
      <c r="B673" s="73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3"/>
      <c r="W673" s="74"/>
      <c r="X673" s="74"/>
    </row>
    <row r="674" spans="1:24" ht="45" customHeight="1" x14ac:dyDescent="0.4">
      <c r="A674" s="75"/>
      <c r="B674" s="76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6"/>
      <c r="W674" s="77"/>
      <c r="X674" s="77"/>
    </row>
    <row r="675" spans="1:24" ht="45" customHeight="1" x14ac:dyDescent="0.4">
      <c r="A675" s="72"/>
      <c r="B675" s="73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3"/>
      <c r="W675" s="74"/>
      <c r="X675" s="74"/>
    </row>
    <row r="676" spans="1:24" ht="45" customHeight="1" x14ac:dyDescent="0.4">
      <c r="A676" s="75"/>
      <c r="B676" s="76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6"/>
      <c r="W676" s="77"/>
      <c r="X676" s="77"/>
    </row>
    <row r="677" spans="1:24" ht="45" customHeight="1" x14ac:dyDescent="0.4">
      <c r="A677" s="72"/>
      <c r="B677" s="73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3"/>
      <c r="W677" s="74"/>
      <c r="X677" s="74"/>
    </row>
    <row r="678" spans="1:24" ht="45" customHeight="1" x14ac:dyDescent="0.4">
      <c r="A678" s="75"/>
      <c r="B678" s="76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6"/>
      <c r="W678" s="77"/>
      <c r="X678" s="77"/>
    </row>
    <row r="679" spans="1:24" ht="45" customHeight="1" x14ac:dyDescent="0.4">
      <c r="A679" s="72"/>
      <c r="B679" s="73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3"/>
      <c r="W679" s="74"/>
      <c r="X679" s="74"/>
    </row>
    <row r="680" spans="1:24" ht="45" customHeight="1" x14ac:dyDescent="0.4">
      <c r="A680" s="75"/>
      <c r="B680" s="76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6"/>
      <c r="W680" s="77"/>
      <c r="X680" s="77"/>
    </row>
    <row r="681" spans="1:24" ht="45" customHeight="1" x14ac:dyDescent="0.4">
      <c r="A681" s="72"/>
      <c r="B681" s="73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3"/>
      <c r="W681" s="74"/>
      <c r="X681" s="74"/>
    </row>
    <row r="682" spans="1:24" ht="45" customHeight="1" x14ac:dyDescent="0.4">
      <c r="A682" s="75"/>
      <c r="B682" s="76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6"/>
      <c r="W682" s="77"/>
      <c r="X682" s="77"/>
    </row>
    <row r="683" spans="1:24" ht="45" customHeight="1" x14ac:dyDescent="0.4">
      <c r="A683" s="72"/>
      <c r="B683" s="73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3"/>
      <c r="W683" s="74"/>
      <c r="X683" s="74"/>
    </row>
    <row r="684" spans="1:24" ht="45" customHeight="1" x14ac:dyDescent="0.4">
      <c r="A684" s="75"/>
      <c r="B684" s="76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6"/>
      <c r="W684" s="77"/>
      <c r="X684" s="77"/>
    </row>
    <row r="685" spans="1:24" ht="45" customHeight="1" x14ac:dyDescent="0.4">
      <c r="A685" s="72"/>
      <c r="B685" s="73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3"/>
      <c r="W685" s="74"/>
      <c r="X685" s="74"/>
    </row>
    <row r="686" spans="1:24" ht="45" customHeight="1" x14ac:dyDescent="0.4">
      <c r="A686" s="75"/>
      <c r="B686" s="76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6"/>
      <c r="W686" s="77"/>
      <c r="X686" s="77"/>
    </row>
    <row r="687" spans="1:24" ht="45" customHeight="1" x14ac:dyDescent="0.4">
      <c r="A687" s="72"/>
      <c r="B687" s="73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3"/>
      <c r="W687" s="74"/>
      <c r="X687" s="74"/>
    </row>
    <row r="688" spans="1:24" ht="45" customHeight="1" x14ac:dyDescent="0.4">
      <c r="A688" s="75"/>
      <c r="B688" s="76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6"/>
      <c r="W688" s="77"/>
      <c r="X688" s="77"/>
    </row>
    <row r="689" spans="1:24" ht="45" customHeight="1" x14ac:dyDescent="0.4">
      <c r="A689" s="72"/>
      <c r="B689" s="73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3"/>
      <c r="W689" s="74"/>
      <c r="X689" s="74"/>
    </row>
    <row r="690" spans="1:24" ht="45" customHeight="1" x14ac:dyDescent="0.4">
      <c r="A690" s="75"/>
      <c r="B690" s="76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6"/>
      <c r="W690" s="77"/>
      <c r="X690" s="77"/>
    </row>
    <row r="691" spans="1:24" ht="45" customHeight="1" x14ac:dyDescent="0.4">
      <c r="A691" s="72"/>
      <c r="B691" s="73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3"/>
      <c r="W691" s="74"/>
      <c r="X691" s="74"/>
    </row>
    <row r="692" spans="1:24" ht="45" customHeight="1" x14ac:dyDescent="0.4">
      <c r="A692" s="75"/>
      <c r="B692" s="76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6"/>
      <c r="W692" s="77"/>
      <c r="X692" s="77"/>
    </row>
    <row r="693" spans="1:24" ht="45" customHeight="1" x14ac:dyDescent="0.4">
      <c r="A693" s="72"/>
      <c r="B693" s="73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3"/>
      <c r="W693" s="74"/>
      <c r="X693" s="74"/>
    </row>
    <row r="694" spans="1:24" ht="45" customHeight="1" x14ac:dyDescent="0.4">
      <c r="A694" s="75"/>
      <c r="B694" s="76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6"/>
      <c r="W694" s="77"/>
      <c r="X694" s="77"/>
    </row>
    <row r="695" spans="1:24" ht="45" customHeight="1" x14ac:dyDescent="0.4">
      <c r="A695" s="72"/>
      <c r="B695" s="73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3"/>
      <c r="W695" s="74"/>
      <c r="X695" s="74"/>
    </row>
    <row r="696" spans="1:24" ht="45" customHeight="1" x14ac:dyDescent="0.4">
      <c r="A696" s="75"/>
      <c r="B696" s="76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6"/>
      <c r="W696" s="77"/>
      <c r="X696" s="77"/>
    </row>
    <row r="697" spans="1:24" ht="45" customHeight="1" x14ac:dyDescent="0.4">
      <c r="A697" s="72"/>
      <c r="B697" s="73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3"/>
      <c r="W697" s="74"/>
      <c r="X697" s="74"/>
    </row>
    <row r="698" spans="1:24" ht="45" customHeight="1" x14ac:dyDescent="0.4">
      <c r="A698" s="75"/>
      <c r="B698" s="76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6"/>
      <c r="W698" s="77"/>
      <c r="X698" s="77"/>
    </row>
    <row r="699" spans="1:24" ht="45" customHeight="1" x14ac:dyDescent="0.4">
      <c r="A699" s="72"/>
      <c r="B699" s="73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3"/>
      <c r="W699" s="74"/>
      <c r="X699" s="74"/>
    </row>
    <row r="700" spans="1:24" ht="45" customHeight="1" x14ac:dyDescent="0.4">
      <c r="A700" s="75"/>
      <c r="B700" s="76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6"/>
      <c r="W700" s="77"/>
      <c r="X700" s="77"/>
    </row>
    <row r="701" spans="1:24" ht="45" customHeight="1" x14ac:dyDescent="0.4">
      <c r="A701" s="72"/>
      <c r="B701" s="73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3"/>
      <c r="W701" s="74"/>
      <c r="X701" s="74"/>
    </row>
    <row r="702" spans="1:24" ht="45" customHeight="1" x14ac:dyDescent="0.4">
      <c r="A702" s="75"/>
      <c r="B702" s="76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6"/>
      <c r="W702" s="77"/>
      <c r="X702" s="77"/>
    </row>
    <row r="703" spans="1:24" ht="45" customHeight="1" x14ac:dyDescent="0.4">
      <c r="A703" s="72"/>
      <c r="B703" s="73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3"/>
      <c r="W703" s="74"/>
      <c r="X703" s="74"/>
    </row>
    <row r="704" spans="1:24" ht="45" customHeight="1" x14ac:dyDescent="0.4">
      <c r="A704" s="75"/>
      <c r="B704" s="76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6"/>
      <c r="W704" s="77"/>
      <c r="X704" s="77"/>
    </row>
    <row r="705" spans="1:24" ht="45" customHeight="1" x14ac:dyDescent="0.4">
      <c r="A705" s="72"/>
      <c r="B705" s="73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3"/>
      <c r="W705" s="74"/>
      <c r="X705" s="74"/>
    </row>
    <row r="706" spans="1:24" ht="45" customHeight="1" x14ac:dyDescent="0.4">
      <c r="A706" s="75"/>
      <c r="B706" s="76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6"/>
      <c r="W706" s="77"/>
      <c r="X706" s="77"/>
    </row>
    <row r="707" spans="1:24" ht="45" customHeight="1" x14ac:dyDescent="0.4">
      <c r="A707" s="72"/>
      <c r="B707" s="73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3"/>
      <c r="W707" s="74"/>
      <c r="X707" s="74"/>
    </row>
    <row r="708" spans="1:24" ht="45" customHeight="1" x14ac:dyDescent="0.4">
      <c r="A708" s="75"/>
      <c r="B708" s="76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6"/>
      <c r="W708" s="77"/>
      <c r="X708" s="77"/>
    </row>
    <row r="709" spans="1:24" ht="45" customHeight="1" x14ac:dyDescent="0.4">
      <c r="A709" s="72"/>
      <c r="B709" s="73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3"/>
      <c r="W709" s="74"/>
      <c r="X709" s="74"/>
    </row>
    <row r="710" spans="1:24" ht="45" customHeight="1" x14ac:dyDescent="0.4">
      <c r="A710" s="75"/>
      <c r="B710" s="76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6"/>
      <c r="W710" s="77"/>
      <c r="X710" s="77"/>
    </row>
    <row r="711" spans="1:24" ht="45" customHeight="1" x14ac:dyDescent="0.4">
      <c r="A711" s="72"/>
      <c r="B711" s="73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3"/>
      <c r="W711" s="74"/>
      <c r="X711" s="74"/>
    </row>
    <row r="712" spans="1:24" ht="45" customHeight="1" x14ac:dyDescent="0.4">
      <c r="A712" s="75"/>
      <c r="B712" s="76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6"/>
      <c r="W712" s="77"/>
      <c r="X712" s="77"/>
    </row>
    <row r="713" spans="1:24" ht="45" customHeight="1" x14ac:dyDescent="0.4">
      <c r="A713" s="72"/>
      <c r="B713" s="73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3"/>
      <c r="W713" s="74"/>
      <c r="X713" s="74"/>
    </row>
    <row r="714" spans="1:24" ht="45" customHeight="1" x14ac:dyDescent="0.4">
      <c r="A714" s="75"/>
      <c r="B714" s="76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6"/>
      <c r="W714" s="77"/>
      <c r="X714" s="77"/>
    </row>
    <row r="715" spans="1:24" ht="45" customHeight="1" x14ac:dyDescent="0.4">
      <c r="A715" s="72"/>
      <c r="B715" s="73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3"/>
      <c r="W715" s="74"/>
      <c r="X715" s="74"/>
    </row>
    <row r="716" spans="1:24" ht="45" customHeight="1" x14ac:dyDescent="0.4">
      <c r="A716" s="75"/>
      <c r="B716" s="76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6"/>
      <c r="W716" s="77"/>
      <c r="X716" s="77"/>
    </row>
    <row r="717" spans="1:24" ht="45" customHeight="1" x14ac:dyDescent="0.4">
      <c r="A717" s="72"/>
      <c r="B717" s="73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3"/>
      <c r="W717" s="74"/>
      <c r="X717" s="74"/>
    </row>
    <row r="718" spans="1:24" ht="45" customHeight="1" x14ac:dyDescent="0.4">
      <c r="A718" s="75"/>
      <c r="B718" s="76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6"/>
      <c r="W718" s="77"/>
      <c r="X718" s="77"/>
    </row>
    <row r="719" spans="1:24" ht="45" customHeight="1" x14ac:dyDescent="0.4">
      <c r="A719" s="72"/>
      <c r="B719" s="73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3"/>
      <c r="W719" s="74"/>
      <c r="X719" s="74"/>
    </row>
    <row r="720" spans="1:24" ht="45" customHeight="1" x14ac:dyDescent="0.4">
      <c r="A720" s="75"/>
      <c r="B720" s="76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6"/>
      <c r="W720" s="77"/>
      <c r="X720" s="77"/>
    </row>
    <row r="721" spans="1:24" ht="45" customHeight="1" x14ac:dyDescent="0.4">
      <c r="A721" s="72"/>
      <c r="B721" s="73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3"/>
      <c r="W721" s="74"/>
      <c r="X721" s="74"/>
    </row>
    <row r="722" spans="1:24" ht="45" customHeight="1" x14ac:dyDescent="0.4">
      <c r="A722" s="75"/>
      <c r="B722" s="76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6"/>
      <c r="W722" s="77"/>
      <c r="X722" s="77"/>
    </row>
    <row r="723" spans="1:24" ht="45" customHeight="1" x14ac:dyDescent="0.4">
      <c r="A723" s="72"/>
      <c r="B723" s="73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3"/>
      <c r="W723" s="74"/>
      <c r="X723" s="74"/>
    </row>
    <row r="724" spans="1:24" ht="45" customHeight="1" x14ac:dyDescent="0.4">
      <c r="A724" s="75"/>
      <c r="B724" s="76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6"/>
      <c r="W724" s="77"/>
      <c r="X724" s="77"/>
    </row>
    <row r="725" spans="1:24" ht="45" customHeight="1" x14ac:dyDescent="0.4">
      <c r="A725" s="72"/>
      <c r="B725" s="73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3"/>
      <c r="W725" s="74"/>
      <c r="X725" s="74"/>
    </row>
    <row r="726" spans="1:24" ht="45" customHeight="1" x14ac:dyDescent="0.4">
      <c r="A726" s="75"/>
      <c r="B726" s="76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6"/>
      <c r="W726" s="77"/>
      <c r="X726" s="77"/>
    </row>
    <row r="727" spans="1:24" ht="45" customHeight="1" x14ac:dyDescent="0.4">
      <c r="A727" s="72"/>
      <c r="B727" s="73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3"/>
      <c r="W727" s="74"/>
      <c r="X727" s="74"/>
    </row>
    <row r="728" spans="1:24" ht="45" customHeight="1" x14ac:dyDescent="0.4">
      <c r="A728" s="75"/>
      <c r="B728" s="76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6"/>
      <c r="W728" s="77"/>
      <c r="X728" s="77"/>
    </row>
    <row r="729" spans="1:24" ht="45" customHeight="1" x14ac:dyDescent="0.4">
      <c r="A729" s="72"/>
      <c r="B729" s="73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3"/>
      <c r="W729" s="74"/>
      <c r="X729" s="74"/>
    </row>
    <row r="730" spans="1:24" ht="45" customHeight="1" x14ac:dyDescent="0.4">
      <c r="A730" s="75"/>
      <c r="B730" s="76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6"/>
      <c r="W730" s="77"/>
      <c r="X730" s="77"/>
    </row>
    <row r="731" spans="1:24" ht="45" customHeight="1" x14ac:dyDescent="0.4">
      <c r="A731" s="72"/>
      <c r="B731" s="73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3"/>
      <c r="W731" s="74"/>
      <c r="X731" s="74"/>
    </row>
    <row r="732" spans="1:24" ht="45" customHeight="1" x14ac:dyDescent="0.4">
      <c r="A732" s="75"/>
      <c r="B732" s="76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6"/>
      <c r="W732" s="77"/>
      <c r="X732" s="77"/>
    </row>
    <row r="733" spans="1:24" ht="45" customHeight="1" x14ac:dyDescent="0.4">
      <c r="A733" s="72"/>
      <c r="B733" s="73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3"/>
      <c r="W733" s="74"/>
      <c r="X733" s="74"/>
    </row>
    <row r="734" spans="1:24" ht="45" customHeight="1" x14ac:dyDescent="0.4">
      <c r="A734" s="75"/>
      <c r="B734" s="76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6"/>
      <c r="W734" s="77"/>
      <c r="X734" s="77"/>
    </row>
    <row r="735" spans="1:24" ht="45" customHeight="1" x14ac:dyDescent="0.4">
      <c r="A735" s="72"/>
      <c r="B735" s="73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3"/>
      <c r="W735" s="74"/>
      <c r="X735" s="74"/>
    </row>
    <row r="736" spans="1:24" ht="45" customHeight="1" x14ac:dyDescent="0.4">
      <c r="A736" s="75"/>
      <c r="B736" s="76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6"/>
      <c r="W736" s="77"/>
      <c r="X736" s="77"/>
    </row>
    <row r="737" spans="1:24" ht="45" customHeight="1" x14ac:dyDescent="0.4">
      <c r="A737" s="72"/>
      <c r="B737" s="73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3"/>
      <c r="W737" s="74"/>
      <c r="X737" s="74"/>
    </row>
    <row r="738" spans="1:24" ht="45" customHeight="1" x14ac:dyDescent="0.4">
      <c r="A738" s="75"/>
      <c r="B738" s="76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6"/>
      <c r="W738" s="77"/>
      <c r="X738" s="77"/>
    </row>
    <row r="739" spans="1:24" ht="45" customHeight="1" x14ac:dyDescent="0.4">
      <c r="A739" s="72"/>
      <c r="B739" s="73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3"/>
      <c r="W739" s="74"/>
      <c r="X739" s="74"/>
    </row>
    <row r="740" spans="1:24" ht="45" customHeight="1" x14ac:dyDescent="0.4">
      <c r="A740" s="75"/>
      <c r="B740" s="76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6"/>
      <c r="W740" s="77"/>
      <c r="X740" s="77"/>
    </row>
    <row r="741" spans="1:24" ht="45" customHeight="1" x14ac:dyDescent="0.4">
      <c r="A741" s="72"/>
      <c r="B741" s="73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3"/>
      <c r="W741" s="74"/>
      <c r="X741" s="74"/>
    </row>
    <row r="742" spans="1:24" ht="45" customHeight="1" x14ac:dyDescent="0.4">
      <c r="A742" s="75"/>
      <c r="B742" s="76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6"/>
      <c r="W742" s="77"/>
      <c r="X742" s="77"/>
    </row>
    <row r="743" spans="1:24" ht="45" customHeight="1" x14ac:dyDescent="0.4">
      <c r="A743" s="72"/>
      <c r="B743" s="73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3"/>
      <c r="W743" s="74"/>
      <c r="X743" s="74"/>
    </row>
    <row r="744" spans="1:24" ht="45" customHeight="1" x14ac:dyDescent="0.4">
      <c r="A744" s="75"/>
      <c r="B744" s="76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6"/>
      <c r="W744" s="77"/>
      <c r="X744" s="77"/>
    </row>
    <row r="745" spans="1:24" ht="45" customHeight="1" x14ac:dyDescent="0.4">
      <c r="A745" s="72"/>
      <c r="B745" s="73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3"/>
      <c r="W745" s="74"/>
      <c r="X745" s="74"/>
    </row>
    <row r="746" spans="1:24" ht="45" customHeight="1" x14ac:dyDescent="0.4">
      <c r="A746" s="75"/>
      <c r="B746" s="76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6"/>
      <c r="W746" s="77"/>
      <c r="X746" s="77"/>
    </row>
    <row r="747" spans="1:24" ht="45" customHeight="1" x14ac:dyDescent="0.4">
      <c r="A747" s="72"/>
      <c r="B747" s="73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3"/>
      <c r="W747" s="74"/>
      <c r="X747" s="74"/>
    </row>
    <row r="748" spans="1:24" ht="45" customHeight="1" x14ac:dyDescent="0.4">
      <c r="A748" s="75"/>
      <c r="B748" s="76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6"/>
      <c r="W748" s="77"/>
      <c r="X748" s="77"/>
    </row>
    <row r="749" spans="1:24" ht="45" customHeight="1" x14ac:dyDescent="0.4">
      <c r="A749" s="72"/>
      <c r="B749" s="73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3"/>
      <c r="W749" s="74"/>
      <c r="X749" s="74"/>
    </row>
    <row r="750" spans="1:24" ht="45" customHeight="1" x14ac:dyDescent="0.4">
      <c r="A750" s="75"/>
      <c r="B750" s="76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6"/>
      <c r="W750" s="77"/>
      <c r="X750" s="77"/>
    </row>
    <row r="751" spans="1:24" ht="45" customHeight="1" x14ac:dyDescent="0.4">
      <c r="A751" s="72"/>
      <c r="B751" s="73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3"/>
      <c r="W751" s="74"/>
      <c r="X751" s="74"/>
    </row>
    <row r="752" spans="1:24" ht="45" customHeight="1" x14ac:dyDescent="0.4">
      <c r="A752" s="75"/>
      <c r="B752" s="76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6"/>
      <c r="W752" s="77"/>
      <c r="X752" s="77"/>
    </row>
    <row r="753" spans="1:24" ht="45" customHeight="1" x14ac:dyDescent="0.4">
      <c r="A753" s="72"/>
      <c r="B753" s="73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3"/>
      <c r="W753" s="74"/>
      <c r="X753" s="74"/>
    </row>
    <row r="754" spans="1:24" ht="45" customHeight="1" x14ac:dyDescent="0.4">
      <c r="A754" s="75"/>
      <c r="B754" s="76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6"/>
      <c r="W754" s="77"/>
      <c r="X754" s="77"/>
    </row>
    <row r="755" spans="1:24" ht="45" customHeight="1" x14ac:dyDescent="0.4">
      <c r="A755" s="72"/>
      <c r="B755" s="73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3"/>
      <c r="W755" s="74"/>
      <c r="X755" s="74"/>
    </row>
    <row r="756" spans="1:24" ht="45" customHeight="1" x14ac:dyDescent="0.4">
      <c r="A756" s="75"/>
      <c r="B756" s="76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6"/>
      <c r="W756" s="77"/>
      <c r="X756" s="77"/>
    </row>
    <row r="757" spans="1:24" ht="45" customHeight="1" x14ac:dyDescent="0.4">
      <c r="A757" s="72"/>
      <c r="B757" s="73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3"/>
      <c r="W757" s="74"/>
      <c r="X757" s="74"/>
    </row>
    <row r="758" spans="1:24" ht="45" customHeight="1" x14ac:dyDescent="0.4">
      <c r="A758" s="75"/>
      <c r="B758" s="76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6"/>
      <c r="W758" s="77"/>
      <c r="X758" s="77"/>
    </row>
    <row r="759" spans="1:24" ht="45" customHeight="1" x14ac:dyDescent="0.4">
      <c r="A759" s="72"/>
      <c r="B759" s="73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3"/>
      <c r="W759" s="74"/>
      <c r="X759" s="74"/>
    </row>
    <row r="760" spans="1:24" ht="45" customHeight="1" x14ac:dyDescent="0.4">
      <c r="A760" s="75"/>
      <c r="B760" s="76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6"/>
      <c r="W760" s="77"/>
      <c r="X760" s="77"/>
    </row>
    <row r="761" spans="1:24" ht="45" customHeight="1" x14ac:dyDescent="0.4">
      <c r="A761" s="72"/>
      <c r="B761" s="73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3"/>
      <c r="W761" s="74"/>
      <c r="X761" s="74"/>
    </row>
    <row r="762" spans="1:24" ht="45" customHeight="1" x14ac:dyDescent="0.4">
      <c r="A762" s="75"/>
      <c r="B762" s="76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6"/>
      <c r="W762" s="77"/>
      <c r="X762" s="77"/>
    </row>
    <row r="763" spans="1:24" ht="45" customHeight="1" x14ac:dyDescent="0.4">
      <c r="A763" s="72"/>
      <c r="B763" s="73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3"/>
      <c r="W763" s="74"/>
      <c r="X763" s="74"/>
    </row>
    <row r="764" spans="1:24" ht="45" customHeight="1" x14ac:dyDescent="0.4">
      <c r="A764" s="75"/>
      <c r="B764" s="76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6"/>
      <c r="W764" s="77"/>
      <c r="X764" s="77"/>
    </row>
    <row r="765" spans="1:24" ht="45" customHeight="1" x14ac:dyDescent="0.4">
      <c r="A765" s="72"/>
      <c r="B765" s="73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3"/>
      <c r="W765" s="74"/>
      <c r="X765" s="74"/>
    </row>
    <row r="766" spans="1:24" ht="45" customHeight="1" x14ac:dyDescent="0.4">
      <c r="A766" s="75"/>
      <c r="B766" s="76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6"/>
      <c r="W766" s="77"/>
      <c r="X766" s="77"/>
    </row>
    <row r="767" spans="1:24" ht="45" customHeight="1" x14ac:dyDescent="0.4">
      <c r="A767" s="72"/>
      <c r="B767" s="73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3"/>
      <c r="W767" s="74"/>
      <c r="X767" s="74"/>
    </row>
    <row r="768" spans="1:24" ht="45" customHeight="1" x14ac:dyDescent="0.4">
      <c r="A768" s="75"/>
      <c r="B768" s="76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6"/>
      <c r="W768" s="77"/>
      <c r="X768" s="77"/>
    </row>
    <row r="769" spans="1:24" ht="45" customHeight="1" x14ac:dyDescent="0.4">
      <c r="A769" s="72"/>
      <c r="B769" s="73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3"/>
      <c r="W769" s="74"/>
      <c r="X769" s="74"/>
    </row>
    <row r="770" spans="1:24" ht="45" customHeight="1" x14ac:dyDescent="0.4">
      <c r="A770" s="75"/>
      <c r="B770" s="76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6"/>
      <c r="W770" s="77"/>
      <c r="X770" s="77"/>
    </row>
    <row r="771" spans="1:24" ht="45" customHeight="1" x14ac:dyDescent="0.4">
      <c r="A771" s="72"/>
      <c r="B771" s="73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3"/>
      <c r="W771" s="74"/>
      <c r="X771" s="74"/>
    </row>
    <row r="772" spans="1:24" ht="45" customHeight="1" x14ac:dyDescent="0.4">
      <c r="A772" s="75"/>
      <c r="B772" s="76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6"/>
      <c r="W772" s="77"/>
      <c r="X772" s="77"/>
    </row>
    <row r="773" spans="1:24" ht="45" customHeight="1" x14ac:dyDescent="0.4">
      <c r="A773" s="72"/>
      <c r="B773" s="73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3"/>
      <c r="W773" s="74"/>
      <c r="X773" s="74"/>
    </row>
    <row r="774" spans="1:24" ht="45" customHeight="1" x14ac:dyDescent="0.4">
      <c r="A774" s="75"/>
      <c r="B774" s="76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6"/>
      <c r="W774" s="77"/>
      <c r="X774" s="77"/>
    </row>
    <row r="775" spans="1:24" ht="45" customHeight="1" x14ac:dyDescent="0.4">
      <c r="A775" s="72"/>
      <c r="B775" s="73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3"/>
      <c r="W775" s="74"/>
      <c r="X775" s="74"/>
    </row>
    <row r="776" spans="1:24" ht="45" customHeight="1" x14ac:dyDescent="0.4">
      <c r="A776" s="75"/>
      <c r="B776" s="76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6"/>
      <c r="W776" s="77"/>
      <c r="X776" s="77"/>
    </row>
    <row r="777" spans="1:24" ht="45" customHeight="1" x14ac:dyDescent="0.4">
      <c r="A777" s="72"/>
      <c r="B777" s="73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3"/>
      <c r="W777" s="74"/>
      <c r="X777" s="74"/>
    </row>
    <row r="778" spans="1:24" ht="45" customHeight="1" x14ac:dyDescent="0.4">
      <c r="A778" s="75"/>
      <c r="B778" s="76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6"/>
      <c r="W778" s="77"/>
      <c r="X778" s="77"/>
    </row>
    <row r="779" spans="1:24" ht="45" customHeight="1" x14ac:dyDescent="0.4">
      <c r="A779" s="72"/>
      <c r="B779" s="73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3"/>
      <c r="W779" s="74"/>
      <c r="X779" s="74"/>
    </row>
    <row r="780" spans="1:24" ht="45" customHeight="1" x14ac:dyDescent="0.4">
      <c r="A780" s="75"/>
      <c r="B780" s="76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6"/>
      <c r="W780" s="77"/>
      <c r="X780" s="77"/>
    </row>
    <row r="781" spans="1:24" ht="45" customHeight="1" x14ac:dyDescent="0.4">
      <c r="A781" s="72"/>
      <c r="B781" s="73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3"/>
      <c r="W781" s="74"/>
      <c r="X781" s="74"/>
    </row>
    <row r="782" spans="1:24" ht="45" customHeight="1" x14ac:dyDescent="0.4">
      <c r="A782" s="75"/>
      <c r="B782" s="76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6"/>
      <c r="W782" s="77"/>
      <c r="X782" s="77"/>
    </row>
    <row r="783" spans="1:24" ht="45" customHeight="1" x14ac:dyDescent="0.4">
      <c r="A783" s="72"/>
      <c r="B783" s="73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3"/>
      <c r="W783" s="74"/>
      <c r="X783" s="74"/>
    </row>
    <row r="784" spans="1:24" ht="45" customHeight="1" x14ac:dyDescent="0.4">
      <c r="A784" s="75"/>
      <c r="B784" s="76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6"/>
      <c r="W784" s="77"/>
      <c r="X784" s="77"/>
    </row>
    <row r="785" spans="1:24" ht="45" customHeight="1" x14ac:dyDescent="0.4">
      <c r="A785" s="72"/>
      <c r="B785" s="73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3"/>
      <c r="W785" s="74"/>
      <c r="X785" s="74"/>
    </row>
    <row r="786" spans="1:24" ht="45" customHeight="1" x14ac:dyDescent="0.4">
      <c r="A786" s="75"/>
      <c r="B786" s="76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6"/>
      <c r="W786" s="77"/>
      <c r="X786" s="77"/>
    </row>
    <row r="787" spans="1:24" ht="45" customHeight="1" x14ac:dyDescent="0.4">
      <c r="A787" s="72"/>
      <c r="B787" s="73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3"/>
      <c r="W787" s="74"/>
      <c r="X787" s="74"/>
    </row>
    <row r="788" spans="1:24" ht="45" customHeight="1" x14ac:dyDescent="0.4">
      <c r="A788" s="75"/>
      <c r="B788" s="76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6"/>
      <c r="W788" s="77"/>
      <c r="X788" s="77"/>
    </row>
    <row r="789" spans="1:24" ht="45" customHeight="1" x14ac:dyDescent="0.4">
      <c r="A789" s="72"/>
      <c r="B789" s="73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3"/>
      <c r="W789" s="74"/>
      <c r="X789" s="74"/>
    </row>
    <row r="790" spans="1:24" ht="45" customHeight="1" x14ac:dyDescent="0.4">
      <c r="A790" s="75"/>
      <c r="B790" s="76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6"/>
      <c r="W790" s="77"/>
      <c r="X790" s="77"/>
    </row>
    <row r="791" spans="1:24" ht="45" customHeight="1" x14ac:dyDescent="0.4">
      <c r="A791" s="72"/>
      <c r="B791" s="73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3"/>
      <c r="W791" s="74"/>
      <c r="X791" s="74"/>
    </row>
    <row r="792" spans="1:24" ht="45" customHeight="1" x14ac:dyDescent="0.4">
      <c r="A792" s="75"/>
      <c r="B792" s="76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6"/>
      <c r="W792" s="77"/>
      <c r="X792" s="77"/>
    </row>
    <row r="793" spans="1:24" ht="45" customHeight="1" x14ac:dyDescent="0.4">
      <c r="A793" s="72"/>
      <c r="B793" s="73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3"/>
      <c r="W793" s="74"/>
      <c r="X793" s="74"/>
    </row>
    <row r="794" spans="1:24" ht="45" customHeight="1" x14ac:dyDescent="0.4">
      <c r="A794" s="75"/>
      <c r="B794" s="76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6"/>
      <c r="W794" s="77"/>
      <c r="X794" s="77"/>
    </row>
    <row r="795" spans="1:24" ht="45" customHeight="1" x14ac:dyDescent="0.4">
      <c r="A795" s="72"/>
      <c r="B795" s="73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3"/>
      <c r="W795" s="74"/>
      <c r="X795" s="74"/>
    </row>
    <row r="796" spans="1:24" ht="45" customHeight="1" x14ac:dyDescent="0.4">
      <c r="A796" s="75"/>
      <c r="B796" s="76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6"/>
      <c r="W796" s="77"/>
      <c r="X796" s="77"/>
    </row>
    <row r="797" spans="1:24" ht="45" customHeight="1" x14ac:dyDescent="0.4">
      <c r="A797" s="72"/>
      <c r="B797" s="73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3"/>
      <c r="W797" s="74"/>
      <c r="X797" s="74"/>
    </row>
    <row r="798" spans="1:24" ht="45" customHeight="1" x14ac:dyDescent="0.4">
      <c r="A798" s="75"/>
      <c r="B798" s="76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6"/>
      <c r="W798" s="77"/>
      <c r="X798" s="77"/>
    </row>
    <row r="799" spans="1:24" ht="45" customHeight="1" x14ac:dyDescent="0.4">
      <c r="A799" s="72"/>
      <c r="B799" s="73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3"/>
      <c r="W799" s="74"/>
      <c r="X799" s="74"/>
    </row>
    <row r="800" spans="1:24" ht="45" customHeight="1" x14ac:dyDescent="0.4">
      <c r="A800" s="75"/>
      <c r="B800" s="76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6"/>
      <c r="W800" s="77"/>
      <c r="X800" s="77"/>
    </row>
    <row r="801" spans="1:24" ht="45" customHeight="1" x14ac:dyDescent="0.4">
      <c r="A801" s="72"/>
      <c r="B801" s="73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3"/>
      <c r="W801" s="74"/>
      <c r="X801" s="74"/>
    </row>
    <row r="802" spans="1:24" ht="45" customHeight="1" x14ac:dyDescent="0.4">
      <c r="A802" s="75"/>
      <c r="B802" s="76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6"/>
      <c r="W802" s="77"/>
      <c r="X802" s="77"/>
    </row>
    <row r="803" spans="1:24" ht="45" customHeight="1" x14ac:dyDescent="0.4">
      <c r="A803" s="72"/>
      <c r="B803" s="73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3"/>
      <c r="W803" s="74"/>
      <c r="X803" s="74"/>
    </row>
    <row r="804" spans="1:24" ht="45" customHeight="1" x14ac:dyDescent="0.4">
      <c r="A804" s="75"/>
      <c r="B804" s="76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6"/>
      <c r="W804" s="77"/>
      <c r="X804" s="77"/>
    </row>
    <row r="805" spans="1:24" ht="45" customHeight="1" x14ac:dyDescent="0.4">
      <c r="A805" s="72"/>
      <c r="B805" s="73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3"/>
      <c r="W805" s="74"/>
      <c r="X805" s="74"/>
    </row>
    <row r="806" spans="1:24" ht="45" customHeight="1" x14ac:dyDescent="0.4">
      <c r="A806" s="75"/>
      <c r="B806" s="76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6"/>
      <c r="W806" s="77"/>
      <c r="X806" s="77"/>
    </row>
    <row r="807" spans="1:24" ht="45" customHeight="1" x14ac:dyDescent="0.4">
      <c r="A807" s="72"/>
      <c r="B807" s="73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3"/>
      <c r="W807" s="74"/>
      <c r="X807" s="74"/>
    </row>
    <row r="808" spans="1:24" ht="45" customHeight="1" x14ac:dyDescent="0.4">
      <c r="A808" s="75"/>
      <c r="B808" s="76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6"/>
      <c r="W808" s="77"/>
      <c r="X808" s="77"/>
    </row>
    <row r="809" spans="1:24" ht="45" customHeight="1" x14ac:dyDescent="0.4">
      <c r="A809" s="72"/>
      <c r="B809" s="73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3"/>
      <c r="W809" s="74"/>
      <c r="X809" s="74"/>
    </row>
    <row r="810" spans="1:24" ht="45" customHeight="1" x14ac:dyDescent="0.4">
      <c r="A810" s="75"/>
      <c r="B810" s="76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6"/>
      <c r="W810" s="77"/>
      <c r="X810" s="77"/>
    </row>
    <row r="811" spans="1:24" ht="45" customHeight="1" x14ac:dyDescent="0.4">
      <c r="A811" s="72"/>
      <c r="B811" s="73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3"/>
      <c r="W811" s="74"/>
      <c r="X811" s="74"/>
    </row>
    <row r="812" spans="1:24" ht="45" customHeight="1" x14ac:dyDescent="0.4">
      <c r="A812" s="75"/>
      <c r="B812" s="76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6"/>
      <c r="W812" s="77"/>
      <c r="X812" s="77"/>
    </row>
    <row r="813" spans="1:24" ht="45" customHeight="1" x14ac:dyDescent="0.4">
      <c r="A813" s="72"/>
      <c r="B813" s="73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3"/>
      <c r="W813" s="74"/>
      <c r="X813" s="74"/>
    </row>
    <row r="814" spans="1:24" ht="45" customHeight="1" x14ac:dyDescent="0.4">
      <c r="A814" s="75"/>
      <c r="B814" s="76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6"/>
      <c r="W814" s="77"/>
      <c r="X814" s="77"/>
    </row>
    <row r="815" spans="1:24" ht="45" customHeight="1" x14ac:dyDescent="0.4">
      <c r="A815" s="72"/>
      <c r="B815" s="73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3"/>
      <c r="W815" s="74"/>
      <c r="X815" s="74"/>
    </row>
    <row r="816" spans="1:24" ht="45" customHeight="1" x14ac:dyDescent="0.4">
      <c r="A816" s="75"/>
      <c r="B816" s="76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6"/>
      <c r="W816" s="77"/>
      <c r="X816" s="77"/>
    </row>
    <row r="817" spans="1:24" ht="45" customHeight="1" x14ac:dyDescent="0.4">
      <c r="A817" s="72"/>
      <c r="B817" s="73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3"/>
      <c r="W817" s="74"/>
      <c r="X817" s="74"/>
    </row>
    <row r="818" spans="1:24" ht="45" customHeight="1" x14ac:dyDescent="0.4">
      <c r="A818" s="75"/>
      <c r="B818" s="76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6"/>
      <c r="W818" s="77"/>
      <c r="X818" s="77"/>
    </row>
    <row r="819" spans="1:24" ht="45" customHeight="1" x14ac:dyDescent="0.4">
      <c r="A819" s="72"/>
      <c r="B819" s="73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3"/>
      <c r="W819" s="74"/>
      <c r="X819" s="74"/>
    </row>
    <row r="820" spans="1:24" ht="45" customHeight="1" x14ac:dyDescent="0.4">
      <c r="A820" s="75"/>
      <c r="B820" s="76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6"/>
      <c r="W820" s="77"/>
      <c r="X820" s="77"/>
    </row>
    <row r="821" spans="1:24" ht="45" customHeight="1" x14ac:dyDescent="0.4">
      <c r="A821" s="72"/>
      <c r="B821" s="73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3"/>
      <c r="W821" s="74"/>
      <c r="X821" s="74"/>
    </row>
    <row r="822" spans="1:24" ht="45" customHeight="1" x14ac:dyDescent="0.4">
      <c r="A822" s="75"/>
      <c r="B822" s="76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6"/>
      <c r="W822" s="77"/>
      <c r="X822" s="77"/>
    </row>
    <row r="823" spans="1:24" ht="45" customHeight="1" x14ac:dyDescent="0.4">
      <c r="A823" s="72"/>
      <c r="B823" s="73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3"/>
      <c r="W823" s="74"/>
      <c r="X823" s="74"/>
    </row>
    <row r="824" spans="1:24" ht="45" customHeight="1" x14ac:dyDescent="0.4">
      <c r="A824" s="75"/>
      <c r="B824" s="76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6"/>
      <c r="W824" s="77"/>
      <c r="X824" s="77"/>
    </row>
    <row r="825" spans="1:24" ht="45" customHeight="1" x14ac:dyDescent="0.4">
      <c r="A825" s="72"/>
      <c r="B825" s="73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3"/>
      <c r="W825" s="74"/>
      <c r="X825" s="74"/>
    </row>
    <row r="826" spans="1:24" ht="45" customHeight="1" x14ac:dyDescent="0.4">
      <c r="A826" s="75"/>
      <c r="B826" s="76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6"/>
      <c r="W826" s="77"/>
      <c r="X826" s="77"/>
    </row>
    <row r="827" spans="1:24" ht="45" customHeight="1" x14ac:dyDescent="0.4">
      <c r="A827" s="72"/>
      <c r="B827" s="73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3"/>
      <c r="W827" s="74"/>
      <c r="X827" s="74"/>
    </row>
    <row r="828" spans="1:24" ht="45" customHeight="1" x14ac:dyDescent="0.4">
      <c r="A828" s="75"/>
      <c r="B828" s="76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6"/>
      <c r="W828" s="77"/>
      <c r="X828" s="77"/>
    </row>
    <row r="829" spans="1:24" ht="45" customHeight="1" x14ac:dyDescent="0.4">
      <c r="A829" s="72"/>
      <c r="B829" s="73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3"/>
      <c r="W829" s="74"/>
      <c r="X829" s="74"/>
    </row>
    <row r="830" spans="1:24" ht="45" customHeight="1" x14ac:dyDescent="0.4">
      <c r="A830" s="75"/>
      <c r="B830" s="76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6"/>
      <c r="W830" s="77"/>
      <c r="X830" s="77"/>
    </row>
    <row r="831" spans="1:24" ht="45" customHeight="1" x14ac:dyDescent="0.4">
      <c r="A831" s="72"/>
      <c r="B831" s="73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3"/>
      <c r="W831" s="74"/>
      <c r="X831" s="74"/>
    </row>
    <row r="832" spans="1:24" ht="45" customHeight="1" x14ac:dyDescent="0.4">
      <c r="A832" s="75"/>
      <c r="B832" s="76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6"/>
      <c r="W832" s="77"/>
      <c r="X832" s="77"/>
    </row>
    <row r="833" spans="1:24" ht="45" customHeight="1" x14ac:dyDescent="0.4">
      <c r="A833" s="72"/>
      <c r="B833" s="73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3"/>
      <c r="W833" s="74"/>
      <c r="X833" s="74"/>
    </row>
    <row r="834" spans="1:24" ht="45" customHeight="1" x14ac:dyDescent="0.4">
      <c r="A834" s="75"/>
      <c r="B834" s="76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6"/>
      <c r="W834" s="77"/>
      <c r="X834" s="77"/>
    </row>
    <row r="835" spans="1:24" ht="45" customHeight="1" x14ac:dyDescent="0.4">
      <c r="A835" s="72"/>
      <c r="B835" s="73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3"/>
      <c r="W835" s="74"/>
      <c r="X835" s="74"/>
    </row>
    <row r="836" spans="1:24" ht="45" customHeight="1" x14ac:dyDescent="0.4">
      <c r="A836" s="75"/>
      <c r="B836" s="76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6"/>
      <c r="W836" s="77"/>
      <c r="X836" s="77"/>
    </row>
    <row r="837" spans="1:24" ht="45" customHeight="1" x14ac:dyDescent="0.4">
      <c r="A837" s="72"/>
      <c r="B837" s="73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3"/>
      <c r="W837" s="74"/>
      <c r="X837" s="74"/>
    </row>
    <row r="838" spans="1:24" ht="45" customHeight="1" x14ac:dyDescent="0.4">
      <c r="A838" s="75"/>
      <c r="B838" s="76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6"/>
      <c r="W838" s="77"/>
      <c r="X838" s="77"/>
    </row>
    <row r="839" spans="1:24" ht="45" customHeight="1" x14ac:dyDescent="0.4">
      <c r="A839" s="72"/>
      <c r="B839" s="73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3"/>
      <c r="W839" s="74"/>
      <c r="X839" s="74"/>
    </row>
    <row r="840" spans="1:24" ht="45" customHeight="1" x14ac:dyDescent="0.4">
      <c r="A840" s="75"/>
      <c r="B840" s="76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6"/>
      <c r="W840" s="77"/>
      <c r="X840" s="77"/>
    </row>
    <row r="841" spans="1:24" ht="45" customHeight="1" x14ac:dyDescent="0.4">
      <c r="A841" s="72"/>
      <c r="B841" s="73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3"/>
      <c r="W841" s="74"/>
      <c r="X841" s="74"/>
    </row>
    <row r="842" spans="1:24" ht="45" customHeight="1" x14ac:dyDescent="0.4">
      <c r="A842" s="75"/>
      <c r="B842" s="76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6"/>
      <c r="W842" s="77"/>
      <c r="X842" s="77"/>
    </row>
    <row r="843" spans="1:24" ht="45" customHeight="1" x14ac:dyDescent="0.4">
      <c r="A843" s="72"/>
      <c r="B843" s="73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3"/>
      <c r="W843" s="74"/>
      <c r="X843" s="74"/>
    </row>
    <row r="844" spans="1:24" ht="45" customHeight="1" x14ac:dyDescent="0.4">
      <c r="A844" s="75"/>
      <c r="B844" s="76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6"/>
      <c r="W844" s="77"/>
      <c r="X844" s="77"/>
    </row>
    <row r="845" spans="1:24" ht="45" customHeight="1" x14ac:dyDescent="0.4">
      <c r="A845" s="72"/>
      <c r="B845" s="73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3"/>
      <c r="W845" s="74"/>
      <c r="X845" s="74"/>
    </row>
    <row r="846" spans="1:24" ht="45" customHeight="1" x14ac:dyDescent="0.4">
      <c r="A846" s="75"/>
      <c r="B846" s="76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6"/>
      <c r="W846" s="77"/>
      <c r="X846" s="77"/>
    </row>
    <row r="847" spans="1:24" ht="45" customHeight="1" x14ac:dyDescent="0.4">
      <c r="A847" s="72"/>
      <c r="B847" s="73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3"/>
      <c r="W847" s="74"/>
      <c r="X847" s="74"/>
    </row>
    <row r="848" spans="1:24" ht="45" customHeight="1" x14ac:dyDescent="0.4">
      <c r="A848" s="75"/>
      <c r="B848" s="76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6"/>
      <c r="W848" s="77"/>
      <c r="X848" s="77"/>
    </row>
    <row r="849" spans="1:24" ht="45" customHeight="1" x14ac:dyDescent="0.4">
      <c r="A849" s="72"/>
      <c r="B849" s="73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3"/>
      <c r="W849" s="74"/>
      <c r="X849" s="74"/>
    </row>
    <row r="850" spans="1:24" ht="45" customHeight="1" x14ac:dyDescent="0.4">
      <c r="A850" s="75"/>
      <c r="B850" s="76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6"/>
      <c r="W850" s="77"/>
      <c r="X850" s="77"/>
    </row>
    <row r="851" spans="1:24" ht="45" customHeight="1" x14ac:dyDescent="0.4">
      <c r="A851" s="72"/>
      <c r="B851" s="73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3"/>
      <c r="W851" s="74"/>
      <c r="X851" s="74"/>
    </row>
    <row r="852" spans="1:24" ht="45" customHeight="1" x14ac:dyDescent="0.4">
      <c r="A852" s="75"/>
      <c r="B852" s="76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6"/>
      <c r="W852" s="77"/>
      <c r="X852" s="77"/>
    </row>
    <row r="853" spans="1:24" ht="45" customHeight="1" x14ac:dyDescent="0.4">
      <c r="A853" s="72"/>
      <c r="B853" s="73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3"/>
      <c r="W853" s="74"/>
      <c r="X853" s="74"/>
    </row>
    <row r="854" spans="1:24" ht="45" customHeight="1" x14ac:dyDescent="0.4">
      <c r="A854" s="75"/>
      <c r="B854" s="76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6"/>
      <c r="W854" s="77"/>
      <c r="X854" s="77"/>
    </row>
    <row r="855" spans="1:24" ht="45" customHeight="1" x14ac:dyDescent="0.4">
      <c r="A855" s="72"/>
      <c r="B855" s="73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3"/>
      <c r="W855" s="74"/>
      <c r="X855" s="74"/>
    </row>
    <row r="856" spans="1:24" ht="45" customHeight="1" x14ac:dyDescent="0.4">
      <c r="A856" s="75"/>
      <c r="B856" s="76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6"/>
      <c r="W856" s="77"/>
      <c r="X856" s="77"/>
    </row>
    <row r="857" spans="1:24" ht="45" customHeight="1" x14ac:dyDescent="0.4">
      <c r="A857" s="72"/>
      <c r="B857" s="73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3"/>
      <c r="W857" s="74"/>
      <c r="X857" s="74"/>
    </row>
    <row r="858" spans="1:24" ht="45" customHeight="1" x14ac:dyDescent="0.4">
      <c r="A858" s="75"/>
      <c r="B858" s="76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6"/>
      <c r="W858" s="77"/>
      <c r="X858" s="77"/>
    </row>
    <row r="859" spans="1:24" ht="45" customHeight="1" x14ac:dyDescent="0.4">
      <c r="A859" s="72"/>
      <c r="B859" s="73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3"/>
      <c r="W859" s="74"/>
      <c r="X859" s="74"/>
    </row>
    <row r="860" spans="1:24" ht="45" customHeight="1" x14ac:dyDescent="0.4">
      <c r="A860" s="75"/>
      <c r="B860" s="76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6"/>
      <c r="W860" s="77"/>
      <c r="X860" s="77"/>
    </row>
    <row r="861" spans="1:24" ht="45" customHeight="1" x14ac:dyDescent="0.4">
      <c r="A861" s="72"/>
      <c r="B861" s="73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3"/>
      <c r="W861" s="74"/>
      <c r="X861" s="74"/>
    </row>
    <row r="862" spans="1:24" ht="45" customHeight="1" x14ac:dyDescent="0.4">
      <c r="A862" s="75"/>
      <c r="B862" s="76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6"/>
      <c r="W862" s="77"/>
      <c r="X862" s="77"/>
    </row>
    <row r="863" spans="1:24" ht="45" customHeight="1" x14ac:dyDescent="0.4">
      <c r="A863" s="72"/>
      <c r="B863" s="73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3"/>
      <c r="W863" s="74"/>
      <c r="X863" s="74"/>
    </row>
    <row r="864" spans="1:24" ht="45" customHeight="1" x14ac:dyDescent="0.4">
      <c r="A864" s="75"/>
      <c r="B864" s="76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6"/>
      <c r="W864" s="77"/>
      <c r="X864" s="77"/>
    </row>
    <row r="865" spans="1:24" ht="45" customHeight="1" x14ac:dyDescent="0.4">
      <c r="A865" s="72"/>
      <c r="B865" s="73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3"/>
      <c r="W865" s="74"/>
      <c r="X865" s="74"/>
    </row>
    <row r="866" spans="1:24" ht="45" customHeight="1" x14ac:dyDescent="0.4">
      <c r="A866" s="75"/>
      <c r="B866" s="76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6"/>
      <c r="W866" s="77"/>
      <c r="X866" s="77"/>
    </row>
    <row r="867" spans="1:24" ht="45" customHeight="1" x14ac:dyDescent="0.4">
      <c r="A867" s="72"/>
      <c r="B867" s="73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3"/>
      <c r="W867" s="74"/>
      <c r="X867" s="74"/>
    </row>
    <row r="868" spans="1:24" ht="45" customHeight="1" x14ac:dyDescent="0.4">
      <c r="A868" s="75"/>
      <c r="B868" s="76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6"/>
      <c r="W868" s="77"/>
      <c r="X868" s="77"/>
    </row>
    <row r="869" spans="1:24" ht="45" customHeight="1" x14ac:dyDescent="0.4">
      <c r="A869" s="72"/>
      <c r="B869" s="73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3"/>
      <c r="W869" s="74"/>
      <c r="X869" s="74"/>
    </row>
    <row r="870" spans="1:24" ht="45" customHeight="1" x14ac:dyDescent="0.4">
      <c r="A870" s="75"/>
      <c r="B870" s="76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6"/>
      <c r="W870" s="77"/>
      <c r="X870" s="77"/>
    </row>
    <row r="871" spans="1:24" ht="45" customHeight="1" x14ac:dyDescent="0.4">
      <c r="A871" s="72"/>
      <c r="B871" s="73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3"/>
      <c r="W871" s="74"/>
      <c r="X871" s="74"/>
    </row>
    <row r="872" spans="1:24" ht="45" customHeight="1" x14ac:dyDescent="0.4">
      <c r="A872" s="75"/>
      <c r="B872" s="76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6"/>
      <c r="W872" s="77"/>
      <c r="X872" s="77"/>
    </row>
    <row r="873" spans="1:24" ht="45" customHeight="1" x14ac:dyDescent="0.4">
      <c r="A873" s="72"/>
      <c r="B873" s="73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3"/>
      <c r="W873" s="74"/>
      <c r="X873" s="74"/>
    </row>
    <row r="874" spans="1:24" ht="45" customHeight="1" x14ac:dyDescent="0.4">
      <c r="A874" s="75"/>
      <c r="B874" s="76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6"/>
      <c r="W874" s="77"/>
      <c r="X874" s="77"/>
    </row>
    <row r="875" spans="1:24" ht="45" customHeight="1" x14ac:dyDescent="0.4">
      <c r="A875" s="72"/>
      <c r="B875" s="73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3"/>
      <c r="W875" s="74"/>
      <c r="X875" s="74"/>
    </row>
    <row r="876" spans="1:24" ht="45" customHeight="1" x14ac:dyDescent="0.4">
      <c r="A876" s="75"/>
      <c r="B876" s="76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6"/>
      <c r="W876" s="77"/>
      <c r="X876" s="77"/>
    </row>
    <row r="877" spans="1:24" ht="45" customHeight="1" x14ac:dyDescent="0.4">
      <c r="A877" s="72"/>
      <c r="B877" s="73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3"/>
      <c r="W877" s="74"/>
      <c r="X877" s="74"/>
    </row>
    <row r="878" spans="1:24" ht="45" customHeight="1" x14ac:dyDescent="0.4">
      <c r="A878" s="75"/>
      <c r="B878" s="76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6"/>
      <c r="W878" s="77"/>
      <c r="X878" s="77"/>
    </row>
    <row r="879" spans="1:24" ht="45" customHeight="1" x14ac:dyDescent="0.4">
      <c r="A879" s="72"/>
      <c r="B879" s="73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3"/>
      <c r="W879" s="74"/>
      <c r="X879" s="74"/>
    </row>
    <row r="880" spans="1:24" ht="45" customHeight="1" x14ac:dyDescent="0.4">
      <c r="A880" s="75"/>
      <c r="B880" s="76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6"/>
      <c r="W880" s="77"/>
      <c r="X880" s="77"/>
    </row>
    <row r="881" spans="1:24" ht="45" customHeight="1" x14ac:dyDescent="0.4">
      <c r="A881" s="72"/>
      <c r="B881" s="73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3"/>
      <c r="W881" s="74"/>
      <c r="X881" s="74"/>
    </row>
    <row r="882" spans="1:24" ht="45" customHeight="1" x14ac:dyDescent="0.4">
      <c r="A882" s="75"/>
      <c r="B882" s="76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6"/>
      <c r="W882" s="77"/>
      <c r="X882" s="77"/>
    </row>
    <row r="883" spans="1:24" ht="45" customHeight="1" x14ac:dyDescent="0.4">
      <c r="A883" s="72"/>
      <c r="B883" s="73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3"/>
      <c r="W883" s="74"/>
      <c r="X883" s="74"/>
    </row>
    <row r="884" spans="1:24" ht="45" customHeight="1" x14ac:dyDescent="0.4">
      <c r="A884" s="75"/>
      <c r="B884" s="76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6"/>
      <c r="W884" s="77"/>
      <c r="X884" s="77"/>
    </row>
    <row r="885" spans="1:24" ht="45" customHeight="1" x14ac:dyDescent="0.4">
      <c r="A885" s="72"/>
      <c r="B885" s="73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3"/>
      <c r="W885" s="74"/>
      <c r="X885" s="74"/>
    </row>
    <row r="886" spans="1:24" ht="45" customHeight="1" x14ac:dyDescent="0.4">
      <c r="A886" s="75"/>
      <c r="B886" s="76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6"/>
      <c r="W886" s="77"/>
      <c r="X886" s="77"/>
    </row>
    <row r="887" spans="1:24" ht="45" customHeight="1" x14ac:dyDescent="0.4">
      <c r="A887" s="72"/>
      <c r="B887" s="73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3"/>
      <c r="W887" s="74"/>
      <c r="X887" s="74"/>
    </row>
    <row r="888" spans="1:24" ht="45" customHeight="1" x14ac:dyDescent="0.4">
      <c r="A888" s="75"/>
      <c r="B888" s="76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6"/>
      <c r="W888" s="77"/>
      <c r="X888" s="77"/>
    </row>
    <row r="889" spans="1:24" ht="45" customHeight="1" x14ac:dyDescent="0.4">
      <c r="A889" s="72"/>
      <c r="B889" s="73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3"/>
      <c r="W889" s="74"/>
      <c r="X889" s="74"/>
    </row>
    <row r="890" spans="1:24" ht="45" customHeight="1" x14ac:dyDescent="0.4">
      <c r="A890" s="75"/>
      <c r="B890" s="76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6"/>
      <c r="W890" s="77"/>
      <c r="X890" s="77"/>
    </row>
    <row r="891" spans="1:24" ht="45" customHeight="1" x14ac:dyDescent="0.4">
      <c r="A891" s="72"/>
      <c r="B891" s="73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3"/>
      <c r="W891" s="74"/>
      <c r="X891" s="74"/>
    </row>
    <row r="892" spans="1:24" ht="45" customHeight="1" x14ac:dyDescent="0.4">
      <c r="A892" s="75"/>
      <c r="B892" s="76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6"/>
      <c r="W892" s="77"/>
      <c r="X892" s="77"/>
    </row>
    <row r="893" spans="1:24" ht="45" customHeight="1" x14ac:dyDescent="0.4">
      <c r="A893" s="72"/>
      <c r="B893" s="73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3"/>
      <c r="W893" s="74"/>
      <c r="X893" s="74"/>
    </row>
    <row r="894" spans="1:24" ht="45" customHeight="1" x14ac:dyDescent="0.4">
      <c r="A894" s="75"/>
      <c r="B894" s="76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6"/>
      <c r="W894" s="77"/>
      <c r="X894" s="77"/>
    </row>
    <row r="895" spans="1:24" ht="45" customHeight="1" x14ac:dyDescent="0.4">
      <c r="A895" s="72"/>
      <c r="B895" s="73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3"/>
      <c r="W895" s="74"/>
      <c r="X895" s="74"/>
    </row>
    <row r="896" spans="1:24" ht="45" customHeight="1" x14ac:dyDescent="0.4">
      <c r="A896" s="75"/>
      <c r="B896" s="76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6"/>
      <c r="W896" s="77"/>
      <c r="X896" s="77"/>
    </row>
    <row r="897" spans="1:24" ht="45" customHeight="1" x14ac:dyDescent="0.4">
      <c r="A897" s="72"/>
      <c r="B897" s="73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3"/>
      <c r="W897" s="74"/>
      <c r="X897" s="74"/>
    </row>
    <row r="898" spans="1:24" ht="45" customHeight="1" x14ac:dyDescent="0.4">
      <c r="A898" s="75"/>
      <c r="B898" s="76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6"/>
      <c r="W898" s="77"/>
      <c r="X898" s="77"/>
    </row>
    <row r="899" spans="1:24" ht="45" customHeight="1" x14ac:dyDescent="0.4">
      <c r="A899" s="72"/>
      <c r="B899" s="73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3"/>
      <c r="W899" s="74"/>
      <c r="X899" s="74"/>
    </row>
    <row r="900" spans="1:24" ht="45" customHeight="1" x14ac:dyDescent="0.4">
      <c r="A900" s="75"/>
      <c r="B900" s="76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6"/>
      <c r="W900" s="77"/>
      <c r="X900" s="77"/>
    </row>
    <row r="901" spans="1:24" ht="45" customHeight="1" x14ac:dyDescent="0.4">
      <c r="A901" s="72"/>
      <c r="B901" s="73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3"/>
      <c r="W901" s="74"/>
      <c r="X901" s="74"/>
    </row>
    <row r="902" spans="1:24" ht="45" customHeight="1" x14ac:dyDescent="0.4">
      <c r="A902" s="75"/>
      <c r="B902" s="76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6"/>
      <c r="W902" s="77"/>
      <c r="X902" s="77"/>
    </row>
    <row r="903" spans="1:24" ht="45" customHeight="1" x14ac:dyDescent="0.4">
      <c r="A903" s="72"/>
      <c r="B903" s="73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3"/>
      <c r="W903" s="74"/>
      <c r="X903" s="74"/>
    </row>
    <row r="904" spans="1:24" ht="45" customHeight="1" x14ac:dyDescent="0.4">
      <c r="A904" s="75"/>
      <c r="B904" s="76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6"/>
      <c r="W904" s="77"/>
      <c r="X904" s="77"/>
    </row>
    <row r="905" spans="1:24" ht="45" customHeight="1" x14ac:dyDescent="0.4">
      <c r="A905" s="72"/>
      <c r="B905" s="73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3"/>
      <c r="W905" s="74"/>
      <c r="X905" s="74"/>
    </row>
    <row r="906" spans="1:24" ht="45" customHeight="1" x14ac:dyDescent="0.4">
      <c r="A906" s="75"/>
      <c r="B906" s="76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6"/>
      <c r="W906" s="77"/>
      <c r="X906" s="77"/>
    </row>
    <row r="907" spans="1:24" ht="45" customHeight="1" x14ac:dyDescent="0.4">
      <c r="A907" s="72"/>
      <c r="B907" s="73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3"/>
      <c r="W907" s="74"/>
      <c r="X907" s="74"/>
    </row>
    <row r="908" spans="1:24" ht="45" customHeight="1" x14ac:dyDescent="0.4">
      <c r="A908" s="75"/>
      <c r="B908" s="76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6"/>
      <c r="W908" s="77"/>
      <c r="X908" s="77"/>
    </row>
    <row r="909" spans="1:24" ht="45" customHeight="1" x14ac:dyDescent="0.4">
      <c r="A909" s="72"/>
      <c r="B909" s="73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3"/>
      <c r="W909" s="74"/>
      <c r="X909" s="74"/>
    </row>
    <row r="910" spans="1:24" ht="45" customHeight="1" x14ac:dyDescent="0.4">
      <c r="A910" s="75"/>
      <c r="B910" s="76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6"/>
      <c r="W910" s="77"/>
      <c r="X910" s="77"/>
    </row>
    <row r="911" spans="1:24" ht="45" customHeight="1" x14ac:dyDescent="0.4">
      <c r="A911" s="72"/>
      <c r="B911" s="73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3"/>
      <c r="W911" s="74"/>
      <c r="X911" s="74"/>
    </row>
    <row r="912" spans="1:24" ht="45" customHeight="1" x14ac:dyDescent="0.4">
      <c r="A912" s="75"/>
      <c r="B912" s="76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6"/>
      <c r="W912" s="77"/>
      <c r="X912" s="77"/>
    </row>
    <row r="913" spans="1:24" ht="45" customHeight="1" x14ac:dyDescent="0.4">
      <c r="A913" s="72"/>
      <c r="B913" s="73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3"/>
      <c r="W913" s="74"/>
      <c r="X913" s="74"/>
    </row>
    <row r="914" spans="1:24" ht="45" customHeight="1" x14ac:dyDescent="0.4">
      <c r="A914" s="75"/>
      <c r="B914" s="76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6"/>
      <c r="W914" s="77"/>
      <c r="X914" s="77"/>
    </row>
    <row r="915" spans="1:24" ht="45" customHeight="1" x14ac:dyDescent="0.4">
      <c r="A915" s="72"/>
      <c r="B915" s="73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3"/>
      <c r="W915" s="74"/>
      <c r="X915" s="74"/>
    </row>
    <row r="916" spans="1:24" ht="45" customHeight="1" x14ac:dyDescent="0.4">
      <c r="A916" s="75"/>
      <c r="B916" s="76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6"/>
      <c r="W916" s="77"/>
      <c r="X916" s="77"/>
    </row>
    <row r="917" spans="1:24" ht="45" customHeight="1" x14ac:dyDescent="0.4">
      <c r="A917" s="72"/>
      <c r="B917" s="73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3"/>
      <c r="W917" s="74"/>
      <c r="X917" s="74"/>
    </row>
    <row r="918" spans="1:24" ht="45" customHeight="1" x14ac:dyDescent="0.4">
      <c r="A918" s="75"/>
      <c r="B918" s="76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6"/>
      <c r="W918" s="77"/>
      <c r="X918" s="77"/>
    </row>
    <row r="919" spans="1:24" ht="45" customHeight="1" x14ac:dyDescent="0.4">
      <c r="A919" s="72"/>
      <c r="B919" s="73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3"/>
      <c r="W919" s="74"/>
      <c r="X919" s="74"/>
    </row>
    <row r="920" spans="1:24" ht="45" customHeight="1" x14ac:dyDescent="0.4">
      <c r="A920" s="75"/>
      <c r="B920" s="76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6"/>
      <c r="W920" s="77"/>
      <c r="X920" s="77"/>
    </row>
    <row r="921" spans="1:24" ht="45" customHeight="1" x14ac:dyDescent="0.4">
      <c r="A921" s="72"/>
      <c r="B921" s="73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3"/>
      <c r="W921" s="74"/>
      <c r="X921" s="74"/>
    </row>
    <row r="922" spans="1:24" ht="45" customHeight="1" x14ac:dyDescent="0.4">
      <c r="A922" s="75"/>
      <c r="B922" s="76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6"/>
      <c r="W922" s="77"/>
      <c r="X922" s="77"/>
    </row>
    <row r="923" spans="1:24" ht="45" customHeight="1" x14ac:dyDescent="0.4">
      <c r="A923" s="72"/>
      <c r="B923" s="73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3"/>
      <c r="W923" s="74"/>
      <c r="X923" s="74"/>
    </row>
    <row r="924" spans="1:24" ht="45" customHeight="1" x14ac:dyDescent="0.4">
      <c r="A924" s="75"/>
      <c r="B924" s="76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6"/>
      <c r="W924" s="77"/>
      <c r="X924" s="77"/>
    </row>
    <row r="925" spans="1:24" ht="45" customHeight="1" x14ac:dyDescent="0.4">
      <c r="A925" s="72"/>
      <c r="B925" s="73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3"/>
      <c r="W925" s="74"/>
      <c r="X925" s="74"/>
    </row>
    <row r="926" spans="1:24" ht="45" customHeight="1" x14ac:dyDescent="0.4">
      <c r="A926" s="75"/>
      <c r="B926" s="76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6"/>
      <c r="W926" s="77"/>
      <c r="X926" s="77"/>
    </row>
    <row r="927" spans="1:24" ht="45" customHeight="1" x14ac:dyDescent="0.4">
      <c r="A927" s="72"/>
      <c r="B927" s="73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3"/>
      <c r="W927" s="74"/>
      <c r="X927" s="74"/>
    </row>
    <row r="928" spans="1:24" ht="45" customHeight="1" x14ac:dyDescent="0.4">
      <c r="A928" s="75"/>
      <c r="B928" s="76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6"/>
      <c r="W928" s="77"/>
      <c r="X928" s="77"/>
    </row>
    <row r="929" spans="1:24" ht="45" customHeight="1" x14ac:dyDescent="0.4">
      <c r="A929" s="72"/>
      <c r="B929" s="73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3"/>
      <c r="W929" s="74"/>
      <c r="X929" s="74"/>
    </row>
    <row r="930" spans="1:24" ht="45" customHeight="1" x14ac:dyDescent="0.4">
      <c r="A930" s="75"/>
      <c r="B930" s="76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6"/>
      <c r="W930" s="77"/>
      <c r="X930" s="77"/>
    </row>
    <row r="931" spans="1:24" ht="45" customHeight="1" x14ac:dyDescent="0.4">
      <c r="A931" s="72"/>
      <c r="B931" s="73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3"/>
      <c r="W931" s="74"/>
      <c r="X931" s="74"/>
    </row>
    <row r="932" spans="1:24" ht="45" customHeight="1" x14ac:dyDescent="0.4">
      <c r="A932" s="75"/>
      <c r="B932" s="76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6"/>
      <c r="W932" s="77"/>
      <c r="X932" s="77"/>
    </row>
    <row r="933" spans="1:24" ht="45" customHeight="1" x14ac:dyDescent="0.4">
      <c r="A933" s="72"/>
      <c r="B933" s="73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3"/>
      <c r="W933" s="74"/>
      <c r="X933" s="74"/>
    </row>
    <row r="934" spans="1:24" ht="45" customHeight="1" x14ac:dyDescent="0.4">
      <c r="A934" s="75"/>
      <c r="B934" s="76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6"/>
      <c r="W934" s="77"/>
      <c r="X934" s="77"/>
    </row>
    <row r="935" spans="1:24" ht="45" customHeight="1" x14ac:dyDescent="0.4">
      <c r="A935" s="72"/>
      <c r="B935" s="73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3"/>
      <c r="W935" s="74"/>
      <c r="X935" s="74"/>
    </row>
    <row r="936" spans="1:24" ht="45" customHeight="1" x14ac:dyDescent="0.4">
      <c r="A936" s="75"/>
      <c r="B936" s="76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6"/>
      <c r="W936" s="77"/>
      <c r="X936" s="77"/>
    </row>
    <row r="937" spans="1:24" ht="45" customHeight="1" x14ac:dyDescent="0.4">
      <c r="A937" s="72"/>
      <c r="B937" s="73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3"/>
      <c r="W937" s="74"/>
      <c r="X937" s="74"/>
    </row>
    <row r="938" spans="1:24" ht="45" customHeight="1" x14ac:dyDescent="0.4">
      <c r="A938" s="75"/>
      <c r="B938" s="76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6"/>
      <c r="W938" s="77"/>
      <c r="X938" s="77"/>
    </row>
    <row r="939" spans="1:24" ht="45" customHeight="1" x14ac:dyDescent="0.4">
      <c r="A939" s="72"/>
      <c r="B939" s="73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3"/>
      <c r="W939" s="74"/>
      <c r="X939" s="74"/>
    </row>
    <row r="940" spans="1:24" ht="45" customHeight="1" x14ac:dyDescent="0.4">
      <c r="A940" s="75"/>
      <c r="B940" s="76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6"/>
      <c r="W940" s="77"/>
      <c r="X940" s="77"/>
    </row>
    <row r="941" spans="1:24" ht="45" customHeight="1" x14ac:dyDescent="0.4">
      <c r="A941" s="72"/>
      <c r="B941" s="73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3"/>
      <c r="W941" s="74"/>
      <c r="X941" s="74"/>
    </row>
    <row r="942" spans="1:24" ht="45" customHeight="1" x14ac:dyDescent="0.4">
      <c r="A942" s="75"/>
      <c r="B942" s="76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6"/>
      <c r="W942" s="77"/>
      <c r="X942" s="77"/>
    </row>
    <row r="943" spans="1:24" ht="45" customHeight="1" x14ac:dyDescent="0.4">
      <c r="A943" s="72"/>
      <c r="B943" s="73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3"/>
      <c r="W943" s="74"/>
      <c r="X943" s="74"/>
    </row>
    <row r="944" spans="1:24" ht="45" customHeight="1" x14ac:dyDescent="0.4">
      <c r="A944" s="75"/>
      <c r="B944" s="76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6"/>
      <c r="W944" s="77"/>
      <c r="X944" s="77"/>
    </row>
    <row r="945" spans="1:24" ht="45" customHeight="1" x14ac:dyDescent="0.4">
      <c r="A945" s="72"/>
      <c r="B945" s="73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3"/>
      <c r="W945" s="74"/>
      <c r="X945" s="74"/>
    </row>
    <row r="946" spans="1:24" ht="45" customHeight="1" x14ac:dyDescent="0.4">
      <c r="A946" s="75"/>
      <c r="B946" s="76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6"/>
      <c r="W946" s="77"/>
      <c r="X946" s="77"/>
    </row>
    <row r="947" spans="1:24" ht="45" customHeight="1" x14ac:dyDescent="0.4">
      <c r="A947" s="72"/>
      <c r="B947" s="73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3"/>
      <c r="W947" s="74"/>
      <c r="X947" s="74"/>
    </row>
    <row r="948" spans="1:24" ht="45" customHeight="1" x14ac:dyDescent="0.4">
      <c r="A948" s="75"/>
      <c r="B948" s="76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6"/>
      <c r="W948" s="77"/>
      <c r="X948" s="77"/>
    </row>
    <row r="949" spans="1:24" ht="45" customHeight="1" x14ac:dyDescent="0.4">
      <c r="A949" s="72"/>
      <c r="B949" s="73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3"/>
      <c r="W949" s="74"/>
      <c r="X949" s="74"/>
    </row>
    <row r="950" spans="1:24" ht="45" customHeight="1" x14ac:dyDescent="0.4">
      <c r="A950" s="75"/>
      <c r="B950" s="76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6"/>
      <c r="W950" s="77"/>
      <c r="X950" s="77"/>
    </row>
    <row r="951" spans="1:24" ht="45" customHeight="1" x14ac:dyDescent="0.4">
      <c r="A951" s="72"/>
      <c r="B951" s="73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3"/>
      <c r="W951" s="74"/>
      <c r="X951" s="74"/>
    </row>
    <row r="952" spans="1:24" ht="45" customHeight="1" x14ac:dyDescent="0.4">
      <c r="A952" s="75"/>
      <c r="B952" s="76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6"/>
      <c r="W952" s="77"/>
      <c r="X952" s="77"/>
    </row>
    <row r="953" spans="1:24" ht="45" customHeight="1" x14ac:dyDescent="0.4">
      <c r="A953" s="72"/>
      <c r="B953" s="73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3"/>
      <c r="W953" s="74"/>
      <c r="X953" s="74"/>
    </row>
    <row r="954" spans="1:24" ht="45" customHeight="1" x14ac:dyDescent="0.4">
      <c r="A954" s="75"/>
      <c r="B954" s="76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6"/>
      <c r="W954" s="77"/>
      <c r="X954" s="77"/>
    </row>
    <row r="955" spans="1:24" ht="45" customHeight="1" x14ac:dyDescent="0.4">
      <c r="A955" s="72"/>
      <c r="B955" s="73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3"/>
      <c r="W955" s="74"/>
      <c r="X955" s="74"/>
    </row>
    <row r="956" spans="1:24" ht="45" customHeight="1" x14ac:dyDescent="0.4">
      <c r="A956" s="75"/>
      <c r="B956" s="76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6"/>
      <c r="W956" s="77"/>
      <c r="X956" s="77"/>
    </row>
    <row r="957" spans="1:24" ht="45" customHeight="1" x14ac:dyDescent="0.4">
      <c r="A957" s="72"/>
      <c r="B957" s="73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3"/>
      <c r="W957" s="74"/>
      <c r="X957" s="74"/>
    </row>
    <row r="958" spans="1:24" ht="45" customHeight="1" x14ac:dyDescent="0.4">
      <c r="A958" s="75"/>
      <c r="B958" s="76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6"/>
      <c r="W958" s="77"/>
      <c r="X958" s="77"/>
    </row>
    <row r="959" spans="1:24" ht="45" customHeight="1" x14ac:dyDescent="0.4">
      <c r="A959" s="72"/>
      <c r="B959" s="73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3"/>
      <c r="W959" s="74"/>
      <c r="X959" s="74"/>
    </row>
    <row r="960" spans="1:24" ht="45" customHeight="1" x14ac:dyDescent="0.4">
      <c r="A960" s="75"/>
      <c r="B960" s="76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6"/>
      <c r="W960" s="77"/>
      <c r="X960" s="77"/>
    </row>
    <row r="961" spans="1:24" ht="45" customHeight="1" x14ac:dyDescent="0.4">
      <c r="A961" s="72"/>
      <c r="B961" s="73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3"/>
      <c r="W961" s="74"/>
      <c r="X961" s="74"/>
    </row>
    <row r="962" spans="1:24" ht="45" customHeight="1" x14ac:dyDescent="0.4">
      <c r="A962" s="75"/>
      <c r="B962" s="76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6"/>
      <c r="W962" s="77"/>
      <c r="X962" s="77"/>
    </row>
    <row r="963" spans="1:24" ht="45" customHeight="1" x14ac:dyDescent="0.4">
      <c r="A963" s="72"/>
      <c r="B963" s="73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3"/>
      <c r="W963" s="74"/>
      <c r="X963" s="74"/>
    </row>
    <row r="964" spans="1:24" ht="45" customHeight="1" x14ac:dyDescent="0.4">
      <c r="A964" s="75"/>
      <c r="B964" s="76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6"/>
      <c r="W964" s="77"/>
      <c r="X964" s="77"/>
    </row>
    <row r="965" spans="1:24" ht="45" customHeight="1" x14ac:dyDescent="0.4">
      <c r="A965" s="72"/>
      <c r="B965" s="73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3"/>
      <c r="W965" s="74"/>
      <c r="X965" s="74"/>
    </row>
    <row r="966" spans="1:24" ht="45" customHeight="1" x14ac:dyDescent="0.4">
      <c r="A966" s="75"/>
      <c r="B966" s="76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6"/>
      <c r="W966" s="77"/>
      <c r="X966" s="77"/>
    </row>
    <row r="967" spans="1:24" ht="45" customHeight="1" x14ac:dyDescent="0.4">
      <c r="A967" s="72"/>
      <c r="B967" s="73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3"/>
      <c r="W967" s="74"/>
      <c r="X967" s="74"/>
    </row>
    <row r="968" spans="1:24" ht="45" customHeight="1" x14ac:dyDescent="0.4">
      <c r="A968" s="75"/>
      <c r="B968" s="76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6"/>
      <c r="W968" s="77"/>
      <c r="X968" s="77"/>
    </row>
    <row r="969" spans="1:24" ht="45" customHeight="1" x14ac:dyDescent="0.4">
      <c r="A969" s="72"/>
      <c r="B969" s="73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3"/>
      <c r="W969" s="74"/>
      <c r="X969" s="74"/>
    </row>
    <row r="970" spans="1:24" ht="45" customHeight="1" x14ac:dyDescent="0.4">
      <c r="A970" s="75"/>
      <c r="B970" s="76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6"/>
      <c r="W970" s="77"/>
      <c r="X970" s="77"/>
    </row>
    <row r="971" spans="1:24" ht="45" customHeight="1" x14ac:dyDescent="0.4">
      <c r="A971" s="72"/>
      <c r="B971" s="73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3"/>
      <c r="W971" s="74"/>
      <c r="X971" s="74"/>
    </row>
    <row r="972" spans="1:24" ht="45" customHeight="1" x14ac:dyDescent="0.4">
      <c r="A972" s="75"/>
      <c r="B972" s="76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6"/>
      <c r="W972" s="77"/>
      <c r="X972" s="77"/>
    </row>
    <row r="973" spans="1:24" ht="45" customHeight="1" x14ac:dyDescent="0.4">
      <c r="A973" s="72"/>
      <c r="B973" s="73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3"/>
      <c r="W973" s="74"/>
      <c r="X973" s="74"/>
    </row>
    <row r="974" spans="1:24" ht="45" customHeight="1" x14ac:dyDescent="0.4">
      <c r="A974" s="75"/>
      <c r="B974" s="76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6"/>
      <c r="W974" s="77"/>
      <c r="X974" s="77"/>
    </row>
    <row r="975" spans="1:24" ht="45" customHeight="1" x14ac:dyDescent="0.4">
      <c r="A975" s="72"/>
      <c r="B975" s="73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3"/>
      <c r="W975" s="74"/>
      <c r="X975" s="74"/>
    </row>
    <row r="976" spans="1:24" ht="45" customHeight="1" x14ac:dyDescent="0.4">
      <c r="A976" s="75"/>
      <c r="B976" s="76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6"/>
      <c r="W976" s="77"/>
      <c r="X976" s="77"/>
    </row>
    <row r="977" spans="1:24" ht="45" customHeight="1" x14ac:dyDescent="0.4">
      <c r="A977" s="72"/>
      <c r="B977" s="73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3"/>
      <c r="W977" s="74"/>
      <c r="X977" s="74"/>
    </row>
    <row r="978" spans="1:24" ht="45" customHeight="1" x14ac:dyDescent="0.4">
      <c r="A978" s="75"/>
      <c r="B978" s="76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6"/>
      <c r="W978" s="77"/>
      <c r="X978" s="77"/>
    </row>
    <row r="979" spans="1:24" ht="45" customHeight="1" x14ac:dyDescent="0.4">
      <c r="A979" s="72"/>
      <c r="B979" s="73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3"/>
      <c r="W979" s="74"/>
      <c r="X979" s="74"/>
    </row>
    <row r="980" spans="1:24" ht="45" customHeight="1" x14ac:dyDescent="0.4">
      <c r="A980" s="75"/>
      <c r="B980" s="76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6"/>
      <c r="W980" s="77"/>
      <c r="X980" s="77"/>
    </row>
    <row r="981" spans="1:24" ht="45" customHeight="1" x14ac:dyDescent="0.4">
      <c r="A981" s="72"/>
      <c r="B981" s="73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3"/>
      <c r="W981" s="74"/>
      <c r="X981" s="74"/>
    </row>
    <row r="982" spans="1:24" ht="45" customHeight="1" x14ac:dyDescent="0.4">
      <c r="A982" s="75"/>
      <c r="B982" s="76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6"/>
      <c r="W982" s="77"/>
      <c r="X982" s="77"/>
    </row>
    <row r="983" spans="1:24" ht="45" customHeight="1" x14ac:dyDescent="0.4">
      <c r="A983" s="72"/>
      <c r="B983" s="73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3"/>
      <c r="W983" s="74"/>
      <c r="X983" s="74"/>
    </row>
    <row r="984" spans="1:24" ht="45" customHeight="1" x14ac:dyDescent="0.4">
      <c r="A984" s="75"/>
      <c r="B984" s="76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6"/>
      <c r="W984" s="77"/>
      <c r="X984" s="77"/>
    </row>
    <row r="985" spans="1:24" ht="45" customHeight="1" x14ac:dyDescent="0.4">
      <c r="A985" s="72"/>
      <c r="B985" s="73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3"/>
      <c r="W985" s="74"/>
      <c r="X985" s="74"/>
    </row>
    <row r="986" spans="1:24" ht="45" customHeight="1" x14ac:dyDescent="0.4">
      <c r="A986" s="75"/>
      <c r="B986" s="76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6"/>
      <c r="W986" s="77"/>
      <c r="X986" s="77"/>
    </row>
    <row r="987" spans="1:24" ht="45" customHeight="1" x14ac:dyDescent="0.4">
      <c r="A987" s="72"/>
      <c r="B987" s="73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3"/>
      <c r="W987" s="74"/>
      <c r="X987" s="74"/>
    </row>
    <row r="988" spans="1:24" ht="45" customHeight="1" x14ac:dyDescent="0.4">
      <c r="A988" s="75"/>
      <c r="B988" s="76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6"/>
      <c r="W988" s="77"/>
      <c r="X988" s="77"/>
    </row>
    <row r="989" spans="1:24" ht="45" customHeight="1" x14ac:dyDescent="0.4">
      <c r="A989" s="72"/>
      <c r="B989" s="73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3"/>
      <c r="W989" s="74"/>
      <c r="X989" s="74"/>
    </row>
    <row r="990" spans="1:24" ht="45" customHeight="1" x14ac:dyDescent="0.4">
      <c r="A990" s="75"/>
      <c r="B990" s="76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6"/>
      <c r="W990" s="77"/>
      <c r="X990" s="77"/>
    </row>
    <row r="991" spans="1:24" ht="45" customHeight="1" x14ac:dyDescent="0.4">
      <c r="A991" s="72"/>
      <c r="B991" s="73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3"/>
      <c r="W991" s="74"/>
      <c r="X991" s="74"/>
    </row>
    <row r="992" spans="1:24" ht="45" customHeight="1" x14ac:dyDescent="0.4">
      <c r="A992" s="75"/>
      <c r="B992" s="76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6"/>
      <c r="W992" s="77"/>
      <c r="X992" s="77"/>
    </row>
    <row r="993" spans="1:24" ht="45" customHeight="1" x14ac:dyDescent="0.4">
      <c r="A993" s="72"/>
      <c r="B993" s="73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3"/>
      <c r="W993" s="74"/>
      <c r="X993" s="74"/>
    </row>
    <row r="994" spans="1:24" ht="45" customHeight="1" x14ac:dyDescent="0.4">
      <c r="A994" s="75"/>
      <c r="B994" s="76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6"/>
      <c r="W994" s="77"/>
      <c r="X994" s="77"/>
    </row>
    <row r="995" spans="1:24" ht="45" customHeight="1" x14ac:dyDescent="0.4">
      <c r="A995" s="72"/>
      <c r="B995" s="73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3"/>
      <c r="W995" s="74"/>
      <c r="X995" s="74"/>
    </row>
    <row r="996" spans="1:24" ht="45" customHeight="1" x14ac:dyDescent="0.4">
      <c r="A996" s="75"/>
      <c r="B996" s="76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6"/>
      <c r="W996" s="77"/>
      <c r="X996" s="77"/>
    </row>
    <row r="997" spans="1:24" ht="45" customHeight="1" x14ac:dyDescent="0.4">
      <c r="A997" s="72"/>
      <c r="B997" s="73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3"/>
      <c r="W997" s="74"/>
      <c r="X997" s="74"/>
    </row>
    <row r="998" spans="1:24" ht="45" customHeight="1" x14ac:dyDescent="0.4">
      <c r="A998" s="75"/>
      <c r="B998" s="76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6"/>
      <c r="W998" s="77"/>
      <c r="X998" s="77"/>
    </row>
    <row r="999" spans="1:24" ht="45" customHeight="1" x14ac:dyDescent="0.4">
      <c r="A999" s="72"/>
      <c r="B999" s="73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3"/>
      <c r="W999" s="74"/>
      <c r="X999" s="74"/>
    </row>
    <row r="1000" spans="1:24" ht="45" customHeight="1" x14ac:dyDescent="0.4">
      <c r="A1000" s="75"/>
      <c r="B1000" s="76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6"/>
      <c r="W1000" s="77"/>
      <c r="X1000" s="77"/>
    </row>
    <row r="1001" spans="1:24" ht="45" customHeight="1" x14ac:dyDescent="0.4">
      <c r="A1001" s="72"/>
      <c r="B1001" s="73"/>
      <c r="C1001" s="74"/>
      <c r="D1001" s="74"/>
      <c r="E1001" s="74"/>
      <c r="F1001" s="74"/>
      <c r="G1001" s="74"/>
      <c r="H1001" s="74"/>
      <c r="I1001" s="74"/>
      <c r="J1001" s="74"/>
      <c r="K1001" s="74"/>
      <c r="L1001" s="74"/>
      <c r="M1001" s="74"/>
      <c r="N1001" s="74"/>
      <c r="O1001" s="74"/>
      <c r="P1001" s="74"/>
      <c r="Q1001" s="74"/>
      <c r="R1001" s="74"/>
      <c r="S1001" s="74"/>
      <c r="T1001" s="74"/>
      <c r="U1001" s="74"/>
      <c r="V1001" s="73"/>
      <c r="W1001" s="74"/>
      <c r="X1001" s="74"/>
    </row>
    <row r="1002" spans="1:24" ht="45" customHeight="1" x14ac:dyDescent="0.4">
      <c r="A1002" s="75"/>
      <c r="B1002" s="76"/>
      <c r="C1002" s="77"/>
      <c r="D1002" s="77"/>
      <c r="E1002" s="77"/>
      <c r="F1002" s="77"/>
      <c r="G1002" s="77"/>
      <c r="H1002" s="77"/>
      <c r="I1002" s="77"/>
      <c r="J1002" s="77"/>
      <c r="K1002" s="77"/>
      <c r="L1002" s="77"/>
      <c r="M1002" s="77"/>
      <c r="N1002" s="77"/>
      <c r="O1002" s="77"/>
      <c r="P1002" s="77"/>
      <c r="Q1002" s="77"/>
      <c r="R1002" s="77"/>
      <c r="S1002" s="77"/>
      <c r="T1002" s="77"/>
      <c r="U1002" s="77"/>
      <c r="V1002" s="76"/>
      <c r="W1002" s="77"/>
      <c r="X1002" s="77"/>
    </row>
    <row r="1003" spans="1:24" ht="45" customHeight="1" x14ac:dyDescent="0.4">
      <c r="A1003" s="72"/>
      <c r="B1003" s="73"/>
      <c r="C1003" s="74"/>
      <c r="D1003" s="74"/>
      <c r="E1003" s="74"/>
      <c r="F1003" s="74"/>
      <c r="G1003" s="74"/>
      <c r="H1003" s="74"/>
      <c r="I1003" s="74"/>
      <c r="J1003" s="74"/>
      <c r="K1003" s="74"/>
      <c r="L1003" s="74"/>
      <c r="M1003" s="74"/>
      <c r="N1003" s="74"/>
      <c r="O1003" s="74"/>
      <c r="P1003" s="74"/>
      <c r="Q1003" s="74"/>
      <c r="R1003" s="74"/>
      <c r="S1003" s="74"/>
      <c r="T1003" s="74"/>
      <c r="U1003" s="74"/>
      <c r="V1003" s="73"/>
      <c r="W1003" s="74"/>
      <c r="X1003" s="74"/>
    </row>
    <row r="1004" spans="1:24" ht="45" customHeight="1" x14ac:dyDescent="0.4">
      <c r="A1004" s="75"/>
      <c r="B1004" s="76"/>
      <c r="C1004" s="77"/>
      <c r="D1004" s="77"/>
      <c r="E1004" s="77"/>
      <c r="F1004" s="77"/>
      <c r="G1004" s="77"/>
      <c r="H1004" s="77"/>
      <c r="I1004" s="77"/>
      <c r="J1004" s="77"/>
      <c r="K1004" s="77"/>
      <c r="L1004" s="77"/>
      <c r="M1004" s="77"/>
      <c r="N1004" s="77"/>
      <c r="O1004" s="77"/>
      <c r="P1004" s="77"/>
      <c r="Q1004" s="77"/>
      <c r="R1004" s="77"/>
      <c r="S1004" s="77"/>
      <c r="T1004" s="77"/>
      <c r="U1004" s="77"/>
      <c r="V1004" s="76"/>
      <c r="W1004" s="77"/>
      <c r="X1004" s="77"/>
    </row>
    <row r="1005" spans="1:24" ht="45" customHeight="1" x14ac:dyDescent="0.4">
      <c r="A1005" s="72"/>
      <c r="B1005" s="73"/>
      <c r="C1005" s="74"/>
      <c r="D1005" s="74"/>
      <c r="E1005" s="74"/>
      <c r="F1005" s="74"/>
      <c r="G1005" s="74"/>
      <c r="H1005" s="74"/>
      <c r="I1005" s="74"/>
      <c r="J1005" s="74"/>
      <c r="K1005" s="74"/>
      <c r="L1005" s="74"/>
      <c r="M1005" s="74"/>
      <c r="N1005" s="74"/>
      <c r="O1005" s="74"/>
      <c r="P1005" s="74"/>
      <c r="Q1005" s="74"/>
      <c r="R1005" s="74"/>
      <c r="S1005" s="74"/>
      <c r="T1005" s="74"/>
      <c r="U1005" s="74"/>
      <c r="V1005" s="73"/>
      <c r="W1005" s="74"/>
      <c r="X1005" s="74"/>
    </row>
    <row r="1006" spans="1:24" ht="45" customHeight="1" x14ac:dyDescent="0.4">
      <c r="A1006" s="75"/>
      <c r="B1006" s="76"/>
      <c r="C1006" s="77"/>
      <c r="D1006" s="77"/>
      <c r="E1006" s="77"/>
      <c r="F1006" s="77"/>
      <c r="G1006" s="77"/>
      <c r="H1006" s="77"/>
      <c r="I1006" s="77"/>
      <c r="J1006" s="77"/>
      <c r="K1006" s="77"/>
      <c r="L1006" s="77"/>
      <c r="M1006" s="77"/>
      <c r="N1006" s="77"/>
      <c r="O1006" s="77"/>
      <c r="P1006" s="77"/>
      <c r="Q1006" s="77"/>
      <c r="R1006" s="77"/>
      <c r="S1006" s="77"/>
      <c r="T1006" s="77"/>
      <c r="U1006" s="77"/>
      <c r="V1006" s="76"/>
      <c r="W1006" s="77"/>
      <c r="X1006" s="77"/>
    </row>
    <row r="1007" spans="1:24" ht="45" customHeight="1" x14ac:dyDescent="0.4">
      <c r="A1007" s="72"/>
      <c r="B1007" s="73"/>
      <c r="C1007" s="74"/>
      <c r="D1007" s="74"/>
      <c r="E1007" s="74"/>
      <c r="F1007" s="74"/>
      <c r="G1007" s="74"/>
      <c r="H1007" s="74"/>
      <c r="I1007" s="74"/>
      <c r="J1007" s="74"/>
      <c r="K1007" s="74"/>
      <c r="L1007" s="74"/>
      <c r="M1007" s="74"/>
      <c r="N1007" s="74"/>
      <c r="O1007" s="74"/>
      <c r="P1007" s="74"/>
      <c r="Q1007" s="74"/>
      <c r="R1007" s="74"/>
      <c r="S1007" s="74"/>
      <c r="T1007" s="74"/>
      <c r="U1007" s="74"/>
      <c r="V1007" s="73"/>
      <c r="W1007" s="74"/>
      <c r="X1007" s="74"/>
    </row>
    <row r="1008" spans="1:24" ht="45" customHeight="1" x14ac:dyDescent="0.4">
      <c r="A1008" s="75"/>
      <c r="B1008" s="76"/>
      <c r="C1008" s="77"/>
      <c r="D1008" s="77"/>
      <c r="E1008" s="77"/>
      <c r="F1008" s="77"/>
      <c r="G1008" s="77"/>
      <c r="H1008" s="77"/>
      <c r="I1008" s="77"/>
      <c r="J1008" s="77"/>
      <c r="K1008" s="77"/>
      <c r="L1008" s="77"/>
      <c r="M1008" s="77"/>
      <c r="N1008" s="77"/>
      <c r="O1008" s="77"/>
      <c r="P1008" s="77"/>
      <c r="Q1008" s="77"/>
      <c r="R1008" s="77"/>
      <c r="S1008" s="77"/>
      <c r="T1008" s="77"/>
      <c r="U1008" s="77"/>
      <c r="V1008" s="76"/>
      <c r="W1008" s="77"/>
      <c r="X1008" s="77"/>
    </row>
    <row r="1009" spans="1:24" ht="45" customHeight="1" x14ac:dyDescent="0.4">
      <c r="A1009" s="72"/>
      <c r="B1009" s="73"/>
      <c r="C1009" s="74"/>
      <c r="D1009" s="74"/>
      <c r="E1009" s="74"/>
      <c r="F1009" s="74"/>
      <c r="G1009" s="74"/>
      <c r="H1009" s="74"/>
      <c r="I1009" s="74"/>
      <c r="J1009" s="74"/>
      <c r="K1009" s="74"/>
      <c r="L1009" s="74"/>
      <c r="M1009" s="74"/>
      <c r="N1009" s="74"/>
      <c r="O1009" s="74"/>
      <c r="P1009" s="74"/>
      <c r="Q1009" s="74"/>
      <c r="R1009" s="74"/>
      <c r="S1009" s="74"/>
      <c r="T1009" s="74"/>
      <c r="U1009" s="74"/>
      <c r="V1009" s="73"/>
      <c r="W1009" s="74"/>
      <c r="X1009" s="74"/>
    </row>
    <row r="1010" spans="1:24" ht="45" customHeight="1" x14ac:dyDescent="0.4">
      <c r="A1010" s="75"/>
      <c r="B1010" s="76"/>
      <c r="C1010" s="77"/>
      <c r="D1010" s="77"/>
      <c r="E1010" s="77"/>
      <c r="F1010" s="77"/>
      <c r="G1010" s="77"/>
      <c r="H1010" s="77"/>
      <c r="I1010" s="77"/>
      <c r="J1010" s="77"/>
      <c r="K1010" s="77"/>
      <c r="L1010" s="77"/>
      <c r="M1010" s="77"/>
      <c r="N1010" s="77"/>
      <c r="O1010" s="77"/>
      <c r="P1010" s="77"/>
      <c r="Q1010" s="77"/>
      <c r="R1010" s="77"/>
      <c r="S1010" s="77"/>
      <c r="T1010" s="77"/>
      <c r="U1010" s="77"/>
      <c r="V1010" s="76"/>
      <c r="W1010" s="77"/>
      <c r="X1010" s="77"/>
    </row>
    <row r="1011" spans="1:24" ht="45" customHeight="1" x14ac:dyDescent="0.4">
      <c r="A1011" s="72"/>
      <c r="B1011" s="73"/>
      <c r="C1011" s="74"/>
      <c r="D1011" s="74"/>
      <c r="E1011" s="74"/>
      <c r="F1011" s="74"/>
      <c r="G1011" s="74"/>
      <c r="H1011" s="74"/>
      <c r="I1011" s="74"/>
      <c r="J1011" s="74"/>
      <c r="K1011" s="74"/>
      <c r="L1011" s="74"/>
      <c r="M1011" s="74"/>
      <c r="N1011" s="74"/>
      <c r="O1011" s="74"/>
      <c r="P1011" s="74"/>
      <c r="Q1011" s="74"/>
      <c r="R1011" s="74"/>
      <c r="S1011" s="74"/>
      <c r="T1011" s="74"/>
      <c r="U1011" s="74"/>
      <c r="V1011" s="73"/>
      <c r="W1011" s="74"/>
      <c r="X1011" s="74"/>
    </row>
    <row r="1012" spans="1:24" ht="45" customHeight="1" x14ac:dyDescent="0.4">
      <c r="A1012" s="75"/>
      <c r="B1012" s="76"/>
      <c r="C1012" s="77"/>
      <c r="D1012" s="77"/>
      <c r="E1012" s="77"/>
      <c r="F1012" s="77"/>
      <c r="G1012" s="77"/>
      <c r="H1012" s="77"/>
      <c r="I1012" s="77"/>
      <c r="J1012" s="77"/>
      <c r="K1012" s="77"/>
      <c r="L1012" s="77"/>
      <c r="M1012" s="77"/>
      <c r="N1012" s="77"/>
      <c r="O1012" s="77"/>
      <c r="P1012" s="77"/>
      <c r="Q1012" s="77"/>
      <c r="R1012" s="77"/>
      <c r="S1012" s="77"/>
      <c r="T1012" s="77"/>
      <c r="U1012" s="77"/>
      <c r="V1012" s="76"/>
      <c r="W1012" s="77"/>
      <c r="X1012" s="77"/>
    </row>
    <row r="1013" spans="1:24" ht="45" customHeight="1" x14ac:dyDescent="0.4">
      <c r="A1013" s="72"/>
      <c r="B1013" s="73"/>
      <c r="C1013" s="74"/>
      <c r="D1013" s="74"/>
      <c r="E1013" s="74"/>
      <c r="F1013" s="74"/>
      <c r="G1013" s="74"/>
      <c r="H1013" s="74"/>
      <c r="I1013" s="74"/>
      <c r="J1013" s="74"/>
      <c r="K1013" s="74"/>
      <c r="L1013" s="74"/>
      <c r="M1013" s="74"/>
      <c r="N1013" s="74"/>
      <c r="O1013" s="74"/>
      <c r="P1013" s="74"/>
      <c r="Q1013" s="74"/>
      <c r="R1013" s="74"/>
      <c r="S1013" s="74"/>
      <c r="T1013" s="74"/>
      <c r="U1013" s="74"/>
      <c r="V1013" s="73"/>
      <c r="W1013" s="74"/>
      <c r="X1013" s="74"/>
    </row>
    <row r="1014" spans="1:24" ht="45" customHeight="1" x14ac:dyDescent="0.4">
      <c r="A1014" s="75"/>
      <c r="B1014" s="76"/>
      <c r="C1014" s="77"/>
      <c r="D1014" s="77"/>
      <c r="E1014" s="77"/>
      <c r="F1014" s="77"/>
      <c r="G1014" s="77"/>
      <c r="H1014" s="77"/>
      <c r="I1014" s="77"/>
      <c r="J1014" s="77"/>
      <c r="K1014" s="77"/>
      <c r="L1014" s="77"/>
      <c r="M1014" s="77"/>
      <c r="N1014" s="77"/>
      <c r="O1014" s="77"/>
      <c r="P1014" s="77"/>
      <c r="Q1014" s="77"/>
      <c r="R1014" s="77"/>
      <c r="S1014" s="77"/>
      <c r="T1014" s="77"/>
      <c r="U1014" s="77"/>
      <c r="V1014" s="76"/>
      <c r="W1014" s="77"/>
      <c r="X1014" s="77"/>
    </row>
    <row r="1015" spans="1:24" ht="45" customHeight="1" x14ac:dyDescent="0.4">
      <c r="A1015" s="72"/>
      <c r="B1015" s="73"/>
      <c r="C1015" s="74"/>
      <c r="D1015" s="74"/>
      <c r="E1015" s="74"/>
      <c r="F1015" s="74"/>
      <c r="G1015" s="74"/>
      <c r="H1015" s="74"/>
      <c r="I1015" s="74"/>
      <c r="J1015" s="74"/>
      <c r="K1015" s="74"/>
      <c r="L1015" s="74"/>
      <c r="M1015" s="74"/>
      <c r="N1015" s="74"/>
      <c r="O1015" s="74"/>
      <c r="P1015" s="74"/>
      <c r="Q1015" s="74"/>
      <c r="R1015" s="74"/>
      <c r="S1015" s="74"/>
      <c r="T1015" s="74"/>
      <c r="U1015" s="74"/>
      <c r="V1015" s="73"/>
      <c r="W1015" s="74"/>
      <c r="X1015" s="74"/>
    </row>
    <row r="1016" spans="1:24" ht="45" customHeight="1" x14ac:dyDescent="0.4">
      <c r="A1016" s="75"/>
      <c r="B1016" s="76"/>
      <c r="C1016" s="77"/>
      <c r="D1016" s="77"/>
      <c r="E1016" s="77"/>
      <c r="F1016" s="77"/>
      <c r="G1016" s="77"/>
      <c r="H1016" s="77"/>
      <c r="I1016" s="77"/>
      <c r="J1016" s="77"/>
      <c r="K1016" s="77"/>
      <c r="L1016" s="77"/>
      <c r="M1016" s="77"/>
      <c r="N1016" s="77"/>
      <c r="O1016" s="77"/>
      <c r="P1016" s="77"/>
      <c r="Q1016" s="77"/>
      <c r="R1016" s="77"/>
      <c r="S1016" s="77"/>
      <c r="T1016" s="77"/>
      <c r="U1016" s="77"/>
      <c r="V1016" s="76"/>
      <c r="W1016" s="77"/>
      <c r="X1016" s="77"/>
    </row>
    <row r="1017" spans="1:24" ht="45" customHeight="1" x14ac:dyDescent="0.4">
      <c r="A1017" s="72"/>
      <c r="B1017" s="73"/>
      <c r="C1017" s="74"/>
      <c r="D1017" s="74"/>
      <c r="E1017" s="74"/>
      <c r="F1017" s="74"/>
      <c r="G1017" s="74"/>
      <c r="H1017" s="74"/>
      <c r="I1017" s="74"/>
      <c r="J1017" s="74"/>
      <c r="K1017" s="74"/>
      <c r="L1017" s="74"/>
      <c r="M1017" s="74"/>
      <c r="N1017" s="74"/>
      <c r="O1017" s="74"/>
      <c r="P1017" s="74"/>
      <c r="Q1017" s="74"/>
      <c r="R1017" s="74"/>
      <c r="S1017" s="74"/>
      <c r="T1017" s="74"/>
      <c r="U1017" s="74"/>
      <c r="V1017" s="73"/>
      <c r="W1017" s="74"/>
      <c r="X1017" s="74"/>
    </row>
    <row r="1018" spans="1:24" ht="45" customHeight="1" x14ac:dyDescent="0.4">
      <c r="A1018" s="75"/>
      <c r="B1018" s="76"/>
      <c r="C1018" s="77"/>
      <c r="D1018" s="77"/>
      <c r="E1018" s="77"/>
      <c r="F1018" s="77"/>
      <c r="G1018" s="77"/>
      <c r="H1018" s="77"/>
      <c r="I1018" s="77"/>
      <c r="J1018" s="77"/>
      <c r="K1018" s="77"/>
      <c r="L1018" s="77"/>
      <c r="M1018" s="77"/>
      <c r="N1018" s="77"/>
      <c r="O1018" s="77"/>
      <c r="P1018" s="77"/>
      <c r="Q1018" s="77"/>
      <c r="R1018" s="77"/>
      <c r="S1018" s="77"/>
      <c r="T1018" s="77"/>
      <c r="U1018" s="77"/>
      <c r="V1018" s="76"/>
      <c r="W1018" s="77"/>
      <c r="X1018" s="77"/>
    </row>
    <row r="1019" spans="1:24" ht="45" customHeight="1" x14ac:dyDescent="0.4">
      <c r="A1019" s="72"/>
      <c r="B1019" s="73"/>
      <c r="C1019" s="74"/>
      <c r="D1019" s="74"/>
      <c r="E1019" s="74"/>
      <c r="F1019" s="74"/>
      <c r="G1019" s="74"/>
      <c r="H1019" s="74"/>
      <c r="I1019" s="74"/>
      <c r="J1019" s="74"/>
      <c r="K1019" s="74"/>
      <c r="L1019" s="74"/>
      <c r="M1019" s="74"/>
      <c r="N1019" s="74"/>
      <c r="O1019" s="74"/>
      <c r="P1019" s="74"/>
      <c r="Q1019" s="74"/>
      <c r="R1019" s="74"/>
      <c r="S1019" s="74"/>
      <c r="T1019" s="74"/>
      <c r="U1019" s="74"/>
      <c r="V1019" s="73"/>
      <c r="W1019" s="74"/>
      <c r="X1019" s="74"/>
    </row>
    <row r="1020" spans="1:24" ht="45" customHeight="1" x14ac:dyDescent="0.4">
      <c r="A1020" s="75"/>
      <c r="B1020" s="76"/>
      <c r="C1020" s="77"/>
      <c r="D1020" s="77"/>
      <c r="E1020" s="77"/>
      <c r="F1020" s="77"/>
      <c r="G1020" s="77"/>
      <c r="H1020" s="77"/>
      <c r="I1020" s="77"/>
      <c r="J1020" s="77"/>
      <c r="K1020" s="77"/>
      <c r="L1020" s="77"/>
      <c r="M1020" s="77"/>
      <c r="N1020" s="77"/>
      <c r="O1020" s="77"/>
      <c r="P1020" s="77"/>
      <c r="Q1020" s="77"/>
      <c r="R1020" s="77"/>
      <c r="S1020" s="77"/>
      <c r="T1020" s="77"/>
      <c r="U1020" s="77"/>
      <c r="V1020" s="76"/>
      <c r="W1020" s="77"/>
      <c r="X1020" s="77"/>
    </row>
    <row r="1021" spans="1:24" ht="45" customHeight="1" x14ac:dyDescent="0.4">
      <c r="A1021" s="72"/>
      <c r="B1021" s="73"/>
      <c r="C1021" s="74"/>
      <c r="D1021" s="74"/>
      <c r="E1021" s="74"/>
      <c r="F1021" s="74"/>
      <c r="G1021" s="74"/>
      <c r="H1021" s="74"/>
      <c r="I1021" s="74"/>
      <c r="J1021" s="74"/>
      <c r="K1021" s="74"/>
      <c r="L1021" s="74"/>
      <c r="M1021" s="74"/>
      <c r="N1021" s="74"/>
      <c r="O1021" s="74"/>
      <c r="P1021" s="74"/>
      <c r="Q1021" s="74"/>
      <c r="R1021" s="74"/>
      <c r="S1021" s="74"/>
      <c r="T1021" s="74"/>
      <c r="U1021" s="74"/>
      <c r="V1021" s="73"/>
      <c r="W1021" s="74"/>
      <c r="X1021" s="74"/>
    </row>
    <row r="1022" spans="1:24" ht="45" customHeight="1" x14ac:dyDescent="0.4">
      <c r="A1022" s="75"/>
      <c r="B1022" s="76"/>
      <c r="C1022" s="77"/>
      <c r="D1022" s="77"/>
      <c r="E1022" s="77"/>
      <c r="F1022" s="77"/>
      <c r="G1022" s="77"/>
      <c r="H1022" s="77"/>
      <c r="I1022" s="77"/>
      <c r="J1022" s="77"/>
      <c r="K1022" s="77"/>
      <c r="L1022" s="77"/>
      <c r="M1022" s="77"/>
      <c r="N1022" s="77"/>
      <c r="O1022" s="77"/>
      <c r="P1022" s="77"/>
      <c r="Q1022" s="77"/>
      <c r="R1022" s="77"/>
      <c r="S1022" s="77"/>
      <c r="T1022" s="77"/>
      <c r="U1022" s="77"/>
      <c r="V1022" s="76"/>
      <c r="W1022" s="77"/>
      <c r="X1022" s="77"/>
    </row>
    <row r="1023" spans="1:24" ht="45" customHeight="1" x14ac:dyDescent="0.4">
      <c r="A1023" s="72"/>
      <c r="B1023" s="73"/>
      <c r="C1023" s="74"/>
      <c r="D1023" s="74"/>
      <c r="E1023" s="74"/>
      <c r="F1023" s="74"/>
      <c r="G1023" s="74"/>
      <c r="H1023" s="74"/>
      <c r="I1023" s="74"/>
      <c r="J1023" s="74"/>
      <c r="K1023" s="74"/>
      <c r="L1023" s="74"/>
      <c r="M1023" s="74"/>
      <c r="N1023" s="74"/>
      <c r="O1023" s="74"/>
      <c r="P1023" s="74"/>
      <c r="Q1023" s="74"/>
      <c r="R1023" s="74"/>
      <c r="S1023" s="74"/>
      <c r="T1023" s="74"/>
      <c r="U1023" s="74"/>
      <c r="V1023" s="73"/>
      <c r="W1023" s="74"/>
      <c r="X1023" s="74"/>
    </row>
    <row r="1024" spans="1:24" ht="45" customHeight="1" x14ac:dyDescent="0.4">
      <c r="A1024" s="75"/>
      <c r="B1024" s="76"/>
      <c r="C1024" s="77"/>
      <c r="D1024" s="77"/>
      <c r="E1024" s="77"/>
      <c r="F1024" s="77"/>
      <c r="G1024" s="77"/>
      <c r="H1024" s="77"/>
      <c r="I1024" s="77"/>
      <c r="J1024" s="77"/>
      <c r="K1024" s="77"/>
      <c r="L1024" s="77"/>
      <c r="M1024" s="77"/>
      <c r="N1024" s="77"/>
      <c r="O1024" s="77"/>
      <c r="P1024" s="77"/>
      <c r="Q1024" s="77"/>
      <c r="R1024" s="77"/>
      <c r="S1024" s="77"/>
      <c r="T1024" s="77"/>
      <c r="U1024" s="77"/>
      <c r="V1024" s="76"/>
      <c r="W1024" s="77"/>
      <c r="X1024" s="77"/>
    </row>
    <row r="1025" spans="1:24" ht="45" customHeight="1" x14ac:dyDescent="0.4">
      <c r="A1025" s="72"/>
      <c r="B1025" s="73"/>
      <c r="C1025" s="74"/>
      <c r="D1025" s="74"/>
      <c r="E1025" s="74"/>
      <c r="F1025" s="74"/>
      <c r="G1025" s="74"/>
      <c r="H1025" s="74"/>
      <c r="I1025" s="74"/>
      <c r="J1025" s="74"/>
      <c r="K1025" s="74"/>
      <c r="L1025" s="74"/>
      <c r="M1025" s="74"/>
      <c r="N1025" s="74"/>
      <c r="O1025" s="74"/>
      <c r="P1025" s="74"/>
      <c r="Q1025" s="74"/>
      <c r="R1025" s="74"/>
      <c r="S1025" s="74"/>
      <c r="T1025" s="74"/>
      <c r="U1025" s="74"/>
      <c r="V1025" s="73"/>
      <c r="W1025" s="74"/>
      <c r="X1025" s="74"/>
    </row>
    <row r="1026" spans="1:24" ht="45" customHeight="1" x14ac:dyDescent="0.4">
      <c r="A1026" s="75"/>
      <c r="B1026" s="76"/>
      <c r="C1026" s="77"/>
      <c r="D1026" s="77"/>
      <c r="E1026" s="77"/>
      <c r="F1026" s="77"/>
      <c r="G1026" s="77"/>
      <c r="H1026" s="77"/>
      <c r="I1026" s="77"/>
      <c r="J1026" s="77"/>
      <c r="K1026" s="77"/>
      <c r="L1026" s="77"/>
      <c r="M1026" s="77"/>
      <c r="N1026" s="77"/>
      <c r="O1026" s="77"/>
      <c r="P1026" s="77"/>
      <c r="Q1026" s="77"/>
      <c r="R1026" s="77"/>
      <c r="S1026" s="77"/>
      <c r="T1026" s="77"/>
      <c r="U1026" s="77"/>
      <c r="V1026" s="76"/>
      <c r="W1026" s="77"/>
      <c r="X1026" s="77"/>
    </row>
    <row r="1027" spans="1:24" ht="45" customHeight="1" x14ac:dyDescent="0.4">
      <c r="A1027" s="72"/>
      <c r="B1027" s="73"/>
      <c r="C1027" s="74"/>
      <c r="D1027" s="74"/>
      <c r="E1027" s="74"/>
      <c r="F1027" s="74"/>
      <c r="G1027" s="74"/>
      <c r="H1027" s="74"/>
      <c r="I1027" s="74"/>
      <c r="J1027" s="74"/>
      <c r="K1027" s="74"/>
      <c r="L1027" s="74"/>
      <c r="M1027" s="74"/>
      <c r="N1027" s="74"/>
      <c r="O1027" s="74"/>
      <c r="P1027" s="74"/>
      <c r="Q1027" s="74"/>
      <c r="R1027" s="74"/>
      <c r="S1027" s="74"/>
      <c r="T1027" s="74"/>
      <c r="U1027" s="74"/>
      <c r="V1027" s="73"/>
      <c r="W1027" s="74"/>
      <c r="X1027" s="74"/>
    </row>
    <row r="1028" spans="1:24" ht="45" customHeight="1" x14ac:dyDescent="0.4">
      <c r="A1028" s="75"/>
      <c r="B1028" s="76"/>
      <c r="C1028" s="77"/>
      <c r="D1028" s="77"/>
      <c r="E1028" s="77"/>
      <c r="F1028" s="77"/>
      <c r="G1028" s="77"/>
      <c r="H1028" s="77"/>
      <c r="I1028" s="77"/>
      <c r="J1028" s="77"/>
      <c r="K1028" s="77"/>
      <c r="L1028" s="77"/>
      <c r="M1028" s="77"/>
      <c r="N1028" s="77"/>
      <c r="O1028" s="77"/>
      <c r="P1028" s="77"/>
      <c r="Q1028" s="77"/>
      <c r="R1028" s="77"/>
      <c r="S1028" s="77"/>
      <c r="T1028" s="77"/>
      <c r="U1028" s="77"/>
      <c r="V1028" s="76"/>
      <c r="W1028" s="77"/>
      <c r="X1028" s="77"/>
    </row>
    <row r="1029" spans="1:24" ht="45" customHeight="1" x14ac:dyDescent="0.4">
      <c r="A1029" s="72"/>
      <c r="B1029" s="73"/>
      <c r="C1029" s="74"/>
      <c r="D1029" s="74"/>
      <c r="E1029" s="74"/>
      <c r="F1029" s="74"/>
      <c r="G1029" s="74"/>
      <c r="H1029" s="74"/>
      <c r="I1029" s="74"/>
      <c r="J1029" s="74"/>
      <c r="K1029" s="74"/>
      <c r="L1029" s="74"/>
      <c r="M1029" s="74"/>
      <c r="N1029" s="74"/>
      <c r="O1029" s="74"/>
      <c r="P1029" s="74"/>
      <c r="Q1029" s="74"/>
      <c r="R1029" s="74"/>
      <c r="S1029" s="74"/>
      <c r="T1029" s="74"/>
      <c r="U1029" s="74"/>
      <c r="V1029" s="73"/>
      <c r="W1029" s="74"/>
      <c r="X1029" s="74"/>
    </row>
    <row r="1030" spans="1:24" ht="45" customHeight="1" x14ac:dyDescent="0.4">
      <c r="A1030" s="75"/>
      <c r="B1030" s="76"/>
      <c r="C1030" s="77"/>
      <c r="D1030" s="77"/>
      <c r="E1030" s="77"/>
      <c r="F1030" s="77"/>
      <c r="G1030" s="77"/>
      <c r="H1030" s="77"/>
      <c r="I1030" s="77"/>
      <c r="J1030" s="77"/>
      <c r="K1030" s="77"/>
      <c r="L1030" s="77"/>
      <c r="M1030" s="77"/>
      <c r="N1030" s="77"/>
      <c r="O1030" s="77"/>
      <c r="P1030" s="77"/>
      <c r="Q1030" s="77"/>
      <c r="R1030" s="77"/>
      <c r="S1030" s="77"/>
      <c r="T1030" s="77"/>
      <c r="U1030" s="77"/>
      <c r="V1030" s="76"/>
      <c r="W1030" s="77"/>
      <c r="X1030" s="77"/>
    </row>
    <row r="1031" spans="1:24" ht="45" customHeight="1" x14ac:dyDescent="0.4">
      <c r="A1031" s="72"/>
      <c r="B1031" s="73"/>
      <c r="C1031" s="74"/>
      <c r="D1031" s="74"/>
      <c r="E1031" s="74"/>
      <c r="F1031" s="74"/>
      <c r="G1031" s="74"/>
      <c r="H1031" s="74"/>
      <c r="I1031" s="74"/>
      <c r="J1031" s="74"/>
      <c r="K1031" s="74"/>
      <c r="L1031" s="74"/>
      <c r="M1031" s="74"/>
      <c r="N1031" s="74"/>
      <c r="O1031" s="74"/>
      <c r="P1031" s="74"/>
      <c r="Q1031" s="74"/>
      <c r="R1031" s="74"/>
      <c r="S1031" s="74"/>
      <c r="T1031" s="74"/>
      <c r="U1031" s="74"/>
      <c r="V1031" s="73"/>
      <c r="W1031" s="74"/>
      <c r="X1031" s="74"/>
    </row>
    <row r="1032" spans="1:24" ht="45" customHeight="1" x14ac:dyDescent="0.4">
      <c r="A1032" s="75"/>
      <c r="B1032" s="76"/>
      <c r="C1032" s="77"/>
      <c r="D1032" s="77"/>
      <c r="E1032" s="77"/>
      <c r="F1032" s="77"/>
      <c r="G1032" s="77"/>
      <c r="H1032" s="77"/>
      <c r="I1032" s="77"/>
      <c r="J1032" s="77"/>
      <c r="K1032" s="77"/>
      <c r="L1032" s="77"/>
      <c r="M1032" s="77"/>
      <c r="N1032" s="77"/>
      <c r="O1032" s="77"/>
      <c r="P1032" s="77"/>
      <c r="Q1032" s="77"/>
      <c r="R1032" s="77"/>
      <c r="S1032" s="77"/>
      <c r="T1032" s="77"/>
      <c r="U1032" s="77"/>
      <c r="V1032" s="76"/>
      <c r="W1032" s="77"/>
      <c r="X1032" s="77"/>
    </row>
    <row r="1033" spans="1:24" ht="45" customHeight="1" x14ac:dyDescent="0.4">
      <c r="A1033" s="72"/>
      <c r="B1033" s="73"/>
      <c r="C1033" s="74"/>
      <c r="D1033" s="74"/>
      <c r="E1033" s="74"/>
      <c r="F1033" s="74"/>
      <c r="G1033" s="74"/>
      <c r="H1033" s="74"/>
      <c r="I1033" s="74"/>
      <c r="J1033" s="74"/>
      <c r="K1033" s="74"/>
      <c r="L1033" s="74"/>
      <c r="M1033" s="74"/>
      <c r="N1033" s="74"/>
      <c r="O1033" s="74"/>
      <c r="P1033" s="74"/>
      <c r="Q1033" s="74"/>
      <c r="R1033" s="74"/>
      <c r="S1033" s="74"/>
      <c r="T1033" s="74"/>
      <c r="U1033" s="74"/>
      <c r="V1033" s="73"/>
      <c r="W1033" s="74"/>
      <c r="X1033" s="74"/>
    </row>
    <row r="1034" spans="1:24" ht="45" customHeight="1" x14ac:dyDescent="0.4">
      <c r="A1034" s="75"/>
      <c r="B1034" s="76"/>
      <c r="C1034" s="77"/>
      <c r="D1034" s="77"/>
      <c r="E1034" s="77"/>
      <c r="F1034" s="77"/>
      <c r="G1034" s="77"/>
      <c r="H1034" s="77"/>
      <c r="I1034" s="77"/>
      <c r="J1034" s="77"/>
      <c r="K1034" s="77"/>
      <c r="L1034" s="77"/>
      <c r="M1034" s="77"/>
      <c r="N1034" s="77"/>
      <c r="O1034" s="77"/>
      <c r="P1034" s="77"/>
      <c r="Q1034" s="77"/>
      <c r="R1034" s="77"/>
      <c r="S1034" s="77"/>
      <c r="T1034" s="77"/>
      <c r="U1034" s="77"/>
      <c r="V1034" s="76"/>
      <c r="W1034" s="77"/>
      <c r="X1034" s="77"/>
    </row>
    <row r="1035" spans="1:24" ht="45" customHeight="1" x14ac:dyDescent="0.4">
      <c r="A1035" s="72"/>
      <c r="B1035" s="73"/>
      <c r="C1035" s="74"/>
      <c r="D1035" s="74"/>
      <c r="E1035" s="74"/>
      <c r="F1035" s="74"/>
      <c r="G1035" s="74"/>
      <c r="H1035" s="74"/>
      <c r="I1035" s="74"/>
      <c r="J1035" s="74"/>
      <c r="K1035" s="74"/>
      <c r="L1035" s="74"/>
      <c r="M1035" s="74"/>
      <c r="N1035" s="74"/>
      <c r="O1035" s="74"/>
      <c r="P1035" s="74"/>
      <c r="Q1035" s="74"/>
      <c r="R1035" s="74"/>
      <c r="S1035" s="74"/>
      <c r="T1035" s="74"/>
      <c r="U1035" s="74"/>
      <c r="V1035" s="73"/>
      <c r="W1035" s="74"/>
      <c r="X1035" s="74"/>
    </row>
    <row r="1036" spans="1:24" ht="45" customHeight="1" x14ac:dyDescent="0.4">
      <c r="A1036" s="75"/>
      <c r="B1036" s="76"/>
      <c r="C1036" s="77"/>
      <c r="D1036" s="77"/>
      <c r="E1036" s="77"/>
      <c r="F1036" s="77"/>
      <c r="G1036" s="77"/>
      <c r="H1036" s="77"/>
      <c r="I1036" s="77"/>
      <c r="J1036" s="77"/>
      <c r="K1036" s="77"/>
      <c r="L1036" s="77"/>
      <c r="M1036" s="77"/>
      <c r="N1036" s="77"/>
      <c r="O1036" s="77"/>
      <c r="P1036" s="77"/>
      <c r="Q1036" s="77"/>
      <c r="R1036" s="77"/>
      <c r="S1036" s="77"/>
      <c r="T1036" s="77"/>
      <c r="U1036" s="77"/>
      <c r="V1036" s="76"/>
      <c r="W1036" s="77"/>
      <c r="X1036" s="77"/>
    </row>
    <row r="1037" spans="1:24" ht="45" customHeight="1" x14ac:dyDescent="0.4">
      <c r="A1037" s="72"/>
      <c r="B1037" s="73"/>
      <c r="C1037" s="74"/>
      <c r="D1037" s="74"/>
      <c r="E1037" s="74"/>
      <c r="F1037" s="74"/>
      <c r="G1037" s="74"/>
      <c r="H1037" s="74"/>
      <c r="I1037" s="74"/>
      <c r="J1037" s="74"/>
      <c r="K1037" s="74"/>
      <c r="L1037" s="74"/>
      <c r="M1037" s="74"/>
      <c r="N1037" s="74"/>
      <c r="O1037" s="74"/>
      <c r="P1037" s="74"/>
      <c r="Q1037" s="74"/>
      <c r="R1037" s="74"/>
      <c r="S1037" s="74"/>
      <c r="T1037" s="74"/>
      <c r="U1037" s="74"/>
      <c r="V1037" s="73"/>
      <c r="W1037" s="74"/>
      <c r="X1037" s="74"/>
    </row>
    <row r="1038" spans="1:24" ht="45" customHeight="1" x14ac:dyDescent="0.4">
      <c r="A1038" s="75"/>
      <c r="B1038" s="76"/>
      <c r="C1038" s="77"/>
      <c r="D1038" s="77"/>
      <c r="E1038" s="77"/>
      <c r="F1038" s="77"/>
      <c r="G1038" s="77"/>
      <c r="H1038" s="77"/>
      <c r="I1038" s="77"/>
      <c r="J1038" s="77"/>
      <c r="K1038" s="77"/>
      <c r="L1038" s="77"/>
      <c r="M1038" s="77"/>
      <c r="N1038" s="77"/>
      <c r="O1038" s="77"/>
      <c r="P1038" s="77"/>
      <c r="Q1038" s="77"/>
      <c r="R1038" s="77"/>
      <c r="S1038" s="77"/>
      <c r="T1038" s="77"/>
      <c r="U1038" s="77"/>
      <c r="V1038" s="76"/>
      <c r="W1038" s="77"/>
      <c r="X1038" s="77"/>
    </row>
    <row r="1039" spans="1:24" ht="45" customHeight="1" x14ac:dyDescent="0.4">
      <c r="A1039" s="72"/>
      <c r="B1039" s="73"/>
      <c r="C1039" s="74"/>
      <c r="D1039" s="74"/>
      <c r="E1039" s="74"/>
      <c r="F1039" s="74"/>
      <c r="G1039" s="74"/>
      <c r="H1039" s="74"/>
      <c r="I1039" s="74"/>
      <c r="J1039" s="74"/>
      <c r="K1039" s="74"/>
      <c r="L1039" s="74"/>
      <c r="M1039" s="74"/>
      <c r="N1039" s="74"/>
      <c r="O1039" s="74"/>
      <c r="P1039" s="74"/>
      <c r="Q1039" s="74"/>
      <c r="R1039" s="74"/>
      <c r="S1039" s="74"/>
      <c r="T1039" s="74"/>
      <c r="U1039" s="74"/>
      <c r="V1039" s="73"/>
      <c r="W1039" s="74"/>
      <c r="X1039" s="74"/>
    </row>
    <row r="1040" spans="1:24" ht="45" customHeight="1" x14ac:dyDescent="0.4">
      <c r="A1040" s="75"/>
      <c r="B1040" s="76"/>
      <c r="C1040" s="77"/>
      <c r="D1040" s="77"/>
      <c r="E1040" s="77"/>
      <c r="F1040" s="77"/>
      <c r="G1040" s="77"/>
      <c r="H1040" s="77"/>
      <c r="I1040" s="77"/>
      <c r="J1040" s="77"/>
      <c r="K1040" s="77"/>
      <c r="L1040" s="77"/>
      <c r="M1040" s="77"/>
      <c r="N1040" s="77"/>
      <c r="O1040" s="77"/>
      <c r="P1040" s="77"/>
      <c r="Q1040" s="77"/>
      <c r="R1040" s="77"/>
      <c r="S1040" s="77"/>
      <c r="T1040" s="77"/>
      <c r="U1040" s="77"/>
      <c r="V1040" s="76"/>
      <c r="W1040" s="77"/>
      <c r="X1040" s="77"/>
    </row>
    <row r="1041" spans="1:24" ht="45" customHeight="1" x14ac:dyDescent="0.4">
      <c r="A1041" s="72"/>
      <c r="B1041" s="73"/>
      <c r="C1041" s="74"/>
      <c r="D1041" s="74"/>
      <c r="E1041" s="74"/>
      <c r="F1041" s="74"/>
      <c r="G1041" s="74"/>
      <c r="H1041" s="74"/>
      <c r="I1041" s="74"/>
      <c r="J1041" s="74"/>
      <c r="K1041" s="74"/>
      <c r="L1041" s="74"/>
      <c r="M1041" s="74"/>
      <c r="N1041" s="74"/>
      <c r="O1041" s="74"/>
      <c r="P1041" s="74"/>
      <c r="Q1041" s="74"/>
      <c r="R1041" s="74"/>
      <c r="S1041" s="74"/>
      <c r="T1041" s="74"/>
      <c r="U1041" s="74"/>
      <c r="V1041" s="73"/>
      <c r="W1041" s="74"/>
      <c r="X1041" s="74"/>
    </row>
    <row r="1042" spans="1:24" ht="45" customHeight="1" x14ac:dyDescent="0.4">
      <c r="A1042" s="75"/>
      <c r="B1042" s="76"/>
      <c r="C1042" s="77"/>
      <c r="D1042" s="77"/>
      <c r="E1042" s="77"/>
      <c r="F1042" s="77"/>
      <c r="G1042" s="77"/>
      <c r="H1042" s="77"/>
      <c r="I1042" s="77"/>
      <c r="J1042" s="77"/>
      <c r="K1042" s="77"/>
      <c r="L1042" s="77"/>
      <c r="M1042" s="77"/>
      <c r="N1042" s="77"/>
      <c r="O1042" s="77"/>
      <c r="P1042" s="77"/>
      <c r="Q1042" s="77"/>
      <c r="R1042" s="77"/>
      <c r="S1042" s="77"/>
      <c r="T1042" s="77"/>
      <c r="U1042" s="77"/>
      <c r="V1042" s="76"/>
      <c r="W1042" s="77"/>
      <c r="X1042" s="77"/>
    </row>
    <row r="1043" spans="1:24" ht="45" customHeight="1" x14ac:dyDescent="0.4">
      <c r="A1043" s="72"/>
      <c r="B1043" s="73"/>
      <c r="C1043" s="74"/>
      <c r="D1043" s="74"/>
      <c r="E1043" s="74"/>
      <c r="F1043" s="74"/>
      <c r="G1043" s="74"/>
      <c r="H1043" s="74"/>
      <c r="I1043" s="74"/>
      <c r="J1043" s="74"/>
      <c r="K1043" s="74"/>
      <c r="L1043" s="74"/>
      <c r="M1043" s="74"/>
      <c r="N1043" s="74"/>
      <c r="O1043" s="74"/>
      <c r="P1043" s="74"/>
      <c r="Q1043" s="74"/>
      <c r="R1043" s="74"/>
      <c r="S1043" s="74"/>
      <c r="T1043" s="74"/>
      <c r="U1043" s="74"/>
      <c r="V1043" s="73"/>
      <c r="W1043" s="74"/>
      <c r="X1043" s="74"/>
    </row>
    <row r="1044" spans="1:24" ht="45" customHeight="1" x14ac:dyDescent="0.4">
      <c r="A1044" s="75"/>
      <c r="B1044" s="76"/>
      <c r="C1044" s="77"/>
      <c r="D1044" s="77"/>
      <c r="E1044" s="77"/>
      <c r="F1044" s="77"/>
      <c r="G1044" s="77"/>
      <c r="H1044" s="77"/>
      <c r="I1044" s="77"/>
      <c r="J1044" s="77"/>
      <c r="K1044" s="77"/>
      <c r="L1044" s="77"/>
      <c r="M1044" s="77"/>
      <c r="N1044" s="77"/>
      <c r="O1044" s="77"/>
      <c r="P1044" s="77"/>
      <c r="Q1044" s="77"/>
      <c r="R1044" s="77"/>
      <c r="S1044" s="77"/>
      <c r="T1044" s="77"/>
      <c r="U1044" s="77"/>
      <c r="V1044" s="76"/>
      <c r="W1044" s="77"/>
      <c r="X1044" s="77"/>
    </row>
    <row r="1045" spans="1:24" ht="45" customHeight="1" x14ac:dyDescent="0.4">
      <c r="A1045" s="72"/>
      <c r="B1045" s="73"/>
      <c r="C1045" s="74"/>
      <c r="D1045" s="74"/>
      <c r="E1045" s="74"/>
      <c r="F1045" s="74"/>
      <c r="G1045" s="74"/>
      <c r="H1045" s="74"/>
      <c r="I1045" s="74"/>
      <c r="J1045" s="74"/>
      <c r="K1045" s="74"/>
      <c r="L1045" s="74"/>
      <c r="M1045" s="74"/>
      <c r="N1045" s="74"/>
      <c r="O1045" s="74"/>
      <c r="P1045" s="74"/>
      <c r="Q1045" s="74"/>
      <c r="R1045" s="74"/>
      <c r="S1045" s="74"/>
      <c r="T1045" s="74"/>
      <c r="U1045" s="74"/>
      <c r="V1045" s="73"/>
      <c r="W1045" s="74"/>
      <c r="X1045" s="74"/>
    </row>
    <row r="1046" spans="1:24" ht="45" customHeight="1" x14ac:dyDescent="0.4">
      <c r="A1046" s="75"/>
      <c r="B1046" s="76"/>
      <c r="C1046" s="77"/>
      <c r="D1046" s="77"/>
      <c r="E1046" s="77"/>
      <c r="F1046" s="77"/>
      <c r="G1046" s="77"/>
      <c r="H1046" s="77"/>
      <c r="I1046" s="77"/>
      <c r="J1046" s="77"/>
      <c r="K1046" s="77"/>
      <c r="L1046" s="77"/>
      <c r="M1046" s="77"/>
      <c r="N1046" s="77"/>
      <c r="O1046" s="77"/>
      <c r="P1046" s="77"/>
      <c r="Q1046" s="77"/>
      <c r="R1046" s="77"/>
      <c r="S1046" s="77"/>
      <c r="T1046" s="77"/>
      <c r="U1046" s="77"/>
      <c r="V1046" s="76"/>
      <c r="W1046" s="77"/>
      <c r="X1046" s="77"/>
    </row>
    <row r="1047" spans="1:24" ht="45" customHeight="1" x14ac:dyDescent="0.4">
      <c r="A1047" s="72"/>
      <c r="B1047" s="73"/>
      <c r="C1047" s="74"/>
      <c r="D1047" s="74"/>
      <c r="E1047" s="74"/>
      <c r="F1047" s="74"/>
      <c r="G1047" s="74"/>
      <c r="H1047" s="74"/>
      <c r="I1047" s="74"/>
      <c r="J1047" s="74"/>
      <c r="K1047" s="74"/>
      <c r="L1047" s="74"/>
      <c r="M1047" s="74"/>
      <c r="N1047" s="74"/>
      <c r="O1047" s="74"/>
      <c r="P1047" s="74"/>
      <c r="Q1047" s="74"/>
      <c r="R1047" s="74"/>
      <c r="S1047" s="74"/>
      <c r="T1047" s="74"/>
      <c r="U1047" s="74"/>
      <c r="V1047" s="73"/>
      <c r="W1047" s="74"/>
      <c r="X1047" s="74"/>
    </row>
    <row r="1048" spans="1:24" ht="45" customHeight="1" x14ac:dyDescent="0.4">
      <c r="A1048" s="75"/>
      <c r="B1048" s="76"/>
      <c r="C1048" s="77"/>
      <c r="D1048" s="77"/>
      <c r="E1048" s="77"/>
      <c r="F1048" s="77"/>
      <c r="G1048" s="77"/>
      <c r="H1048" s="77"/>
      <c r="I1048" s="77"/>
      <c r="J1048" s="77"/>
      <c r="K1048" s="77"/>
      <c r="L1048" s="77"/>
      <c r="M1048" s="77"/>
      <c r="N1048" s="77"/>
      <c r="O1048" s="77"/>
      <c r="P1048" s="77"/>
      <c r="Q1048" s="77"/>
      <c r="R1048" s="77"/>
      <c r="S1048" s="77"/>
      <c r="T1048" s="77"/>
      <c r="U1048" s="77"/>
      <c r="V1048" s="76"/>
      <c r="W1048" s="77"/>
      <c r="X1048" s="77"/>
    </row>
    <row r="1049" spans="1:24" ht="45" customHeight="1" x14ac:dyDescent="0.4">
      <c r="A1049" s="72"/>
      <c r="B1049" s="73"/>
      <c r="C1049" s="74"/>
      <c r="D1049" s="74"/>
      <c r="E1049" s="74"/>
      <c r="F1049" s="74"/>
      <c r="G1049" s="74"/>
      <c r="H1049" s="74"/>
      <c r="I1049" s="74"/>
      <c r="J1049" s="74"/>
      <c r="K1049" s="74"/>
      <c r="L1049" s="74"/>
      <c r="M1049" s="74"/>
      <c r="N1049" s="74"/>
      <c r="O1049" s="74"/>
      <c r="P1049" s="74"/>
      <c r="Q1049" s="74"/>
      <c r="R1049" s="74"/>
      <c r="S1049" s="74"/>
      <c r="T1049" s="74"/>
      <c r="U1049" s="74"/>
      <c r="V1049" s="73"/>
      <c r="W1049" s="74"/>
      <c r="X1049" s="74"/>
    </row>
    <row r="1050" spans="1:24" ht="45" customHeight="1" x14ac:dyDescent="0.4">
      <c r="A1050" s="75"/>
      <c r="B1050" s="76"/>
      <c r="C1050" s="77"/>
      <c r="D1050" s="77"/>
      <c r="E1050" s="77"/>
      <c r="F1050" s="77"/>
      <c r="G1050" s="77"/>
      <c r="H1050" s="77"/>
      <c r="I1050" s="77"/>
      <c r="J1050" s="77"/>
      <c r="K1050" s="77"/>
      <c r="L1050" s="77"/>
      <c r="M1050" s="77"/>
      <c r="N1050" s="77"/>
      <c r="O1050" s="77"/>
      <c r="P1050" s="77"/>
      <c r="Q1050" s="77"/>
      <c r="R1050" s="77"/>
      <c r="S1050" s="77"/>
      <c r="T1050" s="77"/>
      <c r="U1050" s="77"/>
      <c r="V1050" s="76"/>
      <c r="W1050" s="77"/>
      <c r="X1050" s="77"/>
    </row>
    <row r="1051" spans="1:24" ht="45" customHeight="1" x14ac:dyDescent="0.4">
      <c r="A1051" s="72"/>
      <c r="B1051" s="73"/>
      <c r="C1051" s="74"/>
      <c r="D1051" s="74"/>
      <c r="E1051" s="74"/>
      <c r="F1051" s="74"/>
      <c r="G1051" s="74"/>
      <c r="H1051" s="74"/>
      <c r="I1051" s="74"/>
      <c r="J1051" s="74"/>
      <c r="K1051" s="74"/>
      <c r="L1051" s="74"/>
      <c r="M1051" s="74"/>
      <c r="N1051" s="74"/>
      <c r="O1051" s="74"/>
      <c r="P1051" s="74"/>
      <c r="Q1051" s="74"/>
      <c r="R1051" s="74"/>
      <c r="S1051" s="74"/>
      <c r="T1051" s="74"/>
      <c r="U1051" s="74"/>
      <c r="V1051" s="73"/>
      <c r="W1051" s="74"/>
      <c r="X1051" s="74"/>
    </row>
    <row r="1052" spans="1:24" ht="45" customHeight="1" x14ac:dyDescent="0.4">
      <c r="A1052" s="75"/>
      <c r="B1052" s="76"/>
      <c r="C1052" s="77"/>
      <c r="D1052" s="77"/>
      <c r="E1052" s="77"/>
      <c r="F1052" s="77"/>
      <c r="G1052" s="77"/>
      <c r="H1052" s="77"/>
      <c r="I1052" s="77"/>
      <c r="J1052" s="77"/>
      <c r="K1052" s="77"/>
      <c r="L1052" s="77"/>
      <c r="M1052" s="77"/>
      <c r="N1052" s="77"/>
      <c r="O1052" s="77"/>
      <c r="P1052" s="77"/>
      <c r="Q1052" s="77"/>
      <c r="R1052" s="77"/>
      <c r="S1052" s="77"/>
      <c r="T1052" s="77"/>
      <c r="U1052" s="77"/>
      <c r="V1052" s="76"/>
      <c r="W1052" s="77"/>
      <c r="X1052" s="77"/>
    </row>
    <row r="1053" spans="1:24" ht="45" customHeight="1" x14ac:dyDescent="0.4">
      <c r="A1053" s="72"/>
      <c r="B1053" s="73"/>
      <c r="C1053" s="74"/>
      <c r="D1053" s="74"/>
      <c r="E1053" s="74"/>
      <c r="F1053" s="74"/>
      <c r="G1053" s="74"/>
      <c r="H1053" s="74"/>
      <c r="I1053" s="74"/>
      <c r="J1053" s="74"/>
      <c r="K1053" s="74"/>
      <c r="L1053" s="74"/>
      <c r="M1053" s="74"/>
      <c r="N1053" s="74"/>
      <c r="O1053" s="74"/>
      <c r="P1053" s="74"/>
      <c r="Q1053" s="74"/>
      <c r="R1053" s="74"/>
      <c r="S1053" s="74"/>
      <c r="T1053" s="74"/>
      <c r="U1053" s="74"/>
      <c r="V1053" s="73"/>
      <c r="W1053" s="74"/>
      <c r="X1053" s="74"/>
    </row>
    <row r="1054" spans="1:24" ht="45" customHeight="1" x14ac:dyDescent="0.4">
      <c r="A1054" s="75"/>
      <c r="B1054" s="76"/>
      <c r="C1054" s="77"/>
      <c r="D1054" s="77"/>
      <c r="E1054" s="77"/>
      <c r="F1054" s="77"/>
      <c r="G1054" s="77"/>
      <c r="H1054" s="77"/>
      <c r="I1054" s="77"/>
      <c r="J1054" s="77"/>
      <c r="K1054" s="77"/>
      <c r="L1054" s="77"/>
      <c r="M1054" s="77"/>
      <c r="N1054" s="77"/>
      <c r="O1054" s="77"/>
      <c r="P1054" s="77"/>
      <c r="Q1054" s="77"/>
      <c r="R1054" s="77"/>
      <c r="S1054" s="77"/>
      <c r="T1054" s="77"/>
      <c r="U1054" s="77"/>
      <c r="V1054" s="76"/>
      <c r="W1054" s="77"/>
      <c r="X1054" s="77"/>
    </row>
    <row r="1055" spans="1:24" ht="45" customHeight="1" x14ac:dyDescent="0.4">
      <c r="A1055" s="72"/>
      <c r="B1055" s="73"/>
      <c r="C1055" s="74"/>
      <c r="D1055" s="74"/>
      <c r="E1055" s="74"/>
      <c r="F1055" s="74"/>
      <c r="G1055" s="74"/>
      <c r="H1055" s="74"/>
      <c r="I1055" s="74"/>
      <c r="J1055" s="74"/>
      <c r="K1055" s="74"/>
      <c r="L1055" s="74"/>
      <c r="M1055" s="74"/>
      <c r="N1055" s="74"/>
      <c r="O1055" s="74"/>
      <c r="P1055" s="74"/>
      <c r="Q1055" s="74"/>
      <c r="R1055" s="74"/>
      <c r="S1055" s="74"/>
      <c r="T1055" s="74"/>
      <c r="U1055" s="74"/>
      <c r="V1055" s="73"/>
      <c r="W1055" s="74"/>
      <c r="X1055" s="74"/>
    </row>
    <row r="1056" spans="1:24" ht="45" customHeight="1" x14ac:dyDescent="0.4">
      <c r="A1056" s="75"/>
      <c r="B1056" s="76"/>
      <c r="C1056" s="77"/>
      <c r="D1056" s="77"/>
      <c r="E1056" s="77"/>
      <c r="F1056" s="77"/>
      <c r="G1056" s="77"/>
      <c r="H1056" s="77"/>
      <c r="I1056" s="77"/>
      <c r="J1056" s="77"/>
      <c r="K1056" s="77"/>
      <c r="L1056" s="77"/>
      <c r="M1056" s="77"/>
      <c r="N1056" s="77"/>
      <c r="O1056" s="77"/>
      <c r="P1056" s="77"/>
      <c r="Q1056" s="77"/>
      <c r="R1056" s="77"/>
      <c r="S1056" s="77"/>
      <c r="T1056" s="77"/>
      <c r="U1056" s="77"/>
      <c r="V1056" s="76"/>
      <c r="W1056" s="77"/>
      <c r="X1056" s="77"/>
    </row>
    <row r="1057" spans="1:24" ht="45" customHeight="1" x14ac:dyDescent="0.4">
      <c r="A1057" s="72"/>
      <c r="B1057" s="73"/>
      <c r="C1057" s="74"/>
      <c r="D1057" s="74"/>
      <c r="E1057" s="74"/>
      <c r="F1057" s="74"/>
      <c r="G1057" s="74"/>
      <c r="H1057" s="74"/>
      <c r="I1057" s="74"/>
      <c r="J1057" s="74"/>
      <c r="K1057" s="74"/>
      <c r="L1057" s="74"/>
      <c r="M1057" s="74"/>
      <c r="N1057" s="74"/>
      <c r="O1057" s="74"/>
      <c r="P1057" s="74"/>
      <c r="Q1057" s="74"/>
      <c r="R1057" s="74"/>
      <c r="S1057" s="74"/>
      <c r="T1057" s="74"/>
      <c r="U1057" s="74"/>
      <c r="V1057" s="73"/>
      <c r="W1057" s="74"/>
      <c r="X1057" s="74"/>
    </row>
    <row r="1058" spans="1:24" ht="45" customHeight="1" x14ac:dyDescent="0.4">
      <c r="A1058" s="75"/>
      <c r="B1058" s="76"/>
      <c r="C1058" s="77"/>
      <c r="D1058" s="77"/>
      <c r="E1058" s="77"/>
      <c r="F1058" s="77"/>
      <c r="G1058" s="77"/>
      <c r="H1058" s="77"/>
      <c r="I1058" s="77"/>
      <c r="J1058" s="77"/>
      <c r="K1058" s="77"/>
      <c r="L1058" s="77"/>
      <c r="M1058" s="77"/>
      <c r="N1058" s="77"/>
      <c r="O1058" s="77"/>
      <c r="P1058" s="77"/>
      <c r="Q1058" s="77"/>
      <c r="R1058" s="77"/>
      <c r="S1058" s="77"/>
      <c r="T1058" s="77"/>
      <c r="U1058" s="77"/>
      <c r="V1058" s="76"/>
      <c r="W1058" s="77"/>
      <c r="X1058" s="77"/>
    </row>
    <row r="1059" spans="1:24" ht="45" customHeight="1" x14ac:dyDescent="0.4">
      <c r="A1059" s="72"/>
      <c r="B1059" s="73"/>
      <c r="C1059" s="74"/>
      <c r="D1059" s="74"/>
      <c r="E1059" s="74"/>
      <c r="F1059" s="74"/>
      <c r="G1059" s="74"/>
      <c r="H1059" s="74"/>
      <c r="I1059" s="74"/>
      <c r="J1059" s="74"/>
      <c r="K1059" s="74"/>
      <c r="L1059" s="74"/>
      <c r="M1059" s="74"/>
      <c r="N1059" s="74"/>
      <c r="O1059" s="74"/>
      <c r="P1059" s="74"/>
      <c r="Q1059" s="74"/>
      <c r="R1059" s="74"/>
      <c r="S1059" s="74"/>
      <c r="T1059" s="74"/>
      <c r="U1059" s="74"/>
      <c r="V1059" s="73"/>
      <c r="W1059" s="74"/>
      <c r="X1059" s="74"/>
    </row>
    <row r="1060" spans="1:24" ht="45" customHeight="1" x14ac:dyDescent="0.4">
      <c r="A1060" s="75"/>
      <c r="B1060" s="76"/>
      <c r="C1060" s="77"/>
      <c r="D1060" s="77"/>
      <c r="E1060" s="77"/>
      <c r="F1060" s="77"/>
      <c r="G1060" s="77"/>
      <c r="H1060" s="77"/>
      <c r="I1060" s="77"/>
      <c r="J1060" s="77"/>
      <c r="K1060" s="77"/>
      <c r="L1060" s="77"/>
      <c r="M1060" s="77"/>
      <c r="N1060" s="77"/>
      <c r="O1060" s="77"/>
      <c r="P1060" s="77"/>
      <c r="Q1060" s="77"/>
      <c r="R1060" s="77"/>
      <c r="S1060" s="77"/>
      <c r="T1060" s="77"/>
      <c r="U1060" s="77"/>
      <c r="V1060" s="76"/>
      <c r="W1060" s="77"/>
      <c r="X1060" s="77"/>
    </row>
    <row r="1061" spans="1:24" ht="45" customHeight="1" x14ac:dyDescent="0.4">
      <c r="A1061" s="72"/>
      <c r="B1061" s="73"/>
      <c r="C1061" s="74"/>
      <c r="D1061" s="74"/>
      <c r="E1061" s="74"/>
      <c r="F1061" s="74"/>
      <c r="G1061" s="74"/>
      <c r="H1061" s="74"/>
      <c r="I1061" s="74"/>
      <c r="J1061" s="74"/>
      <c r="K1061" s="74"/>
      <c r="L1061" s="74"/>
      <c r="M1061" s="74"/>
      <c r="N1061" s="74"/>
      <c r="O1061" s="74"/>
      <c r="P1061" s="74"/>
      <c r="Q1061" s="74"/>
      <c r="R1061" s="74"/>
      <c r="S1061" s="74"/>
      <c r="T1061" s="74"/>
      <c r="U1061" s="74"/>
      <c r="V1061" s="73"/>
      <c r="W1061" s="74"/>
      <c r="X1061" s="74"/>
    </row>
    <row r="1062" spans="1:24" ht="45" customHeight="1" x14ac:dyDescent="0.4">
      <c r="A1062" s="75"/>
      <c r="B1062" s="76"/>
      <c r="C1062" s="77"/>
      <c r="D1062" s="77"/>
      <c r="E1062" s="77"/>
      <c r="F1062" s="77"/>
      <c r="G1062" s="77"/>
      <c r="H1062" s="77"/>
      <c r="I1062" s="77"/>
      <c r="J1062" s="77"/>
      <c r="K1062" s="77"/>
      <c r="L1062" s="77"/>
      <c r="M1062" s="77"/>
      <c r="N1062" s="77"/>
      <c r="O1062" s="77"/>
      <c r="P1062" s="77"/>
      <c r="Q1062" s="77"/>
      <c r="R1062" s="77"/>
      <c r="S1062" s="77"/>
      <c r="T1062" s="77"/>
      <c r="U1062" s="77"/>
      <c r="V1062" s="76"/>
      <c r="W1062" s="77"/>
      <c r="X1062" s="77"/>
    </row>
    <row r="1063" spans="1:24" ht="45" customHeight="1" x14ac:dyDescent="0.4">
      <c r="A1063" s="72"/>
      <c r="B1063" s="73"/>
      <c r="C1063" s="74"/>
      <c r="D1063" s="74"/>
      <c r="E1063" s="74"/>
      <c r="F1063" s="74"/>
      <c r="G1063" s="74"/>
      <c r="H1063" s="74"/>
      <c r="I1063" s="74"/>
      <c r="J1063" s="74"/>
      <c r="K1063" s="74"/>
      <c r="L1063" s="74"/>
      <c r="M1063" s="74"/>
      <c r="N1063" s="74"/>
      <c r="O1063" s="74"/>
      <c r="P1063" s="74"/>
      <c r="Q1063" s="74"/>
      <c r="R1063" s="74"/>
      <c r="S1063" s="74"/>
      <c r="T1063" s="74"/>
      <c r="U1063" s="74"/>
      <c r="V1063" s="73"/>
      <c r="W1063" s="74"/>
      <c r="X1063" s="74"/>
    </row>
    <row r="1064" spans="1:24" ht="45" customHeight="1" x14ac:dyDescent="0.4">
      <c r="A1064" s="75"/>
      <c r="B1064" s="76"/>
      <c r="C1064" s="77"/>
      <c r="D1064" s="77"/>
      <c r="E1064" s="77"/>
      <c r="F1064" s="77"/>
      <c r="G1064" s="77"/>
      <c r="H1064" s="77"/>
      <c r="I1064" s="77"/>
      <c r="J1064" s="77"/>
      <c r="K1064" s="77"/>
      <c r="L1064" s="77"/>
      <c r="M1064" s="77"/>
      <c r="N1064" s="77"/>
      <c r="O1064" s="77"/>
      <c r="P1064" s="77"/>
      <c r="Q1064" s="77"/>
      <c r="R1064" s="77"/>
      <c r="S1064" s="77"/>
      <c r="T1064" s="77"/>
      <c r="U1064" s="77"/>
      <c r="V1064" s="76"/>
      <c r="W1064" s="77"/>
      <c r="X1064" s="77"/>
    </row>
    <row r="1065" spans="1:24" ht="45" customHeight="1" x14ac:dyDescent="0.4">
      <c r="A1065" s="72"/>
      <c r="B1065" s="73"/>
      <c r="C1065" s="74"/>
      <c r="D1065" s="74"/>
      <c r="E1065" s="74"/>
      <c r="F1065" s="74"/>
      <c r="G1065" s="74"/>
      <c r="H1065" s="74"/>
      <c r="I1065" s="74"/>
      <c r="J1065" s="74"/>
      <c r="K1065" s="74"/>
      <c r="L1065" s="74"/>
      <c r="M1065" s="74"/>
      <c r="N1065" s="74"/>
      <c r="O1065" s="74"/>
      <c r="P1065" s="74"/>
      <c r="Q1065" s="74"/>
      <c r="R1065" s="74"/>
      <c r="S1065" s="74"/>
      <c r="T1065" s="74"/>
      <c r="U1065" s="74"/>
      <c r="V1065" s="73"/>
      <c r="W1065" s="74"/>
      <c r="X1065" s="74"/>
    </row>
    <row r="1066" spans="1:24" ht="45" customHeight="1" x14ac:dyDescent="0.4">
      <c r="A1066" s="75"/>
      <c r="B1066" s="76"/>
      <c r="C1066" s="77"/>
      <c r="D1066" s="77"/>
      <c r="E1066" s="77"/>
      <c r="F1066" s="77"/>
      <c r="G1066" s="77"/>
      <c r="H1066" s="77"/>
      <c r="I1066" s="77"/>
      <c r="J1066" s="77"/>
      <c r="K1066" s="77"/>
      <c r="L1066" s="77"/>
      <c r="M1066" s="77"/>
      <c r="N1066" s="77"/>
      <c r="O1066" s="77"/>
      <c r="P1066" s="77"/>
      <c r="Q1066" s="77"/>
      <c r="R1066" s="77"/>
      <c r="S1066" s="77"/>
      <c r="T1066" s="77"/>
      <c r="U1066" s="77"/>
      <c r="V1066" s="76"/>
      <c r="W1066" s="77"/>
      <c r="X1066" s="77"/>
    </row>
    <row r="1067" spans="1:24" ht="45" customHeight="1" x14ac:dyDescent="0.4">
      <c r="A1067" s="72"/>
      <c r="B1067" s="73"/>
      <c r="C1067" s="74"/>
      <c r="D1067" s="74"/>
      <c r="E1067" s="74"/>
      <c r="F1067" s="74"/>
      <c r="G1067" s="74"/>
      <c r="H1067" s="74"/>
      <c r="I1067" s="74"/>
      <c r="J1067" s="74"/>
      <c r="K1067" s="74"/>
      <c r="L1067" s="74"/>
      <c r="M1067" s="74"/>
      <c r="N1067" s="74"/>
      <c r="O1067" s="74"/>
      <c r="P1067" s="74"/>
      <c r="Q1067" s="74"/>
      <c r="R1067" s="74"/>
      <c r="S1067" s="74"/>
      <c r="T1067" s="74"/>
      <c r="U1067" s="74"/>
      <c r="V1067" s="73"/>
      <c r="W1067" s="74"/>
      <c r="X1067" s="74"/>
    </row>
    <row r="1068" spans="1:24" ht="45" customHeight="1" x14ac:dyDescent="0.4">
      <c r="A1068" s="75"/>
      <c r="B1068" s="76"/>
      <c r="C1068" s="77"/>
      <c r="D1068" s="77"/>
      <c r="E1068" s="77"/>
      <c r="F1068" s="77"/>
      <c r="G1068" s="77"/>
      <c r="H1068" s="77"/>
      <c r="I1068" s="77"/>
      <c r="J1068" s="77"/>
      <c r="K1068" s="77"/>
      <c r="L1068" s="77"/>
      <c r="M1068" s="77"/>
      <c r="N1068" s="77"/>
      <c r="O1068" s="77"/>
      <c r="P1068" s="77"/>
      <c r="Q1068" s="77"/>
      <c r="R1068" s="77"/>
      <c r="S1068" s="77"/>
      <c r="T1068" s="77"/>
      <c r="U1068" s="77"/>
      <c r="V1068" s="76"/>
      <c r="W1068" s="77"/>
      <c r="X1068" s="77"/>
    </row>
    <row r="1069" spans="1:24" ht="45" customHeight="1" x14ac:dyDescent="0.4">
      <c r="A1069" s="72"/>
      <c r="B1069" s="73"/>
      <c r="C1069" s="74"/>
      <c r="D1069" s="74"/>
      <c r="E1069" s="74"/>
      <c r="F1069" s="74"/>
      <c r="G1069" s="74"/>
      <c r="H1069" s="74"/>
      <c r="I1069" s="74"/>
      <c r="J1069" s="74"/>
      <c r="K1069" s="74"/>
      <c r="L1069" s="74"/>
      <c r="M1069" s="74"/>
      <c r="N1069" s="74"/>
      <c r="O1069" s="74"/>
      <c r="P1069" s="74"/>
      <c r="Q1069" s="74"/>
      <c r="R1069" s="74"/>
      <c r="S1069" s="74"/>
      <c r="T1069" s="74"/>
      <c r="U1069" s="74"/>
      <c r="V1069" s="73"/>
      <c r="W1069" s="74"/>
      <c r="X1069" s="74"/>
    </row>
    <row r="1070" spans="1:24" ht="45" customHeight="1" x14ac:dyDescent="0.4">
      <c r="A1070" s="75"/>
      <c r="B1070" s="76"/>
      <c r="C1070" s="77"/>
      <c r="D1070" s="77"/>
      <c r="E1070" s="77"/>
      <c r="F1070" s="77"/>
      <c r="G1070" s="77"/>
      <c r="H1070" s="77"/>
      <c r="I1070" s="77"/>
      <c r="J1070" s="77"/>
      <c r="K1070" s="77"/>
      <c r="L1070" s="77"/>
      <c r="M1070" s="77"/>
      <c r="N1070" s="77"/>
      <c r="O1070" s="77"/>
      <c r="P1070" s="77"/>
      <c r="Q1070" s="77"/>
      <c r="R1070" s="77"/>
      <c r="S1070" s="77"/>
      <c r="T1070" s="77"/>
      <c r="U1070" s="77"/>
      <c r="V1070" s="76"/>
      <c r="W1070" s="77"/>
      <c r="X1070" s="77"/>
    </row>
    <row r="1071" spans="1:24" ht="45" customHeight="1" x14ac:dyDescent="0.4">
      <c r="A1071" s="72"/>
      <c r="B1071" s="73"/>
      <c r="C1071" s="74"/>
      <c r="D1071" s="74"/>
      <c r="E1071" s="74"/>
      <c r="F1071" s="74"/>
      <c r="G1071" s="74"/>
      <c r="H1071" s="74"/>
      <c r="I1071" s="74"/>
      <c r="J1071" s="74"/>
      <c r="K1071" s="74"/>
      <c r="L1071" s="74"/>
      <c r="M1071" s="74"/>
      <c r="N1071" s="74"/>
      <c r="O1071" s="74"/>
      <c r="P1071" s="74"/>
      <c r="Q1071" s="74"/>
      <c r="R1071" s="74"/>
      <c r="S1071" s="74"/>
      <c r="T1071" s="74"/>
      <c r="U1071" s="74"/>
      <c r="V1071" s="73"/>
      <c r="W1071" s="74"/>
      <c r="X1071" s="74"/>
    </row>
    <row r="1072" spans="1:24" ht="45" customHeight="1" x14ac:dyDescent="0.4">
      <c r="A1072" s="75"/>
      <c r="B1072" s="76"/>
      <c r="C1072" s="77"/>
      <c r="D1072" s="77"/>
      <c r="E1072" s="77"/>
      <c r="F1072" s="77"/>
      <c r="G1072" s="77"/>
      <c r="H1072" s="77"/>
      <c r="I1072" s="77"/>
      <c r="J1072" s="77"/>
      <c r="K1072" s="77"/>
      <c r="L1072" s="77"/>
      <c r="M1072" s="77"/>
      <c r="N1072" s="77"/>
      <c r="O1072" s="77"/>
      <c r="P1072" s="77"/>
      <c r="Q1072" s="77"/>
      <c r="R1072" s="77"/>
      <c r="S1072" s="77"/>
      <c r="T1072" s="77"/>
      <c r="U1072" s="77"/>
      <c r="V1072" s="76"/>
      <c r="W1072" s="77"/>
      <c r="X1072" s="77"/>
    </row>
    <row r="1073" spans="1:24" ht="45" customHeight="1" x14ac:dyDescent="0.4">
      <c r="A1073" s="72"/>
      <c r="B1073" s="73"/>
      <c r="C1073" s="74"/>
      <c r="D1073" s="74"/>
      <c r="E1073" s="74"/>
      <c r="F1073" s="74"/>
      <c r="G1073" s="74"/>
      <c r="H1073" s="74"/>
      <c r="I1073" s="74"/>
      <c r="J1073" s="74"/>
      <c r="K1073" s="74"/>
      <c r="L1073" s="74"/>
      <c r="M1073" s="74"/>
      <c r="N1073" s="74"/>
      <c r="O1073" s="74"/>
      <c r="P1073" s="74"/>
      <c r="Q1073" s="74"/>
      <c r="R1073" s="74"/>
      <c r="S1073" s="74"/>
      <c r="T1073" s="74"/>
      <c r="U1073" s="74"/>
      <c r="V1073" s="73"/>
      <c r="W1073" s="74"/>
      <c r="X1073" s="74"/>
    </row>
    <row r="1074" spans="1:24" ht="45" customHeight="1" x14ac:dyDescent="0.4">
      <c r="A1074" s="75"/>
      <c r="B1074" s="76"/>
      <c r="C1074" s="77"/>
      <c r="D1074" s="77"/>
      <c r="E1074" s="77"/>
      <c r="F1074" s="77"/>
      <c r="G1074" s="77"/>
      <c r="H1074" s="77"/>
      <c r="I1074" s="77"/>
      <c r="J1074" s="77"/>
      <c r="K1074" s="77"/>
      <c r="L1074" s="77"/>
      <c r="M1074" s="77"/>
      <c r="N1074" s="77"/>
      <c r="O1074" s="77"/>
      <c r="P1074" s="77"/>
      <c r="Q1074" s="77"/>
      <c r="R1074" s="77"/>
      <c r="S1074" s="77"/>
      <c r="T1074" s="77"/>
      <c r="U1074" s="77"/>
      <c r="V1074" s="76"/>
      <c r="W1074" s="77"/>
      <c r="X1074" s="77"/>
    </row>
    <row r="1075" spans="1:24" ht="45" customHeight="1" x14ac:dyDescent="0.4">
      <c r="A1075" s="72"/>
      <c r="B1075" s="73"/>
      <c r="C1075" s="74"/>
      <c r="D1075" s="74"/>
      <c r="E1075" s="74"/>
      <c r="F1075" s="74"/>
      <c r="G1075" s="74"/>
      <c r="H1075" s="74"/>
      <c r="I1075" s="74"/>
      <c r="J1075" s="74"/>
      <c r="K1075" s="74"/>
      <c r="L1075" s="74"/>
      <c r="M1075" s="74"/>
      <c r="N1075" s="74"/>
      <c r="O1075" s="74"/>
      <c r="P1075" s="74"/>
      <c r="Q1075" s="74"/>
      <c r="R1075" s="74"/>
      <c r="S1075" s="74"/>
      <c r="T1075" s="74"/>
      <c r="U1075" s="74"/>
      <c r="V1075" s="73"/>
      <c r="W1075" s="74"/>
      <c r="X1075" s="74"/>
    </row>
    <row r="1076" spans="1:24" ht="45" customHeight="1" x14ac:dyDescent="0.4">
      <c r="A1076" s="75"/>
      <c r="B1076" s="76"/>
      <c r="C1076" s="77"/>
      <c r="D1076" s="77"/>
      <c r="E1076" s="77"/>
      <c r="F1076" s="77"/>
      <c r="G1076" s="77"/>
      <c r="H1076" s="77"/>
      <c r="I1076" s="77"/>
      <c r="J1076" s="77"/>
      <c r="K1076" s="77"/>
      <c r="L1076" s="77"/>
      <c r="M1076" s="77"/>
      <c r="N1076" s="77"/>
      <c r="O1076" s="77"/>
      <c r="P1076" s="77"/>
      <c r="Q1076" s="77"/>
      <c r="R1076" s="77"/>
      <c r="S1076" s="77"/>
      <c r="T1076" s="77"/>
      <c r="U1076" s="77"/>
      <c r="V1076" s="76"/>
      <c r="W1076" s="77"/>
      <c r="X1076" s="77"/>
    </row>
    <row r="1077" spans="1:24" ht="45" customHeight="1" x14ac:dyDescent="0.4">
      <c r="A1077" s="72"/>
      <c r="B1077" s="73"/>
      <c r="C1077" s="74"/>
      <c r="D1077" s="74"/>
      <c r="E1077" s="74"/>
      <c r="F1077" s="74"/>
      <c r="G1077" s="74"/>
      <c r="H1077" s="74"/>
      <c r="I1077" s="74"/>
      <c r="J1077" s="74"/>
      <c r="K1077" s="74"/>
      <c r="L1077" s="74"/>
      <c r="M1077" s="74"/>
      <c r="N1077" s="74"/>
      <c r="O1077" s="74"/>
      <c r="P1077" s="74"/>
      <c r="Q1077" s="74"/>
      <c r="R1077" s="74"/>
      <c r="S1077" s="74"/>
      <c r="T1077" s="74"/>
      <c r="U1077" s="74"/>
      <c r="V1077" s="73"/>
      <c r="W1077" s="74"/>
      <c r="X1077" s="74"/>
    </row>
    <row r="1078" spans="1:24" ht="45" customHeight="1" x14ac:dyDescent="0.4">
      <c r="A1078" s="75"/>
      <c r="B1078" s="76"/>
      <c r="C1078" s="77"/>
      <c r="D1078" s="77"/>
      <c r="E1078" s="77"/>
      <c r="F1078" s="77"/>
      <c r="G1078" s="77"/>
      <c r="H1078" s="77"/>
      <c r="I1078" s="77"/>
      <c r="J1078" s="77"/>
      <c r="K1078" s="77"/>
      <c r="L1078" s="77"/>
      <c r="M1078" s="77"/>
      <c r="N1078" s="77"/>
      <c r="O1078" s="77"/>
      <c r="P1078" s="77"/>
      <c r="Q1078" s="77"/>
      <c r="R1078" s="77"/>
      <c r="S1078" s="77"/>
      <c r="T1078" s="77"/>
      <c r="U1078" s="77"/>
      <c r="V1078" s="76"/>
      <c r="W1078" s="77"/>
      <c r="X1078" s="77"/>
    </row>
    <row r="1079" spans="1:24" ht="45" customHeight="1" x14ac:dyDescent="0.4">
      <c r="A1079" s="72"/>
      <c r="B1079" s="73"/>
      <c r="C1079" s="74"/>
      <c r="D1079" s="74"/>
      <c r="E1079" s="74"/>
      <c r="F1079" s="74"/>
      <c r="G1079" s="74"/>
      <c r="H1079" s="74"/>
      <c r="I1079" s="74"/>
      <c r="J1079" s="74"/>
      <c r="K1079" s="74"/>
      <c r="L1079" s="74"/>
      <c r="M1079" s="74"/>
      <c r="N1079" s="74"/>
      <c r="O1079" s="74"/>
      <c r="P1079" s="74"/>
      <c r="Q1079" s="74"/>
      <c r="R1079" s="74"/>
      <c r="S1079" s="74"/>
      <c r="T1079" s="74"/>
      <c r="U1079" s="74"/>
      <c r="V1079" s="73"/>
      <c r="W1079" s="74"/>
      <c r="X1079" s="74"/>
    </row>
    <row r="1080" spans="1:24" ht="45" customHeight="1" x14ac:dyDescent="0.4">
      <c r="A1080" s="75"/>
      <c r="B1080" s="76"/>
      <c r="C1080" s="77"/>
      <c r="D1080" s="77"/>
      <c r="E1080" s="77"/>
      <c r="F1080" s="77"/>
      <c r="G1080" s="77"/>
      <c r="H1080" s="77"/>
      <c r="I1080" s="77"/>
      <c r="J1080" s="77"/>
      <c r="K1080" s="77"/>
      <c r="L1080" s="77"/>
      <c r="M1080" s="77"/>
      <c r="N1080" s="77"/>
      <c r="O1080" s="77"/>
      <c r="P1080" s="77"/>
      <c r="Q1080" s="77"/>
      <c r="R1080" s="77"/>
      <c r="S1080" s="77"/>
      <c r="T1080" s="77"/>
      <c r="U1080" s="77"/>
      <c r="V1080" s="76"/>
      <c r="W1080" s="77"/>
      <c r="X1080" s="77"/>
    </row>
    <row r="1081" spans="1:24" ht="45" customHeight="1" x14ac:dyDescent="0.4">
      <c r="A1081" s="72"/>
      <c r="B1081" s="73"/>
      <c r="C1081" s="74"/>
      <c r="D1081" s="74"/>
      <c r="E1081" s="74"/>
      <c r="F1081" s="74"/>
      <c r="G1081" s="74"/>
      <c r="H1081" s="74"/>
      <c r="I1081" s="74"/>
      <c r="J1081" s="74"/>
      <c r="K1081" s="74"/>
      <c r="L1081" s="74"/>
      <c r="M1081" s="74"/>
      <c r="N1081" s="74"/>
      <c r="O1081" s="74"/>
      <c r="P1081" s="74"/>
      <c r="Q1081" s="74"/>
      <c r="R1081" s="74"/>
      <c r="S1081" s="74"/>
      <c r="T1081" s="74"/>
      <c r="U1081" s="74"/>
      <c r="V1081" s="73"/>
      <c r="W1081" s="74"/>
      <c r="X1081" s="74"/>
    </row>
    <row r="1082" spans="1:24" ht="45" customHeight="1" x14ac:dyDescent="0.4">
      <c r="A1082" s="75"/>
      <c r="B1082" s="76"/>
      <c r="C1082" s="77"/>
      <c r="D1082" s="77"/>
      <c r="E1082" s="77"/>
      <c r="F1082" s="77"/>
      <c r="G1082" s="77"/>
      <c r="H1082" s="77"/>
      <c r="I1082" s="77"/>
      <c r="J1082" s="77"/>
      <c r="K1082" s="77"/>
      <c r="L1082" s="77"/>
      <c r="M1082" s="77"/>
      <c r="N1082" s="77"/>
      <c r="O1082" s="77"/>
      <c r="P1082" s="77"/>
      <c r="Q1082" s="77"/>
      <c r="R1082" s="77"/>
      <c r="S1082" s="77"/>
      <c r="T1082" s="77"/>
      <c r="U1082" s="77"/>
      <c r="V1082" s="76"/>
      <c r="W1082" s="77"/>
      <c r="X1082" s="77"/>
    </row>
    <row r="1083" spans="1:24" ht="45" customHeight="1" x14ac:dyDescent="0.4">
      <c r="A1083" s="72"/>
      <c r="B1083" s="73"/>
      <c r="C1083" s="74"/>
      <c r="D1083" s="74"/>
      <c r="E1083" s="74"/>
      <c r="F1083" s="74"/>
      <c r="G1083" s="74"/>
      <c r="H1083" s="74"/>
      <c r="I1083" s="74"/>
      <c r="J1083" s="74"/>
      <c r="K1083" s="74"/>
      <c r="L1083" s="74"/>
      <c r="M1083" s="74"/>
      <c r="N1083" s="74"/>
      <c r="O1083" s="74"/>
      <c r="P1083" s="74"/>
      <c r="Q1083" s="74"/>
      <c r="R1083" s="74"/>
      <c r="S1083" s="74"/>
      <c r="T1083" s="74"/>
      <c r="U1083" s="74"/>
      <c r="V1083" s="73"/>
      <c r="W1083" s="74"/>
      <c r="X1083" s="74"/>
    </row>
    <row r="1084" spans="1:24" ht="45" customHeight="1" x14ac:dyDescent="0.4">
      <c r="A1084" s="75"/>
      <c r="B1084" s="76"/>
      <c r="C1084" s="77"/>
      <c r="D1084" s="77"/>
      <c r="E1084" s="77"/>
      <c r="F1084" s="77"/>
      <c r="G1084" s="77"/>
      <c r="H1084" s="77"/>
      <c r="I1084" s="77"/>
      <c r="J1084" s="77"/>
      <c r="K1084" s="77"/>
      <c r="L1084" s="77"/>
      <c r="M1084" s="77"/>
      <c r="N1084" s="77"/>
      <c r="O1084" s="77"/>
      <c r="P1084" s="77"/>
      <c r="Q1084" s="77"/>
      <c r="R1084" s="77"/>
      <c r="S1084" s="77"/>
      <c r="T1084" s="77"/>
      <c r="U1084" s="77"/>
      <c r="V1084" s="76"/>
      <c r="W1084" s="77"/>
      <c r="X1084" s="77"/>
    </row>
    <row r="1085" spans="1:24" ht="45" customHeight="1" x14ac:dyDescent="0.4">
      <c r="A1085" s="72"/>
      <c r="B1085" s="73"/>
      <c r="C1085" s="74"/>
      <c r="D1085" s="74"/>
      <c r="E1085" s="74"/>
      <c r="F1085" s="74"/>
      <c r="G1085" s="74"/>
      <c r="H1085" s="74"/>
      <c r="I1085" s="74"/>
      <c r="J1085" s="74"/>
      <c r="K1085" s="74"/>
      <c r="L1085" s="74"/>
      <c r="M1085" s="74"/>
      <c r="N1085" s="74"/>
      <c r="O1085" s="74"/>
      <c r="P1085" s="74"/>
      <c r="Q1085" s="74"/>
      <c r="R1085" s="74"/>
      <c r="S1085" s="74"/>
      <c r="T1085" s="74"/>
      <c r="U1085" s="74"/>
      <c r="V1085" s="73"/>
      <c r="W1085" s="74"/>
      <c r="X1085" s="74"/>
    </row>
    <row r="1086" spans="1:24" ht="45" customHeight="1" x14ac:dyDescent="0.4">
      <c r="A1086" s="75"/>
      <c r="B1086" s="76"/>
      <c r="C1086" s="77"/>
      <c r="D1086" s="77"/>
      <c r="E1086" s="77"/>
      <c r="F1086" s="77"/>
      <c r="G1086" s="77"/>
      <c r="H1086" s="77"/>
      <c r="I1086" s="77"/>
      <c r="J1086" s="77"/>
      <c r="K1086" s="77"/>
      <c r="L1086" s="77"/>
      <c r="M1086" s="77"/>
      <c r="N1086" s="77"/>
      <c r="O1086" s="77"/>
      <c r="P1086" s="77"/>
      <c r="Q1086" s="77"/>
      <c r="R1086" s="77"/>
      <c r="S1086" s="77"/>
      <c r="T1086" s="77"/>
      <c r="U1086" s="77"/>
      <c r="V1086" s="76"/>
      <c r="W1086" s="77"/>
      <c r="X1086" s="77"/>
    </row>
    <row r="1087" spans="1:24" ht="45" customHeight="1" x14ac:dyDescent="0.4">
      <c r="A1087" s="72"/>
      <c r="B1087" s="73"/>
      <c r="C1087" s="74"/>
      <c r="D1087" s="74"/>
      <c r="E1087" s="74"/>
      <c r="F1087" s="74"/>
      <c r="G1087" s="74"/>
      <c r="H1087" s="74"/>
      <c r="I1087" s="74"/>
      <c r="J1087" s="74"/>
      <c r="K1087" s="74"/>
      <c r="L1087" s="74"/>
      <c r="M1087" s="74"/>
      <c r="N1087" s="74"/>
      <c r="O1087" s="74"/>
      <c r="P1087" s="74"/>
      <c r="Q1087" s="74"/>
      <c r="R1087" s="74"/>
      <c r="S1087" s="74"/>
      <c r="T1087" s="74"/>
      <c r="U1087" s="74"/>
      <c r="V1087" s="73"/>
      <c r="W1087" s="74"/>
      <c r="X1087" s="74"/>
    </row>
    <row r="1088" spans="1:24" ht="45" customHeight="1" x14ac:dyDescent="0.4">
      <c r="A1088" s="75"/>
      <c r="B1088" s="76"/>
      <c r="C1088" s="77"/>
      <c r="D1088" s="77"/>
      <c r="E1088" s="77"/>
      <c r="F1088" s="77"/>
      <c r="G1088" s="77"/>
      <c r="H1088" s="77"/>
      <c r="I1088" s="77"/>
      <c r="J1088" s="77"/>
      <c r="K1088" s="77"/>
      <c r="L1088" s="77"/>
      <c r="M1088" s="77"/>
      <c r="N1088" s="77"/>
      <c r="O1088" s="77"/>
      <c r="P1088" s="77"/>
      <c r="Q1088" s="77"/>
      <c r="R1088" s="77"/>
      <c r="S1088" s="77"/>
      <c r="T1088" s="77"/>
      <c r="U1088" s="77"/>
      <c r="V1088" s="76"/>
      <c r="W1088" s="77"/>
      <c r="X1088" s="77"/>
    </row>
    <row r="1089" spans="1:24" ht="45" customHeight="1" x14ac:dyDescent="0.4">
      <c r="A1089" s="72"/>
      <c r="B1089" s="73"/>
      <c r="C1089" s="74"/>
      <c r="D1089" s="74"/>
      <c r="E1089" s="74"/>
      <c r="F1089" s="74"/>
      <c r="G1089" s="74"/>
      <c r="H1089" s="74"/>
      <c r="I1089" s="74"/>
      <c r="J1089" s="74"/>
      <c r="K1089" s="74"/>
      <c r="L1089" s="74"/>
      <c r="M1089" s="74"/>
      <c r="N1089" s="74"/>
      <c r="O1089" s="74"/>
      <c r="P1089" s="74"/>
      <c r="Q1089" s="74"/>
      <c r="R1089" s="74"/>
      <c r="S1089" s="74"/>
      <c r="T1089" s="74"/>
      <c r="U1089" s="74"/>
      <c r="V1089" s="73"/>
      <c r="W1089" s="74"/>
      <c r="X1089" s="74"/>
    </row>
    <row r="1090" spans="1:24" ht="45" customHeight="1" x14ac:dyDescent="0.4">
      <c r="A1090" s="75"/>
      <c r="B1090" s="76"/>
      <c r="C1090" s="77"/>
      <c r="D1090" s="77"/>
      <c r="E1090" s="77"/>
      <c r="F1090" s="77"/>
      <c r="G1090" s="77"/>
      <c r="H1090" s="77"/>
      <c r="I1090" s="77"/>
      <c r="J1090" s="77"/>
      <c r="K1090" s="77"/>
      <c r="L1090" s="77"/>
      <c r="M1090" s="77"/>
      <c r="N1090" s="77"/>
      <c r="O1090" s="77"/>
      <c r="P1090" s="77"/>
      <c r="Q1090" s="77"/>
      <c r="R1090" s="77"/>
      <c r="S1090" s="77"/>
      <c r="T1090" s="77"/>
      <c r="U1090" s="77"/>
      <c r="V1090" s="76"/>
      <c r="W1090" s="77"/>
      <c r="X1090" s="77"/>
    </row>
    <row r="1091" spans="1:24" ht="45" customHeight="1" x14ac:dyDescent="0.4">
      <c r="A1091" s="72"/>
      <c r="B1091" s="73"/>
      <c r="C1091" s="74"/>
      <c r="D1091" s="74"/>
      <c r="E1091" s="74"/>
      <c r="F1091" s="74"/>
      <c r="G1091" s="74"/>
      <c r="H1091" s="74"/>
      <c r="I1091" s="74"/>
      <c r="J1091" s="74"/>
      <c r="K1091" s="74"/>
      <c r="L1091" s="74"/>
      <c r="M1091" s="74"/>
      <c r="N1091" s="74"/>
      <c r="O1091" s="74"/>
      <c r="P1091" s="74"/>
      <c r="Q1091" s="74"/>
      <c r="R1091" s="74"/>
      <c r="S1091" s="74"/>
      <c r="T1091" s="74"/>
      <c r="U1091" s="74"/>
      <c r="V1091" s="73"/>
      <c r="W1091" s="74"/>
      <c r="X1091" s="74"/>
    </row>
    <row r="1092" spans="1:24" ht="45" customHeight="1" x14ac:dyDescent="0.4">
      <c r="A1092" s="75"/>
      <c r="B1092" s="76"/>
      <c r="C1092" s="77"/>
      <c r="D1092" s="77"/>
      <c r="E1092" s="77"/>
      <c r="F1092" s="77"/>
      <c r="G1092" s="77"/>
      <c r="H1092" s="77"/>
      <c r="I1092" s="77"/>
      <c r="J1092" s="77"/>
      <c r="K1092" s="77"/>
      <c r="L1092" s="77"/>
      <c r="M1092" s="77"/>
      <c r="N1092" s="77"/>
      <c r="O1092" s="77"/>
      <c r="P1092" s="77"/>
      <c r="Q1092" s="77"/>
      <c r="R1092" s="77"/>
      <c r="S1092" s="77"/>
      <c r="T1092" s="77"/>
      <c r="U1092" s="77"/>
      <c r="V1092" s="76"/>
      <c r="W1092" s="77"/>
      <c r="X1092" s="77"/>
    </row>
    <row r="1093" spans="1:24" ht="45" customHeight="1" x14ac:dyDescent="0.4">
      <c r="A1093" s="72"/>
      <c r="B1093" s="73"/>
      <c r="C1093" s="74"/>
      <c r="D1093" s="74"/>
      <c r="E1093" s="74"/>
      <c r="F1093" s="74"/>
      <c r="G1093" s="74"/>
      <c r="H1093" s="74"/>
      <c r="I1093" s="74"/>
      <c r="J1093" s="74"/>
      <c r="K1093" s="74"/>
      <c r="L1093" s="74"/>
      <c r="M1093" s="74"/>
      <c r="N1093" s="74"/>
      <c r="O1093" s="74"/>
      <c r="P1093" s="74"/>
      <c r="Q1093" s="74"/>
      <c r="R1093" s="74"/>
      <c r="S1093" s="74"/>
      <c r="T1093" s="74"/>
      <c r="U1093" s="74"/>
      <c r="V1093" s="73"/>
      <c r="W1093" s="74"/>
      <c r="X1093" s="74"/>
    </row>
    <row r="1094" spans="1:24" ht="45" customHeight="1" x14ac:dyDescent="0.4">
      <c r="A1094" s="75"/>
      <c r="B1094" s="76"/>
      <c r="C1094" s="77"/>
      <c r="D1094" s="77"/>
      <c r="E1094" s="77"/>
      <c r="F1094" s="77"/>
      <c r="G1094" s="77"/>
      <c r="H1094" s="77"/>
      <c r="I1094" s="77"/>
      <c r="J1094" s="77"/>
      <c r="K1094" s="77"/>
      <c r="L1094" s="77"/>
      <c r="M1094" s="77"/>
      <c r="N1094" s="77"/>
      <c r="O1094" s="77"/>
      <c r="P1094" s="77"/>
      <c r="Q1094" s="77"/>
      <c r="R1094" s="77"/>
      <c r="S1094" s="77"/>
      <c r="T1094" s="77"/>
      <c r="U1094" s="77"/>
      <c r="V1094" s="76"/>
      <c r="W1094" s="77"/>
      <c r="X1094" s="77"/>
    </row>
    <row r="1095" spans="1:24" ht="45" customHeight="1" x14ac:dyDescent="0.4">
      <c r="A1095" s="72"/>
      <c r="B1095" s="73"/>
      <c r="C1095" s="74"/>
      <c r="D1095" s="74"/>
      <c r="E1095" s="74"/>
      <c r="F1095" s="74"/>
      <c r="G1095" s="74"/>
      <c r="H1095" s="74"/>
      <c r="I1095" s="74"/>
      <c r="J1095" s="74"/>
      <c r="K1095" s="74"/>
      <c r="L1095" s="74"/>
      <c r="M1095" s="74"/>
      <c r="N1095" s="74"/>
      <c r="O1095" s="74"/>
      <c r="P1095" s="74"/>
      <c r="Q1095" s="74"/>
      <c r="R1095" s="74"/>
      <c r="S1095" s="74"/>
      <c r="T1095" s="74"/>
      <c r="U1095" s="74"/>
      <c r="V1095" s="73"/>
      <c r="W1095" s="74"/>
      <c r="X1095" s="74"/>
    </row>
    <row r="1096" spans="1:24" ht="45" customHeight="1" x14ac:dyDescent="0.4">
      <c r="A1096" s="75"/>
      <c r="B1096" s="76"/>
      <c r="C1096" s="77"/>
      <c r="D1096" s="77"/>
      <c r="E1096" s="77"/>
      <c r="F1096" s="77"/>
      <c r="G1096" s="77"/>
      <c r="H1096" s="77"/>
      <c r="I1096" s="77"/>
      <c r="J1096" s="77"/>
      <c r="K1096" s="77"/>
      <c r="L1096" s="77"/>
      <c r="M1096" s="77"/>
      <c r="N1096" s="77"/>
      <c r="O1096" s="77"/>
      <c r="P1096" s="77"/>
      <c r="Q1096" s="77"/>
      <c r="R1096" s="77"/>
      <c r="S1096" s="77"/>
      <c r="T1096" s="77"/>
      <c r="U1096" s="77"/>
      <c r="V1096" s="76"/>
      <c r="W1096" s="77"/>
      <c r="X1096" s="77"/>
    </row>
    <row r="1097" spans="1:24" ht="45" customHeight="1" x14ac:dyDescent="0.4">
      <c r="A1097" s="72"/>
      <c r="B1097" s="73"/>
      <c r="C1097" s="74"/>
      <c r="D1097" s="74"/>
      <c r="E1097" s="74"/>
      <c r="F1097" s="74"/>
      <c r="G1097" s="74"/>
      <c r="H1097" s="74"/>
      <c r="I1097" s="74"/>
      <c r="J1097" s="74"/>
      <c r="K1097" s="74"/>
      <c r="L1097" s="74"/>
      <c r="M1097" s="74"/>
      <c r="N1097" s="74"/>
      <c r="O1097" s="74"/>
      <c r="P1097" s="74"/>
      <c r="Q1097" s="74"/>
      <c r="R1097" s="74"/>
      <c r="S1097" s="74"/>
      <c r="T1097" s="74"/>
      <c r="U1097" s="74"/>
      <c r="V1097" s="73"/>
      <c r="W1097" s="74"/>
      <c r="X1097" s="74"/>
    </row>
    <row r="1098" spans="1:24" ht="45" customHeight="1" x14ac:dyDescent="0.4">
      <c r="A1098" s="75"/>
      <c r="B1098" s="76"/>
      <c r="C1098" s="77"/>
      <c r="D1098" s="77"/>
      <c r="E1098" s="77"/>
      <c r="F1098" s="77"/>
      <c r="G1098" s="77"/>
      <c r="H1098" s="77"/>
      <c r="I1098" s="77"/>
      <c r="J1098" s="77"/>
      <c r="K1098" s="77"/>
      <c r="L1098" s="77"/>
      <c r="M1098" s="77"/>
      <c r="N1098" s="77"/>
      <c r="O1098" s="77"/>
      <c r="P1098" s="77"/>
      <c r="Q1098" s="77"/>
      <c r="R1098" s="77"/>
      <c r="S1098" s="77"/>
      <c r="T1098" s="77"/>
      <c r="U1098" s="77"/>
      <c r="V1098" s="76"/>
      <c r="W1098" s="77"/>
      <c r="X1098" s="77"/>
    </row>
    <row r="1099" spans="1:24" ht="45" customHeight="1" x14ac:dyDescent="0.4">
      <c r="A1099" s="72"/>
      <c r="B1099" s="73"/>
      <c r="C1099" s="74"/>
      <c r="D1099" s="74"/>
      <c r="E1099" s="74"/>
      <c r="F1099" s="74"/>
      <c r="G1099" s="74"/>
      <c r="H1099" s="74"/>
      <c r="I1099" s="74"/>
      <c r="J1099" s="74"/>
      <c r="K1099" s="74"/>
      <c r="L1099" s="74"/>
      <c r="M1099" s="74"/>
      <c r="N1099" s="74"/>
      <c r="O1099" s="74"/>
      <c r="P1099" s="74"/>
      <c r="Q1099" s="74"/>
      <c r="R1099" s="74"/>
      <c r="S1099" s="74"/>
      <c r="T1099" s="74"/>
      <c r="U1099" s="74"/>
      <c r="V1099" s="73"/>
      <c r="W1099" s="74"/>
      <c r="X1099" s="74"/>
    </row>
    <row r="1100" spans="1:24" ht="45" customHeight="1" x14ac:dyDescent="0.4">
      <c r="A1100" s="75"/>
      <c r="B1100" s="76"/>
      <c r="C1100" s="77"/>
      <c r="D1100" s="77"/>
      <c r="E1100" s="77"/>
      <c r="F1100" s="77"/>
      <c r="G1100" s="77"/>
      <c r="H1100" s="77"/>
      <c r="I1100" s="77"/>
      <c r="J1100" s="77"/>
      <c r="K1100" s="77"/>
      <c r="L1100" s="77"/>
      <c r="M1100" s="77"/>
      <c r="N1100" s="77"/>
      <c r="O1100" s="77"/>
      <c r="P1100" s="77"/>
      <c r="Q1100" s="77"/>
      <c r="R1100" s="77"/>
      <c r="S1100" s="77"/>
      <c r="T1100" s="77"/>
      <c r="U1100" s="77"/>
      <c r="V1100" s="76"/>
      <c r="W1100" s="77"/>
      <c r="X1100" s="77"/>
    </row>
    <row r="1101" spans="1:24" ht="45" customHeight="1" x14ac:dyDescent="0.4">
      <c r="A1101" s="72"/>
      <c r="B1101" s="73"/>
      <c r="C1101" s="74"/>
      <c r="D1101" s="74"/>
      <c r="E1101" s="74"/>
      <c r="F1101" s="74"/>
      <c r="G1101" s="74"/>
      <c r="H1101" s="74"/>
      <c r="I1101" s="74"/>
      <c r="J1101" s="74"/>
      <c r="K1101" s="74"/>
      <c r="L1101" s="74"/>
      <c r="M1101" s="74"/>
      <c r="N1101" s="74"/>
      <c r="O1101" s="74"/>
      <c r="P1101" s="74"/>
      <c r="Q1101" s="74"/>
      <c r="R1101" s="74"/>
      <c r="S1101" s="74"/>
      <c r="T1101" s="74"/>
      <c r="U1101" s="74"/>
      <c r="V1101" s="73"/>
      <c r="W1101" s="74"/>
      <c r="X1101" s="74"/>
    </row>
    <row r="1102" spans="1:24" ht="45" customHeight="1" x14ac:dyDescent="0.4">
      <c r="A1102" s="75"/>
      <c r="B1102" s="76"/>
      <c r="C1102" s="77"/>
      <c r="D1102" s="77"/>
      <c r="E1102" s="77"/>
      <c r="F1102" s="77"/>
      <c r="G1102" s="77"/>
      <c r="H1102" s="77"/>
      <c r="I1102" s="77"/>
      <c r="J1102" s="77"/>
      <c r="K1102" s="77"/>
      <c r="L1102" s="77"/>
      <c r="M1102" s="77"/>
      <c r="N1102" s="77"/>
      <c r="O1102" s="77"/>
      <c r="P1102" s="77"/>
      <c r="Q1102" s="77"/>
      <c r="R1102" s="77"/>
      <c r="S1102" s="77"/>
      <c r="T1102" s="77"/>
      <c r="U1102" s="77"/>
      <c r="V1102" s="76"/>
      <c r="W1102" s="77"/>
      <c r="X1102" s="77"/>
    </row>
    <row r="1103" spans="1:24" ht="45" customHeight="1" x14ac:dyDescent="0.4">
      <c r="A1103" s="72"/>
      <c r="B1103" s="73"/>
      <c r="C1103" s="74"/>
      <c r="D1103" s="74"/>
      <c r="E1103" s="74"/>
      <c r="F1103" s="74"/>
      <c r="G1103" s="74"/>
      <c r="H1103" s="74"/>
      <c r="I1103" s="74"/>
      <c r="J1103" s="74"/>
      <c r="K1103" s="74"/>
      <c r="L1103" s="74"/>
      <c r="M1103" s="74"/>
      <c r="N1103" s="74"/>
      <c r="O1103" s="74"/>
      <c r="P1103" s="74"/>
      <c r="Q1103" s="74"/>
      <c r="R1103" s="74"/>
      <c r="S1103" s="74"/>
      <c r="T1103" s="74"/>
      <c r="U1103" s="74"/>
      <c r="V1103" s="73"/>
      <c r="W1103" s="74"/>
      <c r="X1103" s="74"/>
    </row>
    <row r="1104" spans="1:24" ht="45" customHeight="1" x14ac:dyDescent="0.4">
      <c r="A1104" s="75"/>
      <c r="B1104" s="76"/>
      <c r="C1104" s="77"/>
      <c r="D1104" s="77"/>
      <c r="E1104" s="77"/>
      <c r="F1104" s="77"/>
      <c r="G1104" s="77"/>
      <c r="H1104" s="77"/>
      <c r="I1104" s="77"/>
      <c r="J1104" s="77"/>
      <c r="K1104" s="77"/>
      <c r="L1104" s="77"/>
      <c r="M1104" s="77"/>
      <c r="N1104" s="77"/>
      <c r="O1104" s="77"/>
      <c r="P1104" s="77"/>
      <c r="Q1104" s="77"/>
      <c r="R1104" s="77"/>
      <c r="S1104" s="77"/>
      <c r="T1104" s="77"/>
      <c r="U1104" s="77"/>
      <c r="V1104" s="76"/>
      <c r="W1104" s="77"/>
      <c r="X1104" s="77"/>
    </row>
    <row r="1105" spans="1:24" ht="45" customHeight="1" x14ac:dyDescent="0.4">
      <c r="A1105" s="72"/>
      <c r="B1105" s="73"/>
      <c r="C1105" s="74"/>
      <c r="D1105" s="74"/>
      <c r="E1105" s="74"/>
      <c r="F1105" s="74"/>
      <c r="G1105" s="74"/>
      <c r="H1105" s="74"/>
      <c r="I1105" s="74"/>
      <c r="J1105" s="74"/>
      <c r="K1105" s="74"/>
      <c r="L1105" s="74"/>
      <c r="M1105" s="74"/>
      <c r="N1105" s="74"/>
      <c r="O1105" s="74"/>
      <c r="P1105" s="74"/>
      <c r="Q1105" s="74"/>
      <c r="R1105" s="74"/>
      <c r="S1105" s="74"/>
      <c r="T1105" s="74"/>
      <c r="U1105" s="74"/>
      <c r="V1105" s="73"/>
      <c r="W1105" s="74"/>
      <c r="X1105" s="74"/>
    </row>
    <row r="1106" spans="1:24" ht="45" customHeight="1" x14ac:dyDescent="0.4">
      <c r="A1106" s="75"/>
      <c r="B1106" s="76"/>
      <c r="C1106" s="77"/>
      <c r="D1106" s="77"/>
      <c r="E1106" s="77"/>
      <c r="F1106" s="77"/>
      <c r="G1106" s="77"/>
      <c r="H1106" s="77"/>
      <c r="I1106" s="77"/>
      <c r="J1106" s="77"/>
      <c r="K1106" s="77"/>
      <c r="L1106" s="77"/>
      <c r="M1106" s="77"/>
      <c r="N1106" s="77"/>
      <c r="O1106" s="77"/>
      <c r="P1106" s="77"/>
      <c r="Q1106" s="77"/>
      <c r="R1106" s="77"/>
      <c r="S1106" s="77"/>
      <c r="T1106" s="77"/>
      <c r="U1106" s="77"/>
      <c r="V1106" s="76"/>
      <c r="W1106" s="77"/>
      <c r="X1106" s="77"/>
    </row>
    <row r="1107" spans="1:24" ht="45" customHeight="1" x14ac:dyDescent="0.4">
      <c r="A1107" s="72"/>
      <c r="B1107" s="73"/>
      <c r="C1107" s="74"/>
      <c r="D1107" s="74"/>
      <c r="E1107" s="74"/>
      <c r="F1107" s="74"/>
      <c r="G1107" s="74"/>
      <c r="H1107" s="74"/>
      <c r="I1107" s="74"/>
      <c r="J1107" s="74"/>
      <c r="K1107" s="74"/>
      <c r="L1107" s="74"/>
      <c r="M1107" s="74"/>
      <c r="N1107" s="74"/>
      <c r="O1107" s="74"/>
      <c r="P1107" s="74"/>
      <c r="Q1107" s="74"/>
      <c r="R1107" s="74"/>
      <c r="S1107" s="74"/>
      <c r="T1107" s="74"/>
      <c r="U1107" s="74"/>
      <c r="V1107" s="73"/>
      <c r="W1107" s="74"/>
      <c r="X1107" s="74"/>
    </row>
    <row r="1108" spans="1:24" ht="45" customHeight="1" x14ac:dyDescent="0.4">
      <c r="A1108" s="75"/>
      <c r="B1108" s="76"/>
      <c r="C1108" s="77"/>
      <c r="D1108" s="77"/>
      <c r="E1108" s="77"/>
      <c r="F1108" s="77"/>
      <c r="G1108" s="77"/>
      <c r="H1108" s="77"/>
      <c r="I1108" s="77"/>
      <c r="J1108" s="77"/>
      <c r="K1108" s="77"/>
      <c r="L1108" s="77"/>
      <c r="M1108" s="77"/>
      <c r="N1108" s="77"/>
      <c r="O1108" s="77"/>
      <c r="P1108" s="77"/>
      <c r="Q1108" s="77"/>
      <c r="R1108" s="77"/>
      <c r="S1108" s="77"/>
      <c r="T1108" s="77"/>
      <c r="U1108" s="77"/>
      <c r="V1108" s="76"/>
      <c r="W1108" s="77"/>
      <c r="X1108" s="77"/>
    </row>
    <row r="1109" spans="1:24" ht="45" customHeight="1" x14ac:dyDescent="0.4">
      <c r="A1109" s="72"/>
      <c r="B1109" s="73"/>
      <c r="C1109" s="74"/>
      <c r="D1109" s="74"/>
      <c r="E1109" s="74"/>
      <c r="F1109" s="74"/>
      <c r="G1109" s="74"/>
      <c r="H1109" s="74"/>
      <c r="I1109" s="74"/>
      <c r="J1109" s="74"/>
      <c r="K1109" s="74"/>
      <c r="L1109" s="74"/>
      <c r="M1109" s="74"/>
      <c r="N1109" s="74"/>
      <c r="O1109" s="74"/>
      <c r="P1109" s="74"/>
      <c r="Q1109" s="74"/>
      <c r="R1109" s="74"/>
      <c r="S1109" s="74"/>
      <c r="T1109" s="74"/>
      <c r="U1109" s="74"/>
      <c r="V1109" s="73"/>
      <c r="W1109" s="74"/>
      <c r="X1109" s="74"/>
    </row>
    <row r="1110" spans="1:24" ht="45" customHeight="1" x14ac:dyDescent="0.4">
      <c r="A1110" s="75"/>
      <c r="B1110" s="76"/>
      <c r="C1110" s="77"/>
      <c r="D1110" s="77"/>
      <c r="E1110" s="77"/>
      <c r="F1110" s="77"/>
      <c r="G1110" s="77"/>
      <c r="H1110" s="77"/>
      <c r="I1110" s="77"/>
      <c r="J1110" s="77"/>
      <c r="K1110" s="77"/>
      <c r="L1110" s="77"/>
      <c r="M1110" s="77"/>
      <c r="N1110" s="77"/>
      <c r="O1110" s="77"/>
      <c r="P1110" s="77"/>
      <c r="Q1110" s="77"/>
      <c r="R1110" s="77"/>
      <c r="S1110" s="77"/>
      <c r="T1110" s="77"/>
      <c r="U1110" s="77"/>
      <c r="V1110" s="76"/>
      <c r="W1110" s="77"/>
      <c r="X1110" s="77"/>
    </row>
    <row r="1111" spans="1:24" ht="45" customHeight="1" x14ac:dyDescent="0.4">
      <c r="A1111" s="72"/>
      <c r="B1111" s="73"/>
      <c r="C1111" s="74"/>
      <c r="D1111" s="74"/>
      <c r="E1111" s="74"/>
      <c r="F1111" s="74"/>
      <c r="G1111" s="74"/>
      <c r="H1111" s="74"/>
      <c r="I1111" s="74"/>
      <c r="J1111" s="74"/>
      <c r="K1111" s="74"/>
      <c r="L1111" s="74"/>
      <c r="M1111" s="74"/>
      <c r="N1111" s="74"/>
      <c r="O1111" s="74"/>
      <c r="P1111" s="74"/>
      <c r="Q1111" s="74"/>
      <c r="R1111" s="74"/>
      <c r="S1111" s="74"/>
      <c r="T1111" s="74"/>
      <c r="U1111" s="74"/>
      <c r="V1111" s="73"/>
      <c r="W1111" s="74"/>
      <c r="X1111" s="74"/>
    </row>
    <row r="1112" spans="1:24" ht="45" customHeight="1" x14ac:dyDescent="0.4">
      <c r="A1112" s="75"/>
      <c r="B1112" s="76"/>
      <c r="C1112" s="77"/>
      <c r="D1112" s="77"/>
      <c r="E1112" s="77"/>
      <c r="F1112" s="77"/>
      <c r="G1112" s="77"/>
      <c r="H1112" s="77"/>
      <c r="I1112" s="77"/>
      <c r="J1112" s="77"/>
      <c r="K1112" s="77"/>
      <c r="L1112" s="77"/>
      <c r="M1112" s="77"/>
      <c r="N1112" s="77"/>
      <c r="O1112" s="77"/>
      <c r="P1112" s="77"/>
      <c r="Q1112" s="77"/>
      <c r="R1112" s="77"/>
      <c r="S1112" s="77"/>
      <c r="T1112" s="77"/>
      <c r="U1112" s="77"/>
      <c r="V1112" s="76"/>
      <c r="W1112" s="77"/>
      <c r="X1112" s="77"/>
    </row>
    <row r="1113" spans="1:24" ht="45" customHeight="1" x14ac:dyDescent="0.4">
      <c r="A1113" s="72"/>
      <c r="B1113" s="73"/>
      <c r="C1113" s="74"/>
      <c r="D1113" s="74"/>
      <c r="E1113" s="74"/>
      <c r="F1113" s="74"/>
      <c r="G1113" s="74"/>
      <c r="H1113" s="74"/>
      <c r="I1113" s="74"/>
      <c r="J1113" s="74"/>
      <c r="K1113" s="74"/>
      <c r="L1113" s="74"/>
      <c r="M1113" s="74"/>
      <c r="N1113" s="74"/>
      <c r="O1113" s="74"/>
      <c r="P1113" s="74"/>
      <c r="Q1113" s="74"/>
      <c r="R1113" s="74"/>
      <c r="S1113" s="74"/>
      <c r="T1113" s="74"/>
      <c r="U1113" s="74"/>
      <c r="V1113" s="73"/>
      <c r="W1113" s="74"/>
      <c r="X1113" s="74"/>
    </row>
    <row r="1114" spans="1:24" ht="45" customHeight="1" x14ac:dyDescent="0.4">
      <c r="A1114" s="75"/>
      <c r="B1114" s="76"/>
      <c r="C1114" s="77"/>
      <c r="D1114" s="77"/>
      <c r="E1114" s="77"/>
      <c r="F1114" s="77"/>
      <c r="G1114" s="77"/>
      <c r="H1114" s="77"/>
      <c r="I1114" s="77"/>
      <c r="J1114" s="77"/>
      <c r="K1114" s="77"/>
      <c r="L1114" s="77"/>
      <c r="M1114" s="77"/>
      <c r="N1114" s="77"/>
      <c r="O1114" s="77"/>
      <c r="P1114" s="77"/>
      <c r="Q1114" s="77"/>
      <c r="R1114" s="77"/>
      <c r="S1114" s="77"/>
      <c r="T1114" s="77"/>
      <c r="U1114" s="77"/>
      <c r="V1114" s="76"/>
      <c r="W1114" s="77"/>
      <c r="X1114" s="77"/>
    </row>
    <row r="1115" spans="1:24" ht="45" customHeight="1" x14ac:dyDescent="0.4">
      <c r="A1115" s="72"/>
      <c r="B1115" s="73"/>
      <c r="C1115" s="74"/>
      <c r="D1115" s="74"/>
      <c r="E1115" s="74"/>
      <c r="F1115" s="74"/>
      <c r="G1115" s="74"/>
      <c r="H1115" s="74"/>
      <c r="I1115" s="74"/>
      <c r="J1115" s="74"/>
      <c r="K1115" s="74"/>
      <c r="L1115" s="74"/>
      <c r="M1115" s="74"/>
      <c r="N1115" s="74"/>
      <c r="O1115" s="74"/>
      <c r="P1115" s="74"/>
      <c r="Q1115" s="74"/>
      <c r="R1115" s="74"/>
      <c r="S1115" s="74"/>
      <c r="T1115" s="74"/>
      <c r="U1115" s="74"/>
      <c r="V1115" s="73"/>
      <c r="W1115" s="74"/>
      <c r="X1115" s="74"/>
    </row>
    <row r="1116" spans="1:24" ht="45" customHeight="1" x14ac:dyDescent="0.4">
      <c r="A1116" s="75"/>
      <c r="B1116" s="76"/>
      <c r="C1116" s="77"/>
      <c r="D1116" s="77"/>
      <c r="E1116" s="77"/>
      <c r="F1116" s="77"/>
      <c r="G1116" s="77"/>
      <c r="H1116" s="77"/>
      <c r="I1116" s="77"/>
      <c r="J1116" s="77"/>
      <c r="K1116" s="77"/>
      <c r="L1116" s="77"/>
      <c r="M1116" s="77"/>
      <c r="N1116" s="77"/>
      <c r="O1116" s="77"/>
      <c r="P1116" s="77"/>
      <c r="Q1116" s="77"/>
      <c r="R1116" s="77"/>
      <c r="S1116" s="77"/>
      <c r="T1116" s="77"/>
      <c r="U1116" s="77"/>
      <c r="V1116" s="76"/>
      <c r="W1116" s="77"/>
      <c r="X1116" s="77"/>
    </row>
    <row r="1117" spans="1:24" ht="45" customHeight="1" x14ac:dyDescent="0.4">
      <c r="A1117" s="72"/>
      <c r="B1117" s="73"/>
      <c r="C1117" s="74"/>
      <c r="D1117" s="74"/>
      <c r="E1117" s="74"/>
      <c r="F1117" s="74"/>
      <c r="G1117" s="74"/>
      <c r="H1117" s="74"/>
      <c r="I1117" s="74"/>
      <c r="J1117" s="74"/>
      <c r="K1117" s="74"/>
      <c r="L1117" s="74"/>
      <c r="M1117" s="74"/>
      <c r="N1117" s="74"/>
      <c r="O1117" s="74"/>
      <c r="P1117" s="74"/>
      <c r="Q1117" s="74"/>
      <c r="R1117" s="74"/>
      <c r="S1117" s="74"/>
      <c r="T1117" s="74"/>
      <c r="U1117" s="74"/>
      <c r="V1117" s="73"/>
      <c r="W1117" s="74"/>
      <c r="X1117" s="74"/>
    </row>
    <row r="1118" spans="1:24" ht="45" customHeight="1" x14ac:dyDescent="0.4">
      <c r="A1118" s="75"/>
      <c r="B1118" s="76"/>
      <c r="C1118" s="77"/>
      <c r="D1118" s="77"/>
      <c r="E1118" s="77"/>
      <c r="F1118" s="77"/>
      <c r="G1118" s="77"/>
      <c r="H1118" s="77"/>
      <c r="I1118" s="77"/>
      <c r="J1118" s="77"/>
      <c r="K1118" s="77"/>
      <c r="L1118" s="77"/>
      <c r="M1118" s="77"/>
      <c r="N1118" s="77"/>
      <c r="O1118" s="77"/>
      <c r="P1118" s="77"/>
      <c r="Q1118" s="77"/>
      <c r="R1118" s="77"/>
      <c r="S1118" s="77"/>
      <c r="T1118" s="77"/>
      <c r="U1118" s="77"/>
      <c r="V1118" s="76"/>
      <c r="W1118" s="77"/>
      <c r="X1118" s="77"/>
    </row>
    <row r="1119" spans="1:24" ht="45" customHeight="1" x14ac:dyDescent="0.4">
      <c r="A1119" s="72"/>
      <c r="B1119" s="73"/>
      <c r="C1119" s="74"/>
      <c r="D1119" s="74"/>
      <c r="E1119" s="74"/>
      <c r="F1119" s="74"/>
      <c r="G1119" s="74"/>
      <c r="H1119" s="74"/>
      <c r="I1119" s="74"/>
      <c r="J1119" s="74"/>
      <c r="K1119" s="74"/>
      <c r="L1119" s="74"/>
      <c r="M1119" s="74"/>
      <c r="N1119" s="74"/>
      <c r="O1119" s="74"/>
      <c r="P1119" s="74"/>
      <c r="Q1119" s="74"/>
      <c r="R1119" s="74"/>
      <c r="S1119" s="74"/>
      <c r="T1119" s="74"/>
      <c r="U1119" s="74"/>
      <c r="V1119" s="73"/>
      <c r="W1119" s="74"/>
      <c r="X1119" s="74"/>
    </row>
    <row r="1120" spans="1:24" ht="45" customHeight="1" x14ac:dyDescent="0.4">
      <c r="A1120" s="75"/>
      <c r="B1120" s="76"/>
      <c r="C1120" s="77"/>
      <c r="D1120" s="77"/>
      <c r="E1120" s="77"/>
      <c r="F1120" s="77"/>
      <c r="G1120" s="77"/>
      <c r="H1120" s="77"/>
      <c r="I1120" s="77"/>
      <c r="J1120" s="77"/>
      <c r="K1120" s="77"/>
      <c r="L1120" s="77"/>
      <c r="M1120" s="77"/>
      <c r="N1120" s="77"/>
      <c r="O1120" s="77"/>
      <c r="P1120" s="77"/>
      <c r="Q1120" s="77"/>
      <c r="R1120" s="77"/>
      <c r="S1120" s="77"/>
      <c r="T1120" s="77"/>
      <c r="U1120" s="77"/>
      <c r="V1120" s="76"/>
      <c r="W1120" s="77"/>
      <c r="X1120" s="77"/>
    </row>
    <row r="1121" spans="1:24" ht="45" customHeight="1" x14ac:dyDescent="0.4">
      <c r="A1121" s="72"/>
      <c r="B1121" s="73"/>
      <c r="C1121" s="74"/>
      <c r="D1121" s="74"/>
      <c r="E1121" s="74"/>
      <c r="F1121" s="74"/>
      <c r="G1121" s="74"/>
      <c r="H1121" s="74"/>
      <c r="I1121" s="74"/>
      <c r="J1121" s="74"/>
      <c r="K1121" s="74"/>
      <c r="L1121" s="74"/>
      <c r="M1121" s="74"/>
      <c r="N1121" s="74"/>
      <c r="O1121" s="74"/>
      <c r="P1121" s="74"/>
      <c r="Q1121" s="74"/>
      <c r="R1121" s="74"/>
      <c r="S1121" s="74"/>
      <c r="T1121" s="74"/>
      <c r="U1121" s="74"/>
      <c r="V1121" s="73"/>
      <c r="W1121" s="74"/>
      <c r="X1121" s="74"/>
    </row>
    <row r="1122" spans="1:24" ht="45" customHeight="1" x14ac:dyDescent="0.4">
      <c r="A1122" s="75"/>
      <c r="B1122" s="76"/>
      <c r="C1122" s="77"/>
      <c r="D1122" s="77"/>
      <c r="E1122" s="77"/>
      <c r="F1122" s="77"/>
      <c r="G1122" s="77"/>
      <c r="H1122" s="77"/>
      <c r="I1122" s="77"/>
      <c r="J1122" s="77"/>
      <c r="K1122" s="77"/>
      <c r="L1122" s="77"/>
      <c r="M1122" s="77"/>
      <c r="N1122" s="77"/>
      <c r="O1122" s="77"/>
      <c r="P1122" s="77"/>
      <c r="Q1122" s="77"/>
      <c r="R1122" s="77"/>
      <c r="S1122" s="77"/>
      <c r="T1122" s="77"/>
      <c r="U1122" s="77"/>
      <c r="V1122" s="76"/>
      <c r="W1122" s="77"/>
      <c r="X1122" s="77"/>
    </row>
    <row r="1123" spans="1:24" ht="45" customHeight="1" x14ac:dyDescent="0.4">
      <c r="A1123" s="72"/>
      <c r="B1123" s="73"/>
      <c r="C1123" s="74"/>
      <c r="D1123" s="74"/>
      <c r="E1123" s="74"/>
      <c r="F1123" s="74"/>
      <c r="G1123" s="74"/>
      <c r="H1123" s="74"/>
      <c r="I1123" s="74"/>
      <c r="J1123" s="74"/>
      <c r="K1123" s="74"/>
      <c r="L1123" s="74"/>
      <c r="M1123" s="74"/>
      <c r="N1123" s="74"/>
      <c r="O1123" s="74"/>
      <c r="P1123" s="74"/>
      <c r="Q1123" s="74"/>
      <c r="R1123" s="74"/>
      <c r="S1123" s="74"/>
      <c r="T1123" s="74"/>
      <c r="U1123" s="74"/>
      <c r="V1123" s="73"/>
      <c r="W1123" s="74"/>
      <c r="X1123" s="74"/>
    </row>
    <row r="1124" spans="1:24" ht="45" customHeight="1" x14ac:dyDescent="0.4">
      <c r="A1124" s="75"/>
      <c r="B1124" s="76"/>
      <c r="C1124" s="77"/>
      <c r="D1124" s="77"/>
      <c r="E1124" s="77"/>
      <c r="F1124" s="77"/>
      <c r="G1124" s="77"/>
      <c r="H1124" s="77"/>
      <c r="I1124" s="77"/>
      <c r="J1124" s="77"/>
      <c r="K1124" s="77"/>
      <c r="L1124" s="77"/>
      <c r="M1124" s="77"/>
      <c r="N1124" s="77"/>
      <c r="O1124" s="77"/>
      <c r="P1124" s="77"/>
      <c r="Q1124" s="77"/>
      <c r="R1124" s="77"/>
      <c r="S1124" s="77"/>
      <c r="T1124" s="77"/>
      <c r="U1124" s="77"/>
      <c r="V1124" s="76"/>
      <c r="W1124" s="77"/>
      <c r="X1124" s="77"/>
    </row>
    <row r="1125" spans="1:24" ht="45" customHeight="1" x14ac:dyDescent="0.4">
      <c r="A1125" s="72"/>
      <c r="B1125" s="73"/>
      <c r="C1125" s="74"/>
      <c r="D1125" s="74"/>
      <c r="E1125" s="74"/>
      <c r="F1125" s="74"/>
      <c r="G1125" s="74"/>
      <c r="H1125" s="74"/>
      <c r="I1125" s="74"/>
      <c r="J1125" s="74"/>
      <c r="K1125" s="74"/>
      <c r="L1125" s="74"/>
      <c r="M1125" s="74"/>
      <c r="N1125" s="74"/>
      <c r="O1125" s="74"/>
      <c r="P1125" s="74"/>
      <c r="Q1125" s="74"/>
      <c r="R1125" s="74"/>
      <c r="S1125" s="74"/>
      <c r="T1125" s="74"/>
      <c r="U1125" s="74"/>
      <c r="V1125" s="73"/>
      <c r="W1125" s="74"/>
      <c r="X1125" s="74"/>
    </row>
    <row r="1126" spans="1:24" ht="45" customHeight="1" x14ac:dyDescent="0.4">
      <c r="A1126" s="75"/>
      <c r="B1126" s="76"/>
      <c r="C1126" s="77"/>
      <c r="D1126" s="77"/>
      <c r="E1126" s="77"/>
      <c r="F1126" s="77"/>
      <c r="G1126" s="77"/>
      <c r="H1126" s="77"/>
      <c r="I1126" s="77"/>
      <c r="J1126" s="77"/>
      <c r="K1126" s="77"/>
      <c r="L1126" s="77"/>
      <c r="M1126" s="77"/>
      <c r="N1126" s="77"/>
      <c r="O1126" s="77"/>
      <c r="P1126" s="77"/>
      <c r="Q1126" s="77"/>
      <c r="R1126" s="77"/>
      <c r="S1126" s="77"/>
      <c r="T1126" s="77"/>
      <c r="U1126" s="77"/>
      <c r="V1126" s="76"/>
      <c r="W1126" s="77"/>
      <c r="X1126" s="77"/>
    </row>
    <row r="1127" spans="1:24" ht="45" customHeight="1" x14ac:dyDescent="0.4">
      <c r="A1127" s="72"/>
      <c r="B1127" s="73"/>
      <c r="C1127" s="74"/>
      <c r="D1127" s="74"/>
      <c r="E1127" s="74"/>
      <c r="F1127" s="74"/>
      <c r="G1127" s="74"/>
      <c r="H1127" s="74"/>
      <c r="I1127" s="74"/>
      <c r="J1127" s="74"/>
      <c r="K1127" s="74"/>
      <c r="L1127" s="74"/>
      <c r="M1127" s="74"/>
      <c r="N1127" s="74"/>
      <c r="O1127" s="74"/>
      <c r="P1127" s="74"/>
      <c r="Q1127" s="74"/>
      <c r="R1127" s="74"/>
      <c r="S1127" s="74"/>
      <c r="T1127" s="74"/>
      <c r="U1127" s="74"/>
      <c r="V1127" s="73"/>
      <c r="W1127" s="74"/>
      <c r="X1127" s="74"/>
    </row>
    <row r="1128" spans="1:24" ht="45" customHeight="1" x14ac:dyDescent="0.4">
      <c r="A1128" s="75"/>
      <c r="B1128" s="76"/>
      <c r="C1128" s="77"/>
      <c r="D1128" s="77"/>
      <c r="E1128" s="77"/>
      <c r="F1128" s="77"/>
      <c r="G1128" s="77"/>
      <c r="H1128" s="77"/>
      <c r="I1128" s="77"/>
      <c r="J1128" s="77"/>
      <c r="K1128" s="77"/>
      <c r="L1128" s="77"/>
      <c r="M1128" s="77"/>
      <c r="N1128" s="77"/>
      <c r="O1128" s="77"/>
      <c r="P1128" s="77"/>
      <c r="Q1128" s="77"/>
      <c r="R1128" s="77"/>
      <c r="S1128" s="77"/>
      <c r="T1128" s="77"/>
      <c r="U1128" s="77"/>
      <c r="V1128" s="76"/>
      <c r="W1128" s="77"/>
      <c r="X1128" s="77"/>
    </row>
    <row r="1129" spans="1:24" ht="45" customHeight="1" x14ac:dyDescent="0.4">
      <c r="A1129" s="72"/>
      <c r="B1129" s="73"/>
      <c r="C1129" s="74"/>
      <c r="D1129" s="74"/>
      <c r="E1129" s="74"/>
      <c r="F1129" s="74"/>
      <c r="G1129" s="74"/>
      <c r="H1129" s="74"/>
      <c r="I1129" s="74"/>
      <c r="J1129" s="74"/>
      <c r="K1129" s="74"/>
      <c r="L1129" s="74"/>
      <c r="M1129" s="74"/>
      <c r="N1129" s="74"/>
      <c r="O1129" s="74"/>
      <c r="P1129" s="74"/>
      <c r="Q1129" s="74"/>
      <c r="R1129" s="74"/>
      <c r="S1129" s="74"/>
      <c r="T1129" s="74"/>
      <c r="U1129" s="74"/>
      <c r="V1129" s="73"/>
      <c r="W1129" s="74"/>
      <c r="X1129" s="74"/>
    </row>
    <row r="1130" spans="1:24" ht="45" customHeight="1" x14ac:dyDescent="0.4">
      <c r="A1130" s="75"/>
      <c r="B1130" s="76"/>
      <c r="C1130" s="77"/>
      <c r="D1130" s="77"/>
      <c r="E1130" s="77"/>
      <c r="F1130" s="77"/>
      <c r="G1130" s="77"/>
      <c r="H1130" s="77"/>
      <c r="I1130" s="77"/>
      <c r="J1130" s="77"/>
      <c r="K1130" s="77"/>
      <c r="L1130" s="77"/>
      <c r="M1130" s="77"/>
      <c r="N1130" s="77"/>
      <c r="O1130" s="77"/>
      <c r="P1130" s="77"/>
      <c r="Q1130" s="77"/>
      <c r="R1130" s="77"/>
      <c r="S1130" s="77"/>
      <c r="T1130" s="77"/>
      <c r="U1130" s="77"/>
      <c r="V1130" s="76"/>
      <c r="W1130" s="77"/>
      <c r="X1130" s="77"/>
    </row>
    <row r="1131" spans="1:24" ht="45" customHeight="1" x14ac:dyDescent="0.4">
      <c r="A1131" s="72"/>
      <c r="B1131" s="73"/>
      <c r="C1131" s="74"/>
      <c r="D1131" s="74"/>
      <c r="E1131" s="74"/>
      <c r="F1131" s="74"/>
      <c r="G1131" s="74"/>
      <c r="H1131" s="74"/>
      <c r="I1131" s="74"/>
      <c r="J1131" s="74"/>
      <c r="K1131" s="74"/>
      <c r="L1131" s="74"/>
      <c r="M1131" s="74"/>
      <c r="N1131" s="74"/>
      <c r="O1131" s="74"/>
      <c r="P1131" s="74"/>
      <c r="Q1131" s="74"/>
      <c r="R1131" s="74"/>
      <c r="S1131" s="74"/>
      <c r="T1131" s="74"/>
      <c r="U1131" s="74"/>
      <c r="V1131" s="73"/>
      <c r="W1131" s="74"/>
      <c r="X1131" s="74"/>
    </row>
    <row r="1132" spans="1:24" ht="45" customHeight="1" x14ac:dyDescent="0.4">
      <c r="A1132" s="75"/>
      <c r="B1132" s="76"/>
      <c r="C1132" s="77"/>
      <c r="D1132" s="77"/>
      <c r="E1132" s="77"/>
      <c r="F1132" s="77"/>
      <c r="G1132" s="77"/>
      <c r="H1132" s="77"/>
      <c r="I1132" s="77"/>
      <c r="J1132" s="77"/>
      <c r="K1132" s="77"/>
      <c r="L1132" s="77"/>
      <c r="M1132" s="77"/>
      <c r="N1132" s="77"/>
      <c r="O1132" s="77"/>
      <c r="P1132" s="77"/>
      <c r="Q1132" s="77"/>
      <c r="R1132" s="77"/>
      <c r="S1132" s="77"/>
      <c r="T1132" s="77"/>
      <c r="U1132" s="77"/>
      <c r="V1132" s="76"/>
      <c r="W1132" s="77"/>
      <c r="X1132" s="77"/>
    </row>
    <row r="1133" spans="1:24" ht="45" customHeight="1" x14ac:dyDescent="0.4">
      <c r="A1133" s="72"/>
      <c r="B1133" s="73"/>
      <c r="C1133" s="74"/>
      <c r="D1133" s="74"/>
      <c r="E1133" s="74"/>
      <c r="F1133" s="74"/>
      <c r="G1133" s="74"/>
      <c r="H1133" s="74"/>
      <c r="I1133" s="74"/>
      <c r="J1133" s="74"/>
      <c r="K1133" s="74"/>
      <c r="L1133" s="74"/>
      <c r="M1133" s="74"/>
      <c r="N1133" s="74"/>
      <c r="O1133" s="74"/>
      <c r="P1133" s="74"/>
      <c r="Q1133" s="74"/>
      <c r="R1133" s="74"/>
      <c r="S1133" s="74"/>
      <c r="T1133" s="74"/>
      <c r="U1133" s="74"/>
      <c r="V1133" s="73"/>
      <c r="W1133" s="74"/>
      <c r="X1133" s="74"/>
    </row>
    <row r="1134" spans="1:24" ht="45" customHeight="1" x14ac:dyDescent="0.4">
      <c r="A1134" s="75"/>
      <c r="B1134" s="76"/>
      <c r="C1134" s="77"/>
      <c r="D1134" s="77"/>
      <c r="E1134" s="77"/>
      <c r="F1134" s="77"/>
      <c r="G1134" s="77"/>
      <c r="H1134" s="77"/>
      <c r="I1134" s="77"/>
      <c r="J1134" s="77"/>
      <c r="K1134" s="77"/>
      <c r="L1134" s="77"/>
      <c r="M1134" s="77"/>
      <c r="N1134" s="77"/>
      <c r="O1134" s="77"/>
      <c r="P1134" s="77"/>
      <c r="Q1134" s="77"/>
      <c r="R1134" s="77"/>
      <c r="S1134" s="77"/>
      <c r="T1134" s="77"/>
      <c r="U1134" s="77"/>
      <c r="V1134" s="76"/>
      <c r="W1134" s="77"/>
      <c r="X1134" s="77"/>
    </row>
    <row r="1135" spans="1:24" ht="45" customHeight="1" x14ac:dyDescent="0.4">
      <c r="A1135" s="72"/>
      <c r="B1135" s="73"/>
      <c r="C1135" s="74"/>
      <c r="D1135" s="74"/>
      <c r="E1135" s="74"/>
      <c r="F1135" s="74"/>
      <c r="G1135" s="74"/>
      <c r="H1135" s="74"/>
      <c r="I1135" s="74"/>
      <c r="J1135" s="74"/>
      <c r="K1135" s="74"/>
      <c r="L1135" s="74"/>
      <c r="M1135" s="74"/>
      <c r="N1135" s="74"/>
      <c r="O1135" s="74"/>
      <c r="P1135" s="74"/>
      <c r="Q1135" s="74"/>
      <c r="R1135" s="74"/>
      <c r="S1135" s="74"/>
      <c r="T1135" s="74"/>
      <c r="U1135" s="74"/>
      <c r="V1135" s="73"/>
      <c r="W1135" s="74"/>
      <c r="X1135" s="74"/>
    </row>
    <row r="1136" spans="1:24" ht="45" customHeight="1" x14ac:dyDescent="0.4">
      <c r="A1136" s="75"/>
      <c r="B1136" s="76"/>
      <c r="C1136" s="77"/>
      <c r="D1136" s="77"/>
      <c r="E1136" s="77"/>
      <c r="F1136" s="77"/>
      <c r="G1136" s="77"/>
      <c r="H1136" s="77"/>
      <c r="I1136" s="77"/>
      <c r="J1136" s="77"/>
      <c r="K1136" s="77"/>
      <c r="L1136" s="77"/>
      <c r="M1136" s="77"/>
      <c r="N1136" s="77"/>
      <c r="O1136" s="77"/>
      <c r="P1136" s="77"/>
      <c r="Q1136" s="77"/>
      <c r="R1136" s="77"/>
      <c r="S1136" s="77"/>
      <c r="T1136" s="77"/>
      <c r="U1136" s="77"/>
      <c r="V1136" s="76"/>
      <c r="W1136" s="77"/>
      <c r="X1136" s="77"/>
    </row>
    <row r="1137" spans="1:24" ht="45" customHeight="1" x14ac:dyDescent="0.4">
      <c r="A1137" s="72"/>
      <c r="B1137" s="73"/>
      <c r="C1137" s="74"/>
      <c r="D1137" s="74"/>
      <c r="E1137" s="74"/>
      <c r="F1137" s="74"/>
      <c r="G1137" s="74"/>
      <c r="H1137" s="74"/>
      <c r="I1137" s="74"/>
      <c r="J1137" s="74"/>
      <c r="K1137" s="74"/>
      <c r="L1137" s="74"/>
      <c r="M1137" s="74"/>
      <c r="N1137" s="74"/>
      <c r="O1137" s="74"/>
      <c r="P1137" s="74"/>
      <c r="Q1137" s="74"/>
      <c r="R1137" s="74"/>
      <c r="S1137" s="74"/>
      <c r="T1137" s="74"/>
      <c r="U1137" s="74"/>
      <c r="V1137" s="73"/>
      <c r="W1137" s="74"/>
      <c r="X1137" s="74"/>
    </row>
    <row r="1138" spans="1:24" ht="45" customHeight="1" x14ac:dyDescent="0.4">
      <c r="A1138" s="75"/>
      <c r="B1138" s="76"/>
      <c r="C1138" s="77"/>
      <c r="D1138" s="77"/>
      <c r="E1138" s="77"/>
      <c r="F1138" s="77"/>
      <c r="G1138" s="77"/>
      <c r="H1138" s="77"/>
      <c r="I1138" s="77"/>
      <c r="J1138" s="77"/>
      <c r="K1138" s="77"/>
      <c r="L1138" s="77"/>
      <c r="M1138" s="77"/>
      <c r="N1138" s="77"/>
      <c r="O1138" s="77"/>
      <c r="P1138" s="77"/>
      <c r="Q1138" s="77"/>
      <c r="R1138" s="77"/>
      <c r="S1138" s="77"/>
      <c r="T1138" s="77"/>
      <c r="U1138" s="77"/>
      <c r="V1138" s="76"/>
      <c r="W1138" s="77"/>
      <c r="X1138" s="77"/>
    </row>
    <row r="1139" spans="1:24" ht="45" customHeight="1" x14ac:dyDescent="0.4">
      <c r="A1139" s="72"/>
      <c r="B1139" s="73"/>
      <c r="C1139" s="74"/>
      <c r="D1139" s="74"/>
      <c r="E1139" s="74"/>
      <c r="F1139" s="74"/>
      <c r="G1139" s="74"/>
      <c r="H1139" s="74"/>
      <c r="I1139" s="74"/>
      <c r="J1139" s="74"/>
      <c r="K1139" s="74"/>
      <c r="L1139" s="74"/>
      <c r="M1139" s="74"/>
      <c r="N1139" s="74"/>
      <c r="O1139" s="74"/>
      <c r="P1139" s="74"/>
      <c r="Q1139" s="74"/>
      <c r="R1139" s="74"/>
      <c r="S1139" s="74"/>
      <c r="T1139" s="74"/>
      <c r="U1139" s="74"/>
      <c r="V1139" s="73"/>
      <c r="W1139" s="74"/>
      <c r="X1139" s="74"/>
    </row>
    <row r="1140" spans="1:24" ht="45" customHeight="1" x14ac:dyDescent="0.4">
      <c r="A1140" s="75"/>
      <c r="B1140" s="76"/>
      <c r="C1140" s="77"/>
      <c r="D1140" s="77"/>
      <c r="E1140" s="77"/>
      <c r="F1140" s="77"/>
      <c r="G1140" s="77"/>
      <c r="H1140" s="77"/>
      <c r="I1140" s="77"/>
      <c r="J1140" s="77"/>
      <c r="K1140" s="77"/>
      <c r="L1140" s="77"/>
      <c r="M1140" s="77"/>
      <c r="N1140" s="77"/>
      <c r="O1140" s="77"/>
      <c r="P1140" s="77"/>
      <c r="Q1140" s="77"/>
      <c r="R1140" s="77"/>
      <c r="S1140" s="77"/>
      <c r="T1140" s="77"/>
      <c r="U1140" s="77"/>
      <c r="V1140" s="76"/>
      <c r="W1140" s="77"/>
      <c r="X1140" s="77"/>
    </row>
    <row r="1141" spans="1:24" ht="45" customHeight="1" x14ac:dyDescent="0.4">
      <c r="A1141" s="72"/>
      <c r="B1141" s="73"/>
      <c r="C1141" s="74"/>
      <c r="D1141" s="74"/>
      <c r="E1141" s="74"/>
      <c r="F1141" s="74"/>
      <c r="G1141" s="74"/>
      <c r="H1141" s="74"/>
      <c r="I1141" s="74"/>
      <c r="J1141" s="74"/>
      <c r="K1141" s="74"/>
      <c r="L1141" s="74"/>
      <c r="M1141" s="74"/>
      <c r="N1141" s="74"/>
      <c r="O1141" s="74"/>
      <c r="P1141" s="74"/>
      <c r="Q1141" s="74"/>
      <c r="R1141" s="74"/>
      <c r="S1141" s="74"/>
      <c r="T1141" s="74"/>
      <c r="U1141" s="74"/>
      <c r="V1141" s="73"/>
      <c r="W1141" s="74"/>
      <c r="X1141" s="74"/>
    </row>
    <row r="1142" spans="1:24" ht="45" customHeight="1" x14ac:dyDescent="0.4">
      <c r="A1142" s="75"/>
      <c r="B1142" s="76"/>
      <c r="C1142" s="77"/>
      <c r="D1142" s="77"/>
      <c r="E1142" s="77"/>
      <c r="F1142" s="77"/>
      <c r="G1142" s="77"/>
      <c r="H1142" s="77"/>
      <c r="I1142" s="77"/>
      <c r="J1142" s="77"/>
      <c r="K1142" s="77"/>
      <c r="L1142" s="77"/>
      <c r="M1142" s="77"/>
      <c r="N1142" s="77"/>
      <c r="O1142" s="77"/>
      <c r="P1142" s="77"/>
      <c r="Q1142" s="77"/>
      <c r="R1142" s="77"/>
      <c r="S1142" s="77"/>
      <c r="T1142" s="77"/>
      <c r="U1142" s="77"/>
      <c r="V1142" s="76"/>
      <c r="W1142" s="77"/>
      <c r="X1142" s="77"/>
    </row>
    <row r="1143" spans="1:24" ht="45" customHeight="1" x14ac:dyDescent="0.4">
      <c r="A1143" s="72"/>
      <c r="B1143" s="73"/>
      <c r="C1143" s="74"/>
      <c r="D1143" s="74"/>
      <c r="E1143" s="74"/>
      <c r="F1143" s="74"/>
      <c r="G1143" s="74"/>
      <c r="H1143" s="74"/>
      <c r="I1143" s="74"/>
      <c r="J1143" s="74"/>
      <c r="K1143" s="74"/>
      <c r="L1143" s="74"/>
      <c r="M1143" s="74"/>
      <c r="N1143" s="74"/>
      <c r="O1143" s="74"/>
      <c r="P1143" s="74"/>
      <c r="Q1143" s="74"/>
      <c r="R1143" s="74"/>
      <c r="S1143" s="74"/>
      <c r="T1143" s="74"/>
      <c r="U1143" s="74"/>
      <c r="V1143" s="73"/>
      <c r="W1143" s="74"/>
      <c r="X1143" s="74"/>
    </row>
    <row r="1144" spans="1:24" ht="45" customHeight="1" x14ac:dyDescent="0.4">
      <c r="A1144" s="75"/>
      <c r="B1144" s="76"/>
      <c r="C1144" s="77"/>
      <c r="D1144" s="77"/>
      <c r="E1144" s="77"/>
      <c r="F1144" s="77"/>
      <c r="G1144" s="77"/>
      <c r="H1144" s="77"/>
      <c r="I1144" s="77"/>
      <c r="J1144" s="77"/>
      <c r="K1144" s="77"/>
      <c r="L1144" s="77"/>
      <c r="M1144" s="77"/>
      <c r="N1144" s="77"/>
      <c r="O1144" s="77"/>
      <c r="P1144" s="77"/>
      <c r="Q1144" s="77"/>
      <c r="R1144" s="77"/>
      <c r="S1144" s="77"/>
      <c r="T1144" s="77"/>
      <c r="U1144" s="77"/>
      <c r="V1144" s="76"/>
      <c r="W1144" s="77"/>
      <c r="X1144" s="77"/>
    </row>
    <row r="1145" spans="1:24" ht="45" customHeight="1" x14ac:dyDescent="0.4">
      <c r="A1145" s="72"/>
      <c r="B1145" s="73"/>
      <c r="C1145" s="74"/>
      <c r="D1145" s="74"/>
      <c r="E1145" s="74"/>
      <c r="F1145" s="74"/>
      <c r="G1145" s="74"/>
      <c r="H1145" s="74"/>
      <c r="I1145" s="74"/>
      <c r="J1145" s="74"/>
      <c r="K1145" s="74"/>
      <c r="L1145" s="74"/>
      <c r="M1145" s="74"/>
      <c r="N1145" s="74"/>
      <c r="O1145" s="74"/>
      <c r="P1145" s="74"/>
      <c r="Q1145" s="74"/>
      <c r="R1145" s="74"/>
      <c r="S1145" s="74"/>
      <c r="T1145" s="74"/>
      <c r="U1145" s="74"/>
      <c r="V1145" s="73"/>
      <c r="W1145" s="74"/>
      <c r="X1145" s="74"/>
    </row>
    <row r="1146" spans="1:24" ht="45" customHeight="1" x14ac:dyDescent="0.4">
      <c r="A1146" s="75"/>
      <c r="B1146" s="76"/>
      <c r="C1146" s="77"/>
      <c r="D1146" s="77"/>
      <c r="E1146" s="77"/>
      <c r="F1146" s="77"/>
      <c r="G1146" s="77"/>
      <c r="H1146" s="77"/>
      <c r="I1146" s="77"/>
      <c r="J1146" s="77"/>
      <c r="K1146" s="77"/>
      <c r="L1146" s="77"/>
      <c r="M1146" s="77"/>
      <c r="N1146" s="77"/>
      <c r="O1146" s="77"/>
      <c r="P1146" s="77"/>
      <c r="Q1146" s="77"/>
      <c r="R1146" s="77"/>
      <c r="S1146" s="77"/>
      <c r="T1146" s="77"/>
      <c r="U1146" s="77"/>
      <c r="V1146" s="76"/>
      <c r="W1146" s="77"/>
      <c r="X1146" s="77"/>
    </row>
    <row r="1147" spans="1:24" ht="45" customHeight="1" x14ac:dyDescent="0.4">
      <c r="A1147" s="72"/>
      <c r="B1147" s="73"/>
      <c r="C1147" s="74"/>
      <c r="D1147" s="74"/>
      <c r="E1147" s="74"/>
      <c r="F1147" s="74"/>
      <c r="G1147" s="74"/>
      <c r="H1147" s="74"/>
      <c r="I1147" s="74"/>
      <c r="J1147" s="74"/>
      <c r="K1147" s="74"/>
      <c r="L1147" s="74"/>
      <c r="M1147" s="74"/>
      <c r="N1147" s="74"/>
      <c r="O1147" s="74"/>
      <c r="P1147" s="74"/>
      <c r="Q1147" s="74"/>
      <c r="R1147" s="74"/>
      <c r="S1147" s="74"/>
      <c r="T1147" s="74"/>
      <c r="U1147" s="74"/>
      <c r="V1147" s="73"/>
      <c r="W1147" s="74"/>
      <c r="X1147" s="74"/>
    </row>
    <row r="1148" spans="1:24" ht="45" customHeight="1" x14ac:dyDescent="0.4">
      <c r="A1148" s="75"/>
      <c r="B1148" s="76"/>
      <c r="C1148" s="77"/>
      <c r="D1148" s="77"/>
      <c r="E1148" s="77"/>
      <c r="F1148" s="77"/>
      <c r="G1148" s="77"/>
      <c r="H1148" s="77"/>
      <c r="I1148" s="77"/>
      <c r="J1148" s="77"/>
      <c r="K1148" s="77"/>
      <c r="L1148" s="77"/>
      <c r="M1148" s="77"/>
      <c r="N1148" s="77"/>
      <c r="O1148" s="77"/>
      <c r="P1148" s="77"/>
      <c r="Q1148" s="77"/>
      <c r="R1148" s="77"/>
      <c r="S1148" s="77"/>
      <c r="T1148" s="77"/>
      <c r="U1148" s="77"/>
      <c r="V1148" s="76"/>
      <c r="W1148" s="77"/>
      <c r="X1148" s="77"/>
    </row>
    <row r="1149" spans="1:24" ht="45" customHeight="1" x14ac:dyDescent="0.4">
      <c r="A1149" s="72"/>
      <c r="B1149" s="73"/>
      <c r="C1149" s="74"/>
      <c r="D1149" s="74"/>
      <c r="E1149" s="74"/>
      <c r="F1149" s="74"/>
      <c r="G1149" s="74"/>
      <c r="H1149" s="74"/>
      <c r="I1149" s="74"/>
      <c r="J1149" s="74"/>
      <c r="K1149" s="74"/>
      <c r="L1149" s="74"/>
      <c r="M1149" s="74"/>
      <c r="N1149" s="74"/>
      <c r="O1149" s="74"/>
      <c r="P1149" s="74"/>
      <c r="Q1149" s="74"/>
      <c r="R1149" s="74"/>
      <c r="S1149" s="74"/>
      <c r="T1149" s="74"/>
      <c r="U1149" s="74"/>
      <c r="V1149" s="73"/>
      <c r="W1149" s="74"/>
      <c r="X1149" s="74"/>
    </row>
    <row r="1150" spans="1:24" ht="45" customHeight="1" x14ac:dyDescent="0.4">
      <c r="A1150" s="75"/>
      <c r="B1150" s="76"/>
      <c r="C1150" s="77"/>
      <c r="D1150" s="77"/>
      <c r="E1150" s="77"/>
      <c r="F1150" s="77"/>
      <c r="G1150" s="77"/>
      <c r="H1150" s="77"/>
      <c r="I1150" s="77"/>
      <c r="J1150" s="77"/>
      <c r="K1150" s="77"/>
      <c r="L1150" s="77"/>
      <c r="M1150" s="77"/>
      <c r="N1150" s="77"/>
      <c r="O1150" s="77"/>
      <c r="P1150" s="77"/>
      <c r="Q1150" s="77"/>
      <c r="R1150" s="77"/>
      <c r="S1150" s="77"/>
      <c r="T1150" s="77"/>
      <c r="U1150" s="77"/>
      <c r="V1150" s="76"/>
      <c r="W1150" s="77"/>
      <c r="X1150" s="77"/>
    </row>
    <row r="1151" spans="1:24" ht="45" customHeight="1" x14ac:dyDescent="0.4">
      <c r="A1151" s="72"/>
      <c r="B1151" s="73"/>
      <c r="C1151" s="74"/>
      <c r="D1151" s="74"/>
      <c r="E1151" s="74"/>
      <c r="F1151" s="74"/>
      <c r="G1151" s="74"/>
      <c r="H1151" s="74"/>
      <c r="I1151" s="74"/>
      <c r="J1151" s="74"/>
      <c r="K1151" s="74"/>
      <c r="L1151" s="74"/>
      <c r="M1151" s="74"/>
      <c r="N1151" s="74"/>
      <c r="O1151" s="74"/>
      <c r="P1151" s="74"/>
      <c r="Q1151" s="74"/>
      <c r="R1151" s="74"/>
      <c r="S1151" s="74"/>
      <c r="T1151" s="74"/>
      <c r="U1151" s="74"/>
      <c r="V1151" s="73"/>
      <c r="W1151" s="74"/>
      <c r="X1151" s="74"/>
    </row>
    <row r="1152" spans="1:24" ht="45" customHeight="1" x14ac:dyDescent="0.4">
      <c r="A1152" s="75"/>
      <c r="B1152" s="76"/>
      <c r="C1152" s="77"/>
      <c r="D1152" s="77"/>
      <c r="E1152" s="77"/>
      <c r="F1152" s="77"/>
      <c r="G1152" s="77"/>
      <c r="H1152" s="77"/>
      <c r="I1152" s="77"/>
      <c r="J1152" s="77"/>
      <c r="K1152" s="77"/>
      <c r="L1152" s="77"/>
      <c r="M1152" s="77"/>
      <c r="N1152" s="77"/>
      <c r="O1152" s="77"/>
      <c r="P1152" s="77"/>
      <c r="Q1152" s="77"/>
      <c r="R1152" s="77"/>
      <c r="S1152" s="77"/>
      <c r="T1152" s="77"/>
      <c r="U1152" s="77"/>
      <c r="V1152" s="76"/>
      <c r="W1152" s="77"/>
      <c r="X1152" s="77"/>
    </row>
    <row r="1153" spans="1:24" ht="45" customHeight="1" x14ac:dyDescent="0.4">
      <c r="A1153" s="72"/>
      <c r="B1153" s="73"/>
      <c r="C1153" s="74"/>
      <c r="D1153" s="74"/>
      <c r="E1153" s="74"/>
      <c r="F1153" s="74"/>
      <c r="G1153" s="74"/>
      <c r="H1153" s="74"/>
      <c r="I1153" s="74"/>
      <c r="J1153" s="74"/>
      <c r="K1153" s="74"/>
      <c r="L1153" s="74"/>
      <c r="M1153" s="74"/>
      <c r="N1153" s="74"/>
      <c r="O1153" s="74"/>
      <c r="P1153" s="74"/>
      <c r="Q1153" s="74"/>
      <c r="R1153" s="74"/>
      <c r="S1153" s="74"/>
      <c r="T1153" s="74"/>
      <c r="U1153" s="74"/>
      <c r="V1153" s="73"/>
      <c r="W1153" s="74"/>
      <c r="X1153" s="74"/>
    </row>
    <row r="1154" spans="1:24" ht="45" customHeight="1" x14ac:dyDescent="0.4">
      <c r="A1154" s="75"/>
      <c r="B1154" s="76"/>
      <c r="C1154" s="77"/>
      <c r="D1154" s="77"/>
      <c r="E1154" s="77"/>
      <c r="F1154" s="77"/>
      <c r="G1154" s="77"/>
      <c r="H1154" s="77"/>
      <c r="I1154" s="77"/>
      <c r="J1154" s="77"/>
      <c r="K1154" s="77"/>
      <c r="L1154" s="77"/>
      <c r="M1154" s="77"/>
      <c r="N1154" s="77"/>
      <c r="O1154" s="77"/>
      <c r="P1154" s="77"/>
      <c r="Q1154" s="77"/>
      <c r="R1154" s="77"/>
      <c r="S1154" s="77"/>
      <c r="T1154" s="77"/>
      <c r="U1154" s="77"/>
      <c r="V1154" s="76"/>
      <c r="W1154" s="77"/>
      <c r="X1154" s="77"/>
    </row>
    <row r="1155" spans="1:24" ht="45" customHeight="1" x14ac:dyDescent="0.4">
      <c r="A1155" s="72"/>
      <c r="B1155" s="73"/>
      <c r="C1155" s="74"/>
      <c r="D1155" s="74"/>
      <c r="E1155" s="74"/>
      <c r="F1155" s="74"/>
      <c r="G1155" s="74"/>
      <c r="H1155" s="74"/>
      <c r="I1155" s="74"/>
      <c r="J1155" s="74"/>
      <c r="K1155" s="74"/>
      <c r="L1155" s="74"/>
      <c r="M1155" s="74"/>
      <c r="N1155" s="74"/>
      <c r="O1155" s="74"/>
      <c r="P1155" s="74"/>
      <c r="Q1155" s="74"/>
      <c r="R1155" s="74"/>
      <c r="S1155" s="74"/>
      <c r="T1155" s="74"/>
      <c r="U1155" s="74"/>
      <c r="V1155" s="73"/>
      <c r="W1155" s="74"/>
      <c r="X1155" s="74"/>
    </row>
    <row r="1156" spans="1:24" ht="45" customHeight="1" x14ac:dyDescent="0.4">
      <c r="A1156" s="75"/>
      <c r="B1156" s="76"/>
      <c r="C1156" s="77"/>
      <c r="D1156" s="77"/>
      <c r="E1156" s="77"/>
      <c r="F1156" s="77"/>
      <c r="G1156" s="77"/>
      <c r="H1156" s="77"/>
      <c r="I1156" s="77"/>
      <c r="J1156" s="77"/>
      <c r="K1156" s="77"/>
      <c r="L1156" s="77"/>
      <c r="M1156" s="77"/>
      <c r="N1156" s="77"/>
      <c r="O1156" s="77"/>
      <c r="P1156" s="77"/>
      <c r="Q1156" s="77"/>
      <c r="R1156" s="77"/>
      <c r="S1156" s="77"/>
      <c r="T1156" s="77"/>
      <c r="U1156" s="77"/>
      <c r="V1156" s="76"/>
      <c r="W1156" s="77"/>
      <c r="X1156" s="77"/>
    </row>
    <row r="1157" spans="1:24" ht="45" customHeight="1" x14ac:dyDescent="0.4">
      <c r="A1157" s="72"/>
      <c r="B1157" s="73"/>
      <c r="C1157" s="74"/>
      <c r="D1157" s="74"/>
      <c r="E1157" s="74"/>
      <c r="F1157" s="74"/>
      <c r="G1157" s="74"/>
      <c r="H1157" s="74"/>
      <c r="I1157" s="74"/>
      <c r="J1157" s="74"/>
      <c r="K1157" s="74"/>
      <c r="L1157" s="74"/>
      <c r="M1157" s="74"/>
      <c r="N1157" s="74"/>
      <c r="O1157" s="74"/>
      <c r="P1157" s="74"/>
      <c r="Q1157" s="74"/>
      <c r="R1157" s="74"/>
      <c r="S1157" s="74"/>
      <c r="T1157" s="74"/>
      <c r="U1157" s="74"/>
      <c r="V1157" s="73"/>
      <c r="W1157" s="74"/>
      <c r="X1157" s="74"/>
    </row>
    <row r="1158" spans="1:24" ht="45" customHeight="1" x14ac:dyDescent="0.4">
      <c r="A1158" s="75"/>
      <c r="B1158" s="76"/>
      <c r="C1158" s="77"/>
      <c r="D1158" s="77"/>
      <c r="E1158" s="77"/>
      <c r="F1158" s="77"/>
      <c r="G1158" s="77"/>
      <c r="H1158" s="77"/>
      <c r="I1158" s="77"/>
      <c r="J1158" s="77"/>
      <c r="K1158" s="77"/>
      <c r="L1158" s="77"/>
      <c r="M1158" s="77"/>
      <c r="N1158" s="77"/>
      <c r="O1158" s="77"/>
      <c r="P1158" s="77"/>
      <c r="Q1158" s="77"/>
      <c r="R1158" s="77"/>
      <c r="S1158" s="77"/>
      <c r="T1158" s="77"/>
      <c r="U1158" s="77"/>
      <c r="V1158" s="76"/>
      <c r="W1158" s="77"/>
      <c r="X1158" s="77"/>
    </row>
    <row r="1159" spans="1:24" ht="45" customHeight="1" x14ac:dyDescent="0.4">
      <c r="A1159" s="72"/>
      <c r="B1159" s="73"/>
      <c r="C1159" s="74"/>
      <c r="D1159" s="74"/>
      <c r="E1159" s="74"/>
      <c r="F1159" s="74"/>
      <c r="G1159" s="74"/>
      <c r="H1159" s="74"/>
      <c r="I1159" s="74"/>
      <c r="J1159" s="74"/>
      <c r="K1159" s="74"/>
      <c r="L1159" s="74"/>
      <c r="M1159" s="74"/>
      <c r="N1159" s="74"/>
      <c r="O1159" s="74"/>
      <c r="P1159" s="74"/>
      <c r="Q1159" s="74"/>
      <c r="R1159" s="74"/>
      <c r="S1159" s="74"/>
      <c r="T1159" s="74"/>
      <c r="U1159" s="74"/>
      <c r="V1159" s="73"/>
      <c r="W1159" s="74"/>
      <c r="X1159" s="74"/>
    </row>
    <row r="1160" spans="1:24" ht="45" customHeight="1" x14ac:dyDescent="0.4">
      <c r="A1160" s="75"/>
      <c r="B1160" s="76"/>
      <c r="C1160" s="77"/>
      <c r="D1160" s="77"/>
      <c r="E1160" s="77"/>
      <c r="F1160" s="77"/>
      <c r="G1160" s="77"/>
      <c r="H1160" s="77"/>
      <c r="I1160" s="77"/>
      <c r="J1160" s="77"/>
      <c r="K1160" s="77"/>
      <c r="L1160" s="77"/>
      <c r="M1160" s="77"/>
      <c r="N1160" s="77"/>
      <c r="O1160" s="77"/>
      <c r="P1160" s="77"/>
      <c r="Q1160" s="77"/>
      <c r="R1160" s="77"/>
      <c r="S1160" s="77"/>
      <c r="T1160" s="77"/>
      <c r="U1160" s="77"/>
      <c r="V1160" s="76"/>
      <c r="W1160" s="77"/>
      <c r="X1160" s="77"/>
    </row>
    <row r="1161" spans="1:24" ht="45" customHeight="1" x14ac:dyDescent="0.4">
      <c r="A1161" s="72"/>
      <c r="B1161" s="73"/>
      <c r="C1161" s="74"/>
      <c r="D1161" s="74"/>
      <c r="E1161" s="74"/>
      <c r="F1161" s="74"/>
      <c r="G1161" s="74"/>
      <c r="H1161" s="74"/>
      <c r="I1161" s="74"/>
      <c r="J1161" s="74"/>
      <c r="K1161" s="74"/>
      <c r="L1161" s="74"/>
      <c r="M1161" s="74"/>
      <c r="N1161" s="74"/>
      <c r="O1161" s="74"/>
      <c r="P1161" s="74"/>
      <c r="Q1161" s="74"/>
      <c r="R1161" s="74"/>
      <c r="S1161" s="74"/>
      <c r="T1161" s="74"/>
      <c r="U1161" s="74"/>
      <c r="V1161" s="73"/>
      <c r="W1161" s="74"/>
      <c r="X1161" s="74"/>
    </row>
    <row r="1162" spans="1:24" ht="45" customHeight="1" x14ac:dyDescent="0.4">
      <c r="A1162" s="75"/>
      <c r="B1162" s="76"/>
      <c r="C1162" s="77"/>
      <c r="D1162" s="77"/>
      <c r="E1162" s="77"/>
      <c r="F1162" s="77"/>
      <c r="G1162" s="77"/>
      <c r="H1162" s="77"/>
      <c r="I1162" s="77"/>
      <c r="J1162" s="77"/>
      <c r="K1162" s="77"/>
      <c r="L1162" s="77"/>
      <c r="M1162" s="77"/>
      <c r="N1162" s="77"/>
      <c r="O1162" s="77"/>
      <c r="P1162" s="77"/>
      <c r="Q1162" s="77"/>
      <c r="R1162" s="77"/>
      <c r="S1162" s="77"/>
      <c r="T1162" s="77"/>
      <c r="U1162" s="77"/>
      <c r="V1162" s="76"/>
      <c r="W1162" s="77"/>
      <c r="X1162" s="77"/>
    </row>
    <row r="1163" spans="1:24" ht="45" customHeight="1" x14ac:dyDescent="0.4">
      <c r="A1163" s="72"/>
      <c r="B1163" s="73"/>
      <c r="C1163" s="74"/>
      <c r="D1163" s="74"/>
      <c r="E1163" s="74"/>
      <c r="F1163" s="74"/>
      <c r="G1163" s="74"/>
      <c r="H1163" s="74"/>
      <c r="I1163" s="74"/>
      <c r="J1163" s="74"/>
      <c r="K1163" s="74"/>
      <c r="L1163" s="74"/>
      <c r="M1163" s="74"/>
      <c r="N1163" s="74"/>
      <c r="O1163" s="74"/>
      <c r="P1163" s="74"/>
      <c r="Q1163" s="74"/>
      <c r="R1163" s="74"/>
      <c r="S1163" s="74"/>
      <c r="T1163" s="74"/>
      <c r="U1163" s="74"/>
      <c r="V1163" s="73"/>
      <c r="W1163" s="74"/>
      <c r="X1163" s="74"/>
    </row>
    <row r="1164" spans="1:24" ht="45" customHeight="1" x14ac:dyDescent="0.4">
      <c r="A1164" s="75"/>
      <c r="B1164" s="76"/>
      <c r="C1164" s="77"/>
      <c r="D1164" s="77"/>
      <c r="E1164" s="77"/>
      <c r="F1164" s="77"/>
      <c r="G1164" s="77"/>
      <c r="H1164" s="77"/>
      <c r="I1164" s="77"/>
      <c r="J1164" s="77"/>
      <c r="K1164" s="77"/>
      <c r="L1164" s="77"/>
      <c r="M1164" s="77"/>
      <c r="N1164" s="77"/>
      <c r="O1164" s="77"/>
      <c r="P1164" s="77"/>
      <c r="Q1164" s="77"/>
      <c r="R1164" s="77"/>
      <c r="S1164" s="77"/>
      <c r="T1164" s="77"/>
      <c r="U1164" s="77"/>
      <c r="V1164" s="76"/>
      <c r="W1164" s="77"/>
      <c r="X1164" s="77"/>
    </row>
    <row r="1165" spans="1:24" ht="45" customHeight="1" x14ac:dyDescent="0.4">
      <c r="A1165" s="72"/>
      <c r="B1165" s="73"/>
      <c r="C1165" s="74"/>
      <c r="D1165" s="74"/>
      <c r="E1165" s="74"/>
      <c r="F1165" s="74"/>
      <c r="G1165" s="74"/>
      <c r="H1165" s="74"/>
      <c r="I1165" s="74"/>
      <c r="J1165" s="74"/>
      <c r="K1165" s="74"/>
      <c r="L1165" s="74"/>
      <c r="M1165" s="74"/>
      <c r="N1165" s="74"/>
      <c r="O1165" s="74"/>
      <c r="P1165" s="74"/>
      <c r="Q1165" s="74"/>
      <c r="R1165" s="74"/>
      <c r="S1165" s="74"/>
      <c r="T1165" s="74"/>
      <c r="U1165" s="74"/>
      <c r="V1165" s="73"/>
      <c r="W1165" s="74"/>
      <c r="X1165" s="74"/>
    </row>
    <row r="1166" spans="1:24" ht="45" customHeight="1" x14ac:dyDescent="0.4">
      <c r="A1166" s="75"/>
      <c r="B1166" s="76"/>
      <c r="C1166" s="77"/>
      <c r="D1166" s="77"/>
      <c r="E1166" s="77"/>
      <c r="F1166" s="77"/>
      <c r="G1166" s="77"/>
      <c r="H1166" s="77"/>
      <c r="I1166" s="77"/>
      <c r="J1166" s="77"/>
      <c r="K1166" s="77"/>
      <c r="L1166" s="77"/>
      <c r="M1166" s="77"/>
      <c r="N1166" s="77"/>
      <c r="O1166" s="77"/>
      <c r="P1166" s="77"/>
      <c r="Q1166" s="77"/>
      <c r="R1166" s="77"/>
      <c r="S1166" s="77"/>
      <c r="T1166" s="77"/>
      <c r="U1166" s="77"/>
      <c r="V1166" s="76"/>
      <c r="W1166" s="77"/>
      <c r="X1166" s="77"/>
    </row>
    <row r="1167" spans="1:24" ht="45" customHeight="1" x14ac:dyDescent="0.4">
      <c r="A1167" s="72"/>
      <c r="B1167" s="73"/>
      <c r="C1167" s="74"/>
      <c r="D1167" s="74"/>
      <c r="E1167" s="74"/>
      <c r="F1167" s="74"/>
      <c r="G1167" s="74"/>
      <c r="H1167" s="74"/>
      <c r="I1167" s="74"/>
      <c r="J1167" s="74"/>
      <c r="K1167" s="74"/>
      <c r="L1167" s="74"/>
      <c r="M1167" s="74"/>
      <c r="N1167" s="74"/>
      <c r="O1167" s="74"/>
      <c r="P1167" s="74"/>
      <c r="Q1167" s="74"/>
      <c r="R1167" s="74"/>
      <c r="S1167" s="74"/>
      <c r="T1167" s="74"/>
      <c r="U1167" s="74"/>
      <c r="V1167" s="73"/>
      <c r="W1167" s="74"/>
      <c r="X1167" s="74"/>
    </row>
    <row r="1168" spans="1:24" ht="45" customHeight="1" x14ac:dyDescent="0.4">
      <c r="A1168" s="75"/>
      <c r="B1168" s="76"/>
      <c r="C1168" s="77"/>
      <c r="D1168" s="77"/>
      <c r="E1168" s="77"/>
      <c r="F1168" s="77"/>
      <c r="G1168" s="77"/>
      <c r="H1168" s="77"/>
      <c r="I1168" s="77"/>
      <c r="J1168" s="77"/>
      <c r="K1168" s="77"/>
      <c r="L1168" s="77"/>
      <c r="M1168" s="77"/>
      <c r="N1168" s="77"/>
      <c r="O1168" s="77"/>
      <c r="P1168" s="77"/>
      <c r="Q1168" s="77"/>
      <c r="R1168" s="77"/>
      <c r="S1168" s="77"/>
      <c r="T1168" s="77"/>
      <c r="U1168" s="77"/>
      <c r="V1168" s="76"/>
      <c r="W1168" s="77"/>
      <c r="X1168" s="77"/>
    </row>
    <row r="1169" spans="1:24" ht="45" customHeight="1" x14ac:dyDescent="0.4">
      <c r="A1169" s="72"/>
      <c r="B1169" s="73"/>
      <c r="C1169" s="74"/>
      <c r="D1169" s="74"/>
      <c r="E1169" s="74"/>
      <c r="F1169" s="74"/>
      <c r="G1169" s="74"/>
      <c r="H1169" s="74"/>
      <c r="I1169" s="74"/>
      <c r="J1169" s="74"/>
      <c r="K1169" s="74"/>
      <c r="L1169" s="74"/>
      <c r="M1169" s="74"/>
      <c r="N1169" s="74"/>
      <c r="O1169" s="74"/>
      <c r="P1169" s="74"/>
      <c r="Q1169" s="74"/>
      <c r="R1169" s="74"/>
      <c r="S1169" s="74"/>
      <c r="T1169" s="74"/>
      <c r="U1169" s="74"/>
      <c r="V1169" s="73"/>
      <c r="W1169" s="74"/>
      <c r="X1169" s="74"/>
    </row>
    <row r="1170" spans="1:24" ht="45" customHeight="1" x14ac:dyDescent="0.4">
      <c r="A1170" s="75"/>
      <c r="B1170" s="76"/>
      <c r="C1170" s="77"/>
      <c r="D1170" s="77"/>
      <c r="E1170" s="77"/>
      <c r="F1170" s="77"/>
      <c r="G1170" s="77"/>
      <c r="H1170" s="77"/>
      <c r="I1170" s="77"/>
      <c r="J1170" s="77"/>
      <c r="K1170" s="77"/>
      <c r="L1170" s="77"/>
      <c r="M1170" s="77"/>
      <c r="N1170" s="77"/>
      <c r="O1170" s="77"/>
      <c r="P1170" s="77"/>
      <c r="Q1170" s="77"/>
      <c r="R1170" s="77"/>
      <c r="S1170" s="77"/>
      <c r="T1170" s="77"/>
      <c r="U1170" s="77"/>
      <c r="V1170" s="76"/>
      <c r="W1170" s="77"/>
      <c r="X1170" s="77"/>
    </row>
    <row r="1171" spans="1:24" ht="45" customHeight="1" x14ac:dyDescent="0.4">
      <c r="A1171" s="72"/>
      <c r="B1171" s="73"/>
      <c r="C1171" s="74"/>
      <c r="D1171" s="74"/>
      <c r="E1171" s="74"/>
      <c r="F1171" s="74"/>
      <c r="G1171" s="74"/>
      <c r="H1171" s="74"/>
      <c r="I1171" s="74"/>
      <c r="J1171" s="74"/>
      <c r="K1171" s="74"/>
      <c r="L1171" s="74"/>
      <c r="M1171" s="74"/>
      <c r="N1171" s="74"/>
      <c r="O1171" s="74"/>
      <c r="P1171" s="74"/>
      <c r="Q1171" s="74"/>
      <c r="R1171" s="74"/>
      <c r="S1171" s="74"/>
      <c r="T1171" s="74"/>
      <c r="U1171" s="74"/>
      <c r="V1171" s="73"/>
      <c r="W1171" s="74"/>
      <c r="X1171" s="74"/>
    </row>
    <row r="1172" spans="1:24" ht="45" customHeight="1" x14ac:dyDescent="0.4">
      <c r="A1172" s="75"/>
      <c r="B1172" s="76"/>
      <c r="C1172" s="77"/>
      <c r="D1172" s="77"/>
      <c r="E1172" s="77"/>
      <c r="F1172" s="77"/>
      <c r="G1172" s="77"/>
      <c r="H1172" s="77"/>
      <c r="I1172" s="77"/>
      <c r="J1172" s="77"/>
      <c r="K1172" s="77"/>
      <c r="L1172" s="77"/>
      <c r="M1172" s="77"/>
      <c r="N1172" s="77"/>
      <c r="O1172" s="77"/>
      <c r="P1172" s="77"/>
      <c r="Q1172" s="77"/>
      <c r="R1172" s="77"/>
      <c r="S1172" s="77"/>
      <c r="T1172" s="77"/>
      <c r="U1172" s="77"/>
      <c r="V1172" s="76"/>
      <c r="W1172" s="77"/>
      <c r="X1172" s="77"/>
    </row>
    <row r="1173" spans="1:24" ht="45" customHeight="1" x14ac:dyDescent="0.4">
      <c r="A1173" s="72"/>
      <c r="B1173" s="73"/>
      <c r="C1173" s="74"/>
      <c r="D1173" s="74"/>
      <c r="E1173" s="74"/>
      <c r="F1173" s="74"/>
      <c r="G1173" s="74"/>
      <c r="H1173" s="74"/>
      <c r="I1173" s="74"/>
      <c r="J1173" s="74"/>
      <c r="K1173" s="74"/>
      <c r="L1173" s="74"/>
      <c r="M1173" s="74"/>
      <c r="N1173" s="74"/>
      <c r="O1173" s="74"/>
      <c r="P1173" s="74"/>
      <c r="Q1173" s="74"/>
      <c r="R1173" s="74"/>
      <c r="S1173" s="74"/>
      <c r="T1173" s="74"/>
      <c r="U1173" s="74"/>
      <c r="V1173" s="73"/>
      <c r="W1173" s="74"/>
      <c r="X1173" s="74"/>
    </row>
    <row r="1174" spans="1:24" ht="45" customHeight="1" x14ac:dyDescent="0.4">
      <c r="A1174" s="75"/>
      <c r="B1174" s="76"/>
      <c r="C1174" s="77"/>
      <c r="D1174" s="77"/>
      <c r="E1174" s="77"/>
      <c r="F1174" s="77"/>
      <c r="G1174" s="77"/>
      <c r="H1174" s="77"/>
      <c r="I1174" s="77"/>
      <c r="J1174" s="77"/>
      <c r="K1174" s="77"/>
      <c r="L1174" s="77"/>
      <c r="M1174" s="77"/>
      <c r="N1174" s="77"/>
      <c r="O1174" s="77"/>
      <c r="P1174" s="77"/>
      <c r="Q1174" s="77"/>
      <c r="R1174" s="77"/>
      <c r="S1174" s="77"/>
      <c r="T1174" s="77"/>
      <c r="U1174" s="77"/>
      <c r="V1174" s="76"/>
      <c r="W1174" s="77"/>
      <c r="X1174" s="77"/>
    </row>
    <row r="1175" spans="1:24" ht="45" customHeight="1" x14ac:dyDescent="0.4">
      <c r="A1175" s="72"/>
      <c r="B1175" s="73"/>
      <c r="C1175" s="74"/>
      <c r="D1175" s="74"/>
      <c r="E1175" s="74"/>
      <c r="F1175" s="74"/>
      <c r="G1175" s="74"/>
      <c r="H1175" s="74"/>
      <c r="I1175" s="74"/>
      <c r="J1175" s="74"/>
      <c r="K1175" s="74"/>
      <c r="L1175" s="74"/>
      <c r="M1175" s="74"/>
      <c r="N1175" s="74"/>
      <c r="O1175" s="74"/>
      <c r="P1175" s="74"/>
      <c r="Q1175" s="74"/>
      <c r="R1175" s="74"/>
      <c r="S1175" s="74"/>
      <c r="T1175" s="74"/>
      <c r="U1175" s="74"/>
      <c r="V1175" s="73"/>
      <c r="W1175" s="74"/>
      <c r="X1175" s="74"/>
    </row>
    <row r="1176" spans="1:24" ht="45" customHeight="1" x14ac:dyDescent="0.4">
      <c r="A1176" s="75"/>
      <c r="B1176" s="76"/>
      <c r="C1176" s="77"/>
      <c r="D1176" s="77"/>
      <c r="E1176" s="77"/>
      <c r="F1176" s="77"/>
      <c r="G1176" s="77"/>
      <c r="H1176" s="77"/>
      <c r="I1176" s="77"/>
      <c r="J1176" s="77"/>
      <c r="K1176" s="77"/>
      <c r="L1176" s="77"/>
      <c r="M1176" s="77"/>
      <c r="N1176" s="77"/>
      <c r="O1176" s="77"/>
      <c r="P1176" s="77"/>
      <c r="Q1176" s="77"/>
      <c r="R1176" s="77"/>
      <c r="S1176" s="77"/>
      <c r="T1176" s="77"/>
      <c r="U1176" s="77"/>
      <c r="V1176" s="76"/>
      <c r="W1176" s="77"/>
      <c r="X1176" s="77"/>
    </row>
    <row r="1177" spans="1:24" ht="45" customHeight="1" x14ac:dyDescent="0.4">
      <c r="A1177" s="72"/>
      <c r="B1177" s="73"/>
      <c r="C1177" s="74"/>
      <c r="D1177" s="74"/>
      <c r="E1177" s="74"/>
      <c r="F1177" s="74"/>
      <c r="G1177" s="74"/>
      <c r="H1177" s="74"/>
      <c r="I1177" s="74"/>
      <c r="J1177" s="74"/>
      <c r="K1177" s="74"/>
      <c r="L1177" s="74"/>
      <c r="M1177" s="74"/>
      <c r="N1177" s="74"/>
      <c r="O1177" s="74"/>
      <c r="P1177" s="74"/>
      <c r="Q1177" s="74"/>
      <c r="R1177" s="74"/>
      <c r="S1177" s="74"/>
      <c r="T1177" s="74"/>
      <c r="U1177" s="74"/>
      <c r="V1177" s="73"/>
      <c r="W1177" s="74"/>
      <c r="X1177" s="74"/>
    </row>
    <row r="1178" spans="1:24" ht="45" customHeight="1" x14ac:dyDescent="0.4">
      <c r="A1178" s="75"/>
      <c r="B1178" s="76"/>
      <c r="C1178" s="77"/>
      <c r="D1178" s="77"/>
      <c r="E1178" s="77"/>
      <c r="F1178" s="77"/>
      <c r="G1178" s="77"/>
      <c r="H1178" s="77"/>
      <c r="I1178" s="77"/>
      <c r="J1178" s="77"/>
      <c r="K1178" s="77"/>
      <c r="L1178" s="77"/>
      <c r="M1178" s="77"/>
      <c r="N1178" s="77"/>
      <c r="O1178" s="77"/>
      <c r="P1178" s="77"/>
      <c r="Q1178" s="77"/>
      <c r="R1178" s="77"/>
      <c r="S1178" s="77"/>
      <c r="T1178" s="77"/>
      <c r="U1178" s="77"/>
      <c r="V1178" s="76"/>
      <c r="W1178" s="77"/>
      <c r="X1178" s="77"/>
    </row>
    <row r="1179" spans="1:24" ht="45" customHeight="1" x14ac:dyDescent="0.4">
      <c r="A1179" s="72"/>
      <c r="B1179" s="73"/>
      <c r="C1179" s="74"/>
      <c r="D1179" s="74"/>
      <c r="E1179" s="74"/>
      <c r="F1179" s="74"/>
      <c r="G1179" s="74"/>
      <c r="H1179" s="74"/>
      <c r="I1179" s="74"/>
      <c r="J1179" s="74"/>
      <c r="K1179" s="74"/>
      <c r="L1179" s="74"/>
      <c r="M1179" s="74"/>
      <c r="N1179" s="74"/>
      <c r="O1179" s="74"/>
      <c r="P1179" s="74"/>
      <c r="Q1179" s="74"/>
      <c r="R1179" s="74"/>
      <c r="S1179" s="74"/>
      <c r="T1179" s="74"/>
      <c r="U1179" s="74"/>
      <c r="V1179" s="73"/>
      <c r="W1179" s="74"/>
      <c r="X1179" s="74"/>
    </row>
    <row r="1180" spans="1:24" ht="45" customHeight="1" x14ac:dyDescent="0.4">
      <c r="A1180" s="75"/>
      <c r="B1180" s="76"/>
      <c r="C1180" s="77"/>
      <c r="D1180" s="77"/>
      <c r="E1180" s="77"/>
      <c r="F1180" s="77"/>
      <c r="G1180" s="77"/>
      <c r="H1180" s="77"/>
      <c r="I1180" s="77"/>
      <c r="J1180" s="77"/>
      <c r="K1180" s="77"/>
      <c r="L1180" s="77"/>
      <c r="M1180" s="77"/>
      <c r="N1180" s="77"/>
      <c r="O1180" s="77"/>
      <c r="P1180" s="77"/>
      <c r="Q1180" s="77"/>
      <c r="R1180" s="77"/>
      <c r="S1180" s="77"/>
      <c r="T1180" s="77"/>
      <c r="U1180" s="77"/>
      <c r="V1180" s="76"/>
      <c r="W1180" s="77"/>
      <c r="X1180" s="77"/>
    </row>
    <row r="1181" spans="1:24" ht="45" customHeight="1" x14ac:dyDescent="0.4">
      <c r="A1181" s="72"/>
      <c r="B1181" s="73"/>
      <c r="C1181" s="74"/>
      <c r="D1181" s="74"/>
      <c r="E1181" s="74"/>
      <c r="F1181" s="74"/>
      <c r="G1181" s="74"/>
      <c r="H1181" s="74"/>
      <c r="I1181" s="74"/>
      <c r="J1181" s="74"/>
      <c r="K1181" s="74"/>
      <c r="L1181" s="74"/>
      <c r="M1181" s="74"/>
      <c r="N1181" s="74"/>
      <c r="O1181" s="74"/>
      <c r="P1181" s="74"/>
      <c r="Q1181" s="74"/>
      <c r="R1181" s="74"/>
      <c r="S1181" s="74"/>
      <c r="T1181" s="74"/>
      <c r="U1181" s="74"/>
      <c r="V1181" s="73"/>
      <c r="W1181" s="74"/>
      <c r="X1181" s="74"/>
    </row>
    <row r="1182" spans="1:24" ht="45" customHeight="1" x14ac:dyDescent="0.4">
      <c r="A1182" s="75"/>
      <c r="B1182" s="76"/>
      <c r="C1182" s="77"/>
      <c r="D1182" s="77"/>
      <c r="E1182" s="77"/>
      <c r="F1182" s="77"/>
      <c r="G1182" s="77"/>
      <c r="H1182" s="77"/>
      <c r="I1182" s="77"/>
      <c r="J1182" s="77"/>
      <c r="K1182" s="77"/>
      <c r="L1182" s="77"/>
      <c r="M1182" s="77"/>
      <c r="N1182" s="77"/>
      <c r="O1182" s="77"/>
      <c r="P1182" s="77"/>
      <c r="Q1182" s="77"/>
      <c r="R1182" s="77"/>
      <c r="S1182" s="77"/>
      <c r="T1182" s="77"/>
      <c r="U1182" s="77"/>
      <c r="V1182" s="76"/>
      <c r="W1182" s="77"/>
      <c r="X1182" s="77"/>
    </row>
    <row r="1183" spans="1:24" ht="45" customHeight="1" x14ac:dyDescent="0.4">
      <c r="A1183" s="72"/>
      <c r="B1183" s="73"/>
      <c r="C1183" s="74"/>
      <c r="D1183" s="74"/>
      <c r="E1183" s="74"/>
      <c r="F1183" s="74"/>
      <c r="G1183" s="74"/>
      <c r="H1183" s="74"/>
      <c r="I1183" s="74"/>
      <c r="J1183" s="74"/>
      <c r="K1183" s="74"/>
      <c r="L1183" s="74"/>
      <c r="M1183" s="74"/>
      <c r="N1183" s="74"/>
      <c r="O1183" s="74"/>
      <c r="P1183" s="74"/>
      <c r="Q1183" s="74"/>
      <c r="R1183" s="74"/>
      <c r="S1183" s="74"/>
      <c r="T1183" s="74"/>
      <c r="U1183" s="74"/>
      <c r="V1183" s="73"/>
      <c r="W1183" s="74"/>
      <c r="X1183" s="74"/>
    </row>
    <row r="1184" spans="1:24" ht="45" customHeight="1" x14ac:dyDescent="0.4">
      <c r="A1184" s="75"/>
      <c r="B1184" s="76"/>
      <c r="C1184" s="77"/>
      <c r="D1184" s="77"/>
      <c r="E1184" s="77"/>
      <c r="F1184" s="77"/>
      <c r="G1184" s="77"/>
      <c r="H1184" s="77"/>
      <c r="I1184" s="77"/>
      <c r="J1184" s="77"/>
      <c r="K1184" s="77"/>
      <c r="L1184" s="77"/>
      <c r="M1184" s="77"/>
      <c r="N1184" s="77"/>
      <c r="O1184" s="77"/>
      <c r="P1184" s="77"/>
      <c r="Q1184" s="77"/>
      <c r="R1184" s="77"/>
      <c r="S1184" s="77"/>
      <c r="T1184" s="77"/>
      <c r="U1184" s="77"/>
      <c r="V1184" s="76"/>
      <c r="W1184" s="77"/>
      <c r="X1184" s="77"/>
    </row>
    <row r="1185" spans="1:24" ht="45" customHeight="1" x14ac:dyDescent="0.4">
      <c r="A1185" s="72"/>
      <c r="B1185" s="73"/>
      <c r="C1185" s="74"/>
      <c r="D1185" s="74"/>
      <c r="E1185" s="74"/>
      <c r="F1185" s="74"/>
      <c r="G1185" s="74"/>
      <c r="H1185" s="74"/>
      <c r="I1185" s="74"/>
      <c r="J1185" s="74"/>
      <c r="K1185" s="74"/>
      <c r="L1185" s="74"/>
      <c r="M1185" s="74"/>
      <c r="N1185" s="74"/>
      <c r="O1185" s="74"/>
      <c r="P1185" s="74"/>
      <c r="Q1185" s="74"/>
      <c r="R1185" s="74"/>
      <c r="S1185" s="74"/>
      <c r="T1185" s="74"/>
      <c r="U1185" s="74"/>
      <c r="V1185" s="73"/>
      <c r="W1185" s="74"/>
      <c r="X1185" s="74"/>
    </row>
    <row r="1186" spans="1:24" ht="45" customHeight="1" x14ac:dyDescent="0.4">
      <c r="A1186" s="75"/>
      <c r="B1186" s="76"/>
      <c r="C1186" s="77"/>
      <c r="D1186" s="77"/>
      <c r="E1186" s="77"/>
      <c r="F1186" s="77"/>
      <c r="G1186" s="77"/>
      <c r="H1186" s="77"/>
      <c r="I1186" s="77"/>
      <c r="J1186" s="77"/>
      <c r="K1186" s="77"/>
      <c r="L1186" s="77"/>
      <c r="M1186" s="77"/>
      <c r="N1186" s="77"/>
      <c r="O1186" s="77"/>
      <c r="P1186" s="77"/>
      <c r="Q1186" s="77"/>
      <c r="R1186" s="77"/>
      <c r="S1186" s="77"/>
      <c r="T1186" s="77"/>
      <c r="U1186" s="77"/>
      <c r="V1186" s="76"/>
      <c r="W1186" s="77"/>
      <c r="X1186" s="77"/>
    </row>
    <row r="1187" spans="1:24" ht="45" customHeight="1" x14ac:dyDescent="0.4">
      <c r="A1187" s="72"/>
      <c r="B1187" s="73"/>
      <c r="C1187" s="74"/>
      <c r="D1187" s="74"/>
      <c r="E1187" s="74"/>
      <c r="F1187" s="74"/>
      <c r="G1187" s="74"/>
      <c r="H1187" s="74"/>
      <c r="I1187" s="74"/>
      <c r="J1187" s="74"/>
      <c r="K1187" s="74"/>
      <c r="L1187" s="74"/>
      <c r="M1187" s="74"/>
      <c r="N1187" s="74"/>
      <c r="O1187" s="74"/>
      <c r="P1187" s="74"/>
      <c r="Q1187" s="74"/>
      <c r="R1187" s="74"/>
      <c r="S1187" s="74"/>
      <c r="T1187" s="74"/>
      <c r="U1187" s="74"/>
      <c r="V1187" s="73"/>
      <c r="W1187" s="74"/>
      <c r="X1187" s="74"/>
    </row>
    <row r="1188" spans="1:24" ht="45" customHeight="1" x14ac:dyDescent="0.4">
      <c r="A1188" s="75"/>
      <c r="B1188" s="76"/>
      <c r="C1188" s="77"/>
      <c r="D1188" s="77"/>
      <c r="E1188" s="77"/>
      <c r="F1188" s="77"/>
      <c r="G1188" s="77"/>
      <c r="H1188" s="77"/>
      <c r="I1188" s="77"/>
      <c r="J1188" s="77"/>
      <c r="K1188" s="77"/>
      <c r="L1188" s="77"/>
      <c r="M1188" s="77"/>
      <c r="N1188" s="77"/>
      <c r="O1188" s="77"/>
      <c r="P1188" s="77"/>
      <c r="Q1188" s="77"/>
      <c r="R1188" s="77"/>
      <c r="S1188" s="77"/>
      <c r="T1188" s="77"/>
      <c r="U1188" s="77"/>
      <c r="V1188" s="76"/>
      <c r="W1188" s="77"/>
      <c r="X1188" s="77"/>
    </row>
    <row r="1189" spans="1:24" ht="45" customHeight="1" x14ac:dyDescent="0.4">
      <c r="A1189" s="72"/>
      <c r="B1189" s="73"/>
      <c r="C1189" s="74"/>
      <c r="D1189" s="74"/>
      <c r="E1189" s="74"/>
      <c r="F1189" s="74"/>
      <c r="G1189" s="74"/>
      <c r="H1189" s="74"/>
      <c r="I1189" s="74"/>
      <c r="J1189" s="74"/>
      <c r="K1189" s="74"/>
      <c r="L1189" s="74"/>
      <c r="M1189" s="74"/>
      <c r="N1189" s="74"/>
      <c r="O1189" s="74"/>
      <c r="P1189" s="74"/>
      <c r="Q1189" s="74"/>
      <c r="R1189" s="74"/>
      <c r="S1189" s="74"/>
      <c r="T1189" s="74"/>
      <c r="U1189" s="74"/>
      <c r="V1189" s="73"/>
      <c r="W1189" s="74"/>
      <c r="X1189" s="74"/>
    </row>
    <row r="1190" spans="1:24" ht="45" customHeight="1" x14ac:dyDescent="0.4">
      <c r="A1190" s="75"/>
      <c r="B1190" s="76"/>
      <c r="C1190" s="77"/>
      <c r="D1190" s="77"/>
      <c r="E1190" s="77"/>
      <c r="F1190" s="77"/>
      <c r="G1190" s="77"/>
      <c r="H1190" s="77"/>
      <c r="I1190" s="77"/>
      <c r="J1190" s="77"/>
      <c r="K1190" s="77"/>
      <c r="L1190" s="77"/>
      <c r="M1190" s="77"/>
      <c r="N1190" s="77"/>
      <c r="O1190" s="77"/>
      <c r="P1190" s="77"/>
      <c r="Q1190" s="77"/>
      <c r="R1190" s="77"/>
      <c r="S1190" s="77"/>
      <c r="T1190" s="77"/>
      <c r="U1190" s="77"/>
      <c r="V1190" s="76"/>
      <c r="W1190" s="77"/>
      <c r="X1190" s="77"/>
    </row>
    <row r="1191" spans="1:24" ht="45" customHeight="1" x14ac:dyDescent="0.4">
      <c r="A1191" s="72"/>
      <c r="B1191" s="73"/>
      <c r="C1191" s="74"/>
      <c r="D1191" s="74"/>
      <c r="E1191" s="74"/>
      <c r="F1191" s="74"/>
      <c r="G1191" s="74"/>
      <c r="H1191" s="74"/>
      <c r="I1191" s="74"/>
      <c r="J1191" s="74"/>
      <c r="K1191" s="74"/>
      <c r="L1191" s="74"/>
      <c r="M1191" s="74"/>
      <c r="N1191" s="74"/>
      <c r="O1191" s="74"/>
      <c r="P1191" s="74"/>
      <c r="Q1191" s="74"/>
      <c r="R1191" s="74"/>
      <c r="S1191" s="74"/>
      <c r="T1191" s="74"/>
      <c r="U1191" s="74"/>
      <c r="V1191" s="73"/>
      <c r="W1191" s="74"/>
      <c r="X1191" s="74"/>
    </row>
    <row r="1192" spans="1:24" ht="45" customHeight="1" x14ac:dyDescent="0.4">
      <c r="A1192" s="75"/>
      <c r="B1192" s="76"/>
      <c r="C1192" s="77"/>
      <c r="D1192" s="77"/>
      <c r="E1192" s="77"/>
      <c r="F1192" s="77"/>
      <c r="G1192" s="77"/>
      <c r="H1192" s="77"/>
      <c r="I1192" s="77"/>
      <c r="J1192" s="77"/>
      <c r="K1192" s="77"/>
      <c r="L1192" s="77"/>
      <c r="M1192" s="77"/>
      <c r="N1192" s="77"/>
      <c r="O1192" s="77"/>
      <c r="P1192" s="77"/>
      <c r="Q1192" s="77"/>
      <c r="R1192" s="77"/>
      <c r="S1192" s="77"/>
      <c r="T1192" s="77"/>
      <c r="U1192" s="77"/>
      <c r="V1192" s="76"/>
      <c r="W1192" s="77"/>
      <c r="X1192" s="77"/>
    </row>
    <row r="1193" spans="1:24" ht="45" customHeight="1" x14ac:dyDescent="0.4">
      <c r="A1193" s="72"/>
      <c r="B1193" s="73"/>
      <c r="C1193" s="74"/>
      <c r="D1193" s="74"/>
      <c r="E1193" s="74"/>
      <c r="F1193" s="74"/>
      <c r="G1193" s="74"/>
      <c r="H1193" s="74"/>
      <c r="I1193" s="74"/>
      <c r="J1193" s="74"/>
      <c r="K1193" s="74"/>
      <c r="L1193" s="74"/>
      <c r="M1193" s="74"/>
      <c r="N1193" s="74"/>
      <c r="O1193" s="74"/>
      <c r="P1193" s="74"/>
      <c r="Q1193" s="74"/>
      <c r="R1193" s="74"/>
      <c r="S1193" s="74"/>
      <c r="T1193" s="74"/>
      <c r="U1193" s="74"/>
      <c r="V1193" s="73"/>
      <c r="W1193" s="74"/>
      <c r="X1193" s="74"/>
    </row>
    <row r="1194" spans="1:24" ht="45" customHeight="1" x14ac:dyDescent="0.4">
      <c r="A1194" s="75"/>
      <c r="B1194" s="76"/>
      <c r="C1194" s="77"/>
      <c r="D1194" s="77"/>
      <c r="E1194" s="77"/>
      <c r="F1194" s="77"/>
      <c r="G1194" s="77"/>
      <c r="H1194" s="77"/>
      <c r="I1194" s="77"/>
      <c r="J1194" s="77"/>
      <c r="K1194" s="77"/>
      <c r="L1194" s="77"/>
      <c r="M1194" s="77"/>
      <c r="N1194" s="77"/>
      <c r="O1194" s="77"/>
      <c r="P1194" s="77"/>
      <c r="Q1194" s="77"/>
      <c r="R1194" s="77"/>
      <c r="S1194" s="77"/>
      <c r="T1194" s="77"/>
      <c r="U1194" s="77"/>
      <c r="V1194" s="76"/>
      <c r="W1194" s="77"/>
      <c r="X1194" s="77"/>
    </row>
    <row r="1195" spans="1:24" ht="45" customHeight="1" x14ac:dyDescent="0.4">
      <c r="A1195" s="72"/>
      <c r="B1195" s="73"/>
      <c r="C1195" s="74"/>
      <c r="D1195" s="74"/>
      <c r="E1195" s="74"/>
      <c r="F1195" s="74"/>
      <c r="G1195" s="74"/>
      <c r="H1195" s="74"/>
      <c r="I1195" s="74"/>
      <c r="J1195" s="74"/>
      <c r="K1195" s="74"/>
      <c r="L1195" s="74"/>
      <c r="M1195" s="74"/>
      <c r="N1195" s="74"/>
      <c r="O1195" s="74"/>
      <c r="P1195" s="74"/>
      <c r="Q1195" s="74"/>
      <c r="R1195" s="74"/>
      <c r="S1195" s="74"/>
      <c r="T1195" s="74"/>
      <c r="U1195" s="74"/>
      <c r="V1195" s="73"/>
      <c r="W1195" s="74"/>
      <c r="X1195" s="74"/>
    </row>
    <row r="1196" spans="1:24" ht="45" customHeight="1" x14ac:dyDescent="0.4">
      <c r="A1196" s="75"/>
      <c r="B1196" s="76"/>
      <c r="C1196" s="77"/>
      <c r="D1196" s="77"/>
      <c r="E1196" s="77"/>
      <c r="F1196" s="77"/>
      <c r="G1196" s="77"/>
      <c r="H1196" s="77"/>
      <c r="I1196" s="77"/>
      <c r="J1196" s="77"/>
      <c r="K1196" s="77"/>
      <c r="L1196" s="77"/>
      <c r="M1196" s="77"/>
      <c r="N1196" s="77"/>
      <c r="O1196" s="77"/>
      <c r="P1196" s="77"/>
      <c r="Q1196" s="77"/>
      <c r="R1196" s="77"/>
      <c r="S1196" s="77"/>
      <c r="T1196" s="77"/>
      <c r="U1196" s="77"/>
      <c r="V1196" s="76"/>
      <c r="W1196" s="77"/>
      <c r="X1196" s="77"/>
    </row>
    <row r="1197" spans="1:24" ht="45" customHeight="1" x14ac:dyDescent="0.4">
      <c r="A1197" s="72"/>
      <c r="B1197" s="73"/>
      <c r="C1197" s="74"/>
      <c r="D1197" s="74"/>
      <c r="E1197" s="74"/>
      <c r="F1197" s="74"/>
      <c r="G1197" s="74"/>
      <c r="H1197" s="74"/>
      <c r="I1197" s="74"/>
      <c r="J1197" s="74"/>
      <c r="K1197" s="74"/>
      <c r="L1197" s="74"/>
      <c r="M1197" s="74"/>
      <c r="N1197" s="74"/>
      <c r="O1197" s="74"/>
      <c r="P1197" s="74"/>
      <c r="Q1197" s="74"/>
      <c r="R1197" s="74"/>
      <c r="S1197" s="74"/>
      <c r="T1197" s="74"/>
      <c r="U1197" s="74"/>
      <c r="V1197" s="73"/>
      <c r="W1197" s="74"/>
      <c r="X1197" s="74"/>
    </row>
    <row r="1198" spans="1:24" ht="45" customHeight="1" x14ac:dyDescent="0.4">
      <c r="A1198" s="75"/>
      <c r="B1198" s="76"/>
      <c r="C1198" s="77"/>
      <c r="D1198" s="77"/>
      <c r="E1198" s="77"/>
      <c r="F1198" s="77"/>
      <c r="G1198" s="77"/>
      <c r="H1198" s="77"/>
      <c r="I1198" s="77"/>
      <c r="J1198" s="77"/>
      <c r="K1198" s="77"/>
      <c r="L1198" s="77"/>
      <c r="M1198" s="77"/>
      <c r="N1198" s="77"/>
      <c r="O1198" s="77"/>
      <c r="P1198" s="77"/>
      <c r="Q1198" s="77"/>
      <c r="R1198" s="77"/>
      <c r="S1198" s="77"/>
      <c r="T1198" s="77"/>
      <c r="U1198" s="77"/>
      <c r="V1198" s="76"/>
      <c r="W1198" s="77"/>
      <c r="X1198" s="77"/>
    </row>
    <row r="1199" spans="1:24" ht="45" customHeight="1" x14ac:dyDescent="0.4">
      <c r="A1199" s="72"/>
      <c r="B1199" s="73"/>
      <c r="C1199" s="74"/>
      <c r="D1199" s="74"/>
      <c r="E1199" s="74"/>
      <c r="F1199" s="74"/>
      <c r="G1199" s="74"/>
      <c r="H1199" s="74"/>
      <c r="I1199" s="74"/>
      <c r="J1199" s="74"/>
      <c r="K1199" s="74"/>
      <c r="L1199" s="74"/>
      <c r="M1199" s="74"/>
      <c r="N1199" s="74"/>
      <c r="O1199" s="74"/>
      <c r="P1199" s="74"/>
      <c r="Q1199" s="74"/>
      <c r="R1199" s="74"/>
      <c r="S1199" s="74"/>
      <c r="T1199" s="74"/>
      <c r="U1199" s="74"/>
      <c r="V1199" s="73"/>
      <c r="W1199" s="74"/>
      <c r="X1199" s="74"/>
    </row>
    <row r="1200" spans="1:24" ht="45" customHeight="1" x14ac:dyDescent="0.4">
      <c r="A1200" s="75"/>
      <c r="B1200" s="76"/>
      <c r="C1200" s="77"/>
      <c r="D1200" s="77"/>
      <c r="E1200" s="77"/>
      <c r="F1200" s="77"/>
      <c r="G1200" s="77"/>
      <c r="H1200" s="77"/>
      <c r="I1200" s="77"/>
      <c r="J1200" s="77"/>
      <c r="K1200" s="77"/>
      <c r="L1200" s="77"/>
      <c r="M1200" s="77"/>
      <c r="N1200" s="77"/>
      <c r="O1200" s="77"/>
      <c r="P1200" s="77"/>
      <c r="Q1200" s="77"/>
      <c r="R1200" s="77"/>
      <c r="S1200" s="77"/>
      <c r="T1200" s="77"/>
      <c r="U1200" s="77"/>
      <c r="V1200" s="76"/>
      <c r="W1200" s="77"/>
      <c r="X1200" s="77"/>
    </row>
  </sheetData>
  <phoneticPr fontId="1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8BB32E-4071-4DAB-B533-09178AB7FA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تحديث الجدول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Mennatullah Khalid Hosny</cp:lastModifiedBy>
  <cp:lastPrinted>2026-09-03T06:41:31Z</cp:lastPrinted>
  <dcterms:modified xsi:type="dcterms:W3CDTF">2026-09-04T12:12:17Z</dcterms:modified>
</cp:coreProperties>
</file>