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work\بنيان\localsend\"/>
    </mc:Choice>
  </mc:AlternateContent>
  <xr:revisionPtr revIDLastSave="0" documentId="13_ncr:1_{A0E33E56-A4EC-442E-89F4-AE4BABD828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J3" i="2" s="1"/>
  <c r="I4" i="2"/>
  <c r="J4" i="2" s="1"/>
  <c r="I5" i="2"/>
  <c r="I6" i="2"/>
  <c r="I7" i="2"/>
  <c r="I8" i="2"/>
  <c r="I9" i="2"/>
  <c r="I10" i="2"/>
  <c r="I11" i="2"/>
  <c r="I12" i="2"/>
  <c r="I13" i="2"/>
  <c r="J13" i="2" s="1"/>
  <c r="I14" i="2"/>
  <c r="J14" i="2" s="1"/>
  <c r="I15" i="2"/>
  <c r="I16" i="2"/>
  <c r="I17" i="2"/>
  <c r="I18" i="2"/>
  <c r="I19" i="2"/>
  <c r="I20" i="2"/>
  <c r="I21" i="2"/>
  <c r="I22" i="2"/>
  <c r="I23" i="2"/>
  <c r="I24" i="2"/>
  <c r="I25" i="2"/>
  <c r="J25" i="2" s="1"/>
  <c r="I26" i="2"/>
  <c r="J26" i="2" s="1"/>
  <c r="I27" i="2"/>
  <c r="I28" i="2"/>
  <c r="I29" i="2"/>
  <c r="I30" i="2"/>
  <c r="I31" i="2"/>
  <c r="I32" i="2"/>
  <c r="I33" i="2"/>
  <c r="I34" i="2"/>
  <c r="I35" i="2"/>
  <c r="I36" i="2"/>
  <c r="I37" i="2"/>
  <c r="J37" i="2" s="1"/>
  <c r="I38" i="2"/>
  <c r="J38" i="2" s="1"/>
  <c r="I39" i="2"/>
  <c r="I40" i="2"/>
  <c r="I41" i="2"/>
  <c r="I42" i="2"/>
  <c r="I43" i="2"/>
  <c r="I44" i="2"/>
  <c r="I45" i="2"/>
  <c r="I46" i="2"/>
  <c r="I47" i="2"/>
  <c r="I48" i="2"/>
  <c r="I49" i="2"/>
  <c r="J49" i="2" s="1"/>
  <c r="I50" i="2"/>
  <c r="J50" i="2" s="1"/>
  <c r="I51" i="2"/>
  <c r="I52" i="2"/>
  <c r="I53" i="2"/>
  <c r="I54" i="2"/>
  <c r="I55" i="2"/>
  <c r="I56" i="2"/>
  <c r="I57" i="2"/>
  <c r="I58" i="2"/>
  <c r="I59" i="2"/>
  <c r="I60" i="2"/>
  <c r="I61" i="2"/>
  <c r="J61" i="2" s="1"/>
  <c r="I62" i="2"/>
  <c r="J62" i="2" s="1"/>
  <c r="I63" i="2"/>
  <c r="I64" i="2"/>
  <c r="I65" i="2"/>
  <c r="I66" i="2"/>
  <c r="I67" i="2"/>
  <c r="I68" i="2"/>
  <c r="I69" i="2"/>
  <c r="I70" i="2"/>
  <c r="I71" i="2"/>
  <c r="I72" i="2"/>
  <c r="I73" i="2"/>
  <c r="J73" i="2" s="1"/>
  <c r="I74" i="2"/>
  <c r="J74" i="2" s="1"/>
  <c r="I75" i="2"/>
  <c r="I76" i="2"/>
  <c r="I77" i="2"/>
  <c r="I78" i="2"/>
  <c r="I79" i="2"/>
  <c r="I80" i="2"/>
  <c r="I81" i="2"/>
  <c r="I82" i="2"/>
  <c r="I83" i="2"/>
  <c r="I84" i="2"/>
  <c r="I85" i="2"/>
  <c r="J85" i="2" s="1"/>
  <c r="I86" i="2"/>
  <c r="J86" i="2" s="1"/>
  <c r="I87" i="2"/>
  <c r="I88" i="2"/>
  <c r="I89" i="2"/>
  <c r="I90" i="2"/>
  <c r="I91" i="2"/>
  <c r="I92" i="2"/>
  <c r="J92" i="2" s="1"/>
  <c r="I93" i="2"/>
  <c r="I94" i="2"/>
  <c r="I95" i="2"/>
  <c r="I96" i="2"/>
  <c r="I97" i="2"/>
  <c r="J97" i="2" s="1"/>
  <c r="I98" i="2"/>
  <c r="J98" i="2" s="1"/>
  <c r="I99" i="2"/>
  <c r="I100" i="2"/>
  <c r="I101" i="2"/>
  <c r="I102" i="2"/>
  <c r="I103" i="2"/>
  <c r="I104" i="2"/>
  <c r="J104" i="2" s="1"/>
  <c r="I105" i="2"/>
  <c r="J105" i="2" s="1"/>
  <c r="I2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J5" i="2"/>
  <c r="J6" i="2"/>
  <c r="J9" i="2"/>
  <c r="J10" i="2"/>
  <c r="J17" i="2"/>
  <c r="J18" i="2"/>
  <c r="J21" i="2"/>
  <c r="J22" i="2"/>
  <c r="J29" i="2"/>
  <c r="J30" i="2"/>
  <c r="J32" i="2"/>
  <c r="J33" i="2"/>
  <c r="J34" i="2"/>
  <c r="J40" i="2"/>
  <c r="J41" i="2"/>
  <c r="J42" i="2"/>
  <c r="J44" i="2"/>
  <c r="J45" i="2"/>
  <c r="J46" i="2"/>
  <c r="J48" i="2"/>
  <c r="J53" i="2"/>
  <c r="J54" i="2"/>
  <c r="J57" i="2"/>
  <c r="J58" i="2"/>
  <c r="J60" i="2"/>
  <c r="J65" i="2"/>
  <c r="J66" i="2"/>
  <c r="J68" i="2"/>
  <c r="J69" i="2"/>
  <c r="J70" i="2"/>
  <c r="J72" i="2"/>
  <c r="J76" i="2"/>
  <c r="J77" i="2"/>
  <c r="J78" i="2"/>
  <c r="J80" i="2"/>
  <c r="J81" i="2"/>
  <c r="J82" i="2"/>
  <c r="J83" i="2"/>
  <c r="J84" i="2"/>
  <c r="J87" i="2"/>
  <c r="J88" i="2"/>
  <c r="J89" i="2"/>
  <c r="J90" i="2"/>
  <c r="J91" i="2"/>
  <c r="J93" i="2"/>
  <c r="J94" i="2"/>
  <c r="J95" i="2"/>
  <c r="J96" i="2"/>
  <c r="J99" i="2"/>
  <c r="J100" i="2"/>
  <c r="J101" i="2"/>
  <c r="J102" i="2"/>
  <c r="J103" i="2"/>
  <c r="J11" i="2"/>
  <c r="J16" i="2"/>
  <c r="J20" i="2"/>
  <c r="J36" i="2"/>
  <c r="J47" i="2"/>
  <c r="J51" i="2"/>
  <c r="J52" i="2"/>
  <c r="J55" i="2"/>
  <c r="J59" i="2"/>
  <c r="J63" i="2"/>
  <c r="J64" i="2"/>
  <c r="J67" i="2"/>
  <c r="J71" i="2"/>
  <c r="J75" i="2"/>
  <c r="J79" i="2"/>
  <c r="J7" i="2"/>
  <c r="J15" i="2"/>
  <c r="J19" i="2"/>
  <c r="J23" i="2"/>
  <c r="J27" i="2"/>
  <c r="J31" i="2"/>
  <c r="J35" i="2"/>
  <c r="J39" i="2"/>
  <c r="J43" i="2"/>
  <c r="J8" i="2"/>
  <c r="J12" i="2"/>
  <c r="J24" i="2"/>
  <c r="J28" i="2"/>
  <c r="J56" i="2"/>
  <c r="I3" i="1" l="1"/>
  <c r="J3" i="1" s="1"/>
  <c r="I100" i="1"/>
  <c r="I99" i="1"/>
  <c r="I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101" i="1"/>
  <c r="I102" i="1"/>
  <c r="I103" i="1"/>
  <c r="I104" i="1"/>
  <c r="J4" i="1" l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K1" i="1" s="1"/>
  <c r="J2" i="2"/>
  <c r="K2" i="2" s="1"/>
  <c r="J2" i="1" l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l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L1" i="2" l="1"/>
</calcChain>
</file>

<file path=xl/sharedStrings.xml><?xml version="1.0" encoding="utf-8"?>
<sst xmlns="http://schemas.openxmlformats.org/spreadsheetml/2006/main" count="2786" uniqueCount="1596">
  <si>
    <t xml:space="preserve"> علاية بيبة 15*15 ستانلس كاملة </t>
  </si>
  <si>
    <t xml:space="preserve"> علاية بيبة 20*20 ستانلس كاملة </t>
  </si>
  <si>
    <t xml:space="preserve"> بيبة لوكس 15*15 مخرج 75 مم كاملة </t>
  </si>
  <si>
    <t xml:space="preserve"> بيبة لوكس 20*20 مخرج 110 مم كاملة </t>
  </si>
  <si>
    <t xml:space="preserve"> طبة اختبار ذكر 1/2 بوصة (أزرق) </t>
  </si>
  <si>
    <t xml:space="preserve"> طبة اختبار ذكر 1/2 بوصة (أحمر) </t>
  </si>
  <si>
    <t xml:space="preserve"> طبة اختبار ذكر طويلة بالارز 1/2 بوصة (أزرق) </t>
  </si>
  <si>
    <t xml:space="preserve"> طبة اختبار ذكر طويلة بالارز 1/2 بوصة (أحمر) </t>
  </si>
  <si>
    <t xml:space="preserve"> وصلة مرنة 1/2*1/2-40سم SH </t>
  </si>
  <si>
    <t xml:space="preserve"> وصلة مرنة 1/2*1/2-50سم SH </t>
  </si>
  <si>
    <t xml:space="preserve"> وصلة مرنة 1/2*1/2-60سم SH </t>
  </si>
  <si>
    <t xml:space="preserve"> رقبة محبس دفن كروم </t>
  </si>
  <si>
    <t xml:space="preserve"> محبس شيك بالف بمصفاة 1/2 بوصة </t>
  </si>
  <si>
    <t xml:space="preserve"> محبس شيك بالف بمصفاة 3/4 بوصة </t>
  </si>
  <si>
    <t xml:space="preserve"> محبس شيك بالف بمصفاة 1 بوصة </t>
  </si>
  <si>
    <t xml:space="preserve"> مشترك قصير 160 مم 87.5 درجة S </t>
  </si>
  <si>
    <t xml:space="preserve"> خلاط دفن مربع كروم 1 مخرج </t>
  </si>
  <si>
    <t xml:space="preserve"> خلاط دفن مربع كروم 2 مخرج </t>
  </si>
  <si>
    <t xml:space="preserve"> خلاط دفن دائري كروم 1 مخرج </t>
  </si>
  <si>
    <t xml:space="preserve"> خلاط دفن دائري كروم 2 مخرج </t>
  </si>
  <si>
    <t xml:space="preserve"> خلاط دفن دائري أسود 1 مخرج </t>
  </si>
  <si>
    <t xml:space="preserve"> خلاط دفن دائري أسود 2 مخرج </t>
  </si>
  <si>
    <t xml:space="preserve"> خلاط دفن مربع أسود 1 مخرج </t>
  </si>
  <si>
    <t xml:space="preserve"> خلاط دفن مربع أسود 2 مخرج </t>
  </si>
  <si>
    <t xml:space="preserve"> خلاط دفن دائري أسود ذهبي 2 مخرج </t>
  </si>
  <si>
    <t xml:space="preserve"> طقم تطويل خلاط دفن 1 مخرج بدون روينة </t>
  </si>
  <si>
    <t xml:space="preserve"> طقم تطويل خلاط دفن 2 مخرج بدون روينة </t>
  </si>
  <si>
    <t xml:space="preserve"> قلب خلاط دفن 1 مخرج </t>
  </si>
  <si>
    <t xml:space="preserve"> قلب خلاط دفن 2 مخرج </t>
  </si>
  <si>
    <t xml:space="preserve"> وش خلاط دفن مربع كروم 1 مخرج </t>
  </si>
  <si>
    <t xml:space="preserve"> وش خلاط دفن مربع كروم 2 مخرج </t>
  </si>
  <si>
    <t xml:space="preserve"> وش خلاط دفن دائري كروم 1 مخرج </t>
  </si>
  <si>
    <t xml:space="preserve"> وش خلاط دفن دائري كروم 2 مخرج </t>
  </si>
  <si>
    <t xml:space="preserve"> مواسير 3*75 مم ML </t>
  </si>
  <si>
    <t xml:space="preserve"> مواسير 4*75 مم ML </t>
  </si>
  <si>
    <t xml:space="preserve"> مواسير 4*110 مم ML </t>
  </si>
  <si>
    <t xml:space="preserve"> مواسير 5*110 مم ML </t>
  </si>
  <si>
    <t xml:space="preserve"> مواسير 4*160 مم ML </t>
  </si>
  <si>
    <t xml:space="preserve"> مواسير 5*160 مم ML </t>
  </si>
  <si>
    <t xml:space="preserve"> عازل بيتوكوت بستلة 3 كيلو </t>
  </si>
  <si>
    <t xml:space="preserve"> عازل بيتوكوت بستلة 12 كيلو </t>
  </si>
  <si>
    <t xml:space="preserve"> عازل أسمنتي SH </t>
  </si>
  <si>
    <t xml:space="preserve"> سائل إذابة عازل أسمنتي SH </t>
  </si>
  <si>
    <t xml:space="preserve"> خزان دفن 10 سم </t>
  </si>
  <si>
    <t xml:space="preserve"> غطاء خزان دفن كروم مربع </t>
  </si>
  <si>
    <t xml:space="preserve"> غطاء خزان دفن كروم دائري </t>
  </si>
  <si>
    <t xml:space="preserve"> غطاء خزان دفن اسود مربع </t>
  </si>
  <si>
    <t xml:space="preserve"> غطاء خزان دفن نحاسي مربع </t>
  </si>
  <si>
    <t xml:space="preserve"> غطاء خزان دفن شامبين مربع </t>
  </si>
  <si>
    <t xml:space="preserve"> طلمبة مياه 1 حصان SH EG100 </t>
  </si>
  <si>
    <t xml:space="preserve"> طلمبة مياه 2 حصان SH EG200 </t>
  </si>
  <si>
    <t xml:space="preserve"> طلمبة مياه 3 حصان SH EG300 </t>
  </si>
  <si>
    <t xml:space="preserve"> بيبه 48/60 مم مفتوحة ارتفاع 7 سم S </t>
  </si>
  <si>
    <t xml:space="preserve"> بيبه 50/63 مم مفتوحة ارتفاع 7 سم S </t>
  </si>
  <si>
    <t xml:space="preserve"> بيبه 60/75 مم مفتوحة ارتفاع 8.8 سم S </t>
  </si>
  <si>
    <t xml:space="preserve"> بيبه 48/60/75 مم مفتوحة المخارج S </t>
  </si>
  <si>
    <t xml:space="preserve"> غطاء بيبه مغلق باليد 20*20 S </t>
  </si>
  <si>
    <t xml:space="preserve"> غطاء بيبه مفتوح باليد 20*20 S </t>
  </si>
  <si>
    <t xml:space="preserve"> غرفة تفتيش 50*50 سم S </t>
  </si>
  <si>
    <t xml:space="preserve"> رقبة تطويل غرفة تفتيش S </t>
  </si>
  <si>
    <t xml:space="preserve"> غطاء غرفة تفتيش بقاعدة الغطاء S </t>
  </si>
  <si>
    <t xml:space="preserve"> جسم غرفة تفتيش بالطبات والجوانات S </t>
  </si>
  <si>
    <t xml:space="preserve"> غطاء بالفريم 50 سم * 50 سم S </t>
  </si>
  <si>
    <t xml:space="preserve"> غطاء 60*60 سم بالفريم S </t>
  </si>
  <si>
    <t xml:space="preserve"> غرفة تفتيش 60*60 سم S </t>
  </si>
  <si>
    <t xml:space="preserve"> علاية مصمتة لغرفة تفتيش 60*60 سم S </t>
  </si>
  <si>
    <t xml:space="preserve"> علاية بمدخلين 110 مم لغرفة تفتيش 60*60 سم S </t>
  </si>
  <si>
    <t xml:space="preserve"> بيبه رمادي 75/50 </t>
  </si>
  <si>
    <t xml:space="preserve"> غطاء بالفريم 60 سم * 60 سم اخضر S </t>
  </si>
  <si>
    <t xml:space="preserve"> غطاء 6060 سم + قاعدة غرفة تفتيش 6060 سم S </t>
  </si>
  <si>
    <t xml:space="preserve"> غرفة تفتيش 60*60 بدون علاية </t>
  </si>
  <si>
    <t xml:space="preserve"> مانع ارتداد 110 مم - S </t>
  </si>
  <si>
    <t xml:space="preserve"> مانع ارتداد 160 مم - S </t>
  </si>
  <si>
    <t xml:space="preserve"> مجرى بطول 1 متر بالغطاء S </t>
  </si>
  <si>
    <t xml:space="preserve"> مجرى بطول 1 متر بغطاء ستانلس ستيل 304 S </t>
  </si>
  <si>
    <t xml:space="preserve"> غطاء مجرى مائي 50 سم S </t>
  </si>
  <si>
    <t xml:space="preserve"> مخرج جانبي 75 مم للمجرى المائي S </t>
  </si>
  <si>
    <t xml:space="preserve"> مخرج جانبي 110 مم للمجرى المائي S </t>
  </si>
  <si>
    <t xml:space="preserve"> مشترك مجرى مائي S </t>
  </si>
  <si>
    <t xml:space="preserve"> مجرى مائي 1متر * 20 سم S </t>
  </si>
  <si>
    <t xml:space="preserve"> مجرى مائي 1متر * 20 سم بدون غطاء S </t>
  </si>
  <si>
    <t xml:space="preserve"> مجرى مائي 1متر * 20 سم بغطاء زهر S </t>
  </si>
  <si>
    <t xml:space="preserve"> مجرى مائي متعدد 12 سم * 1 متر S </t>
  </si>
  <si>
    <t xml:space="preserve"> مجرى مائي متعدد بغطاء ستانلس 12 سم * 1 متر S </t>
  </si>
  <si>
    <t xml:space="preserve"> مخرج انثى 75 مم مجرى مائي متعدد + بداية ونهاية S </t>
  </si>
  <si>
    <t xml:space="preserve"> مخرج ذكر 75 مم مجرى مائي متعدد + بداية ونهاية S </t>
  </si>
  <si>
    <t xml:space="preserve"> مسلوب لمركز تصريف 75/110 جوان + بداية ونهاية S </t>
  </si>
  <si>
    <t xml:space="preserve"> وصلة زاوية 22.5 درجة لمجرى مائي متعدد S </t>
  </si>
  <si>
    <t xml:space="preserve"> مسلوب 4/3" / 1" S </t>
  </si>
  <si>
    <t xml:space="preserve"> مجمع 110/48 مم مفتوح المخارج S </t>
  </si>
  <si>
    <t xml:space="preserve"> مجمع 110/60 مم مفتوح المخارج S </t>
  </si>
  <si>
    <t xml:space="preserve"> مجمع بيبة 75/110 مم مفتوحة المخارج S </t>
  </si>
  <si>
    <t xml:space="preserve"> جلبة إصلاح 160 مم بدون وصلة تمدد S </t>
  </si>
  <si>
    <t xml:space="preserve"> جلبة إصلاح 110 مم بدون وصلة تمدد S </t>
  </si>
  <si>
    <t xml:space="preserve"> رقبة بيبة 110 مم 15*15 S </t>
  </si>
  <si>
    <t xml:space="preserve"> رقبة بيبة 125 مم 20*20 S </t>
  </si>
  <si>
    <t xml:space="preserve"> بيبه بالبرقع 48/60 مفتوحة المخارج S </t>
  </si>
  <si>
    <t xml:space="preserve"> بيبه بالبرقع 75/48 مفتوحة المخارج S </t>
  </si>
  <si>
    <t xml:space="preserve"> بيبه بالبرقع 60/60 مفتوحة المخارج S </t>
  </si>
  <si>
    <t xml:space="preserve"> بيبه بالبرقع 75/60 مفتوحة المخارج S </t>
  </si>
  <si>
    <t xml:space="preserve"> جاليتراپ 110/75/75 مخرج 110 مفتوح S </t>
  </si>
  <si>
    <t xml:space="preserve"> جاليتراپ 110/75/75 مخرج 110 مغلق S </t>
  </si>
  <si>
    <t xml:space="preserve"> جاليتراپ 110/110 مفتوح S </t>
  </si>
  <si>
    <t xml:space="preserve"> جاليتراپ 110/110 مغلق S </t>
  </si>
  <si>
    <t xml:space="preserve"> علاية إضافية للجاليتراپ بطول 20 سم S </t>
  </si>
  <si>
    <t xml:space="preserve"> قفيز حديد مجلفن 60 مم + مسمار وفيشر </t>
  </si>
  <si>
    <t xml:space="preserve"> قفيز حديد مجلفن 75 مم + مسمار وفيشر </t>
  </si>
  <si>
    <t xml:space="preserve"> قفيز حديد مجلفن 110 مم + مسمار وفيشر </t>
  </si>
  <si>
    <t xml:space="preserve"> قفيز حديد مجلفن 160 مم + مسمار وفيشر </t>
  </si>
  <si>
    <t xml:space="preserve"> قفيز حديد مجلفن 50 مم + مسمار وفيشر </t>
  </si>
  <si>
    <t xml:space="preserve"> قفيز حديد مجلفن 32 مم + مسمار وفيشر </t>
  </si>
  <si>
    <t xml:space="preserve"> قفيز حديد مجلفن 25 مم + مسمار وفيشر </t>
  </si>
  <si>
    <t xml:space="preserve"> سيفون 63 S </t>
  </si>
  <si>
    <t xml:space="preserve"> سيفون 75 بباب كشف S </t>
  </si>
  <si>
    <t xml:space="preserve"> سيفون 110/114 بباب كشف S </t>
  </si>
  <si>
    <t xml:space="preserve"> مشترك صليبة قصير 60/60 مم 87.5 درجة S </t>
  </si>
  <si>
    <t xml:space="preserve"> مشترك صليبة قصير 63/63 مم 87.5 درجة S </t>
  </si>
  <si>
    <t xml:space="preserve"> مشترك صليبة قصير 63/90 مم 87.5 درجة S </t>
  </si>
  <si>
    <t xml:space="preserve"> مشترك صليبة قصير 90/90 مم 87.5 درجة S </t>
  </si>
  <si>
    <t xml:space="preserve"> مشترك صليبة قصير 110/110 مم 87.5 درجة S </t>
  </si>
  <si>
    <t xml:space="preserve"> مشترك صليبة قصير 160/160 مم 87.5 درجة S </t>
  </si>
  <si>
    <t xml:space="preserve"> مشترك صليبة قصير 48/110 مم 87.5 درجة S </t>
  </si>
  <si>
    <t xml:space="preserve"> مشترك صليبة قصير 60/110 مم 87.5 درجة S </t>
  </si>
  <si>
    <t xml:space="preserve"> مشترك صليبة قصير 63/110 مم 87.5 درجة S </t>
  </si>
  <si>
    <t xml:space="preserve"> مشترك صليبة قصير 75/110 مم 87.5 درجة S </t>
  </si>
  <si>
    <t xml:space="preserve"> مشترك صليبة قصير 90/110 مم 87.5 درجة S </t>
  </si>
  <si>
    <t xml:space="preserve"> مشترك قصير 48/110 مم 87.5 درجة S </t>
  </si>
  <si>
    <t xml:space="preserve"> مشترك قصير 60/110 مم 87.5 درجة S </t>
  </si>
  <si>
    <t xml:space="preserve"> مشترك قصير 63/110 مم 87.5 درجة S </t>
  </si>
  <si>
    <t xml:space="preserve"> مشترك قصير 75/110 مم 87.5 درجة S </t>
  </si>
  <si>
    <t xml:space="preserve"> مشترك قصير 90/110 مم 87.5 درجة S </t>
  </si>
  <si>
    <t>كود</t>
  </si>
  <si>
    <t>بيان</t>
  </si>
  <si>
    <t>السعر</t>
  </si>
  <si>
    <t xml:space="preserve"> كوع 90 درجة 20 مم BR </t>
  </si>
  <si>
    <t xml:space="preserve"> كوع 90 درجة 25 مم BR </t>
  </si>
  <si>
    <t xml:space="preserve"> كوع 90 درجة 32 مم BR </t>
  </si>
  <si>
    <t xml:space="preserve"> كوع 45 درجة 20 مم BR </t>
  </si>
  <si>
    <t xml:space="preserve"> كوع 45 درجة 25 مم BR </t>
  </si>
  <si>
    <t xml:space="preserve"> تييه 20 مم BR </t>
  </si>
  <si>
    <t xml:space="preserve"> تييه 25 مم BR </t>
  </si>
  <si>
    <t xml:space="preserve"> تييه 32 مم BR </t>
  </si>
  <si>
    <t xml:space="preserve"> جلبة 20 مم BR </t>
  </si>
  <si>
    <t xml:space="preserve"> جلبة 25 مم BR </t>
  </si>
  <si>
    <t xml:space="preserve"> جلبة 32 مم BR </t>
  </si>
  <si>
    <t xml:space="preserve"> كيسيل بداية ونهاية + مخرج S </t>
  </si>
  <si>
    <t xml:space="preserve"> كيسيل بداية ونهاية ومخرج مجرى 1متر * 20سم S </t>
  </si>
  <si>
    <t xml:space="preserve"> مواسير 20 مم (PN25) BR </t>
  </si>
  <si>
    <t xml:space="preserve"> مواسير 25 مم (PN25) BR </t>
  </si>
  <si>
    <t xml:space="preserve"> مواسير 32 مم (PN25) BR </t>
  </si>
  <si>
    <t xml:space="preserve"> مواسير 40 مم (PN25) BR </t>
  </si>
  <si>
    <t xml:space="preserve"> مواسير 50 مم (PN25) BR </t>
  </si>
  <si>
    <t xml:space="preserve"> مواسير 63 مم (PN25) BR </t>
  </si>
  <si>
    <t xml:space="preserve"> مواسير 75 مم (PN25) BR </t>
  </si>
  <si>
    <t xml:space="preserve"> مواسير 90 مم (PN25) BR </t>
  </si>
  <si>
    <t xml:space="preserve"> مواسير 110 مم (PN25) BR </t>
  </si>
  <si>
    <t xml:space="preserve"> ماكينة لحام بولي 20-32 مم سمارت هوم </t>
  </si>
  <si>
    <t xml:space="preserve"> ماكينة لحام بولي 20-63 مم سمارت هوم </t>
  </si>
  <si>
    <t xml:space="preserve"> منظف مواسير سمارت هوم 125 مل </t>
  </si>
  <si>
    <t xml:space="preserve"> منظف مواسير سمارت هوم 500 مل </t>
  </si>
  <si>
    <t xml:space="preserve"> وصلة مرنة سمارت هوم 40 سم بسن خلاط </t>
  </si>
  <si>
    <t xml:space="preserve"> وصلة مرنة سمارت هوم 50 سم بسن خلاط </t>
  </si>
  <si>
    <t xml:space="preserve"> وصلة مرنة سمارت هوم 60 سم بسن خلاط </t>
  </si>
  <si>
    <t xml:space="preserve"> وصلة مرنة سمارت هوم 80 سم بسن خلاط </t>
  </si>
  <si>
    <t xml:space="preserve"> وصلة مرنة سمارت هوم 100 سم بسن خلاط </t>
  </si>
  <si>
    <t>العدد</t>
  </si>
  <si>
    <t>البيان</t>
  </si>
  <si>
    <t>الاجمالي</t>
  </si>
  <si>
    <t>البيـــــــــــــــــــــــــــــــــــــــــــــــــــــــــــــــــــــــــــــــــان</t>
  </si>
  <si>
    <t>المجموع</t>
  </si>
  <si>
    <t xml:space="preserve"> مواسير 20 مم (PN25) - كيسيل</t>
  </si>
  <si>
    <t xml:space="preserve"> مواسير 25 مم (PN25) - كيسيل</t>
  </si>
  <si>
    <t xml:space="preserve"> مواسير 32 مم (PN25) - كيسيل</t>
  </si>
  <si>
    <t xml:space="preserve"> مواسير 40 مم (PN25) - كيسيل</t>
  </si>
  <si>
    <t xml:space="preserve"> مواسير 50 مم (PN25) - كيسيل</t>
  </si>
  <si>
    <t xml:space="preserve"> مواسير 63 مم (PN25) - كيسيل</t>
  </si>
  <si>
    <t xml:space="preserve"> مواسير 75 مم (PN25) - كيسيل</t>
  </si>
  <si>
    <t xml:space="preserve"> مواسير 90 مم (PN25) - كيسيل</t>
  </si>
  <si>
    <t xml:space="preserve"> مواسير 110 مم (PN25) - كيسيل</t>
  </si>
  <si>
    <t xml:space="preserve"> مواسير 3/4 بوصة - 2.9 مم - كيسيل</t>
  </si>
  <si>
    <t xml:space="preserve"> مواسير 3/4 بوصة - كيسيل</t>
  </si>
  <si>
    <t xml:space="preserve"> مواسير 1 بوصة - كيسيل</t>
  </si>
  <si>
    <t xml:space="preserve"> مواسير 32 مم - كيسيل</t>
  </si>
  <si>
    <t xml:space="preserve"> مواسير 40 مم - كيسيل</t>
  </si>
  <si>
    <t xml:space="preserve"> مواسير 50 مم - كيسيل</t>
  </si>
  <si>
    <t xml:space="preserve"> مواسير 75 مم - كيسيل</t>
  </si>
  <si>
    <t xml:space="preserve"> مواسير 110 مم - كيسيل</t>
  </si>
  <si>
    <t xml:space="preserve"> وش ستانلس 304 سمارت هوم 15*15 </t>
  </si>
  <si>
    <t xml:space="preserve"> وش ستانلس 304 سمارت هوم 20*20 </t>
  </si>
  <si>
    <t xml:space="preserve"> وش ستانلس 304 سمارت هوم 10*10 </t>
  </si>
  <si>
    <t xml:space="preserve"> شريط عزل (تيفلون) سمارت هوم </t>
  </si>
  <si>
    <t xml:space="preserve"> شريط لحام (شكرتون) سمارت هوم </t>
  </si>
  <si>
    <t xml:space="preserve"> وصلة مرنة سمارت هوم 30 سم </t>
  </si>
  <si>
    <t xml:space="preserve"> وصلة مرنة سمارت هوم 40 سم </t>
  </si>
  <si>
    <t xml:space="preserve"> وصلة مرنة سمارت هوم 50 سم </t>
  </si>
  <si>
    <t xml:space="preserve"> وصلة مرنة سمارت هوم 60 سم </t>
  </si>
  <si>
    <t xml:space="preserve"> وصلة مرنة سمارت هوم 80 سم </t>
  </si>
  <si>
    <t xml:space="preserve"> وصلة مرنة سمارت هوم 100 سم </t>
  </si>
  <si>
    <t xml:space="preserve"> شحم مواسير سمارت هوم 150مل </t>
  </si>
  <si>
    <t xml:space="preserve"> شحم مواسير سمارت هوم 250مل </t>
  </si>
  <si>
    <t xml:space="preserve"> شحم مواسير سمارت هوم 500مل </t>
  </si>
  <si>
    <t xml:space="preserve"> غرفة رفع 60*60 سم سمارت هوم تشمل طلمبة </t>
  </si>
  <si>
    <t xml:space="preserve"> غرفة رفع 60*60 سم سمارت هوم كاملة بدون طلمبة </t>
  </si>
  <si>
    <t xml:space="preserve"> جلبة كيسيل 3/4 بوصة</t>
  </si>
  <si>
    <t xml:space="preserve"> جلبة كيسيل 1 بوصة</t>
  </si>
  <si>
    <t xml:space="preserve"> مشترك 45 درجة 3/4 بوصة</t>
  </si>
  <si>
    <t xml:space="preserve"> مشترك 45 درجة 1 بوصة</t>
  </si>
  <si>
    <t xml:space="preserve"> مشترك 87.5 درجة 3/4 بوصة</t>
  </si>
  <si>
    <t xml:space="preserve"> مشترك 87.5 درجة 1 بوصة</t>
  </si>
  <si>
    <t xml:space="preserve"> كوع 45 درجة 3/4 بوصة</t>
  </si>
  <si>
    <t xml:space="preserve"> كوع 45 درجة 1 بوصة</t>
  </si>
  <si>
    <t xml:space="preserve"> كوع 90 درجة 3/4 بوصة</t>
  </si>
  <si>
    <t xml:space="preserve"> كوع 90 درجة 1 بوصة</t>
  </si>
  <si>
    <t xml:space="preserve"> مواسير 1 بوصة</t>
  </si>
  <si>
    <t xml:space="preserve"> مواسير 1.5 بوصة</t>
  </si>
  <si>
    <t xml:space="preserve"> مواسير 2 بوصة</t>
  </si>
  <si>
    <t xml:space="preserve"> طبة مواسير 4/3 بوصة</t>
  </si>
  <si>
    <t xml:space="preserve"> طبة مواسير 1 بوصة</t>
  </si>
  <si>
    <t xml:space="preserve"> جلبة 4/3 بوصة</t>
  </si>
  <si>
    <t xml:space="preserve"> جلبة صرف 1 بوصة</t>
  </si>
  <si>
    <t xml:space="preserve"> جلبة كيسيل 32 مم</t>
  </si>
  <si>
    <t xml:space="preserve"> كوع 45 درجة كيسيل 50 مم</t>
  </si>
  <si>
    <t xml:space="preserve"> كوع 45 درجة كيسيل 75 مم</t>
  </si>
  <si>
    <t xml:space="preserve"> كوع 45 درجة كيسيل 110 مم</t>
  </si>
  <si>
    <t xml:space="preserve"> كوع 90 درجة كيسيل 50 مم</t>
  </si>
  <si>
    <t xml:space="preserve"> كوع 90 درجة كيسيل 75 مم</t>
  </si>
  <si>
    <t xml:space="preserve"> كوع 90 درجة كيسيل 110 مم</t>
  </si>
  <si>
    <t xml:space="preserve"> جلبة 20 مم</t>
  </si>
  <si>
    <t xml:space="preserve"> جلبة 25 مم</t>
  </si>
  <si>
    <t xml:space="preserve"> جلبة 32 مم</t>
  </si>
  <si>
    <t xml:space="preserve"> جلبة 40 مم</t>
  </si>
  <si>
    <t xml:space="preserve"> جلبة 50 مم</t>
  </si>
  <si>
    <t xml:space="preserve"> جلبة 63 مم</t>
  </si>
  <si>
    <t xml:space="preserve"> جلبة 75 مم</t>
  </si>
  <si>
    <t xml:space="preserve"> جلبة 90 مم</t>
  </si>
  <si>
    <t xml:space="preserve"> جلبة 110 مم</t>
  </si>
  <si>
    <t xml:space="preserve"> كرسي مواسير فردي 20 مم</t>
  </si>
  <si>
    <t xml:space="preserve"> كرسي مواسير فردي 25 مم</t>
  </si>
  <si>
    <t xml:space="preserve"> كرسي مواسير فردي 32 مم</t>
  </si>
  <si>
    <t xml:space="preserve"> كرسي مواسير مزدوج 20 مم</t>
  </si>
  <si>
    <t xml:space="preserve"> كرسي مواسير مزدوج 25 مم</t>
  </si>
  <si>
    <t xml:space="preserve"> كرسي مواسير مزدوج 32 مم</t>
  </si>
  <si>
    <t xml:space="preserve"> كوع 90 درجة 20 مم</t>
  </si>
  <si>
    <t xml:space="preserve"> كوع 90 درجة 25 مم</t>
  </si>
  <si>
    <t xml:space="preserve"> كوع 90 درجة 32 مم</t>
  </si>
  <si>
    <t xml:space="preserve"> كوع 90 درجة 40 مم</t>
  </si>
  <si>
    <t xml:space="preserve"> كوع 90 درجة 50 مم</t>
  </si>
  <si>
    <t xml:space="preserve"> كوع 90 درجة 63 مم</t>
  </si>
  <si>
    <t xml:space="preserve"> كوع 90 درجة 75 مم</t>
  </si>
  <si>
    <t xml:space="preserve"> كوع 90 درجة 90 مم</t>
  </si>
  <si>
    <t xml:space="preserve"> كوع 90 درجة 110 مم</t>
  </si>
  <si>
    <t xml:space="preserve"> كوع 45 درجة 20 مم</t>
  </si>
  <si>
    <t xml:space="preserve"> كوع 45 درجة 25 مم</t>
  </si>
  <si>
    <t xml:space="preserve"> كوع 45 درجة 32 مم</t>
  </si>
  <si>
    <t xml:space="preserve"> كوع 45 درجة 40 مم</t>
  </si>
  <si>
    <t xml:space="preserve"> كوع 45 درجة 50 مم</t>
  </si>
  <si>
    <t xml:space="preserve"> كوع 45 درجة 63 مم</t>
  </si>
  <si>
    <t xml:space="preserve"> كوع 45 درجة 75 مم</t>
  </si>
  <si>
    <t xml:space="preserve"> كوع 45 درجة 90 مم</t>
  </si>
  <si>
    <t xml:space="preserve"> طبة نهاية (سدادة) 20 مم</t>
  </si>
  <si>
    <t xml:space="preserve"> طبة نهاية (سدادة) 25 مم</t>
  </si>
  <si>
    <t xml:space="preserve"> طبة نهاية (سدادة) 32 مم</t>
  </si>
  <si>
    <t xml:space="preserve"> طبة نهاية (سدادة) 40 مم</t>
  </si>
  <si>
    <t xml:space="preserve"> طبة نهاية (سدادة) 50 مم</t>
  </si>
  <si>
    <t xml:space="preserve"> طبة نهاية (سدادة) 63 مم</t>
  </si>
  <si>
    <t xml:space="preserve"> قنطرة (مقصوصة) 20 مم</t>
  </si>
  <si>
    <t xml:space="preserve"> قنطرة (مقصوصة) 25 مم</t>
  </si>
  <si>
    <t xml:space="preserve"> كوع بسن داخلي 1/2 * 20 مم</t>
  </si>
  <si>
    <t xml:space="preserve"> كوع بسن داخلي 1/2 * 25 مم</t>
  </si>
  <si>
    <t xml:space="preserve"> كوع بسن داخلي 3/4 * 25 مم</t>
  </si>
  <si>
    <t xml:space="preserve"> كوع بسن داخلي 3/4 * 32 مم</t>
  </si>
  <si>
    <t xml:space="preserve"> كوع بسن داخلي 1 * 32 مم</t>
  </si>
  <si>
    <t xml:space="preserve"> كوع بسن خارجي 1/2 * 20 مم</t>
  </si>
  <si>
    <t xml:space="preserve"> كوع بسن خارجي 1/2 * 25 مم</t>
  </si>
  <si>
    <t xml:space="preserve"> كوع بسن خارجي 3/4 * 25 مم</t>
  </si>
  <si>
    <t xml:space="preserve"> كوع بسن خارجي 3/4 * 32 مم</t>
  </si>
  <si>
    <t xml:space="preserve"> كوع بسن خارجي 1 * 32 مم</t>
  </si>
  <si>
    <t xml:space="preserve"> مشترك بسن داخلي 1/2 * 20 مم</t>
  </si>
  <si>
    <t xml:space="preserve"> مشترك بسن داخلي 1/2 * 25 مم</t>
  </si>
  <si>
    <t xml:space="preserve"> مشترك بسن داخلي 3/4 * 25 مم</t>
  </si>
  <si>
    <t xml:space="preserve"> مشترك بسن داخلي 3/4 * 32 مم</t>
  </si>
  <si>
    <t xml:space="preserve"> مشترك بسن داخلي 1 * 32 مم</t>
  </si>
  <si>
    <t xml:space="preserve"> مشترك بسن خارجي 1/2 * 20 مم</t>
  </si>
  <si>
    <t xml:space="preserve"> مشترك بسن خارجي 1/2 * 25 مم</t>
  </si>
  <si>
    <t xml:space="preserve"> مشترك بسن خارجي 3/4 * 25 مم</t>
  </si>
  <si>
    <t xml:space="preserve"> مشترك بسن خارجي 3/4 * 32 مم</t>
  </si>
  <si>
    <t xml:space="preserve"> مشترك بسن خارجي 1 * 32 مم</t>
  </si>
  <si>
    <t xml:space="preserve"> جلبة بسن داخلي 1/2 * 20 مم</t>
  </si>
  <si>
    <t xml:space="preserve"> جلبة بسن داخلي 1/2 * 25 مم</t>
  </si>
  <si>
    <t xml:space="preserve"> جلبة بسن داخلي 3/4 * 25 مم</t>
  </si>
  <si>
    <t xml:space="preserve"> جلبة بسن داخلي 3/4 * 32 مم</t>
  </si>
  <si>
    <t xml:space="preserve"> جلبة بسن داخلي 1 * 32 مم</t>
  </si>
  <si>
    <t xml:space="preserve"> جلبة بسن داخلي 1 1/4 * 40 مم</t>
  </si>
  <si>
    <t xml:space="preserve"> جلبة بسن داخلي 1 1/2 * 50 مم</t>
  </si>
  <si>
    <t xml:space="preserve"> جلبة بسن داخلي 2 * 63 مم</t>
  </si>
  <si>
    <t xml:space="preserve"> جلبة بسن خارجي 1/2 * 20 مم</t>
  </si>
  <si>
    <t xml:space="preserve"> جلبة بسن خارجي 1/2 * 25 مم</t>
  </si>
  <si>
    <t xml:space="preserve"> جلبة بسن خارجي 3/4 * 25 مم</t>
  </si>
  <si>
    <t xml:space="preserve"> جلبة بسن خارجي 3/4 * 32 مم</t>
  </si>
  <si>
    <t xml:space="preserve"> جلبة بسن خارجي 1 * 32 مم</t>
  </si>
  <si>
    <t xml:space="preserve"> جلبة بسن خارجي 1 1/4 * 40 مم</t>
  </si>
  <si>
    <t xml:space="preserve"> جلبة بسن خارجي 1 1/2 * 50 مم</t>
  </si>
  <si>
    <t xml:space="preserve"> جلبة بسن خارجي 2 * 63 مم</t>
  </si>
  <si>
    <t xml:space="preserve"> محبس دفن 20 مم</t>
  </si>
  <si>
    <t xml:space="preserve"> محبس دفن 25 مم</t>
  </si>
  <si>
    <t xml:space="preserve"> محبس دفن 32 مم</t>
  </si>
  <si>
    <t xml:space="preserve"> جلبة اصلاح 20 مم</t>
  </si>
  <si>
    <t xml:space="preserve"> جلبة اصلاح 25 مم</t>
  </si>
  <si>
    <t xml:space="preserve"> جلبة اصلاح 32 مم</t>
  </si>
  <si>
    <t xml:space="preserve"> قنطرة (مقصوصة) 32 مم</t>
  </si>
  <si>
    <t xml:space="preserve"> مسلوب 25/20 مم</t>
  </si>
  <si>
    <t xml:space="preserve"> مسلوب 32/20 مم</t>
  </si>
  <si>
    <t xml:space="preserve"> مسلوب 32/25 مم</t>
  </si>
  <si>
    <t xml:space="preserve"> مسلوب 40/20 مم</t>
  </si>
  <si>
    <t xml:space="preserve"> مسلوب 40/25 مم</t>
  </si>
  <si>
    <t xml:space="preserve"> مسلوب 40/32 مم</t>
  </si>
  <si>
    <t xml:space="preserve"> مسلوب 50/20 مم</t>
  </si>
  <si>
    <t xml:space="preserve"> مسلوب 50/25 مم</t>
  </si>
  <si>
    <t xml:space="preserve"> مسلوب 50/32 مم</t>
  </si>
  <si>
    <t xml:space="preserve"> مسلوب 50/40 مم</t>
  </si>
  <si>
    <t xml:space="preserve"> تييه 20 مم</t>
  </si>
  <si>
    <t xml:space="preserve"> تييه 25 مم</t>
  </si>
  <si>
    <t xml:space="preserve"> تييه 32 مم</t>
  </si>
  <si>
    <t xml:space="preserve"> تييه 40 مم</t>
  </si>
  <si>
    <t xml:space="preserve"> تييه 50 مم</t>
  </si>
  <si>
    <t xml:space="preserve"> مشترك 45 درجة 32 مم</t>
  </si>
  <si>
    <t xml:space="preserve"> مشترك 45 درجة 40 مم</t>
  </si>
  <si>
    <t xml:space="preserve"> مشترك 45 درجة 50 مم</t>
  </si>
  <si>
    <t xml:space="preserve"> مشترك 45 درجة 75 مم</t>
  </si>
  <si>
    <t xml:space="preserve"> مشترك 45 درجة 110 مم</t>
  </si>
  <si>
    <t xml:space="preserve"> مشترك 45 درجة 160 مم</t>
  </si>
  <si>
    <t xml:space="preserve"> مشترك 45 درجة مسلوب 50/75 مم</t>
  </si>
  <si>
    <t xml:space="preserve"> مشترك 45 درجة مسلوب 50/110 مم</t>
  </si>
  <si>
    <t xml:space="preserve"> مشترك 45 درجة مسلوب 75/110 مم</t>
  </si>
  <si>
    <t xml:space="preserve"> مشترك 45 درجة مسلوب 110/160 مم</t>
  </si>
  <si>
    <t xml:space="preserve"> مشترك 87.5 درجة 32 مم</t>
  </si>
  <si>
    <t xml:space="preserve"> مشترك 87.5 درجة 40 مم</t>
  </si>
  <si>
    <t xml:space="preserve"> مشترك 87.5 درجة 50 مم</t>
  </si>
  <si>
    <t xml:space="preserve"> مشترك 87.5 درجة 75 مم</t>
  </si>
  <si>
    <t xml:space="preserve"> مشترك 87.5 درجة 110 مم</t>
  </si>
  <si>
    <t xml:space="preserve"> مشترك 87.5 درجة 160 مم</t>
  </si>
  <si>
    <t xml:space="preserve"> مشترك بباب كشف 45 درجة 75 مم</t>
  </si>
  <si>
    <t xml:space="preserve"> مشترك بباب كشف 45 درجة 110 مم</t>
  </si>
  <si>
    <t xml:space="preserve"> مشترك بباب كشف 87.5 درجة 75 مم</t>
  </si>
  <si>
    <t xml:space="preserve"> مشترك بباب كشف 87.5 درجة 110 مم</t>
  </si>
  <si>
    <t xml:space="preserve"> كوع 45 درجة 110 مم</t>
  </si>
  <si>
    <t xml:space="preserve"> كوع 45 درجة 160 مم</t>
  </si>
  <si>
    <t xml:space="preserve"> كوع 90 درجة 48 مم</t>
  </si>
  <si>
    <t xml:space="preserve"> كوع بباب كشف 50 مم</t>
  </si>
  <si>
    <t xml:space="preserve"> كوع بباب كشف 75 مم</t>
  </si>
  <si>
    <t xml:space="preserve"> كوع بباب كشف 110 مم</t>
  </si>
  <si>
    <t xml:space="preserve"> مواسير 32 مم</t>
  </si>
  <si>
    <t xml:space="preserve"> مواسير 40 مم</t>
  </si>
  <si>
    <t xml:space="preserve"> مواسير 50 مم</t>
  </si>
  <si>
    <t xml:space="preserve"> مواسير 3/3 مم</t>
  </si>
  <si>
    <t xml:space="preserve"> مواسير 75 مم</t>
  </si>
  <si>
    <t xml:space="preserve"> مواسير 3/90 مم</t>
  </si>
  <si>
    <t xml:space="preserve"> مواسير 110 مم</t>
  </si>
  <si>
    <t xml:space="preserve"> مواسير 4/110 مم</t>
  </si>
  <si>
    <t xml:space="preserve"> علاية بيبه مدرجة 48/60/75 مم</t>
  </si>
  <si>
    <t xml:space="preserve"> صفاية 48 مم</t>
  </si>
  <si>
    <t xml:space="preserve"> علاية بيبه رمادي بغطاء ستانلس ستيل 107 مم</t>
  </si>
  <si>
    <t xml:space="preserve"> علاية بيبه رمادي بغطاء ستانلس ستيل 150 مم</t>
  </si>
  <si>
    <t xml:space="preserve"> مسلوب 4/3" / 32 مم</t>
  </si>
  <si>
    <t xml:space="preserve"> مسلوب 48/50 مم</t>
  </si>
  <si>
    <t xml:space="preserve"> مسلوب 1 بوصة / 48 مم</t>
  </si>
  <si>
    <t xml:space="preserve"> مسلوب 3 بوصة / 75 مم</t>
  </si>
  <si>
    <t xml:space="preserve"> مسلوب 3 بوصة / 90 مم</t>
  </si>
  <si>
    <t xml:space="preserve"> مسلوب 32/48 مم</t>
  </si>
  <si>
    <t xml:space="preserve"> مسلوب 48/60 مم</t>
  </si>
  <si>
    <t xml:space="preserve"> مسلوب 48/75 مم</t>
  </si>
  <si>
    <t xml:space="preserve"> مسلوب مركزي 60/63 مم</t>
  </si>
  <si>
    <t xml:space="preserve"> مسلوب 75/60 مم</t>
  </si>
  <si>
    <t xml:space="preserve"> مسلوب مركزي 75/90 مم</t>
  </si>
  <si>
    <t xml:space="preserve"> مسلوب مركزي 110/48 مم</t>
  </si>
  <si>
    <t xml:space="preserve"> مسلوب 60/110 مم</t>
  </si>
  <si>
    <t xml:space="preserve"> مسلوب 110/75 مم</t>
  </si>
  <si>
    <t xml:space="preserve"> مسلوب مركزي 110/90 مم</t>
  </si>
  <si>
    <t xml:space="preserve"> مسلوب 110/160 مم</t>
  </si>
  <si>
    <t xml:space="preserve"> بوش 110/114 مم</t>
  </si>
  <si>
    <t xml:space="preserve"> جرجوري مطر 75 مم</t>
  </si>
  <si>
    <t xml:space="preserve"> جرجوري مطر 110 مم</t>
  </si>
  <si>
    <t xml:space="preserve"> وصلة تمدد 75 مم</t>
  </si>
  <si>
    <t xml:space="preserve"> وصلة تمدد 110 مم</t>
  </si>
  <si>
    <t xml:space="preserve"> وصلة تمدد 160 مم</t>
  </si>
  <si>
    <t xml:space="preserve"> جلبة اصلاح بوصلة تمدد 75 مم</t>
  </si>
  <si>
    <t xml:space="preserve"> جلبة اصلاح بوصلة تمدد 110 مم</t>
  </si>
  <si>
    <t xml:space="preserve"> جلبة اصلاح بوصلة تمدد 160 مم</t>
  </si>
  <si>
    <t xml:space="preserve"> طبة تسليك صرف 60 مم</t>
  </si>
  <si>
    <t xml:space="preserve"> طبة تسليك 63 مم</t>
  </si>
  <si>
    <t xml:space="preserve"> طبة تسليك صرف 75 مم</t>
  </si>
  <si>
    <t xml:space="preserve"> طبة تسليك 90 مم</t>
  </si>
  <si>
    <t xml:space="preserve"> طبة تسليك صرف 110 مم</t>
  </si>
  <si>
    <t xml:space="preserve"> طبة تسليك صرف 160 مم</t>
  </si>
  <si>
    <t xml:space="preserve"> طبة قطع الصرف 48 مم</t>
  </si>
  <si>
    <t xml:space="preserve"> طبة قطع الصرف 60 مم</t>
  </si>
  <si>
    <t xml:space="preserve"> طبة قطع الصرف 63 مم</t>
  </si>
  <si>
    <t xml:space="preserve"> طبة قطع الصرف 75 مم</t>
  </si>
  <si>
    <t xml:space="preserve"> طبة قطع الصرف 160 مم</t>
  </si>
  <si>
    <t xml:space="preserve"> طبة مواسير 32 مم</t>
  </si>
  <si>
    <t xml:space="preserve"> طبة مواسير 48 مم</t>
  </si>
  <si>
    <t xml:space="preserve"> طبة مواسير 60 مم</t>
  </si>
  <si>
    <t xml:space="preserve"> طبة مواسير 75 مم</t>
  </si>
  <si>
    <t xml:space="preserve"> طبة مواسير 90 مم</t>
  </si>
  <si>
    <t xml:space="preserve"> طبة ماسورة 110 مم</t>
  </si>
  <si>
    <t xml:space="preserve"> طبة مواسير 160 مم</t>
  </si>
  <si>
    <t xml:space="preserve"> سيفون 75 مم</t>
  </si>
  <si>
    <t xml:space="preserve"> سيفون 110 مم</t>
  </si>
  <si>
    <t xml:space="preserve"> سيفون 110 / 114 مم</t>
  </si>
  <si>
    <t xml:space="preserve"> هواية 60 مم</t>
  </si>
  <si>
    <t xml:space="preserve"> هواية 75 مم</t>
  </si>
  <si>
    <t xml:space="preserve"> هواية 110 مم</t>
  </si>
  <si>
    <t xml:space="preserve"> جلبة صرف 32 مم</t>
  </si>
  <si>
    <t xml:space="preserve"> جلبة صرف 48 مم</t>
  </si>
  <si>
    <t xml:space="preserve"> جلبة صرف 50 مم</t>
  </si>
  <si>
    <t xml:space="preserve"> جلبة صرف 63 مم</t>
  </si>
  <si>
    <t xml:space="preserve"> جلبة صرف 90 مم</t>
  </si>
  <si>
    <t xml:space="preserve"> جلبة صرف 75 مم</t>
  </si>
  <si>
    <t xml:space="preserve"> جلبة صرف 110 مم</t>
  </si>
  <si>
    <t xml:space="preserve"> جلبة صرف 160 مم</t>
  </si>
  <si>
    <t xml:space="preserve"> مسلوب لا مركزي 60/90 مم</t>
  </si>
  <si>
    <t xml:space="preserve"> مسلوب لا مركزي 63/90 مم</t>
  </si>
  <si>
    <t xml:space="preserve"> مسلوب لا مركزي 75/90 مم</t>
  </si>
  <si>
    <t xml:space="preserve"> مسلوب لا مركزي 60/110 مم</t>
  </si>
  <si>
    <t xml:space="preserve"> مسلوب لا مركزي 63/110 مم</t>
  </si>
  <si>
    <t xml:space="preserve"> مسلوب لا مركزي 75/110 مم</t>
  </si>
  <si>
    <t xml:space="preserve"> مسلوب لا مركزي 90/110 مم</t>
  </si>
  <si>
    <t xml:space="preserve"> مسلوب لا مركزي 48/110 مم</t>
  </si>
  <si>
    <t xml:space="preserve"> مسلوب لا مركزي 110/160 مم</t>
  </si>
  <si>
    <t xml:space="preserve"> مسلوب لا مركزي بجوان 50/60 مم</t>
  </si>
  <si>
    <t xml:space="preserve"> مسلوب لا مركزي بجوان 50/63 مم</t>
  </si>
  <si>
    <t xml:space="preserve"> مسلوب لا مركزي بجوان 60/63 مم</t>
  </si>
  <si>
    <t>مواسير لحام 20مم 4م BR PN16</t>
  </si>
  <si>
    <t>مواسير لحام 25مم 4م BR PN16</t>
  </si>
  <si>
    <t>مواسير لحام 32مم 4م BR PN16</t>
  </si>
  <si>
    <t>مواسير لحام 40مم 4م BR PN16</t>
  </si>
  <si>
    <t>مواسير لحام 50مم 4م BR PN16</t>
  </si>
  <si>
    <t>مواسير لحام 63مم 4م BR PN16</t>
  </si>
  <si>
    <t>مواسير لحام 75مم 4م BR PN16</t>
  </si>
  <si>
    <t>مواسير لحام 90مم 4م BR PN16</t>
  </si>
  <si>
    <t>مواسير لحام 110مم 4م BR PN16</t>
  </si>
  <si>
    <t>مواسير لحام 160مم 4م BR PN16</t>
  </si>
  <si>
    <t>مواسير لحام 32مم 4م BR PN10</t>
  </si>
  <si>
    <t>مواسير لحام 50مم 4م BR PN10</t>
  </si>
  <si>
    <t>مواسير لحام 63مم 4م BR PN10</t>
  </si>
  <si>
    <t>مواسير لحام 75مم 4م BR PN10</t>
  </si>
  <si>
    <t>مواسير لحام 90مم 4م BR PN10</t>
  </si>
  <si>
    <t>مواسير لحام 110مم 4م BR PN10</t>
  </si>
  <si>
    <t>مواسير لحام 160مم 4م BR PN10</t>
  </si>
  <si>
    <t>مواسير لحام فايبر 20مم 4م BR PN16</t>
  </si>
  <si>
    <t>مواسير لحام فايبر 25 مم 4م BR PN16</t>
  </si>
  <si>
    <t>مواسير لحام فايبر 32مم 4م BR PN16</t>
  </si>
  <si>
    <t>مواسير لحام فايبر 40مم 4م BR PN16</t>
  </si>
  <si>
    <t>مواسير لحام فايبر 50مم 4م BR PN16</t>
  </si>
  <si>
    <t>مواسير لحام فايبر 63مم 4م BR PN16</t>
  </si>
  <si>
    <t>مواسير لحام فايبر 75مم 4م BR PN16</t>
  </si>
  <si>
    <t>مواسير لحام فايبر 90مم 4م BR PN16</t>
  </si>
  <si>
    <t>مواسير لحام فايبر 110مم 4م BR PN16</t>
  </si>
  <si>
    <t xml:space="preserve"> مواسير 20 مم (BR BR PN20) - كيسيل</t>
  </si>
  <si>
    <t xml:space="preserve"> مواسير 25 مم (BR BR PN20) - كيسيل</t>
  </si>
  <si>
    <t xml:space="preserve"> مواسير 32 مم (BR BR PN20) - كيسيل</t>
  </si>
  <si>
    <t xml:space="preserve"> مواسير 40 مم (BR BR PN20) - كيسيل</t>
  </si>
  <si>
    <t xml:space="preserve"> مواسير 50 مم (BR BR PN20) - كيسيل</t>
  </si>
  <si>
    <t xml:space="preserve"> مواسير 63 مم (BR BR PN20) - كيسيل</t>
  </si>
  <si>
    <t xml:space="preserve"> مواسير 75 مم (BR BR PN20) - كيسيل</t>
  </si>
  <si>
    <t xml:space="preserve"> مواسير 90 مم (BR BR PN20) - كيسيل</t>
  </si>
  <si>
    <t xml:space="preserve"> مواسير 110 مم (BR BR PN20) - كيسيل</t>
  </si>
  <si>
    <t xml:space="preserve"> مواسير 20 مم (BR BR PN20) BR </t>
  </si>
  <si>
    <t xml:space="preserve"> مواسير 25 مم (BR BR PN20) BR </t>
  </si>
  <si>
    <t xml:space="preserve"> مواسير 32 مم (BR BR PN20) BR </t>
  </si>
  <si>
    <t xml:space="preserve"> مواسير 40 مم (BR BR PN20) BR </t>
  </si>
  <si>
    <t xml:space="preserve"> مواسير 50 مم (BR BR PN20) BR </t>
  </si>
  <si>
    <t xml:space="preserve"> مواسير 63 مم (BR BR PN20) BR </t>
  </si>
  <si>
    <t xml:space="preserve"> مواسير 75 مم (BR BR PN20) BR </t>
  </si>
  <si>
    <t xml:space="preserve"> مواسير 90 مم (BR BR PN20) BR </t>
  </si>
  <si>
    <t xml:space="preserve"> مواسير 110 مم (BR BR PN20) BR </t>
  </si>
  <si>
    <t>مواسير لحام 20مم 4م BR BR PN20</t>
  </si>
  <si>
    <t>مواسير لحام 25مم 4م BR BR PN20</t>
  </si>
  <si>
    <t>مواسير لحام 32مم 4م BR BR PN20</t>
  </si>
  <si>
    <t>مواسير لحام 40مم 4م BR BR PN20</t>
  </si>
  <si>
    <t>مواسير لحام 50مم 4م BR BR PN20</t>
  </si>
  <si>
    <t>مواسير لحام 63مم 4م BR BR PN20</t>
  </si>
  <si>
    <t>مواسير لحام 75مم 4م BR BR PN20</t>
  </si>
  <si>
    <t>مواسير لحام 90مم 4م BR BR PN20</t>
  </si>
  <si>
    <t>مواسير لحام 110مم 4م BR BR PN20</t>
  </si>
  <si>
    <t>مواسير لحام 160مم 4م BR BR PN20</t>
  </si>
  <si>
    <t>مواسير لحام فايبر 20مم 4م BR BR PN20</t>
  </si>
  <si>
    <t>مواسير لحام فايبر 25 مم 4م BR BR PN20</t>
  </si>
  <si>
    <t>مواسير لحام فايبر 32مم 4م BR BR PN20</t>
  </si>
  <si>
    <t>مواسير لحام فايبر 40مم 4م BR BR PN20</t>
  </si>
  <si>
    <t>مواسير لحام فايبر 50مم 4م BR BR PN20</t>
  </si>
  <si>
    <t>مواسير لحام فايبر 63مم 4م BR BR PN20</t>
  </si>
  <si>
    <t>مواسير لحام فايبر 75مم 4م BR BR PN20</t>
  </si>
  <si>
    <t>مواسير لحام فايبر 90مم 4م BR BR PN20</t>
  </si>
  <si>
    <t>مواسير لحام فايبر 110مم 4م BR BR PN20</t>
  </si>
  <si>
    <t>مواسير الومنيوم أسود 63 مم BR PN20</t>
  </si>
  <si>
    <t xml:space="preserve">مواسير الومنيوم أسود 20 مم BR PN20 </t>
  </si>
  <si>
    <t>مواسير الومنيوم أسود 25 مم BR PN20</t>
  </si>
  <si>
    <t>BR PN20 مواسير الومنيوم أسود 32 مم</t>
  </si>
  <si>
    <t>مواسير الومنيوم أسود 50 مم BR PN 20</t>
  </si>
  <si>
    <t>كوع لحام 45 درجة 20 مم BR</t>
  </si>
  <si>
    <t>كوع لحام 45 درجة 25 مم BR</t>
  </si>
  <si>
    <t>كوع لحام 45 درجة 32 مم BR</t>
  </si>
  <si>
    <t>كوع لحام 45 درجة 40 مم BR</t>
  </si>
  <si>
    <t>كوع لحام 45 درجة 50 مم BR</t>
  </si>
  <si>
    <t>كوع لحام 45 درجة 63 مم BR</t>
  </si>
  <si>
    <t>كوع لحام 45 درجة 75 مم BR</t>
  </si>
  <si>
    <t>كوع لحام 45 درجة 90 مم BR</t>
  </si>
  <si>
    <t>كوع لحام 45 درجة 110 مم BR</t>
  </si>
  <si>
    <t>كوع لحام 45 درجة 160 مم BR</t>
  </si>
  <si>
    <t>كوع لحام 20 مم 90</t>
  </si>
  <si>
    <t>كوع لحام 25 مم 90</t>
  </si>
  <si>
    <t>كوع لحام 32 مم 90</t>
  </si>
  <si>
    <t>كوع لحام 40 مم 90</t>
  </si>
  <si>
    <t>كوع لحام 50 مم 90</t>
  </si>
  <si>
    <t>كوع لحام 63 مم 90</t>
  </si>
  <si>
    <t>كوع لحام 75 مم 90</t>
  </si>
  <si>
    <t>كوع لحام 90 مم 90</t>
  </si>
  <si>
    <t>كوع لحام 110 مم 90</t>
  </si>
  <si>
    <t>كوع لحام 160 مم 90</t>
  </si>
  <si>
    <t>الكود</t>
  </si>
  <si>
    <t>كوع لحام 20 مم 90 BR</t>
  </si>
  <si>
    <t>كوع لحام 25 مم 90 BR</t>
  </si>
  <si>
    <t>كوع لحام 32 مم 90 BR</t>
  </si>
  <si>
    <t>كوع لحام 40 مم 90 BR</t>
  </si>
  <si>
    <t>كوع لحام 50 مم 90 BR</t>
  </si>
  <si>
    <t>كوع لحام 63 مم 90 BR</t>
  </si>
  <si>
    <t>كوع لحام 75 مم 90 BR</t>
  </si>
  <si>
    <t>كوع لحام 90 مم 90 BR</t>
  </si>
  <si>
    <t>كوع لحام 110 مم 90 BR</t>
  </si>
  <si>
    <t>كوع لحام 160 مم 90 BR</t>
  </si>
  <si>
    <t>كوع لحام ذكر 20 مم 45 BR</t>
  </si>
  <si>
    <t>كوع لحام ذكر 25 مم 45 BR</t>
  </si>
  <si>
    <t>كوع لحام ذكر 20 مم 90 BR</t>
  </si>
  <si>
    <t>كوع لحام ذكر 25 مم 90 BR</t>
  </si>
  <si>
    <t>كوع لحام كرنك 25 مم BR</t>
  </si>
  <si>
    <t>كرنك لحام 20 مم BR</t>
  </si>
  <si>
    <t>كرنك لحام 25 مم BR</t>
  </si>
  <si>
    <t>كرنك لحام 32 مم BR</t>
  </si>
  <si>
    <t>كرنك قصير 25 مم BR</t>
  </si>
  <si>
    <t>كرنك قصير 20 مم BR</t>
  </si>
  <si>
    <t>كرنك قصير 32 مم BR</t>
  </si>
  <si>
    <t>مسلوب لحام 25/20 مم BR</t>
  </si>
  <si>
    <t>مسلوب لحام 32/20 مم BR</t>
  </si>
  <si>
    <t>مسلوب لحام 40/20 مم BR</t>
  </si>
  <si>
    <t>مسلوب لحام 50/20 مم BR</t>
  </si>
  <si>
    <t>مسلوب لحام 63/20 مم BR</t>
  </si>
  <si>
    <t>مسلوب لحام 32/25 مم BR</t>
  </si>
  <si>
    <t>مسلوب لحام 40/25 مم BR</t>
  </si>
  <si>
    <t>مسلوب لحام 50/25 مم BR</t>
  </si>
  <si>
    <t>مسلوب لحام 63/25 مم BR</t>
  </si>
  <si>
    <t>مسلوب الحام 40/32 مم BR</t>
  </si>
  <si>
    <t>مسلوب لحام 50/32 مم BR</t>
  </si>
  <si>
    <t>مسلوب لحام 63/32 مم BR</t>
  </si>
  <si>
    <t>مسلوب لحام 50/40 مم BR</t>
  </si>
  <si>
    <t>مسلوب لحام 63/40 مم BR</t>
  </si>
  <si>
    <t>مسلوب لحام 63/50 مم BR</t>
  </si>
  <si>
    <t>مسلوب لحام 75/50 مم BR</t>
  </si>
  <si>
    <t>مسلوب لحام 75/63 مم BR</t>
  </si>
  <si>
    <t>مسلوب لحام 90/63 مم BR</t>
  </si>
  <si>
    <t>مسلوب لحام 90/75 مم BR</t>
  </si>
  <si>
    <t>مسلوب لحام 110/63 مم BR</t>
  </si>
  <si>
    <t>مسلوب لحام 110/75 مم BR</t>
  </si>
  <si>
    <t>مسلوب لحام 110/90 مم BR</t>
  </si>
  <si>
    <t>مسلوب لحام 160/110 مم BR</t>
  </si>
  <si>
    <t>تى لحام 20 مم BR</t>
  </si>
  <si>
    <t>تي لحام 25 مم BR</t>
  </si>
  <si>
    <t>تى لحام 32 مم BR</t>
  </si>
  <si>
    <t>تى لحام 40 مم BR</t>
  </si>
  <si>
    <t>تى لحام 50 مم BR</t>
  </si>
  <si>
    <t>تي لحام 63 مم BR</t>
  </si>
  <si>
    <t>تى لحام 75 مم BR</t>
  </si>
  <si>
    <t>تى لحام 90 مم BR</t>
  </si>
  <si>
    <t>تى لحام 110 مم BR</t>
  </si>
  <si>
    <t>تى لحام 160 مم BR</t>
  </si>
  <si>
    <t>تي مزدوج الحام 25 مم BR</t>
  </si>
  <si>
    <t>صليبة لحام 25 مم BR</t>
  </si>
  <si>
    <t>صليبة لحام 32 مم BR</t>
  </si>
  <si>
    <t>تى لحام كورنر 25 مم BR</t>
  </si>
  <si>
    <t>تى لحام مسلوب 25/20 BR</t>
  </si>
  <si>
    <t>تى لحام مسلوب 32/20 BR</t>
  </si>
  <si>
    <t>تى لحام مسلوب 32/25 BR</t>
  </si>
  <si>
    <t>تي لحام مسلوب 40/20 BR</t>
  </si>
  <si>
    <t>تى لحام مسلوب 40/25 BR</t>
  </si>
  <si>
    <t>تى لحام مسلوب 40/32 BR</t>
  </si>
  <si>
    <t>تى لحام مسلوب 50/20 BR</t>
  </si>
  <si>
    <t>تى لحام مسلوب 50/25 BR</t>
  </si>
  <si>
    <t>تى لحام مسلوب 50/32 BR</t>
  </si>
  <si>
    <t>تى لحام مسلوب 50/40 BR</t>
  </si>
  <si>
    <t>تى لحام مسلوب 63/20 BR</t>
  </si>
  <si>
    <t>تى لحام مسلوب 63/25 BR</t>
  </si>
  <si>
    <t>تى لحام مسلوب 63/32 BR</t>
  </si>
  <si>
    <t>تى لحام مسلوب 63/40 BR</t>
  </si>
  <si>
    <t>تى لحام مسلوب 63/50 BR</t>
  </si>
  <si>
    <t>تى لحام مسلوب 75/20 BR</t>
  </si>
  <si>
    <t>تى لحام مسلوب 75/25 BR</t>
  </si>
  <si>
    <t>تى لحام مسلوب 75/32 BR</t>
  </si>
  <si>
    <t>تى لحام مسلوب 75/40 BR</t>
  </si>
  <si>
    <t>تی لحام مسلوب 75/50 BR</t>
  </si>
  <si>
    <t>تى لحام مسلوب 75/63 BR</t>
  </si>
  <si>
    <t>تي لحام مسلوب 90/63 BR</t>
  </si>
  <si>
    <t>تي لحام مسلوب 90/75 BR</t>
  </si>
  <si>
    <t>تى لحام مسلوب 110/63 BR</t>
  </si>
  <si>
    <t>تى لحام مسلوب 110/75 BR</t>
  </si>
  <si>
    <t>تي لحام مسلوب 110/90 BR</t>
  </si>
  <si>
    <t>تى لحام مسلوب 160/90 BR</t>
  </si>
  <si>
    <t>تى لحام مسلوب 160/110 BR</t>
  </si>
  <si>
    <t>جلبه لحام 20 مم BR</t>
  </si>
  <si>
    <t>جلبة بصامولة متحركة 4/3*25 BR</t>
  </si>
  <si>
    <t>طبه لحام 20 مم BR</t>
  </si>
  <si>
    <t>طبه لحام 25 مم BR</t>
  </si>
  <si>
    <t>طبة لحام 32 مم BR</t>
  </si>
  <si>
    <t>طبة الحام 40 مم BR</t>
  </si>
  <si>
    <t>طبه لحام 50 مم BR</t>
  </si>
  <si>
    <t>طبه لحام 63 مم BR</t>
  </si>
  <si>
    <t>طبة لحام 75 مم BR</t>
  </si>
  <si>
    <t>طبة لحام 90 مم BR</t>
  </si>
  <si>
    <t>طبة لحام 110 مم BR</t>
  </si>
  <si>
    <t>طبة الجام 160 مم BR</t>
  </si>
  <si>
    <t>فلائشة الحام 63 مم BR</t>
  </si>
  <si>
    <t>فلائشة الحام 75 مم BR</t>
  </si>
  <si>
    <t>فلائشة لحام 90 مم BR</t>
  </si>
  <si>
    <t>فلائشة لحام 110 مم BR</t>
  </si>
  <si>
    <t xml:space="preserve">بردة لحام 160 مم BR </t>
  </si>
  <si>
    <t xml:space="preserve"> بردة لحام محبس بلية 20 مم BR</t>
  </si>
  <si>
    <t>بردة لحام محبس بلية 25 مم BR</t>
  </si>
  <si>
    <t>بردة لحام محبس بلية 32 مم BR</t>
  </si>
  <si>
    <t>بردة الحام محبس بلية 50 مم BR</t>
  </si>
  <si>
    <t>بردة لحام محبس بلية 63 مم BR</t>
  </si>
  <si>
    <t>بردة لحام محبس بلية 20 مم BR -PP اسود UV</t>
  </si>
  <si>
    <t>بردة لحام محبس بلية 25 مم BR - اسود UV</t>
  </si>
  <si>
    <t>بردة لحام محبس بلية 32مم BR PP-R اسود UV</t>
  </si>
  <si>
    <t>بردة لحام محبس بلية 50م -PP اسود UV</t>
  </si>
  <si>
    <t>بردة لحام محبس بلية 63 مم BR -PP اسود UV</t>
  </si>
  <si>
    <t>قفيز 20 مم BR</t>
  </si>
  <si>
    <t>قفيز 25 مم BR</t>
  </si>
  <si>
    <t>قفيز 32 مم BR</t>
  </si>
  <si>
    <t>كوع لحام طويل 25 مم BR 90</t>
  </si>
  <si>
    <t>كوع لحام طويل 32 مم BR 90</t>
  </si>
  <si>
    <t>كوع لحام 45 درجة 25 مم BR أسود UV</t>
  </si>
  <si>
    <t>كوع لحام 45 درجة 32 مم BR أسود UV</t>
  </si>
  <si>
    <t>كوع لحام 25 مم BR 90 أسود UV</t>
  </si>
  <si>
    <t>كوع لحام 32 مم BR 90 أسود UV</t>
  </si>
  <si>
    <t>كوع لحام 40 مم BR 90 أسود UV</t>
  </si>
  <si>
    <t>كوع لحام 50 مم BR 90 اسود UV</t>
  </si>
  <si>
    <t>كوع لحام 63 مم BR 90 أسود UV</t>
  </si>
  <si>
    <t>مسلوب الحام 32/20 أسود UV BR</t>
  </si>
  <si>
    <t>مسلوب لحام 32/25 أسود UV BR</t>
  </si>
  <si>
    <t>مسلوب الحام 50/32 أسود UV BR</t>
  </si>
  <si>
    <t>مسلوب لحام 50/40 أسود UV BR</t>
  </si>
  <si>
    <t>مسلوب لحام 63/50 أسود UV BR</t>
  </si>
  <si>
    <t>تي لحام 25 مم BR اسود UV</t>
  </si>
  <si>
    <t>تي لحام 32 مم BR أسود UV</t>
  </si>
  <si>
    <t>تي لحام 40 مم BR أسود UV</t>
  </si>
  <si>
    <t>تي لحام 50 مم BR أسود UV</t>
  </si>
  <si>
    <t>تى لحام 63 مم BR أسود UV</t>
  </si>
  <si>
    <t>تی مزدوج لحام 25 مم BR اسود UV</t>
  </si>
  <si>
    <t>صليبة لحام 25 مم BR اسود UV</t>
  </si>
  <si>
    <t>صليبة لحام 32 مم BR اسود UV</t>
  </si>
  <si>
    <t>تي لحام مسلوب 32/20 أسود UV</t>
  </si>
  <si>
    <t>جلبه لحام 25 مم BR أسود UV</t>
  </si>
  <si>
    <t>جلبة لحام 32 مم BR أسود UV</t>
  </si>
  <si>
    <t>جلبة لحام 40 مم BR أسود UV</t>
  </si>
  <si>
    <t>جلبة لحام 50 مم BR أسود UV</t>
  </si>
  <si>
    <t>جلبه لحام 63 مم BR أسود UV</t>
  </si>
  <si>
    <t>طبه لحام 25 مم BR أسود UV</t>
  </si>
  <si>
    <t>طبة لحام 32 مم BR أسود UV</t>
  </si>
  <si>
    <t>طبة لحام 40 مم BR أسود UV</t>
  </si>
  <si>
    <t>طبه لحام 50 مم BR أسود UV</t>
  </si>
  <si>
    <t>طبه لحام 63 مم BR أسود UV</t>
  </si>
  <si>
    <t>كوع لحام طويل 25 مم BR 90 اسود UV</t>
  </si>
  <si>
    <t>كوع لحام طويل 32 مم BR 90 اسود UV</t>
  </si>
  <si>
    <t>تی لحام مسلوب 32/25 أسود UV BR</t>
  </si>
  <si>
    <t>تی لحام مسلوب 40/32 أسود UV BR</t>
  </si>
  <si>
    <t>تى لحام مسلوب 50/25 أسود UV BR</t>
  </si>
  <si>
    <t>تی لحام مسلوب 50/32 أسود UV BR</t>
  </si>
  <si>
    <t>تي لحام مسلوب 63/32 أسود UV BR</t>
  </si>
  <si>
    <t>تى لحام مسلوب 63/50 أسود UV BR</t>
  </si>
  <si>
    <t>بطارية 50م / 32 مم BR لحام بدون سوکت</t>
  </si>
  <si>
    <t>بطارية 63 مم BR / 32 مم BR لحام بدون سوکت</t>
  </si>
  <si>
    <t>بطارية 50 مم BR / 32 مم BR لحام بسوكت</t>
  </si>
  <si>
    <t>بطارية 63 مم BR / 32 مم BR لحام بسوكت</t>
  </si>
  <si>
    <t>بطارية 50م / 32 م لحام بدون سوكت أسود UV</t>
  </si>
  <si>
    <t>بطارية 63 مم BR / 32 مم BR لحام بدون سوکت اسود UV</t>
  </si>
  <si>
    <t xml:space="preserve">بطارية 50م / 32 مم BR لحام بسوكت أسود UV </t>
  </si>
  <si>
    <t>بطارية 63 م / 32 مم BR لحام بسوكت أسود UV</t>
  </si>
  <si>
    <t>بطارية قصيرة لحام 25 مم BR / 32 مم BR بسوكت</t>
  </si>
  <si>
    <t>بطارية قصيرة لحام 25 مم BR / 50 مم BR بسوكت</t>
  </si>
  <si>
    <t>بطارية قصيرة لحام 32 مم BR / 50 مم BR بسوكت</t>
  </si>
  <si>
    <t>بطارية قصيرة لحام 25م / 63 مم BR بسوكت</t>
  </si>
  <si>
    <t>بطارية قصيرة لحام 32 مم BR / 63 م بسوكت</t>
  </si>
  <si>
    <t>بطارية قصيرة لحام 25 م / 50 مم BR بسوکت اسود UV</t>
  </si>
  <si>
    <t>بطارية قصيرة لحام 32 مم BR / 50 مم BR بسوکت اسود UV</t>
  </si>
  <si>
    <t>بطارية قصيرة لحام 32 مم BR/63 مم BR بسوكت أسود UV</t>
  </si>
  <si>
    <t>بطارية قصيرة الحام 25 م / 63 مم BR بسوكت أسود UV</t>
  </si>
  <si>
    <t>بطارية متغيرة بسن 2/1*20 BR</t>
  </si>
  <si>
    <t>بطارية متغيرة بسن 2/1*25 BR</t>
  </si>
  <si>
    <t>کوع بسن خارجی 1/2*20 BR</t>
  </si>
  <si>
    <t>کوع بسن خارجی 1/2*25 BR</t>
  </si>
  <si>
    <t>کوع بسن خارجی 3/4*25 BR</t>
  </si>
  <si>
    <t>كوع بسن خارجی 1*32 BR</t>
  </si>
  <si>
    <t>کوع بسن داخلی 2/1*20 BR</t>
  </si>
  <si>
    <t>کوع بسن داخلی 2/1*25 BR</t>
  </si>
  <si>
    <t>كوع بسن داخلی 3/4*25 BR</t>
  </si>
  <si>
    <t>کوع بسن داخلی 3/4*32 BR</t>
  </si>
  <si>
    <t>کوع بسن داخلی 1*32 BR</t>
  </si>
  <si>
    <t>كوع مزدوج بسن داخلی 2/1*25 BR</t>
  </si>
  <si>
    <t>كوع مزدوج 2/1*20 BR</t>
  </si>
  <si>
    <t>1831 75</t>
  </si>
  <si>
    <t>BR تی بسن داخلی 2/1*20</t>
  </si>
  <si>
    <t>BR تی بسن داخلی 2/1*25</t>
  </si>
  <si>
    <t>BR تی بسن داخلی 4/3*25</t>
  </si>
  <si>
    <t>BR تی بسن داخلی 4/3*32</t>
  </si>
  <si>
    <t>BR تی بسن داخلی 1*32</t>
  </si>
  <si>
    <t>BR تی بسن داخلی 4/3*32 أسود UV</t>
  </si>
  <si>
    <t>BR تی بسن داخلی 1*32 أسود UV</t>
  </si>
  <si>
    <t>BR تى مزدوج من داخلی 25 * 1/2 "</t>
  </si>
  <si>
    <t>BR وای فلتر 2/1*20 بسوكت</t>
  </si>
  <si>
    <t>BR وای فلتر 4/3*25 بسوكت</t>
  </si>
  <si>
    <t>BR وای فلتر 4/3*32 بسوكت</t>
  </si>
  <si>
    <t>BR وصلة بسن خارجی 2/1*20</t>
  </si>
  <si>
    <t>BR وصلة بسن خارجی 2/1*25</t>
  </si>
  <si>
    <t>BR وصلة بسن خارجی 4/3*25</t>
  </si>
  <si>
    <t>BR وصلة بسن خارجی 3/4*32</t>
  </si>
  <si>
    <t>BR وصلة بسن خارجی 1*32</t>
  </si>
  <si>
    <t>BR وصلة بسن خارجی 140*1/4</t>
  </si>
  <si>
    <t>BR وصلة بسن خارجی 150*2/1</t>
  </si>
  <si>
    <t>BR وصلة بسن خارجی 2*63</t>
  </si>
  <si>
    <t>BR وصلة بسن خارج 2*75-2/1</t>
  </si>
  <si>
    <t>BR وصلة بسن خارجی 3*90</t>
  </si>
  <si>
    <t>BR وصلة بسن خارجی 4*110</t>
  </si>
  <si>
    <t>BR وصلة بسن داخلی 2/1*20</t>
  </si>
  <si>
    <t>BR وصلة بسن داخلی 2/1*25</t>
  </si>
  <si>
    <t>BR وصلة بسن داخلی 3/4*25</t>
  </si>
  <si>
    <t>BR وصلة بسن داخلی 4/3*32</t>
  </si>
  <si>
    <t>BR وصلة بسن داخلی 1*32</t>
  </si>
  <si>
    <t>BR وصلة بسن داخلى 1*40-1/4</t>
  </si>
  <si>
    <t>BR وصلة بسن داخلی 1*50-2/1</t>
  </si>
  <si>
    <t>BR وصلة بسن داخلی 2*63</t>
  </si>
  <si>
    <t>BR وصلة بسن داخلی 2*75-2/1</t>
  </si>
  <si>
    <t>BR وصلة بسن داخلی 3*90</t>
  </si>
  <si>
    <t>BR وصلة بسن داخلی 4*110</t>
  </si>
  <si>
    <t>BR وصلة بسن خارجی 3/4*32 أسود UV</t>
  </si>
  <si>
    <t>BR وصلة بسن خارجی 1*32 أسود UV</t>
  </si>
  <si>
    <t>BR وصلة بسن خارجی 1*40-1/4 أسود UV</t>
  </si>
  <si>
    <t>BR وصله بسن خارجی 1*50-2/1 أسود UV</t>
  </si>
  <si>
    <t>BR وصله بسن خارجی 2*63 اسود UV</t>
  </si>
  <si>
    <t>BR وصله بسن داخلی 4/3*32 أسود UV</t>
  </si>
  <si>
    <t>BR وصله بسن داخلی 1*32 أسود UV</t>
  </si>
  <si>
    <t>BR وصلة بسن داخلی 1*40-1/4 أسود UV</t>
  </si>
  <si>
    <t>BR وصله بسن داخلی 1*50-2/1 أسود UV</t>
  </si>
  <si>
    <t>BR وصله بسن داخلی 2*63 أسود UV</t>
  </si>
  <si>
    <t>BR لاكور لحام 20 مم</t>
  </si>
  <si>
    <t>BR لاكور لحام 25 مم</t>
  </si>
  <si>
    <t>BR لاكور لحام 32 مم</t>
  </si>
  <si>
    <t>BR لاكور تجميع بسن داخلی طويل 1/2*20</t>
  </si>
  <si>
    <t>BR لاكور تجميع بسن داخلی طويل 4/3*25</t>
  </si>
  <si>
    <t>BR لاكور تجميع بسن داخلی طويل 32 * 1</t>
  </si>
  <si>
    <t>BR لاكور تجميع بسن داخلی طويل 40*4/1.1"</t>
  </si>
  <si>
    <t>BR لاكور تجميع بسن داخلی طويل 50*2/1.1</t>
  </si>
  <si>
    <t>BR لاكور تجميع بسن خارجی طويل 1/2*20</t>
  </si>
  <si>
    <t>BR لاكور تجميع بمن خارجی طويل 4/3*25</t>
  </si>
  <si>
    <t>BR لاكور تجميع بسن خارجی طويل 1*32</t>
  </si>
  <si>
    <t>BR لاكور تجميع بسن خارجی طويل 2/1.1*50</t>
  </si>
  <si>
    <t>BR لاكور تجميع من داخلی طويل اسود 1*32</t>
  </si>
  <si>
    <t>BR لاكور تجميع اسود من داخلی طويل 2/1.1*50</t>
  </si>
  <si>
    <t>BR لاكور تجميع من خارجی طويل اسود 1*32</t>
  </si>
  <si>
    <t>BR لاكور تجميع اسود بسن خارجی طويل 2/1.1*50</t>
  </si>
  <si>
    <t>BR كوع بلاكور 132 " بسن خارجی</t>
  </si>
  <si>
    <t>BR مانع ارتداد بلاكور 25 مم</t>
  </si>
  <si>
    <t>BR مانع ارتداد بلاكور 32 مم</t>
  </si>
  <si>
    <t>BR مانع ارتداد بلاكور 50 مم</t>
  </si>
  <si>
    <t>BR مانع ارتداد بلاكور انثى 25 مم - 4/3 بوصة</t>
  </si>
  <si>
    <t>BR مانع ارتداد بلاكور ذكر 25 مم - 4/3 بوصة</t>
  </si>
  <si>
    <t>BR مانع ارتداد بلاكور أنثى 32 مم / 1 بوصة</t>
  </si>
  <si>
    <t>BR مانع ارتداد بلاكور ذكر 32 م / 1 بوصة</t>
  </si>
  <si>
    <t>BR مانع ارتداد بلاكور أنثي 50 مم / 1.5 بوصة</t>
  </si>
  <si>
    <t>BR مانع ارتداد بلاكور ذكر 50 مم / 1.5 بوصة</t>
  </si>
  <si>
    <t>BR مانع ارتداد أسود بلاكور 25 مم</t>
  </si>
  <si>
    <t>BR مانع ارتداد أسود بلاكور 32 مم</t>
  </si>
  <si>
    <t>BR مانم ارتداد أسود بلاكور 50 مم</t>
  </si>
  <si>
    <t>BR مانع ارتداد أسود بلاكور أنثي 25 مم - 4/3</t>
  </si>
  <si>
    <t>BR مانع ارتداد أسود بلاكور ذكر 25 مم - 4/3</t>
  </si>
  <si>
    <t>BR جلبة تطويل نحاس</t>
  </si>
  <si>
    <t>BR جلبة تطويل نحاس للمحبس الإيليت</t>
  </si>
  <si>
    <t>BR محبس دفن کامل ( شامل تی ) 20 مم</t>
  </si>
  <si>
    <t>BR محبس دفن كامل ( شامل تي ) 25 مم</t>
  </si>
  <si>
    <t>BR محبس دفن کامل ( شامل تى ) 32 مم</t>
  </si>
  <si>
    <t>BR محبس دفن 20 مم Elite</t>
  </si>
  <si>
    <t>BR محبس دفن 25 مم Elite</t>
  </si>
  <si>
    <t>BR محبس دفن 32 مم Elite</t>
  </si>
  <si>
    <t>BR محبس بلية 2 لاكور 20 مم</t>
  </si>
  <si>
    <t>BR محبس بلية 2 لاكور 25 مم</t>
  </si>
  <si>
    <t>BR محبس بلية 2 لاكور 32 مم</t>
  </si>
  <si>
    <t>BR محبس بلية 2 لاكور 40 مم</t>
  </si>
  <si>
    <t>BR محبس بلية 2 لاكور 50 مم</t>
  </si>
  <si>
    <t>BR محبس بلية 2 لاكور 63 مم</t>
  </si>
  <si>
    <t>BR محبس بلية 2 لاكور 75 مم</t>
  </si>
  <si>
    <t>BR محبس بلية 2 لاكور 90 مم</t>
  </si>
  <si>
    <t>BR محبس بلية 2 لاكور 110 مم</t>
  </si>
  <si>
    <t>BR محبس بلية أسود 2 لاكور 32 مم</t>
  </si>
  <si>
    <t>BR محبس بلية أسود 2 لاكور 40 مم</t>
  </si>
  <si>
    <t>BR محبس بلية أسود 2 لاكور 50 مم</t>
  </si>
  <si>
    <t>BR محبس بلية أسود 2 لاكور 63 مم</t>
  </si>
  <si>
    <t>BR محبس وای بید طارة خضراء 2/1*20 بسوکت</t>
  </si>
  <si>
    <t xml:space="preserve">BR محبس وای بید طارة خضراء 4/3*25 بسوكت </t>
  </si>
  <si>
    <t>BR محبس وای بید طارة خضراء 4/3*32 بسوکت</t>
  </si>
  <si>
    <t>طبة اختبار 2/1 بوصة BR</t>
  </si>
  <si>
    <t>جلبه لحام 25 مم BR</t>
  </si>
  <si>
    <t>جلبة لحام 32 مم BR</t>
  </si>
  <si>
    <t>جلبة لحام 40 مم BR</t>
  </si>
  <si>
    <t>جلبة لحام 50 مم BR</t>
  </si>
  <si>
    <t>جلبة لحام 63 مم BR</t>
  </si>
  <si>
    <t>جلبة لحام 75 مم BR</t>
  </si>
  <si>
    <t>جلبة لحام 90 مم BR</t>
  </si>
  <si>
    <t>جلبة لحام 110 مم BR</t>
  </si>
  <si>
    <t>جلبة بصامولة متحركة 2/1*20 BR</t>
  </si>
  <si>
    <t>جلبة بصامولة متحركة 4/3*20 BR</t>
  </si>
  <si>
    <t>مواسير 32 مم كيسيل</t>
  </si>
  <si>
    <t>مواسير 50 مم كيسيل</t>
  </si>
  <si>
    <t>مواسير 75 مم كيسيل</t>
  </si>
  <si>
    <t>مواسير 110 مم كيسيل</t>
  </si>
  <si>
    <t>مواسير 160 مم طول 6 متر كيسيل</t>
  </si>
  <si>
    <t>مواسير 2.4*50 مم  كيسيل</t>
  </si>
  <si>
    <t>مواسير 63 مم كيسيل</t>
  </si>
  <si>
    <t>مواسير 2.9*75 مم  كيسيل</t>
  </si>
  <si>
    <t>مواسير 4.1*110 مم كيسيل</t>
  </si>
  <si>
    <t>ياردة 50 مم 75 سم كيسيل</t>
  </si>
  <si>
    <t>ياردة 63 مم 50 سم كيسيل</t>
  </si>
  <si>
    <t>ياردة 63 مم 100 سم كيسيل</t>
  </si>
  <si>
    <t>ياردة 75 مم 100 سم كيسيل</t>
  </si>
  <si>
    <t>ياردة 110 مم 100 سم كيسيل</t>
  </si>
  <si>
    <t>ياردة 110 مم 50 سم كيسيل</t>
  </si>
  <si>
    <t>ياردة 75 مم 50 سم كيسيل</t>
  </si>
  <si>
    <t>ياردة 50 مم 150 سم كيسيل</t>
  </si>
  <si>
    <t>کوع  32 مم  45 كيسيل</t>
  </si>
  <si>
    <t>كوع 50 مم 45 كيسيل</t>
  </si>
  <si>
    <t>كوع 63 مم 45 كيسيل</t>
  </si>
  <si>
    <t>كوع 75 مم 45 كيسيل</t>
  </si>
  <si>
    <t>كوع 110 مم 45 كيسيل</t>
  </si>
  <si>
    <t>كوع 160 مم 45 كيسيل</t>
  </si>
  <si>
    <t>كوع 32 مم 87.5 كيسيل</t>
  </si>
  <si>
    <t>كوع 50 مم 90  كيسيل</t>
  </si>
  <si>
    <t>كوع 63 مم 87.5 كيسيل</t>
  </si>
  <si>
    <t>كوع 75 مم 90  كيسيل</t>
  </si>
  <si>
    <t>كوع 110 مم 90 كيسيل</t>
  </si>
  <si>
    <t>كوع 160 مم 90 كيسيل</t>
  </si>
  <si>
    <t>كوع بباب كشف  75 مم  87.5  كيسيل</t>
  </si>
  <si>
    <t>كوع بباب 110 مم 90  كيسيل</t>
  </si>
  <si>
    <t>كوع بباب 160 مم 90 كيسيل</t>
  </si>
  <si>
    <t>كوع بسن داخلي  1.5 بوصة   كيسيل</t>
  </si>
  <si>
    <t>مشترك  32 مم 45  كيسيل</t>
  </si>
  <si>
    <t>مشترك 50/50 45   كيسيل</t>
  </si>
  <si>
    <t>مشترك 75/50 45   كيسيل</t>
  </si>
  <si>
    <t>مشترك  63 مم  45  كيسيل</t>
  </si>
  <si>
    <t>مشترك 75/75 45   كيسيل</t>
  </si>
  <si>
    <t>مشترك 110/50 45   كيسيل</t>
  </si>
  <si>
    <t>مشترك 110/75 45   كيسيل</t>
  </si>
  <si>
    <t>مشترك 45 درجة 110/110 كيسيل</t>
  </si>
  <si>
    <t>مشترك 160/110 45   كيسيل</t>
  </si>
  <si>
    <t>مشترك 160/160 45  كيسيل</t>
  </si>
  <si>
    <t>مشترك  32 مم  87.5  كيسيل</t>
  </si>
  <si>
    <t>مشترك 50/50 90   كيسيل</t>
  </si>
  <si>
    <t>مشترك 75/50 90   كيسيل</t>
  </si>
  <si>
    <t>مشترك  63م  87.5  كيسيل</t>
  </si>
  <si>
    <t>مشترك 75/63 90   كيسيل</t>
  </si>
  <si>
    <t>مشترك 75/75 90   كيسيل</t>
  </si>
  <si>
    <t>مشترك 110/50 90   كيسيل</t>
  </si>
  <si>
    <t>مشترك 110/63 90  كيسيل</t>
  </si>
  <si>
    <t>مشترك 110/75 90  كيسيل</t>
  </si>
  <si>
    <t>مشترك 90 درجة 110/110 كيسيل</t>
  </si>
  <si>
    <t>مشترك 160/110 90   كيسيل</t>
  </si>
  <si>
    <t>مشترك 160/160 90  كيسيل</t>
  </si>
  <si>
    <t>مشترك بباب كشف  75/75 مم  87.5 كيسيل</t>
  </si>
  <si>
    <t xml:space="preserve"> مشترك بباب 50/110 90  كيسيل</t>
  </si>
  <si>
    <t>مشترك بباب كشف  110/75 مم  87.5  كيسيل</t>
  </si>
  <si>
    <t>مشترك بباب 110/110 90   كيسيل</t>
  </si>
  <si>
    <t>مشترك بباب 110/160 90   كيسيل</t>
  </si>
  <si>
    <t>مشترك بباب 160/160 90  كيسيل</t>
  </si>
  <si>
    <t>مشترك صليبة 75/75 مم زاوية 45   كيسيل</t>
  </si>
  <si>
    <t>مشترك صليبة  110/75 مم  45 كيسيل</t>
  </si>
  <si>
    <t>مشترك صليبة 110/110 مم زاوية 45  كيسيل</t>
  </si>
  <si>
    <t>مشترك صليبة  75/75 مم  87.5  كيسيل</t>
  </si>
  <si>
    <t>مشترك صليبة  110/75 مم  87.5  كيسيل</t>
  </si>
  <si>
    <t>مشترك صليبة  110/110 مم  87.5 كيسيل</t>
  </si>
  <si>
    <t>جلبة  32 مم كيسيل</t>
  </si>
  <si>
    <t>جلبة 50 مم كيسيل</t>
  </si>
  <si>
    <t>جلبة 63 مم كيسيل</t>
  </si>
  <si>
    <t>جلبة 75 مم كيسيل</t>
  </si>
  <si>
    <t>جلبة 110 مم كيسيل</t>
  </si>
  <si>
    <t>جلبة 160 مم كيسيل</t>
  </si>
  <si>
    <t>جلبة بانيو 50 مم بسن 1.5 مم كيسيل</t>
  </si>
  <si>
    <t>جلبة إصلاح 50 مم كيسيل</t>
  </si>
  <si>
    <t>جلبة إصلاح 63 مم كيسيل</t>
  </si>
  <si>
    <t>جلبة إصلاح 75 مم كيسيل</t>
  </si>
  <si>
    <t>جلبة اصلاح 110م طول 20 سم كيسيل</t>
  </si>
  <si>
    <t>جلبة اصلاح  160 مم طول 20 سم كيسيل</t>
  </si>
  <si>
    <t>وصلة بباب كشف 110 مم كيسيل</t>
  </si>
  <si>
    <t>طبة 32 مم  كيسيل</t>
  </si>
  <si>
    <t>طبة 50 مم  كيسيل</t>
  </si>
  <si>
    <t>طبة بيبة 63 مم كيسيل</t>
  </si>
  <si>
    <t>طبة 75 مم  كيسيل</t>
  </si>
  <si>
    <t>طبة 110 مم  كيسيل</t>
  </si>
  <si>
    <t>طبة بيبة 160 مم  كيسيل</t>
  </si>
  <si>
    <t>غطاء مواسير 32 مم كيسيل</t>
  </si>
  <si>
    <t>غطاء مواسير  50 مم   كيسيل</t>
  </si>
  <si>
    <t>غطاء مواسير 63 مم    كيسيل</t>
  </si>
  <si>
    <t>غطاء مواسير 75 مم   كيسيل</t>
  </si>
  <si>
    <t>غطاء مواسير 110 مم  كيسيل</t>
  </si>
  <si>
    <t>غطاء مواسير 160 مم  كيسيل</t>
  </si>
  <si>
    <t>مسلوب لا مركزي 50 مم / 1 بوصة   كيسيل</t>
  </si>
  <si>
    <t>مسلوب لا مركزي 50/32 مم كيسيل</t>
  </si>
  <si>
    <t>مسلوب 40/50   كيسيل</t>
  </si>
  <si>
    <t>مسلوب 63/50  كيسيل</t>
  </si>
  <si>
    <t>مسلوب 75/50   كيسيل</t>
  </si>
  <si>
    <t>مسلوب 63/75   كيسيل</t>
  </si>
  <si>
    <t>مسلوب 110/50   كيسيل</t>
  </si>
  <si>
    <t>مسلوب 110/75   كيسيل</t>
  </si>
  <si>
    <t>مسلوب 160/110  كيسيل</t>
  </si>
  <si>
    <t>هواية 50 مم   كيسيل</t>
  </si>
  <si>
    <t>هواية 75 مم   كيسيل</t>
  </si>
  <si>
    <t>هواية 110 مم  كيسيل</t>
  </si>
  <si>
    <t>طبة تسليك 75 مم    كيسيل</t>
  </si>
  <si>
    <t>طبة تسليك 110 مم  كيسيل</t>
  </si>
  <si>
    <t>طبة تسليك 160 م   كيسيل</t>
  </si>
  <si>
    <t>سيفون  110 مم كيسيل</t>
  </si>
  <si>
    <t>صفاية طولية 300 كيسيل</t>
  </si>
  <si>
    <t>صفاية طولية 650 كيسيل</t>
  </si>
  <si>
    <t>صفاية مربعة 107 *107  كيسيل</t>
  </si>
  <si>
    <t>صفاية مربعة 150*150 كيسيل</t>
  </si>
  <si>
    <t>صفاية مربعة بلاطة 107*107  كيسيل</t>
  </si>
  <si>
    <t>صفاية مربعة بلاطة 150*150 كيسيل</t>
  </si>
  <si>
    <t>صفاية ركن بلاطة 200*200 كيسيل</t>
  </si>
  <si>
    <t>صفاية مربعة 107 مخرج من أسفل 50 مم  كيسيل</t>
  </si>
  <si>
    <t>صفاية مربعة 107 مخرج من أسفل 75 مم  كيسيل</t>
  </si>
  <si>
    <t>صفاية مربعة 150 مخرج من أسفل 50 مم كيسيل</t>
  </si>
  <si>
    <t>صفاية مربعة 150 مخرج من أسفل 75 مم كيسيل</t>
  </si>
  <si>
    <t>صفاية مربعة بلاطة 107 مخرج من أسفل 50 مم  كيسيل</t>
  </si>
  <si>
    <t>صفاية مربعة بلاطة 107 مخرج من أسفل 75 مم  كيسيل</t>
  </si>
  <si>
    <t>صفاية مربعة بلاطة 150 مخرج من أسفل 50 مم  كيسيل</t>
  </si>
  <si>
    <t>صفاية مربعة بلاطة 150 مخرج من أسفل 75 مم كيسيل</t>
  </si>
  <si>
    <t>صفاية مخرج جانبی 50 مم بغطاء 107 مم STICKES  كيسيل</t>
  </si>
  <si>
    <t>صفاية مخرج جانبی 50 مم بغطاء 107 مم WAVES  كيسيل</t>
  </si>
  <si>
    <t>صفاية مخرج جانبي 50 مم بغطاء 107 مم DART كيسيل</t>
  </si>
  <si>
    <t>صفاية مخرج جانبی 50مم بغطاء 107 ممGRILL  كيسيل</t>
  </si>
  <si>
    <t>صفاية مخرج جانبی 50 مم بغطاء 107مم CRESCENT كيسيل</t>
  </si>
  <si>
    <t>صفاية مخرج جانبی 50 مم بغطاء 150 مم STICKES  كيسيل</t>
  </si>
  <si>
    <t>صفاية مخرج جانبی 50مم بغطاء 150 مم WAVES  كيسيل</t>
  </si>
  <si>
    <t>صفاية مخرج جانبی 50 مم بغطاء 150 مم DART  كيسيل</t>
  </si>
  <si>
    <t>صفاية مخرج جانبی 50 مم بغطاء 150 مم GRILL كيسيل</t>
  </si>
  <si>
    <t>صفاية مخرج جانبی 50 مم بغطاء 150 مم CRESCENT كيسيل</t>
  </si>
  <si>
    <t>صفاية قصيرة 7 سم مخرج جانبي 50 بغطاء 10*10  كيسيل</t>
  </si>
  <si>
    <t>صفاية بمخرج جانبي 75 مم فضية كيسيل</t>
  </si>
  <si>
    <t>صفاية مدخل 40 مم مخرج 50 مم فضي كيسيل</t>
  </si>
  <si>
    <t>علاية صفاية مربعة بلاطة 107*107  كيسيل</t>
  </si>
  <si>
    <t>علاية بغطاء مفتوح مربعة 107 مم WAVES  كيسيل</t>
  </si>
  <si>
    <t>علاية بغطاء مفتوح مربعة 107 مم DART  كيسيل</t>
  </si>
  <si>
    <t>علاية بغطاء مفتوح مربعة 107 مم GRILL  كيسيل</t>
  </si>
  <si>
    <t>علاية بغطاء مفتوح مربعة 107 مم STICKES  كيسيل</t>
  </si>
  <si>
    <t>علاية بغطاء مفتوح مربعة 107 مم CRESCENT  كيسيل</t>
  </si>
  <si>
    <t>علاية بغطاء مفتوح مربعة 107 مم SLOTTED  كيسيل</t>
  </si>
  <si>
    <t>علاية بغطاء مربعة بلاطة 107 مم TILEABLE كيسيل</t>
  </si>
  <si>
    <t>علاية صفاية مربعة بلاطة 150*150  كيسيل</t>
  </si>
  <si>
    <t>علاية بغطاء مفتوح مربعة 150 مم SLOTTED  كيسيل</t>
  </si>
  <si>
    <t>علاية بغطاء مربعة بلاطة 150 مم TILEABLE  كيسيل</t>
  </si>
  <si>
    <t>علاية بغطاء مفتوح مربعة 150 مم CRESCENT  كيسيل</t>
  </si>
  <si>
    <t>علاية بغطاء مفتوح مربعة 150 مم DART  كيسيل</t>
  </si>
  <si>
    <t>علاية بغطاء مفتوح مربعة 150 م GRILL  كيسيل</t>
  </si>
  <si>
    <t>علاية بغطاء مفتوح مربعة 150 مم STICKES  كيسيل</t>
  </si>
  <si>
    <t>علاية بغطاء مفتوح مربعة 150 مم WAVES كيسيل</t>
  </si>
  <si>
    <t>بيبة 3 مدخل 50 مم ومخرج 75 مم بجوان علوى  كيسيل</t>
  </si>
  <si>
    <t>بيبة 3 مدخل 63 مخرج 75 مم كيسيل</t>
  </si>
  <si>
    <t>جسم بيبة بالبرقع مخرج جانبی 50 مم كيسيل</t>
  </si>
  <si>
    <t>غطاء بيبة مغلق 15*15  كيسيل</t>
  </si>
  <si>
    <t>غطاء بيبة مفتوح 15*15  كيسيل</t>
  </si>
  <si>
    <t>رقبة طويلة بمصفاه وغطاء مغلق  كيسيل</t>
  </si>
  <si>
    <t>رقبة طويلة بمصفاه وغطاء مفتوح  كيسيل</t>
  </si>
  <si>
    <t>غطاء بيبة استانلس كيسيل</t>
  </si>
  <si>
    <t>مواسير برتقالي 5*110 مم صرف طول 3 متر  كيسيل</t>
  </si>
  <si>
    <t>مواسير برتقالی 5.5*160 مم صرف طول 3 متر  كيسيل</t>
  </si>
  <si>
    <t>مواسير برتقالي 6.7*200 مم صرف طول 6 متر  كيسيل</t>
  </si>
  <si>
    <t>مواسير برتقالی 6.7*200 مم صرف طول 3 متر كيسيل</t>
  </si>
  <si>
    <t>كوع مدفون  110 مم  45  كيسيل</t>
  </si>
  <si>
    <t>كوع 160 مم 45  مدفون  كيسيل</t>
  </si>
  <si>
    <t>كوع مدفون  200 مم  45  كيسيل</t>
  </si>
  <si>
    <t>كوع مدفون  110 مم  90  كيسيل</t>
  </si>
  <si>
    <t>كوع 160 مم 90  مدفون  كيسيل</t>
  </si>
  <si>
    <t>كوع مدفون  200 مم  87.5 كيسيل</t>
  </si>
  <si>
    <t>كوع 110 مم بباب 87.5 مدفون كيسيل</t>
  </si>
  <si>
    <t>مشترك 45 مدفون 110 مم كيسيل</t>
  </si>
  <si>
    <t>مشترك 160/110 45  مدفون  كيسيل</t>
  </si>
  <si>
    <t>مشترك 160/160 45  مدفون  كيسيل</t>
  </si>
  <si>
    <t>مشترك مدفون  160/200 مم  45 كيسيل</t>
  </si>
  <si>
    <t>مشترك مدفون  200 مم 45 كيسيل</t>
  </si>
  <si>
    <t>مشترك ببا 75/110 مم زاوية 87.5 درجة مدفون  كيسيل</t>
  </si>
  <si>
    <t>مشترك 90 مدفون 110 مم كيسيل</t>
  </si>
  <si>
    <t>مشترك 160/110 90  مدفون  كيسيل</t>
  </si>
  <si>
    <t>مشترك 160/160 90  مدفون  كيسيل</t>
  </si>
  <si>
    <t>مشترك مدفون 160/200 مم 87.5 كيسيل</t>
  </si>
  <si>
    <t>مشترك مدفون 200 مم  87.5 كيسيل</t>
  </si>
  <si>
    <t>مشترك صليبة مدفون 110 مم زاوية 45   كيسيل</t>
  </si>
  <si>
    <t>مشترك صليبة 110 مم زاوية 87.5 درجة مدفون كيسيل</t>
  </si>
  <si>
    <t>مشترك بباب 110 مم 87.5 درجة مدفون  كيسيل</t>
  </si>
  <si>
    <t>مشترك بباب 75/110 مم 87.5 درجة مدفون كيسيل</t>
  </si>
  <si>
    <t>جلبة 110 مم مدفون كيسيل</t>
  </si>
  <si>
    <t>جلبة 160 مم مدفون  كيسيل</t>
  </si>
  <si>
    <t>جلبة 200 مم مدفون كيسيل</t>
  </si>
  <si>
    <t>مسلوب 160/110  مدفون  كيسيل</t>
  </si>
  <si>
    <t>مسلوب لامركزي مدفون  160/200 مم  كيسيل</t>
  </si>
  <si>
    <t>مسلوب لامركزي مدفون  110/200 مم كيسيل</t>
  </si>
  <si>
    <t>سيفون 110 مم بجوان مرحلتين برتقالي  كيسيل</t>
  </si>
  <si>
    <t>مجمع صرف مفتوح 50*75*110 مم  برتقالي  كيسيل</t>
  </si>
  <si>
    <t>مجمع صرف مغلق 50*75*110 مم برتقالي  كيسيل</t>
  </si>
  <si>
    <t>32 25</t>
  </si>
  <si>
    <t>187 25</t>
  </si>
  <si>
    <t>241 75</t>
  </si>
  <si>
    <t>153 25</t>
  </si>
  <si>
    <t>مواسير 4/3 بوصة 2.9 مم  6 متر سمارت هوم</t>
  </si>
  <si>
    <t>مواسير 1 بوصة / 1.8  سمارت هوم</t>
  </si>
  <si>
    <t>مواسير 1 بوصة / 2.4  سمارت هوم</t>
  </si>
  <si>
    <t>مواسير 1 بوصة / 3.2 سمارت هوم</t>
  </si>
  <si>
    <t>مواسير 32 مم 1.8 سمارت هوم</t>
  </si>
  <si>
    <t>مواسير 32 مم 2.4 سمارت هوم</t>
  </si>
  <si>
    <t>مواسير 48 مم 2.5 سمارت هوم</t>
  </si>
  <si>
    <t>مواسير 48 مم 3.7 سمارت هوم</t>
  </si>
  <si>
    <t>مواسير 60 مم 2.7 سمارت هوم</t>
  </si>
  <si>
    <t>مواسير 60 /3.9 سمارت هوم</t>
  </si>
  <si>
    <t>مواسير 63 مم 3 سمارت هوم</t>
  </si>
  <si>
    <t>مواسير 75 مم 3  سمارت هوم</t>
  </si>
  <si>
    <t>مواسير 75 مم / 4  سمارت هوم</t>
  </si>
  <si>
    <t>مواسير 75 مر 5  سمارت هوم</t>
  </si>
  <si>
    <t>مواسير 90 مم / 3 مم سمارت هوم</t>
  </si>
  <si>
    <t>مواسير 110/3 مم سمارت هوم</t>
  </si>
  <si>
    <t>مواسير 110 مم/ 4  سمارت هوم</t>
  </si>
  <si>
    <t>مواسير 110 مم/ 5 سمارت هوم</t>
  </si>
  <si>
    <t>مواسير 160 مم/ 4 سمارت هوم</t>
  </si>
  <si>
    <t>مواسير 160 مم سمارت هوم</t>
  </si>
  <si>
    <t>مواسير 3*75 مم سمارت هوم</t>
  </si>
  <si>
    <t>مواسير 4*75 مم سمارت هوم</t>
  </si>
  <si>
    <t>مواسير 4*110 مم  سمارت هوم</t>
  </si>
  <si>
    <t>مواسير 5*110 مم  سمارت هوم</t>
  </si>
  <si>
    <t>مواسير 160*4 مم سمارت هوم</t>
  </si>
  <si>
    <t>مواسير 160*5 مم سمارت هوم</t>
  </si>
  <si>
    <t>كوع 4*3 45 سمارت هوم</t>
  </si>
  <si>
    <t>كوع 45 درجة 1 بوصة سمارت هوم</t>
  </si>
  <si>
    <t>كوع 45 درجة 32 مم سمارت هوم</t>
  </si>
  <si>
    <t>كوع 45 درجة 48 مم سمارت هوم</t>
  </si>
  <si>
    <t>كوع 45 درجة 60 مم سمارت هوم</t>
  </si>
  <si>
    <t>كوع 45 درجة 63 مم سمارت هوم</t>
  </si>
  <si>
    <t>كوع 45 درجة 75 مم  سمارت هوم</t>
  </si>
  <si>
    <t>كوع 45 درجة 90 مم  سمارت هوم</t>
  </si>
  <si>
    <t>كوع 45 درجة 110 مم  سمارت هوم</t>
  </si>
  <si>
    <t>كوع 45 درجة 160 مم سمارت هوم</t>
  </si>
  <si>
    <t>كوع 4*3 87.5 سمارت هوم</t>
  </si>
  <si>
    <t>كوع 90 درجة 32 مم  سمارت هوم</t>
  </si>
  <si>
    <t>كوع 90 درجة 1 بوصة  سمارت هوم</t>
  </si>
  <si>
    <t>كوع 90 درجة 48 مم  سمارت هوم</t>
  </si>
  <si>
    <t>كوع 90 درجة 60 مم  سمارت هوم</t>
  </si>
  <si>
    <t>كوع 90 درجة 75 مم  سمارت هوم</t>
  </si>
  <si>
    <t>كوع 90 درجة 110 مم  سمارت هوم</t>
  </si>
  <si>
    <t>كوع 90 درجة 160 مم  سمارت هوم</t>
  </si>
  <si>
    <t>کوع بباب كشف 60 مم  سمارت هوم</t>
  </si>
  <si>
    <t>كوع بباب كشف 75 مم  سمارت هوم</t>
  </si>
  <si>
    <t>كوع بباب كشف 110 مم  سمارت هوم</t>
  </si>
  <si>
    <t>كوع بباب كشف 160 مم  سمارت هوم</t>
  </si>
  <si>
    <t>كوع قصير 48 مم 87.5 سمارت هوم</t>
  </si>
  <si>
    <t>کوع قصير 60 مم 87.5 سمارت هوم</t>
  </si>
  <si>
    <t>كوع قصير 63 مم 87.5 سمارت هوم</t>
  </si>
  <si>
    <t>كوع قصير 75 مم 87.5 سمارت هوم</t>
  </si>
  <si>
    <t>كوع قصير90 مم 87.5 سمارت هوم</t>
  </si>
  <si>
    <t>كوع قصير 110 مم 87.5 سمارت هوم</t>
  </si>
  <si>
    <t>كوع قصير 160 مم 87.5 سمارت هوم</t>
  </si>
  <si>
    <t>کوع بباب كشف 90 درجة 90 مم قصير   سمارت هوم</t>
  </si>
  <si>
    <t>كوع بباب كشف 90 درجة 110 مم قصير  سمارت هوم</t>
  </si>
  <si>
    <t>كوع قصير بسن 110 مم*4 45 سمارت هوم</t>
  </si>
  <si>
    <t xml:space="preserve"> 1/2-1*48 كوع بسن داخلي بانيو  سمارت هوم</t>
  </si>
  <si>
    <t>مشترك صليبة مسلوب 45 درجة 110/60 سمارت هوم</t>
  </si>
  <si>
    <t>مشترك صليبة 45 درجة 110/75  سمارت هوم</t>
  </si>
  <si>
    <t>مشترك صليبة 45 درجة 110 مم سمارت هوم</t>
  </si>
  <si>
    <t>مشترك صليبة 75 مم سمارت هوم</t>
  </si>
  <si>
    <t>مشترك صليبة 110 مم سمارت هوم</t>
  </si>
  <si>
    <t>مشترك صليبة مسلوب 90 درجة 110/60 سمارت هوم</t>
  </si>
  <si>
    <t>مشترك صليبة مسلوب 90 درجة 75/110 سمارت هوم</t>
  </si>
  <si>
    <t>مشترك صليبة جانبي 110 مم  سمارت هوم</t>
  </si>
  <si>
    <t>مشترك 4/3" 45 سمارت هوم</t>
  </si>
  <si>
    <t>مشترك 45 درجة 1 بوصة  سمارت هوم</t>
  </si>
  <si>
    <t>مشترك 45 درجة 32 مم  سمارت هوم</t>
  </si>
  <si>
    <t>مشترك 45 درجة 48 مم  سمارت هوم</t>
  </si>
  <si>
    <t>مشترك 45 درجة 60 مم  سمارت هوم</t>
  </si>
  <si>
    <t>مشترك 63 مم زاوية 45  سمارت هوم</t>
  </si>
  <si>
    <t>مشترك 45 درجة 75 مم  سمارت هوم</t>
  </si>
  <si>
    <t>مشترك 90 مم زاوية 45  سمارت هوم</t>
  </si>
  <si>
    <t>مشترك 45 درجة 110 مم  سمارت هوم</t>
  </si>
  <si>
    <t>مشترك 45 درجة 160 مم  سمارت هوم</t>
  </si>
  <si>
    <t>مشترك 4/387.5 سمارت هوم</t>
  </si>
  <si>
    <t>مشترك 90 درجة 1 بوصة  سمارت هوم</t>
  </si>
  <si>
    <t>مشترك 90 درجة 32 مم  سمارت هوم</t>
  </si>
  <si>
    <t>مشترك 90 درجة 48 مم  سمارت هوم</t>
  </si>
  <si>
    <t>مشترك 90 درجة 60 مم  سمارت هوم</t>
  </si>
  <si>
    <t>مشترك 63 مم زاوية 87.5 سمارت هوم</t>
  </si>
  <si>
    <t>مشترك 90 درجة 75 مم  سمارت هوم</t>
  </si>
  <si>
    <t>مشترك 90 مم زاوية 87.5  سمارت هوم</t>
  </si>
  <si>
    <t>مشترك 90 درجة 110 مم  سمارت هوم</t>
  </si>
  <si>
    <t>مشترك 90 درجة 160 مم  سمارت هوم</t>
  </si>
  <si>
    <t>مشترك مسلوب 45 درجة 110/60 مم سمارت هوم</t>
  </si>
  <si>
    <t>مشترك مسلوب 45 درجة 110/75 مم  سمارت هوم</t>
  </si>
  <si>
    <t>مشترك مسلوب 45 درجة 110/160 مم  سمارت هوم</t>
  </si>
  <si>
    <t>مشترك مسلوب 90 درجة 75/60 سمارت هوم</t>
  </si>
  <si>
    <t>مشترك مسلوب 90 درجة 110/60  سمارت هوم</t>
  </si>
  <si>
    <t>مشترك مسلوب 90 درجة 110/75  سمارت هوم</t>
  </si>
  <si>
    <t>مشترك مسلوب 90 درجة 160/110  سمارت هوم</t>
  </si>
  <si>
    <t>مشترك بباب كشف 90 درجة 60 مم  سمارت هوم</t>
  </si>
  <si>
    <t>مشترك بباب كشف 90 درجة 75 مم  سمارت هوم</t>
  </si>
  <si>
    <t>مشترك بباب كشف 90 درجة 110 مم  سمارت هوم</t>
  </si>
  <si>
    <t>مشترك بباب كشف 90 درجة 160 مم  سمارت هوم</t>
  </si>
  <si>
    <t>مشترك مسلوب بباب 90 درجة 60/75 مم   سمارت هوم</t>
  </si>
  <si>
    <t>مشترك مسلوب بباب 90 درجة 110/60 مم   سمارت هوم</t>
  </si>
  <si>
    <t>مشترك مسلوب بباب 90 درجة 110/75 مم   سمارت هوم</t>
  </si>
  <si>
    <t>مشترك مسلوب بباب 90 درجة 160/110 مم  سمارت هوم</t>
  </si>
  <si>
    <t>مشترك قصير بباب كشف  110/48 مم سمارت هوم</t>
  </si>
  <si>
    <t>مشترك قصير بباب كشف  110/60 مم سمارت هوم</t>
  </si>
  <si>
    <t>مشترك قصير بباب كشف  110/75 مم   سمارت هوم</t>
  </si>
  <si>
    <t>مشترك قصير بباب كشف  110/110 مم سمارت هوم</t>
  </si>
  <si>
    <t>مشترك قصير بباب كشف  90/90 مم سمارت هوم</t>
  </si>
  <si>
    <t>مشترك قصير بباب كشف  110/90 مم  سمارت هوم</t>
  </si>
  <si>
    <t>جلبة صرف 48 مم بسن 1.5   سمارت هوم</t>
  </si>
  <si>
    <t>جلبة صرف 60 مم بسن 1.5 سمارت هوم</t>
  </si>
  <si>
    <t>غراء ضغوط سمارت 125م 15205 GRAY FOR  سمارت هوم</t>
  </si>
  <si>
    <t>غراء ضغوط سمارت 250م 15204 GRAY FOR  سمارت هوم</t>
  </si>
  <si>
    <t>غراء ضغوط سمارت 500م - 917473 GRAY FOR  سمارت هوم</t>
  </si>
  <si>
    <t>غراء بارد سمارت 125 مل - 15123 CLEARFOR PVC  سمارت هوم</t>
  </si>
  <si>
    <t>غراء بارد سمارت 250 مل - CLEARFOR PVC15122  سمارت هوم</t>
  </si>
  <si>
    <t>غراء بارد سمارت 500 مل CLEAR PVC15121  سمارت هوم</t>
  </si>
  <si>
    <t>غراء حار سمارت 125 مل ORANGE PVC15120  سمارت هوم</t>
  </si>
  <si>
    <t>غراء حار سمارت 250 مل - 15119 ORANGE PVC  سمارت هوم</t>
  </si>
  <si>
    <t>غراء حار سمارت 500 مل ORANGE PVC15118 سمارت هوم</t>
  </si>
  <si>
    <t>خلاط دفن مربع كروم 1 مخرج  سمارت هوم</t>
  </si>
  <si>
    <t>خلاط دفن مربع كروم 2 مخرج سمارت هوم</t>
  </si>
  <si>
    <t>خلاط دفن دائری کروم 1 مخرج  سمارت هوم</t>
  </si>
  <si>
    <t>خلاط دفن دائری کروم 2 مخرج  سمارت هوم</t>
  </si>
  <si>
    <t>خلاط دفن مربع أسود 1 مخرج  سمارت هوم</t>
  </si>
  <si>
    <t>خلاط دفن مربع أسود 2 مخرج  سمارت هوم</t>
  </si>
  <si>
    <t>خلاط دفن دائرى أسود 1 مخرج   سمارت هوم</t>
  </si>
  <si>
    <t>خلاط دفن دائرى أسود 2 مخرج  سمارت هوم</t>
  </si>
  <si>
    <t>طقم تطويل خلاط دفن 1 مخرج شامل القلب  سمارت هوم</t>
  </si>
  <si>
    <t>طقم تطويل خلاط دفن 2 مخرج شامل القلب والمحول سمارت هوم</t>
  </si>
  <si>
    <t>طقم تطويل خلاط دفن 1 مخرج أسود   سمارت هوم</t>
  </si>
  <si>
    <t>طقم تطويل خلاط دفن 2 مخرج أسود  سمارت هوم</t>
  </si>
  <si>
    <t>محبس زاوية سمارت Baic سمارت هوم</t>
  </si>
  <si>
    <t>محبس زاوية 1/2 * 1/2 بدون روزيته  سمارت هوم</t>
  </si>
  <si>
    <t>محبس زاوية 1/2*1/2 شامل القلب والاكرة سمارت هوم</t>
  </si>
  <si>
    <t>وصلة مرنة  30 سم سمارت هوم</t>
  </si>
  <si>
    <t>وصلة مرنة  40 سم سمارت هوم</t>
  </si>
  <si>
    <t>وصلة مرنة  50 سم سمارت هوم</t>
  </si>
  <si>
    <t>وصلة مرنة  60 سم سمارت هوم</t>
  </si>
  <si>
    <t>وصلة مرنة  80 سم سمارت هوم</t>
  </si>
  <si>
    <t>وصلة مرنة  100 سم سمارت هوم</t>
  </si>
  <si>
    <t>وصلة مرنة 60 سم بسن خلاط سمارت هوم</t>
  </si>
  <si>
    <t>جلبة 4/3  سمارت هوم</t>
  </si>
  <si>
    <t>جلبة صرف 1 بوصة  سمارت هوم</t>
  </si>
  <si>
    <t>جلبة صرف 32 مم  سمارت هوم</t>
  </si>
  <si>
    <t>جلبة صرف 48 مم  سمارت هوم</t>
  </si>
  <si>
    <t>جلبة صرف 60 مم  سمارت هوم</t>
  </si>
  <si>
    <t>جلبة صرف 63 مم  سمارت هوم</t>
  </si>
  <si>
    <t>جلبة صرف 90 مم  سمارت هوم</t>
  </si>
  <si>
    <t>جلبة صرف 75 مم  سمارت هوم</t>
  </si>
  <si>
    <t>جلبة صرف 110 مم  سمارت هوم</t>
  </si>
  <si>
    <t>جلبة صرف 160 مم  سمارت هوم</t>
  </si>
  <si>
    <t>مسلوب لا مركزى 60/90 مم مم  سمارت هوم</t>
  </si>
  <si>
    <t>مسلوب لا مركزي 63/90 مم سمارت هوم</t>
  </si>
  <si>
    <t xml:space="preserve"> مسلوب لا مركزى 75/90 مم  سمارت هوم</t>
  </si>
  <si>
    <t>مسلوب لا مركزي 60/110 مم  سمارت هوم</t>
  </si>
  <si>
    <t>مسلوب لا مركزى 63/110 مم  سمارت هوم</t>
  </si>
  <si>
    <t>مسلوب لا مركزى 75/110 مم  سمارت هوم</t>
  </si>
  <si>
    <t>مسلوب لا مركزى 90/110 مم  سمارت هوم</t>
  </si>
  <si>
    <t>مسلوب لا مركزي 110/48 مم  سمارت هوم</t>
  </si>
  <si>
    <t>مسلوب لا مركزى 160/110 مم سمارت هوم</t>
  </si>
  <si>
    <t>مسلوب لا مرکزی بجوان 60*50 مم  سمارت هوم</t>
  </si>
  <si>
    <t>مسلوب لا مرکزی بجوان 63*50 مم  سمارت هوم</t>
  </si>
  <si>
    <t>مسلوب لا مرکزی بجوان 63*60 مم سمارت هوم</t>
  </si>
  <si>
    <t>مشترك صليبة قصير 60/60 مم 87.5  سمارت هوم</t>
  </si>
  <si>
    <t>مشترك صليبة قصير 63/63 مم 87.5  سمارت هوم</t>
  </si>
  <si>
    <t>مشترك صليبة قصير 90/63 مم 87.5  سمارت هوم</t>
  </si>
  <si>
    <t>مشترك صليبة قصير 90/90 مم87.5  سمارت هوم</t>
  </si>
  <si>
    <t>مشترك صليبة قصير 110/110 مم 87.5  سمارت هوم</t>
  </si>
  <si>
    <t>مشترك صليبة قصير 160/160 مم 87.5 سمارت هوم</t>
  </si>
  <si>
    <t>مشترك صليبة قصير 110/48 مم 87.5  سمارت هوم</t>
  </si>
  <si>
    <t>مشترك صليبة قصير 110/60 مم 87.5  سمارت هوم</t>
  </si>
  <si>
    <t>مشترك صليبة قصير 110/63 مم 87.5  سمارت هوم</t>
  </si>
  <si>
    <t>مشترك صليبة قصير 110/75 مم 87.5 سمارت هوم</t>
  </si>
  <si>
    <t>مشترك صليبة قصير 110/90 مم 87.5 سمارت هوم</t>
  </si>
  <si>
    <t>مشترك قصير 110/48 مم 87.5  سمارت هوم</t>
  </si>
  <si>
    <t>مشترك قصير 110/60 مم 87.5  سمارت هوم</t>
  </si>
  <si>
    <t>مشترك قصير 110/63 مم 87.5  سمارت هوم</t>
  </si>
  <si>
    <t>مشترك قصير 110/75 مم 87.5  سمارت هوم</t>
  </si>
  <si>
    <t>مشترك قصي 110/90 مم 87.5  سمارت هوم</t>
  </si>
  <si>
    <t>مشترك قصير 110 مم 87.5 سمارت هوم</t>
  </si>
  <si>
    <t>طبة تسليك  60 مم سمارت هوم</t>
  </si>
  <si>
    <t>طبة تسليك 63 مم  سمارت هوم</t>
  </si>
  <si>
    <t>طبة تسليك  75 مم   سمارت هوم</t>
  </si>
  <si>
    <t>طبة تسليك 90 مم  سمارت هوم</t>
  </si>
  <si>
    <t>طبة تسليك  110 مم  سمارت هوم</t>
  </si>
  <si>
    <t>طبة تسليك  160 مم  سمارت هوم</t>
  </si>
  <si>
    <t>طبة قطع  48 مم  سمارت هوم</t>
  </si>
  <si>
    <t>طبة قطع  60 مم  سمارت هوم</t>
  </si>
  <si>
    <t>طبة قطع   63 مم   سمارت هوم</t>
  </si>
  <si>
    <t>طبة قطع   75 مم   سمارت هوم</t>
  </si>
  <si>
    <t>طبة قطع   160 مم   سمارت هوم</t>
  </si>
  <si>
    <t>طبة مواسير 4/3 بوصة   سمارت هوم</t>
  </si>
  <si>
    <t>طبة مواسير  1 بوصة  سمارت هوم</t>
  </si>
  <si>
    <t>طبة مواسير  32 مم   سمارت هوم</t>
  </si>
  <si>
    <t>طبة مواسير 48 مم  سمارت هوم</t>
  </si>
  <si>
    <t>طبة مواسير 60 مم  سمارت هوم</t>
  </si>
  <si>
    <t>طبة مواسير  75 مم   سمارت هوم</t>
  </si>
  <si>
    <t>طبة مواسير 90 مم   سمارت هوم</t>
  </si>
  <si>
    <t>طبة ماسورة 110 مم  سمارت هوم</t>
  </si>
  <si>
    <t>طبة مواسير  160 مم  سمارت هوم</t>
  </si>
  <si>
    <t>جيتراب 110/75/75 مخرج 110 مفتوح   سمارت هوم</t>
  </si>
  <si>
    <t>جيتراب 110/75/75 مخرج 110 مغلق   سمارت هوم</t>
  </si>
  <si>
    <t>جيتراب 110/110 مفتوح   سمارت هوم</t>
  </si>
  <si>
    <t>جيتراب 110/110 مغلق   سمارت هوم</t>
  </si>
  <si>
    <t>علاية إضافية للجيتراب طول 20 سم  سمارت هوم</t>
  </si>
  <si>
    <t>قفيز حديد مجلفن 60 مم + مسمار و فیشر سمارت هوم</t>
  </si>
  <si>
    <t>قفيز حديد مجلفن 75 مم + مسمار و فیشر سمارت هوم</t>
  </si>
  <si>
    <t>قفيز حديد مجلفن 110 مم + مسمار و فیشر سمارت هوم</t>
  </si>
  <si>
    <t>قفيز حديد مجلفن 160 مم + مسمار و فیشر سمارت هوم</t>
  </si>
  <si>
    <t>قفيز حديد مجلفن 50 مم + مسمار و فيشر سمارت هوم</t>
  </si>
  <si>
    <t xml:space="preserve"> قفيز حديد مجلفن 32 مم + مسمار و فيشر سمارت هوم</t>
  </si>
  <si>
    <t>قفيز حديد مجلفن 25 مم + مسمار و فیشر سمارت هوم</t>
  </si>
  <si>
    <t>سيفون 63 مم  سمارت هوم</t>
  </si>
  <si>
    <t>سيفون 75 مم   سمارت هوم</t>
  </si>
  <si>
    <t>سيفون 110 مم سمارت هوم</t>
  </si>
  <si>
    <t>سيفون 114 / 110 مم   سمارت هوم</t>
  </si>
  <si>
    <t>سيفون 75 بباب كشف    سمارت هوم</t>
  </si>
  <si>
    <t>سيفون 114/110 بباب كشف   سمارت هوم</t>
  </si>
  <si>
    <t>هواية 60 مم  سمارت هوم</t>
  </si>
  <si>
    <t>هواية 75 مم  سمارت هوم</t>
  </si>
  <si>
    <t>هواية 110 مم  سمارت هوم</t>
  </si>
  <si>
    <t>طبة تسليك صرف 60 مم  سمارت هوم</t>
  </si>
  <si>
    <t>طبة تسليك صرف 75 مم  سمارت هوم</t>
  </si>
  <si>
    <t>طبة تسليك صرف 110 مم سمارت هوم</t>
  </si>
  <si>
    <t>طبة تسليك صرف 160 مم سمارت هوم</t>
  </si>
  <si>
    <t>طبة قطع الصرف 48 مم سمارت هوم</t>
  </si>
  <si>
    <t>طبة قطع الصرف 60 مم سمارت هوم</t>
  </si>
  <si>
    <t>طبة قطع الصرف 63 مم  سمارت هوم</t>
  </si>
  <si>
    <t>طبة قطع الصرف 75 مم سمارت هوم</t>
  </si>
  <si>
    <t>طبة قطع الصرف 160 مم  سمارت هوم</t>
  </si>
  <si>
    <t>طبة مواسير 4/3 بوصة  سمارت هوم</t>
  </si>
  <si>
    <t>طبة مواسير 1 بوصة  سمارت هوم</t>
  </si>
  <si>
    <t>طبة مواسير 32 مم  سمارت هوم</t>
  </si>
  <si>
    <t>طبة مواسير 75 مم  سمارت هوم</t>
  </si>
  <si>
    <t>طبة مواسير 90 مم سمارت هوم</t>
  </si>
  <si>
    <t>طبة مواسير 160 مم سمارت هوم</t>
  </si>
  <si>
    <t>جاليتراب 110/75/75 مخرج 110 مفتوح  سمارت هوم</t>
  </si>
  <si>
    <t>جاليتراب 110/75/75 مخرج 110 مغلق  سمارت هوم</t>
  </si>
  <si>
    <t>جاليتراب 110/110 مفتوح  سمارت هوم</t>
  </si>
  <si>
    <t>جاليتراب 110/110 مغلق  سمارت هوم</t>
  </si>
  <si>
    <t>علاية إضافية للجاليتراب طول 20 سم  سمارت هوم</t>
  </si>
  <si>
    <t>قفيز حديد مجلفن 60 مم + مسمار و فیشر  سمارت هوم</t>
  </si>
  <si>
    <t>قفيز حديد مجلفن 75 مم + مسمار و فیشر  سمارت هوم</t>
  </si>
  <si>
    <t>قفيز حديد مجلفن 110 مم + مسمار و فیشر  سمارت هوم</t>
  </si>
  <si>
    <t>قفيز حديد مجلفن 160 مم + مسمار و فیشر  سمارت هوم</t>
  </si>
  <si>
    <t>قفيز حديد مجلفن 50 مم + مسمار و فیشر  سمارت هوم</t>
  </si>
  <si>
    <t>قفيز حديد مجلفن 32 مم + مسمار و فيشر  سمارت هوم</t>
  </si>
  <si>
    <t>سيفون 75 مم  سمارت هوم</t>
  </si>
  <si>
    <t>سيفون 114 / 110 مم  سمارت هوم</t>
  </si>
  <si>
    <t>سيفون 75 بباب كشف  سمارت هوم</t>
  </si>
  <si>
    <t>سيفون 114/110 بباب كشف  سمارت هوم</t>
  </si>
  <si>
    <t>مسلوب 4/3 * 32      سمارت هوم</t>
  </si>
  <si>
    <t>مسلوب 4/3 * 1 سمارت هوم</t>
  </si>
  <si>
    <t>48/50  مسلوب سمارت هوم</t>
  </si>
  <si>
    <t>48 * مسلوب 1 بوصة سمارت هوم</t>
  </si>
  <si>
    <t>مسلوب 3 بوصة * 75      سمارت هوم</t>
  </si>
  <si>
    <t>90 * مسلوب 3 بوصة سمارت هوم</t>
  </si>
  <si>
    <t>مسلوب 32/48    سمارت هوم</t>
  </si>
  <si>
    <t>مسلوب 48/60      سمارت هوم</t>
  </si>
  <si>
    <t>مسلوب 48/75      سمارت هوم</t>
  </si>
  <si>
    <t>مسلوب مرکز 60/63 سمارت هوم</t>
  </si>
  <si>
    <t>مسلوب 75/60      سمارت هوم</t>
  </si>
  <si>
    <t>مسلوب مرکزی 75/90       سمارت هوم</t>
  </si>
  <si>
    <t>مسلوب مرکزی 110/48      سمارت هوم</t>
  </si>
  <si>
    <t>مسلوب 60/110    سمارت هوم</t>
  </si>
  <si>
    <t>مسلوب 110/75    سمارت هوم</t>
  </si>
  <si>
    <t>مسلوب مرکزی 110/90    سمارت هوم</t>
  </si>
  <si>
    <t>مسلوب 110/160     سمارت هوم</t>
  </si>
  <si>
    <t>بوش 110/114      سمارت هوم</t>
  </si>
  <si>
    <t>مجمع 110/48 مفتوح المخارج   سمارت هوم</t>
  </si>
  <si>
    <t>مجمع 110/60 مفتوح المخارج   سمارت هوم</t>
  </si>
  <si>
    <t>مجمع بيبة 75/110 مفتوحه المخارج   سمارت هوم</t>
  </si>
  <si>
    <t>جرجوری مطر 75      سمارت هوم</t>
  </si>
  <si>
    <t>جرجوری مطر 110      سمارت هوم</t>
  </si>
  <si>
    <t>جلبة اصلاح بوصلة تمدد 75      سمارت هوم</t>
  </si>
  <si>
    <t>جلبة اصلاح بوصلة تمدد 110      سمارت هوم</t>
  </si>
  <si>
    <t>جلبة إصلاح بوصلة تمدد  160 م    سمارت هوم</t>
  </si>
  <si>
    <t>جلبة إصلاح 160 بدون وصلة تمدد   سمارت هوم</t>
  </si>
  <si>
    <t>جلبة إصلاح 110 بدون وصلة تمدد سمارت هوم</t>
  </si>
  <si>
    <t>رقبة بيبة 110 15*15   سمارت هوم</t>
  </si>
  <si>
    <t>رقبة بيبة 125 20*20 سمارت هوم</t>
  </si>
  <si>
    <t>بيبه بالبرقع 48/60 مفتوحة المخارج   سمارت هوم</t>
  </si>
  <si>
    <t>بيبه بالبرقع 75/48 مفتوحة المخارج   سمارت هوم</t>
  </si>
  <si>
    <t>بيبه بالبرقع 60/60 مفتوحة المخارج   سمارت هوم</t>
  </si>
  <si>
    <t>بيبه بالبرقع 75/60 مفتوحة المخارج   سمارت هوم</t>
  </si>
  <si>
    <t>وش استانلس 304  15*15 سمارت هوم</t>
  </si>
  <si>
    <t>بيبه 48/60 مم مفتوحة ارتفاع 7 سم    سمارت هوم</t>
  </si>
  <si>
    <t>بيبه 50/63 مم مفتوحة ارتفاع 7 سم    سمارت هوم</t>
  </si>
  <si>
    <t>بيبه 60/75 مم مفتوحة ارتفاع 8.8 سم    سمارت هوم</t>
  </si>
  <si>
    <t>بيبه 125 * 48/60/75 مم مفتوحة المخارج    سمارت هوم</t>
  </si>
  <si>
    <t>علاية بيبه مدرجه 48/60/75 م    سمارت هوم</t>
  </si>
  <si>
    <t>غطاء بيبة مغلق باليد 20*20  سمارت هوم</t>
  </si>
  <si>
    <t>غطاء بيبة مفتوح باليد 20*20 سمارت هوم</t>
  </si>
  <si>
    <t>صفاية 48 مم    سمارت هوم</t>
  </si>
  <si>
    <t>غرفة تفتيش 50*50 سم    سمارت هوم</t>
  </si>
  <si>
    <t>رقبة تطويل غرفة تفتيش سمارت هوم</t>
  </si>
  <si>
    <t>غطاء غرفة تفتيش بقاعدة الغطاء سمارت هوم</t>
  </si>
  <si>
    <t>جسم غرفة تفتيش بالطبب والجوانات    سمارت هوم</t>
  </si>
  <si>
    <t>غطاء بالفريم 50سم * 50 سم     سمارت هوم</t>
  </si>
  <si>
    <t>غطاء 60*60 سم بالفريم       سمارت هوم</t>
  </si>
  <si>
    <t>غرفة تفتيش 60*60 سم    سمارت هوم</t>
  </si>
  <si>
    <t>علاية مصمتة لغرفة تفتيش 60*60      سمارت هوم</t>
  </si>
  <si>
    <t>علاية بمدخلين 110 مم لغرفة تفتيش 60*60 سم سمارت هوم</t>
  </si>
  <si>
    <t>بيبه رمادي 75/50 سمارت هوم</t>
  </si>
  <si>
    <t>علاية بيبه رمادي بغطاء ستانلس ستيل 107 م سمارت هوم</t>
  </si>
  <si>
    <t>علاية بيبه رمادي بغطاء ستانلس ستيل 150 مم    سمارت هوم</t>
  </si>
  <si>
    <t>غطاء بالفريم 60 سم * 60 سم اخضر سمارت هوم</t>
  </si>
  <si>
    <t>غطاء 60*60 سم + قاعدة غرفة تفتيش 60*60 سم    سمارت هوم</t>
  </si>
  <si>
    <t>غرفة تفتيش 60*60 بدون علاية سمارت هوم</t>
  </si>
  <si>
    <t>غرفة رفع 60*60 سم تشمل طلبمة  سمارت هوم</t>
  </si>
  <si>
    <t>غرفة رفع 60*60 كاملة بدون طلمبة سمارت هوم</t>
  </si>
  <si>
    <t>مانع ارتداد 110 مم        سمارت هوم</t>
  </si>
  <si>
    <t>مانع ارتداد 160 مم       سمارت هوم</t>
  </si>
  <si>
    <t>مجرى بطول 1 متر بالغطاء     سمارت هوم</t>
  </si>
  <si>
    <t>مجرى بطول 1 متر بغطاء استانلس ستيل 304 سمارت هوم</t>
  </si>
  <si>
    <t>كيس بداية ونهاية + مخرج     سمارت هوم</t>
  </si>
  <si>
    <t>غطاء مجرى مائی 50 سم    سمارت هوم</t>
  </si>
  <si>
    <t>كيس بداية ونهاية ومخرج مجری 1متر 20 سم        سمارت هوم</t>
  </si>
  <si>
    <t>مخرج جانبی 75 مم للمجرى المائي     سمارت هوم</t>
  </si>
  <si>
    <t>مخرج جانبی 110 مم للمجرى المائي  سمارت هوم</t>
  </si>
  <si>
    <t>مشترك مجری مائی    سمارت هوم</t>
  </si>
  <si>
    <t>مجری مائی 1 متر*20 سم   سمارت هوم</t>
  </si>
  <si>
    <t>مجری مائی 1 متر*20 سم بدون غطاء سمارت هوم</t>
  </si>
  <si>
    <t>مجری مانی 1 متر*20 سم بغطاء زهر سمارت هوم</t>
  </si>
  <si>
    <t>مجری مائی متعددة 12 سم*1 متر  سمارت هوم</t>
  </si>
  <si>
    <t>مجری مائی متعددة بغطاء ستانلس 12 سم*1 متر  سمارت هوم</t>
  </si>
  <si>
    <t>مخرج انثى 75 مم مجرمائی متعدد + بداية ونهاية سمارت هوم</t>
  </si>
  <si>
    <t>مخرج ذكر 75 مم مجر مائی متعدد + بداية ونهاية سمارت هوم</t>
  </si>
  <si>
    <t>مسلوب لا مركز قصير 75/110جوان + بداية ونهاية سمارت هوم</t>
  </si>
  <si>
    <t>وصلة زاوية 22.5 درجة لمجرى مائى متعددة سمارت هوم</t>
  </si>
  <si>
    <t>عازل بيتوكوت بستلة 3 كيلو سمارت هوم</t>
  </si>
  <si>
    <t>عازل بيتوكوت بستلة 12 كيلو سمارت هوم</t>
  </si>
  <si>
    <t>عازل أسمنتي سمارت هوم</t>
  </si>
  <si>
    <t>سائل إذابة عازل أسمنتي سمارت هوم</t>
  </si>
  <si>
    <t>خزان دفن 10 سم  سمارت هوم</t>
  </si>
  <si>
    <t>غطاء خزان دفن کروم مربع  سمارت هوم</t>
  </si>
  <si>
    <t>غطاء خزان دفن کروم دائري  سمارت هوم</t>
  </si>
  <si>
    <t>غطاء خزان دفن اسود مربع  سمارت هوم</t>
  </si>
  <si>
    <t>غطاء خزان دفن نحاسی مربع  سمارت هوم</t>
  </si>
  <si>
    <t>غطاء خزان دفن شامبين مربع سمارت هوم</t>
  </si>
  <si>
    <t>طلمبة مياه 1 حصان EG100  سمارت هوم</t>
  </si>
  <si>
    <t>طلمبة مياه 2 حصان EG200  سمارت هوم</t>
  </si>
  <si>
    <t>طلمبة مياه 3 حصان EG300 سمارت هوم</t>
  </si>
  <si>
    <t>شحم مواسير 150 مل  سمارت هوم</t>
  </si>
  <si>
    <t>شحم مواسير 250 مل  سمارت هوم</t>
  </si>
  <si>
    <t>شحم مواسير 500 مل سمارت هوم</t>
  </si>
  <si>
    <t>السعر معدل</t>
  </si>
  <si>
    <t>المجموع =</t>
  </si>
  <si>
    <t>مواسير لحام 20مم 4م BR PN20</t>
  </si>
  <si>
    <t>مواسير لحام 25مم 4م BR PN20</t>
  </si>
  <si>
    <t>مواسير لحام 32مم 4م BR PN20</t>
  </si>
  <si>
    <t>مواسير لحام 40مم 4م BR PN20</t>
  </si>
  <si>
    <t>مواسير لحام 50مم 4م BR PN20</t>
  </si>
  <si>
    <t>مواسير لحام 63مم 4م BR PN20</t>
  </si>
  <si>
    <t>مواسير لحام 75مم 4م BR PN20</t>
  </si>
  <si>
    <t>مواسير لحام 90مم 4م BR PN20</t>
  </si>
  <si>
    <t>مواسير لحام 110مم 4م BR PN20</t>
  </si>
  <si>
    <t>مواسير لحام 160مم 4م BR PN20</t>
  </si>
  <si>
    <t>مواسير لحام فايبر 20مم 4م BR PN20</t>
  </si>
  <si>
    <t>مواسير لحام فايبر 25 مم 4م BR PN20</t>
  </si>
  <si>
    <t>مواسير لحام فايبر 32مم 4م BR PN20</t>
  </si>
  <si>
    <t>مواسير لحام فايبر 40مم 4م BR PN20</t>
  </si>
  <si>
    <t>مواسير لحام فايبر 50مم 4م BR PN20</t>
  </si>
  <si>
    <t>مواسير لحام فايبر 63مم 4م BR PN20</t>
  </si>
  <si>
    <t>مواسير لحام فايبر 75مم 4م BR PN20</t>
  </si>
  <si>
    <t>مواسير لحام فايبر 90مم 4م BR PN20</t>
  </si>
  <si>
    <t>مواسير لحام فايبر 110مم 4م BR PN20</t>
  </si>
  <si>
    <t>البحث عن القائمة</t>
  </si>
  <si>
    <t>BR</t>
  </si>
  <si>
    <t>سمارت هوم</t>
  </si>
  <si>
    <t>كيسيل</t>
  </si>
  <si>
    <t>مكان كل لسته</t>
  </si>
  <si>
    <t>جلبه تطويل محبس دفن دوت ثيرم</t>
  </si>
  <si>
    <t>وصلة شجره مرنة  40 سم سمارت هوم</t>
  </si>
  <si>
    <t>وصلة شجره مرنة  50 سم سمارت هوم</t>
  </si>
  <si>
    <t>وصلة شجره مرنة  60 سم سمارت هوم</t>
  </si>
  <si>
    <t>وصلة تمدد 75 سمارت هوم</t>
  </si>
  <si>
    <t>وصلة تمدد 110 سمارت هوم</t>
  </si>
  <si>
    <t>وصلة تمدد  160 سمارت هوم</t>
  </si>
  <si>
    <t>وصلة مرنة 40 سم بسن خلاط سمارت هوم</t>
  </si>
  <si>
    <t>وصلة مرنة 50 سم بسن خلاط سمارت هوم</t>
  </si>
  <si>
    <t>كوع نزل نحاس بلازا</t>
  </si>
  <si>
    <t>حنفيه بليه ايطالي ١/٢</t>
  </si>
  <si>
    <t>حنفيه بليه ايطالى ٣/٤</t>
  </si>
  <si>
    <t>حنفيه بليه ايطالي كبيره لوكس ١</t>
  </si>
  <si>
    <t>مشترك نيكل مدور ۱/۲ شيلد</t>
  </si>
  <si>
    <t>نبل نيكل شجره لوكس ١/٢</t>
  </si>
  <si>
    <t>مانيجا سوسته ايطالي</t>
  </si>
  <si>
    <t>قلب خلاط هاند میکسر عاده ۳۲ مم</t>
  </si>
  <si>
    <t>قلب خلاط هاند میکسر عاده ٥٠ مم</t>
  </si>
  <si>
    <t>قلب خلاط هاند ميكسر بكعب ٥٠ مم تركي</t>
  </si>
  <si>
    <t>طقم سنترك مفتاح وجه دائري بلازا</t>
  </si>
  <si>
    <t>قلب خلاط مشرشر ٣ لنيه ايطالي</t>
  </si>
  <si>
    <t>قلب خلاط مشرشر ٣٠٥ لنيه ايطالي</t>
  </si>
  <si>
    <t>قلب خلاط مشرشر ۱/۲ موديل ايطالي صناعه صيني</t>
  </si>
  <si>
    <t>قلب خلاط سيراميك ١/٢</t>
  </si>
  <si>
    <t>قلب خلاط مشرشر ۱/۲ موديل الماني صناعه صيني</t>
  </si>
  <si>
    <t>قلب خلاط مشرشر ۱/۲ موديل الماني صناعه ايطالي</t>
  </si>
  <si>
    <t>عوامه ضاغط دیورافیت</t>
  </si>
  <si>
    <t>ماكينه طرد ديورافيت</t>
  </si>
  <si>
    <t>بوش ۱/۲*۳/٤ استانلس</t>
  </si>
  <si>
    <t>بوش 3/4*١ انفت مجلفن</t>
  </si>
  <si>
    <t>بوش نيكل ١/٢*٣/٨</t>
  </si>
  <si>
    <t>سيفون مفرد حله مصري بلاستيك 3"</t>
  </si>
  <si>
    <t>سيفون حله بلاستيك ايطالى 3"</t>
  </si>
  <si>
    <t>ماكينه فونتانا ضغط هواء خضراء تقليد كليوباترا حنفيه عمودي ۲</t>
  </si>
  <si>
    <t>ضاغط ماكينه ديورافيت</t>
  </si>
  <si>
    <t>كاوتشه سيلكون ديورافيت</t>
  </si>
  <si>
    <t>كاوتشه خزان دیورافیت</t>
  </si>
  <si>
    <t>غراء G4 - حار ٨/ك</t>
  </si>
  <si>
    <t>غراء G4 - حار ١/٤ك</t>
  </si>
  <si>
    <t>علبه شحم نباتي كبيره</t>
  </si>
  <si>
    <t>مسمار سخان توب</t>
  </si>
  <si>
    <t>محبس زاويه جلاكسى ذهبي ترکی</t>
  </si>
  <si>
    <t>محبس زاویه جلاكسى اسود ترکی</t>
  </si>
  <si>
    <t>محبس زاویه مجوز ۲ کره شیلد</t>
  </si>
  <si>
    <t>شيك بلف سخان ايطالي ۱/۲</t>
  </si>
  <si>
    <t>وش مدور اسود</t>
  </si>
  <si>
    <t>وش مدور ذهبي</t>
  </si>
  <si>
    <t>مسمار قاعده کارت</t>
  </si>
  <si>
    <t>مسمار قاعده كليوباترا جنب بلاستيك</t>
  </si>
  <si>
    <t>بكره عازل تايواني</t>
  </si>
  <si>
    <t>كابولي حديد لحوض ۱۰۰ سم</t>
  </si>
  <si>
    <t>مشترك فلتر</t>
  </si>
  <si>
    <t>عوامه ضاغط نيو اكوافليكس GV40105NU ايديال</t>
  </si>
  <si>
    <t>غطاء بيبه ۱۰*۱۰ سم قابل للتبليط ليزر</t>
  </si>
  <si>
    <t>جلبه تطويل ۱/۲*۱/۲ ۱۰ سم</t>
  </si>
  <si>
    <t>غطاء بيبه ۱۰*۱۰ بشيك بلف</t>
  </si>
  <si>
    <t>كاوتشه مسلوبه ٥٠*٣٢</t>
  </si>
  <si>
    <t>کارتشه مسلوبه ٤٠*٦٣</t>
  </si>
  <si>
    <t>کارتشه مسلوبه ٣٢*٦٣</t>
  </si>
  <si>
    <t>مشترك نيكل ١/٢ PG</t>
  </si>
  <si>
    <t>لاكور فلتر وصله سريعه</t>
  </si>
  <si>
    <t>كوع فلتر</t>
  </si>
  <si>
    <t>محبس فلتر ١/٤</t>
  </si>
  <si>
    <t>حنفیه فلتر هاند میکسر رخامي لوكس</t>
  </si>
  <si>
    <t>حنفيه فلتر صغير بكاوتشه الفلتر</t>
  </si>
  <si>
    <t>طقم شمع تانك ٤ قطع</t>
  </si>
  <si>
    <t>شمع فلتر مرحله اولي تانك</t>
  </si>
  <si>
    <t>طقم اكسسوار ٦ قطع كود EC150 اسود انفنتي</t>
  </si>
  <si>
    <t>قنطره خلاط شجره هاند میکسر طويله</t>
  </si>
  <si>
    <t>قنطره خلاط شجره هاند میکسر قصيره</t>
  </si>
  <si>
    <t>فلتر قنطره سن خارجي كارت</t>
  </si>
  <si>
    <t>خزان دفن جروهي كامل ۳۸۷۷۲۰۰۱ وش مربع</t>
  </si>
  <si>
    <t>مجموعه صرف خزان دفن</t>
  </si>
  <si>
    <t>هد شطاف ابيض ايطالي</t>
  </si>
  <si>
    <t>هد شطاف ابيض تركي</t>
  </si>
  <si>
    <t>هد شطاف نيكل تركي</t>
  </si>
  <si>
    <t>سماعه قلم کروم فييرا تركي</t>
  </si>
  <si>
    <t>سماعه شنطه رمادي فييرا تركي</t>
  </si>
  <si>
    <t>سماعه شنطه اسود فييرا تركي</t>
  </si>
  <si>
    <t>جلبه فلتر ١/٤*١/٢</t>
  </si>
  <si>
    <t>كوع نيكل ذكر بسن مدور ۱/۲*۱/۲ شيلد</t>
  </si>
  <si>
    <t>قله ماكينه ضاغط يونيفرسال GV40201AA ايديال</t>
  </si>
  <si>
    <t>هاندل شطاف اسود 963104NU أيديال</t>
  </si>
  <si>
    <t>كاوتشه قله ايديال</t>
  </si>
  <si>
    <t>سماعه دش صفوه هد صغير جولد</t>
  </si>
  <si>
    <t>سماعه لوكس ايطالي</t>
  </si>
  <si>
    <t>شطاف اتوماتيك كروم فييرا تركي</t>
  </si>
  <si>
    <t>شطاف اوتوماتيك هد بلاستيك ذهبي لا فيتا ايطالي</t>
  </si>
  <si>
    <t>خرطوم دش صيني ١٥٠ سم</t>
  </si>
  <si>
    <t>كوع نيكل ۱/۲ مدور شیلد</t>
  </si>
  <si>
    <t>طابق حوض تاتش ١١/٤ ايطالي</t>
  </si>
  <si>
    <t>طابق حوض تاتش ١١/٤ الياسمين</t>
  </si>
  <si>
    <t>طابق حوض تاتش ١١/٤ روكا</t>
  </si>
  <si>
    <t>كوع شاور طاسه دفن مربع ۳۰ سم</t>
  </si>
  <si>
    <t>كوع شاور طاسه دفن مربع ٤٠ سم</t>
  </si>
  <si>
    <t>اکره خلاط ثقيله</t>
  </si>
  <si>
    <t>متر خرطوم فلتر</t>
  </si>
  <si>
    <t>خرطوم صرف غساله ١,٥م موديل تركي</t>
  </si>
  <si>
    <t>غراء ويلد اون ۷۱۷ بارد ١/٤ك</t>
  </si>
  <si>
    <t>حوض 1 عين 1 صفايه 50*۱۰۰ سم ثقيل المنار</t>
  </si>
  <si>
    <t>سیفون مجوز ميجا فلکس 3" توتونجي</t>
  </si>
  <si>
    <t>طاسه دش مربعه ثقيله استانلس ۲۰* ۲۰ لوكس</t>
  </si>
  <si>
    <t>طاسه دش مربعه ثقيله استانلس ٢٥* ٢٥ لوكس</t>
  </si>
  <si>
    <t>غطاء بلاستيك ٥٠ سم * 50 سم</t>
  </si>
  <si>
    <t>غطاء بلاستيك ٦٠سم* ٦٠سم مجوز</t>
  </si>
  <si>
    <t>غطاء جي ار بي ٦٠*٦٠ سم حموله ٤ طن اسود</t>
  </si>
  <si>
    <t>غراء ويلد اون ۷۱۷ بارد ۸/1ك</t>
  </si>
  <si>
    <t>غراء فيكس بوند حار ميني ( عبوة التوفير)</t>
  </si>
  <si>
    <t>نبل نيكل ٣/٤ * ١/٢</t>
  </si>
  <si>
    <t>حنفیه عمودی ۱/۲ اسانسير SIAMP</t>
  </si>
  <si>
    <t>مدخنه سخان ٤</t>
  </si>
  <si>
    <t>مدخنه سخان 5</t>
  </si>
  <si>
    <t>اکره خلاط هاند میکسر</t>
  </si>
  <si>
    <t>مسمار سديلي الشناوي</t>
  </si>
  <si>
    <t>مسمار سديلي تقليد ايديال وديورافيت</t>
  </si>
  <si>
    <t>افيز دوبل ٣/٤ بولي منوع</t>
  </si>
  <si>
    <t>مانيجا سوسته ترکی</t>
  </si>
  <si>
    <t>حنفيه عمودی اسانسیر صینی با بلاستيك ١/٢</t>
  </si>
  <si>
    <t>جلبه نيكل عاده ٣/٤ * ١/٢</t>
  </si>
  <si>
    <t>مسمار حوض لوكس طويل توب</t>
  </si>
  <si>
    <t>محول مسطره نحاس ۱/۲*۱/۲</t>
  </si>
  <si>
    <t>وش + جسم الدفن بمحول لخلاط بانیو ۲۹۰۳۹۰۰۰ باوايدج جروهي</t>
  </si>
  <si>
    <t>عوامه زهران بلاستيك ١*٣/٤</t>
  </si>
  <si>
    <t>جاليتراب زيركو ۳۰ سم* ۳۰ سم</t>
  </si>
  <si>
    <t>جاليتراب زيركو ٤٠ سم *٤٠ سم</t>
  </si>
  <si>
    <t>قشره لصق ۳۲ مم* ۱</t>
  </si>
  <si>
    <t>قشره لصق ٥٠ مم* ١١/٢</t>
  </si>
  <si>
    <t>قشره لصق ٦٣مم* ٢ "</t>
  </si>
  <si>
    <t>قشره بسن داخلي ٥٠ مم* ١١/٢</t>
  </si>
  <si>
    <t>قشره بسن داخلي ٢*٦٣</t>
  </si>
  <si>
    <t>سوسته تسليك ۱,5 متر اسود</t>
  </si>
  <si>
    <t>سيفون مفرد بصاموله بلاستيك نيك دانيللو ايطالي ١١/٢</t>
  </si>
  <si>
    <t>نبل نحاس خفيف ٣/٤</t>
  </si>
  <si>
    <t>فايظ حله ۱۱/۲ مشترك فايظ خرطوم</t>
  </si>
  <si>
    <t>لاكور حنفيه ١/٢</t>
  </si>
  <si>
    <t>لاكور حنفيه ٣/٤</t>
  </si>
  <si>
    <t>فلتر ٦ مرحله برو تانك</t>
  </si>
  <si>
    <t>عازل سيكا ۱۰۷</t>
  </si>
  <si>
    <t>فلتر خلاط سوسته جامبو</t>
  </si>
  <si>
    <t>قنطره كوافير سوسته متحركه الوان</t>
  </si>
  <si>
    <t>طبه حوض نيكل</t>
  </si>
  <si>
    <t>صاموله قنطره هاند میکسر مبططه</t>
  </si>
  <si>
    <t>صامولة زنق نحاس ١/٢</t>
  </si>
  <si>
    <t>صاموله زنق نحاس 1"</t>
  </si>
  <si>
    <t>صاموله قلب هاند میکسر ٥٠ مم نحاس لوكس</t>
  </si>
  <si>
    <t>صاموله قلب هاند میکسر ۳۲ مم نحاس لوكس</t>
  </si>
  <si>
    <t>حنفيه بليه صينى ۱/۲</t>
  </si>
  <si>
    <t>کوع نزل نحاس بلازا</t>
  </si>
  <si>
    <t>حنفیه بلیه ايطالي ٣/٤</t>
  </si>
  <si>
    <t>فلتر مياه 5 مراحل تانك</t>
  </si>
  <si>
    <t>سيفون كوبايه بلاستيك ١١/٤ توتونجي</t>
  </si>
  <si>
    <t>سيفون رالي بلس ۱۱/۲ توتونجي</t>
  </si>
  <si>
    <t>طقم سنترك خلاط متحرك</t>
  </si>
  <si>
    <t>غراء G4 حار ميني</t>
  </si>
  <si>
    <t>شمع فلتر كربون عاده</t>
  </si>
  <si>
    <t>شمع فلتر كربون شبك</t>
  </si>
  <si>
    <t>حنفية غسالة 3/4*1/2 بالاكرة بدون روزيته  سمارت هوم</t>
  </si>
  <si>
    <t>حنفية غسالة 1/2 * 3/4 بالاكرة سمارت هوم</t>
  </si>
  <si>
    <t>مجري شاور ۳۰ سم استانلس ٣٠٤ ليزر تبليط دوت بلس</t>
  </si>
  <si>
    <t>افيز فيشر ٤/ دوت بلس</t>
  </si>
  <si>
    <t>افيز فیشر ۱ دوت بلس</t>
  </si>
  <si>
    <t>افيز فیشر ۱۱/۲ دوت بلس</t>
  </si>
  <si>
    <t>افيز فيشر ۲ دوت بلس</t>
  </si>
  <si>
    <t>افيز فیشر ۲۱/۲ دوت بلس</t>
  </si>
  <si>
    <t>افيز فيشر ٦ دوت بلس</t>
  </si>
  <si>
    <t>نبل نيكل ۱/۲ دوت بلس</t>
  </si>
  <si>
    <t>بكرة تيفلون ٢٥ متر دوت بلس</t>
  </si>
  <si>
    <t>بكرة تيفلون ٥٠ متر جامبو دوت بلس</t>
  </si>
  <si>
    <t>وصله استانلس كروم ۲۰ سم دوت بلس</t>
  </si>
  <si>
    <t>طبه نيكل نحاس ۱/۲ دوت بلس</t>
  </si>
  <si>
    <t>وش نيكل مدور عاده دوت بلس</t>
  </si>
  <si>
    <t>طقم مسمار حوض لوكس دوت بلس</t>
  </si>
  <si>
    <t>حنفيه بليه ۱/۲ دوت بلس</t>
  </si>
  <si>
    <t>افيز فيشر 4" دوت بلس</t>
  </si>
  <si>
    <t>وصله استانلس 3/8*3/8 40سم دوت بلس</t>
  </si>
  <si>
    <t>وصله استانلس ١/٢*٣/٨ 45سم دوت بلس</t>
  </si>
  <si>
    <t>جلبه تطويل نيكل ۱/۲*۱/۲ دوت بلس</t>
  </si>
  <si>
    <t>غطاء بيبه تاتش ١٥*١٥سم لوکس دوت بلس</t>
  </si>
  <si>
    <t>غطاء بيبه تانش ۲۰*۲۰ سم لوکس دوت بلس</t>
  </si>
  <si>
    <t>سيفون 3" بالطابق دوت بلس</t>
  </si>
  <si>
    <t>جلبه نيكل ۱/۲*۳/۸ دوت بلس</t>
  </si>
  <si>
    <t>سیفون مفرد بصاموله بلاستيك 11/4 دوت بلس</t>
  </si>
  <si>
    <t>سيفون مفرد بصاموله بلاستيك ۱۱/۲ دوت بلس</t>
  </si>
  <si>
    <t>شطاف اوتوماتيك ابيض دوت بلس</t>
  </si>
  <si>
    <t>طقم مسمار سخان لوکس دوت بلس</t>
  </si>
  <si>
    <t>خرطوم تغذیه غساله ١,٥م دوت بلس</t>
  </si>
  <si>
    <t>خلاط شطاف هاند میکسر ESS690 دوت ايفوك</t>
  </si>
  <si>
    <t>مشتمل محبس دفن دوت ثيرم</t>
  </si>
  <si>
    <t>مانيجا سوسته ٤ دوت بلس</t>
  </si>
  <si>
    <t>سيفون مجوز بصاموله بلاستيك ۲ دوت بلس</t>
  </si>
  <si>
    <t>خلاط بانيو هاند میکسر ESS400T دوت ايفوك</t>
  </si>
  <si>
    <t>خلاط حوض مسبك هاند ميكسر ESS400 دوت ايفوك</t>
  </si>
  <si>
    <t>خلاط حوض مسبك هاند ميكسر ESS300M دوت ايفوك</t>
  </si>
  <si>
    <t>خلاط حوض مسبك هاند ميكسر ESS110 دوت ايفوك</t>
  </si>
  <si>
    <t>مجري شاور ٥٠سم استانلس ٣٠٤ ليزر تبليط دوت بلس</t>
  </si>
  <si>
    <t>مجري شاور ٤٠ سم استانلس ٣٠٤ ليزر تبليط دوت بلس</t>
  </si>
  <si>
    <t>ماكينه كومبينيشن ضغط 2" دوت بلس</t>
  </si>
  <si>
    <t>غطاء بيبه ١٥*١٥ سم ليزر قابل للتبليط دوت بلس</t>
  </si>
  <si>
    <t>غطاء بيبه ۲۰*۲۰ سم قابل للتبليط ليزر دوت بلس</t>
  </si>
  <si>
    <t>محبس زاویه ۱/۲*۱/۲ بعلامه صغير دوت بلس</t>
  </si>
  <si>
    <t>محبس زاویه ۱/۲*۱/۲ مروحه دوت بلس</t>
  </si>
  <si>
    <t>خلاط حوض هاند میکسر قنطره قصيره ESS400B دوت ايفوك</t>
  </si>
  <si>
    <t>خلاط حوض هاند میکسر قنطره عاليه ESS400 دوت ايفوك</t>
  </si>
  <si>
    <t>كوامل</t>
  </si>
  <si>
    <t>4 + 357 + 358 + 552 + 553 + 916 + 921 + 1200</t>
  </si>
  <si>
    <t>النوع</t>
  </si>
  <si>
    <t>نواكل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</si>
</sst>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/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0" fillId="5" borderId="4" xfId="0" applyFill="1" applyBorder="1"/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0" fillId="7" borderId="0" xfId="0" applyFill="1"/>
    <xf numFmtId="0" fontId="0" fillId="0" borderId="0" xfId="0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4" xfId="0" applyBorder="1"/>
    <xf numFmtId="0" fontId="0" fillId="7" borderId="4" xfId="0" applyFill="1" applyBorder="1"/>
    <xf numFmtId="0" fontId="0" fillId="5" borderId="0" xfId="0" applyFill="1"/>
    <xf numFmtId="4" fontId="4" fillId="0" borderId="0" xfId="0" applyNumberFormat="1" applyFont="1" applyAlignment="1">
      <alignment horizontal="center" vertical="center"/>
    </xf>
    <xf numFmtId="0" fontId="0" fillId="7" borderId="5" xfId="0" applyFill="1" applyBorder="1"/>
    <xf numFmtId="0" fontId="2" fillId="4" borderId="5" xfId="0" applyFont="1" applyFill="1" applyBorder="1" applyAlignment="1">
      <alignment horizontal="center" vertical="center"/>
    </xf>
    <xf numFmtId="0" fontId="0" fillId="0" borderId="5" xfId="0" applyBorder="1"/>
    <xf numFmtId="0" fontId="4" fillId="4" borderId="5" xfId="0" applyFont="1" applyFill="1" applyBorder="1" applyAlignment="1">
      <alignment horizontal="center" vertical="center"/>
    </xf>
    <xf numFmtId="0" fontId="0" fillId="4" borderId="5" xfId="0" applyFill="1" applyBorder="1"/>
    <xf numFmtId="0" fontId="4" fillId="0" borderId="5" xfId="0" applyFont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0" fillId="7" borderId="10" xfId="0" applyFill="1" applyBorder="1"/>
    <xf numFmtId="0" fontId="0" fillId="7" borderId="13" xfId="0" applyFill="1" applyBorder="1"/>
    <xf numFmtId="0" fontId="0" fillId="7" borderId="7" xfId="0" applyFill="1" applyBorder="1"/>
    <xf numFmtId="0" fontId="0" fillId="7" borderId="6" xfId="0" applyFill="1" applyBorder="1"/>
    <xf numFmtId="0" fontId="4" fillId="7" borderId="12" xfId="0" applyFont="1" applyFill="1" applyBorder="1" applyAlignment="1">
      <alignment horizontal="center" vertical="center"/>
    </xf>
    <xf numFmtId="0" fontId="0" fillId="7" borderId="9" xfId="0" applyFill="1" applyBorder="1"/>
    <xf numFmtId="0" fontId="4" fillId="7" borderId="6" xfId="0" applyFont="1" applyFill="1" applyBorder="1" applyAlignment="1">
      <alignment horizontal="center" vertical="center"/>
    </xf>
    <xf numFmtId="0" fontId="0" fillId="0" borderId="11" xfId="0" applyBorder="1"/>
    <xf numFmtId="0" fontId="0" fillId="7" borderId="7" xfId="0" applyFill="1" applyBorder="1" applyAlignment="1">
      <alignment horizontal="center" vertical="center"/>
    </xf>
    <xf numFmtId="0" fontId="0" fillId="7" borderId="14" xfId="0" applyFill="1" applyBorder="1"/>
  </cellXfs>
  <cellStyles count="1">
    <cellStyle name="Normal" xfId="0" builtinId="0"/>
  </cellStyles>
  <dxfs count="22"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</xdr:row>
          <xdr:rowOff>259080</xdr:rowOff>
        </xdr:from>
        <xdr:to>
          <xdr:col>13</xdr:col>
          <xdr:colOff>7620</xdr:colOff>
          <xdr:row>5</xdr:row>
          <xdr:rowOff>22860</xdr:rowOff>
        </xdr:to>
        <xdr:sp macro="" textlink="">
          <xdr:nvSpPr>
            <xdr:cNvPr id="1068" name="ComboBox1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1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6</xdr:row>
          <xdr:rowOff>0</xdr:rowOff>
        </xdr:from>
        <xdr:to>
          <xdr:col>13</xdr:col>
          <xdr:colOff>7620</xdr:colOff>
          <xdr:row>6</xdr:row>
          <xdr:rowOff>259080</xdr:rowOff>
        </xdr:to>
        <xdr:sp macro="" textlink="">
          <xdr:nvSpPr>
            <xdr:cNvPr id="1069" name="ComboBox2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1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</xdr:colOff>
          <xdr:row>8</xdr:row>
          <xdr:rowOff>0</xdr:rowOff>
        </xdr:from>
        <xdr:to>
          <xdr:col>13</xdr:col>
          <xdr:colOff>0</xdr:colOff>
          <xdr:row>9</xdr:row>
          <xdr:rowOff>7620</xdr:rowOff>
        </xdr:to>
        <xdr:sp macro="" textlink="">
          <xdr:nvSpPr>
            <xdr:cNvPr id="1070" name="ComboBox3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1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10</xdr:row>
          <xdr:rowOff>0</xdr:rowOff>
        </xdr:from>
        <xdr:to>
          <xdr:col>13</xdr:col>
          <xdr:colOff>7620</xdr:colOff>
          <xdr:row>10</xdr:row>
          <xdr:rowOff>259080</xdr:rowOff>
        </xdr:to>
        <xdr:sp macro="" textlink="">
          <xdr:nvSpPr>
            <xdr:cNvPr id="1071" name="ComboBox4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1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43" totalsRowShown="0" headerRowDxfId="15" dataDxfId="14">
  <autoFilter ref="A1:C543" xr:uid="{00000000-0009-0000-0100-000001000000}"/>
  <tableColumns count="3">
    <tableColumn id="1" xr3:uid="{00000000-0010-0000-0000-000001000000}" name="كود" dataDxfId="13"/>
    <tableColumn id="2" xr3:uid="{00000000-0010-0000-0000-000002000000}" name="بيان" dataDxfId="12"/>
    <tableColumn id="3" xr3:uid="{00000000-0010-0000-0000-000003000000}" name="السعر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F1:J105" totalsRowShown="0" headerRowDxfId="10" dataDxfId="8" headerRowBorderDxfId="9" tableBorderDxfId="7" totalsRowBorderDxfId="6">
  <autoFilter ref="F1:J105" xr:uid="{00000000-0009-0000-0100-000004000000}"/>
  <tableColumns count="5">
    <tableColumn id="1" xr3:uid="{00000000-0010-0000-0100-000001000000}" name="العدد" dataDxfId="5"/>
    <tableColumn id="2" xr3:uid="{00000000-0010-0000-0100-000002000000}" name="البيـــــــــــــــــــــــــــــــــــــــــــــــــــــــــــــــــــــــــــــــــان" dataDxfId="4"/>
    <tableColumn id="3" xr3:uid="{00000000-0010-0000-0100-000003000000}" name="السعر" dataDxfId="3"/>
    <tableColumn id="4" xr3:uid="{00000000-0010-0000-0100-000004000000}" name="الاجمالي" dataDxfId="2">
      <calculatedColumnFormula>Table4[[#This Row],[السعر]]*Table4[[#This Row],[العدد]]</calculatedColumnFormula>
    </tableColumn>
    <tableColumn id="5" xr3:uid="{00000000-0010-0000-0100-000005000000}" name="المجموع" dataDxfId="1">
      <calculatedColumnFormula>SUM(Table4[[#This Row],[الاجمالي]]+J1)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E1598" totalsRowShown="0" headerRowDxfId="21" dataDxfId="20">
  <autoFilter ref="A1:E1598" xr:uid="{00000000-0009-0000-0100-000005000000}"/>
  <tableColumns count="5">
    <tableColumn id="1" xr3:uid="{00000000-0010-0000-0200-000001000000}" name="الكود" dataDxfId="19"/>
    <tableColumn id="2" xr3:uid="{00000000-0010-0000-0200-000002000000}" name="البيان" dataDxfId="18"/>
    <tableColumn id="3" xr3:uid="{00000000-0010-0000-0200-000003000000}" name="السعر" dataDxfId="17"/>
    <tableColumn id="4" xr3:uid="{00000000-0010-0000-0200-000004000000}" name="السعر معدل" dataDxfId="16">
      <calculatedColumnFormula>C2</calculatedColumnFormula>
    </tableColumn>
    <tableColumn id="5" xr3:uid="{B8DD0862-9F32-4EBF-8F45-A0ED5F1FF6BF}" name="النوع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G1:J114" totalsRowShown="0">
  <autoFilter ref="G1:J114" xr:uid="{00000000-0009-0000-0100-000002000000}"/>
  <tableColumns count="4">
    <tableColumn id="1" xr3:uid="{00000000-0010-0000-0300-000001000000}" name="العدد"/>
    <tableColumn id="2" xr3:uid="{00000000-0010-0000-0300-000002000000}" name="البيان"/>
    <tableColumn id="3" xr3:uid="{00000000-0010-0000-0300-000003000000}" name="السعر"/>
    <tableColumn id="4" xr3:uid="{00000000-0010-0000-0300-000004000000}" name="الاجمالي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table" Target="../tables/table4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912"/>
  <sheetViews>
    <sheetView rightToLeft="1" topLeftCell="C1" zoomScale="70" zoomScaleNormal="70"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1" width="13.6640625" style="16" customWidth="1"/>
    <col min="2" max="2" width="55.21875" customWidth="1"/>
    <col min="3" max="3" width="21.44140625" customWidth="1"/>
    <col min="4" max="4" width="5.33203125" customWidth="1"/>
    <col min="5" max="5" width="10.109375" customWidth="1"/>
    <col min="6" max="6" width="11.6640625" customWidth="1"/>
    <col min="7" max="7" width="54.6640625" customWidth="1"/>
    <col min="8" max="8" width="14.109375" customWidth="1"/>
    <col min="9" max="9" width="12.77734375" customWidth="1"/>
    <col min="10" max="10" width="24.77734375" customWidth="1"/>
    <col min="11" max="11" width="18.44140625" customWidth="1"/>
  </cols>
  <sheetData>
    <row r="1" spans="1:13" ht="43.5" customHeight="1" x14ac:dyDescent="0.3">
      <c r="A1" s="14" t="s">
        <v>131</v>
      </c>
      <c r="B1" s="2" t="s">
        <v>132</v>
      </c>
      <c r="C1" s="2" t="s">
        <v>133</v>
      </c>
      <c r="F1" s="4" t="s">
        <v>165</v>
      </c>
      <c r="G1" s="5" t="s">
        <v>168</v>
      </c>
      <c r="H1" s="5" t="s">
        <v>133</v>
      </c>
      <c r="I1" s="6" t="s">
        <v>167</v>
      </c>
      <c r="J1" s="9" t="s">
        <v>169</v>
      </c>
      <c r="K1" s="22">
        <f>J105</f>
        <v>385.5</v>
      </c>
    </row>
    <row r="2" spans="1:13" ht="43.5" customHeight="1" x14ac:dyDescent="0.3">
      <c r="A2" s="15">
        <v>313060010</v>
      </c>
      <c r="B2" s="1" t="s">
        <v>458</v>
      </c>
      <c r="C2" s="1">
        <v>48.75</v>
      </c>
      <c r="F2" s="7"/>
      <c r="G2" s="5"/>
      <c r="H2" s="5"/>
      <c r="I2" s="8">
        <f>Table4[[#This Row],[السعر]]*Table4[[#This Row],[العدد]]</f>
        <v>0</v>
      </c>
      <c r="J2" s="9" t="e">
        <f>Sheet2!K2=SUM(Table4[[#This Row],[الاجمالي]]+J1)</f>
        <v>#N/A</v>
      </c>
      <c r="K2" s="3"/>
      <c r="L2" s="3"/>
      <c r="M2" s="3"/>
    </row>
    <row r="3" spans="1:13" ht="43.5" customHeight="1" x14ac:dyDescent="0.3">
      <c r="A3" s="15">
        <v>313060011</v>
      </c>
      <c r="B3" s="1" t="s">
        <v>459</v>
      </c>
      <c r="C3" s="1">
        <v>80</v>
      </c>
      <c r="F3" s="7"/>
      <c r="G3" s="9"/>
      <c r="H3" s="9"/>
      <c r="I3" s="8">
        <f>Table4[[#This Row],[السعر]]*Table4[[#This Row],[العدد]]</f>
        <v>0</v>
      </c>
      <c r="J3" s="9">
        <f>SUM(Table4[[#This Row],[الاجمالي]])</f>
        <v>0</v>
      </c>
      <c r="K3" s="3"/>
      <c r="L3" s="3"/>
      <c r="M3" s="3"/>
    </row>
    <row r="4" spans="1:13" ht="43.5" customHeight="1" x14ac:dyDescent="0.3">
      <c r="A4" s="15">
        <v>313060012</v>
      </c>
      <c r="B4" s="1" t="s">
        <v>460</v>
      </c>
      <c r="C4" s="1">
        <v>124.5</v>
      </c>
      <c r="F4" s="7"/>
      <c r="G4" s="9"/>
      <c r="H4" s="9"/>
      <c r="I4" s="8">
        <f>Table4[[#This Row],[السعر]]*Table4[[#This Row],[العدد]]</f>
        <v>0</v>
      </c>
      <c r="J4" s="9">
        <f>SUM(Table4[[#This Row],[الاجمالي]]+J3)</f>
        <v>0</v>
      </c>
      <c r="K4" s="3"/>
      <c r="L4" s="3"/>
      <c r="M4" s="3"/>
    </row>
    <row r="5" spans="1:13" ht="43.5" customHeight="1" x14ac:dyDescent="0.3">
      <c r="A5" s="15">
        <v>313060013</v>
      </c>
      <c r="B5" s="1" t="s">
        <v>461</v>
      </c>
      <c r="C5" s="1">
        <v>185</v>
      </c>
      <c r="F5" s="7"/>
      <c r="G5" s="9"/>
      <c r="H5" s="9"/>
      <c r="I5" s="8">
        <f>Table4[[#This Row],[السعر]]*Table4[[#This Row],[العدد]]</f>
        <v>0</v>
      </c>
      <c r="J5" s="9">
        <f>SUM(Table4[[#This Row],[الاجمالي]]+J4)</f>
        <v>0</v>
      </c>
      <c r="K5" s="3"/>
      <c r="L5" s="3"/>
      <c r="M5" s="3"/>
    </row>
    <row r="6" spans="1:13" ht="43.5" customHeight="1" x14ac:dyDescent="0.3">
      <c r="A6" s="15">
        <v>313060014</v>
      </c>
      <c r="B6" s="1" t="s">
        <v>462</v>
      </c>
      <c r="C6" s="1">
        <v>290</v>
      </c>
      <c r="F6" s="7"/>
      <c r="G6" s="9"/>
      <c r="H6" s="9"/>
      <c r="I6" s="8">
        <f>Table4[[#This Row],[السعر]]*Table4[[#This Row],[العدد]]</f>
        <v>0</v>
      </c>
      <c r="J6" s="9">
        <f>SUM(Table4[[#This Row],[الاجمالي]]+J5)</f>
        <v>0</v>
      </c>
      <c r="K6" s="3"/>
      <c r="L6" s="3"/>
      <c r="M6" s="3"/>
    </row>
    <row r="7" spans="1:13" ht="43.5" customHeight="1" x14ac:dyDescent="0.3">
      <c r="A7" s="15">
        <v>313060015</v>
      </c>
      <c r="B7" s="1" t="s">
        <v>463</v>
      </c>
      <c r="C7" s="1">
        <v>443</v>
      </c>
      <c r="F7" s="7"/>
      <c r="G7" s="9"/>
      <c r="H7" s="9"/>
      <c r="I7" s="8">
        <f>Table4[[#This Row],[السعر]]*Table4[[#This Row],[العدد]]</f>
        <v>0</v>
      </c>
      <c r="J7" s="9">
        <f>SUM(Table4[[#This Row],[الاجمالي]]+J6)</f>
        <v>0</v>
      </c>
      <c r="K7" s="3"/>
      <c r="L7" s="3"/>
      <c r="M7" s="3"/>
    </row>
    <row r="8" spans="1:13" ht="43.5" customHeight="1" x14ac:dyDescent="0.3">
      <c r="A8" s="15">
        <v>313060016</v>
      </c>
      <c r="B8" s="1" t="s">
        <v>464</v>
      </c>
      <c r="C8" s="1">
        <v>635.5</v>
      </c>
      <c r="F8" s="7"/>
      <c r="G8" s="9"/>
      <c r="H8" s="9"/>
      <c r="I8" s="8">
        <f>Table4[[#This Row],[السعر]]*Table4[[#This Row],[العدد]]</f>
        <v>0</v>
      </c>
      <c r="J8" s="9">
        <f>SUM(Table4[[#This Row],[الاجمالي]]+J7)</f>
        <v>0</v>
      </c>
      <c r="K8" s="3"/>
      <c r="L8" s="3"/>
      <c r="M8" s="3"/>
    </row>
    <row r="9" spans="1:13" ht="43.5" customHeight="1" x14ac:dyDescent="0.3">
      <c r="A9" s="15">
        <v>313060017</v>
      </c>
      <c r="B9" s="1" t="s">
        <v>465</v>
      </c>
      <c r="C9" s="1">
        <v>915</v>
      </c>
      <c r="F9" s="7"/>
      <c r="G9" s="9"/>
      <c r="H9" s="9"/>
      <c r="I9" s="8">
        <f>Table4[[#This Row],[السعر]]*Table4[[#This Row],[العدد]]</f>
        <v>0</v>
      </c>
      <c r="J9" s="9">
        <f>SUM(Table4[[#This Row],[الاجمالي]]+J8)</f>
        <v>0</v>
      </c>
      <c r="K9" s="3"/>
      <c r="L9" s="3"/>
      <c r="M9" s="3"/>
    </row>
    <row r="10" spans="1:13" ht="43.5" customHeight="1" x14ac:dyDescent="0.3">
      <c r="A10" s="15">
        <v>313060018</v>
      </c>
      <c r="B10" s="1" t="s">
        <v>466</v>
      </c>
      <c r="C10" s="1">
        <v>1375</v>
      </c>
      <c r="F10" s="7"/>
      <c r="G10" s="9"/>
      <c r="H10" s="9"/>
      <c r="I10" s="8">
        <f>Table4[[#This Row],[السعر]]*Table4[[#This Row],[العدد]]</f>
        <v>0</v>
      </c>
      <c r="J10" s="9">
        <f>SUM(Table4[[#This Row],[الاجمالي]]+J9)</f>
        <v>0</v>
      </c>
      <c r="K10" s="3"/>
      <c r="L10" s="3"/>
      <c r="M10" s="3"/>
    </row>
    <row r="11" spans="1:13" ht="43.5" customHeight="1" x14ac:dyDescent="0.3">
      <c r="A11" s="15">
        <v>313070010</v>
      </c>
      <c r="B11" s="1" t="s">
        <v>170</v>
      </c>
      <c r="C11" s="1">
        <v>56.75</v>
      </c>
      <c r="F11" s="10"/>
      <c r="G11" s="11"/>
      <c r="H11" s="11"/>
      <c r="I11" s="12">
        <f>Table4[[#This Row],[السعر]]*Table4[[#This Row],[العدد]]</f>
        <v>0</v>
      </c>
      <c r="J11" s="9">
        <f>SUM(Table4[[#This Row],[الاجمالي]]+J10)</f>
        <v>0</v>
      </c>
      <c r="K11" s="3"/>
      <c r="L11" s="3"/>
      <c r="M11" s="3"/>
    </row>
    <row r="12" spans="1:13" ht="43.5" customHeight="1" x14ac:dyDescent="0.3">
      <c r="A12" s="15">
        <v>313070011</v>
      </c>
      <c r="B12" s="1" t="s">
        <v>171</v>
      </c>
      <c r="C12" s="1">
        <v>93.25</v>
      </c>
      <c r="F12" s="10"/>
      <c r="G12" s="11"/>
      <c r="H12" s="11"/>
      <c r="I12" s="12">
        <f>Table4[[#This Row],[السعر]]*Table4[[#This Row],[العدد]]</f>
        <v>0</v>
      </c>
      <c r="J12" s="9">
        <f>SUM(Table4[[#This Row],[الاجمالي]]+J11)</f>
        <v>0</v>
      </c>
    </row>
    <row r="13" spans="1:13" ht="43.5" customHeight="1" x14ac:dyDescent="0.3">
      <c r="A13" s="15">
        <v>313070012</v>
      </c>
      <c r="B13" s="1" t="s">
        <v>172</v>
      </c>
      <c r="C13" s="1">
        <v>145.5</v>
      </c>
      <c r="F13" s="7"/>
      <c r="G13" s="9"/>
      <c r="H13" s="9"/>
      <c r="I13" s="8">
        <f>Table4[[#This Row],[السعر]]*Table4[[#This Row],[العدد]]</f>
        <v>0</v>
      </c>
      <c r="J13" s="9">
        <f>SUM(Table4[[#This Row],[الاجمالي]]+J12)</f>
        <v>0</v>
      </c>
    </row>
    <row r="14" spans="1:13" ht="43.5" customHeight="1" x14ac:dyDescent="0.3">
      <c r="A14" s="15">
        <v>313070013</v>
      </c>
      <c r="B14" s="1" t="s">
        <v>173</v>
      </c>
      <c r="C14" s="1">
        <v>215.75</v>
      </c>
      <c r="F14" s="7"/>
      <c r="G14" s="9"/>
      <c r="H14" s="9"/>
      <c r="I14" s="8">
        <f>Table4[[#This Row],[السعر]]*Table4[[#This Row],[العدد]]</f>
        <v>0</v>
      </c>
      <c r="J14" s="9">
        <f>SUM(Table4[[#This Row],[الاجمالي]]+J13)</f>
        <v>0</v>
      </c>
    </row>
    <row r="15" spans="1:13" ht="43.5" customHeight="1" x14ac:dyDescent="0.3">
      <c r="A15" s="15">
        <v>313070014</v>
      </c>
      <c r="B15" s="1" t="s">
        <v>174</v>
      </c>
      <c r="C15" s="1">
        <v>338</v>
      </c>
      <c r="F15" s="7"/>
      <c r="G15" s="9"/>
      <c r="H15" s="9"/>
      <c r="I15" s="8">
        <f>Table4[[#This Row],[السعر]]*Table4[[#This Row],[العدد]]</f>
        <v>0</v>
      </c>
      <c r="J15" s="9">
        <f>SUM(Table4[[#This Row],[الاجمالي]]+J14)</f>
        <v>0</v>
      </c>
    </row>
    <row r="16" spans="1:13" ht="43.5" customHeight="1" x14ac:dyDescent="0.3">
      <c r="A16" s="15">
        <v>313070015</v>
      </c>
      <c r="B16" s="1" t="s">
        <v>175</v>
      </c>
      <c r="C16" s="1">
        <v>516</v>
      </c>
      <c r="F16" s="7"/>
      <c r="G16" s="9"/>
      <c r="H16" s="9"/>
      <c r="I16" s="8">
        <f>Table4[[#This Row],[السعر]]*Table4[[#This Row],[العدد]]</f>
        <v>0</v>
      </c>
      <c r="J16" s="9">
        <f>SUM(Table4[[#This Row],[الاجمالي]]+J15)</f>
        <v>0</v>
      </c>
    </row>
    <row r="17" spans="1:10" ht="43.5" customHeight="1" x14ac:dyDescent="0.3">
      <c r="A17" s="15">
        <v>313070016</v>
      </c>
      <c r="B17" s="1" t="s">
        <v>176</v>
      </c>
      <c r="C17" s="1">
        <v>741</v>
      </c>
      <c r="F17" s="7"/>
      <c r="G17" s="9"/>
      <c r="H17" s="9"/>
      <c r="I17" s="8">
        <f>Table4[[#This Row],[السعر]]*Table4[[#This Row],[العدد]]</f>
        <v>0</v>
      </c>
      <c r="J17" s="9">
        <f>SUM(Table4[[#This Row],[الاجمالي]]+J16)</f>
        <v>0</v>
      </c>
    </row>
    <row r="18" spans="1:10" ht="43.5" customHeight="1" x14ac:dyDescent="0.3">
      <c r="A18" s="15">
        <v>313070017</v>
      </c>
      <c r="B18" s="1" t="s">
        <v>177</v>
      </c>
      <c r="C18" s="1">
        <v>1067</v>
      </c>
      <c r="F18" s="7"/>
      <c r="G18" s="9"/>
      <c r="H18" s="9"/>
      <c r="I18" s="8">
        <f>Table4[[#This Row],[السعر]]*Table4[[#This Row],[العدد]]</f>
        <v>0</v>
      </c>
      <c r="J18" s="9">
        <f>SUM(Table4[[#This Row],[الاجمالي]]+J17)</f>
        <v>0</v>
      </c>
    </row>
    <row r="19" spans="1:10" ht="43.5" customHeight="1" x14ac:dyDescent="0.3">
      <c r="A19" s="15">
        <v>313070018</v>
      </c>
      <c r="B19" s="1" t="s">
        <v>178</v>
      </c>
      <c r="C19" s="1">
        <v>1603.5</v>
      </c>
      <c r="F19" s="7"/>
      <c r="G19" s="9"/>
      <c r="H19" s="9"/>
      <c r="I19" s="8">
        <f>Table4[[#This Row],[السعر]]*Table4[[#This Row],[العدد]]</f>
        <v>0</v>
      </c>
      <c r="J19" s="9">
        <f>SUM(Table4[[#This Row],[الاجمالي]]+J18)</f>
        <v>0</v>
      </c>
    </row>
    <row r="20" spans="1:10" ht="43.5" customHeight="1" x14ac:dyDescent="0.3">
      <c r="A20" s="15">
        <v>111010001</v>
      </c>
      <c r="B20" s="1" t="s">
        <v>134</v>
      </c>
      <c r="C20" s="1">
        <v>15.25</v>
      </c>
      <c r="F20" s="7"/>
      <c r="G20" s="9"/>
      <c r="H20" s="9"/>
      <c r="I20" s="8">
        <f>Table4[[#This Row],[السعر]]*Table4[[#This Row],[العدد]]</f>
        <v>0</v>
      </c>
      <c r="J20" s="9">
        <f>SUM(Table4[[#This Row],[الاجمالي]]+J19)</f>
        <v>0</v>
      </c>
    </row>
    <row r="21" spans="1:10" ht="43.5" customHeight="1" x14ac:dyDescent="0.3">
      <c r="A21" s="15">
        <v>111010002</v>
      </c>
      <c r="B21" s="1" t="s">
        <v>135</v>
      </c>
      <c r="C21" s="1">
        <v>23.5</v>
      </c>
      <c r="F21" s="7"/>
      <c r="G21" s="9"/>
      <c r="H21" s="9"/>
      <c r="I21" s="8">
        <f>Table4[[#This Row],[السعر]]*Table4[[#This Row],[العدد]]</f>
        <v>0</v>
      </c>
      <c r="J21" s="9">
        <f>SUM(Table4[[#This Row],[الاجمالي]]+J20)</f>
        <v>0</v>
      </c>
    </row>
    <row r="22" spans="1:10" ht="43.5" customHeight="1" x14ac:dyDescent="0.3">
      <c r="A22" s="15">
        <v>111010003</v>
      </c>
      <c r="B22" s="1" t="s">
        <v>136</v>
      </c>
      <c r="C22" s="1">
        <v>42.5</v>
      </c>
      <c r="F22" s="7"/>
      <c r="G22" s="9"/>
      <c r="H22" s="9"/>
      <c r="I22" s="8">
        <f>Table4[[#This Row],[السعر]]*Table4[[#This Row],[العدد]]</f>
        <v>0</v>
      </c>
      <c r="J22" s="9">
        <f>SUM(Table4[[#This Row],[الاجمالي]]+J21)</f>
        <v>0</v>
      </c>
    </row>
    <row r="23" spans="1:10" ht="43.5" customHeight="1" x14ac:dyDescent="0.3">
      <c r="A23" s="15">
        <v>111020001</v>
      </c>
      <c r="B23" s="1" t="s">
        <v>137</v>
      </c>
      <c r="C23" s="1">
        <v>21</v>
      </c>
      <c r="F23" s="7"/>
      <c r="G23" s="9"/>
      <c r="H23" s="9"/>
      <c r="I23" s="8">
        <f>Table4[[#This Row],[السعر]]*Table4[[#This Row],[العدد]]</f>
        <v>0</v>
      </c>
      <c r="J23" s="9">
        <f>SUM(Table4[[#This Row],[الاجمالي]]+J22)</f>
        <v>0</v>
      </c>
    </row>
    <row r="24" spans="1:10" ht="43.5" customHeight="1" x14ac:dyDescent="0.3">
      <c r="A24" s="15">
        <v>111020002</v>
      </c>
      <c r="B24" s="1" t="s">
        <v>138</v>
      </c>
      <c r="C24" s="1">
        <v>27.5</v>
      </c>
      <c r="F24" s="7"/>
      <c r="G24" s="9"/>
      <c r="H24" s="9"/>
      <c r="I24" s="8">
        <f>Table4[[#This Row],[السعر]]*Table4[[#This Row],[العدد]]</f>
        <v>0</v>
      </c>
      <c r="J24" s="9">
        <f>SUM(Table4[[#This Row],[الاجمالي]]+J23)</f>
        <v>0</v>
      </c>
    </row>
    <row r="25" spans="1:10" ht="43.5" customHeight="1" x14ac:dyDescent="0.3">
      <c r="A25" s="15">
        <v>111030001</v>
      </c>
      <c r="B25" s="1" t="s">
        <v>139</v>
      </c>
      <c r="C25" s="1">
        <v>21.5</v>
      </c>
      <c r="F25" s="7"/>
      <c r="G25" s="9"/>
      <c r="H25" s="9"/>
      <c r="I25" s="8">
        <f>Table4[[#This Row],[السعر]]*Table4[[#This Row],[العدد]]</f>
        <v>0</v>
      </c>
      <c r="J25" s="9">
        <f>SUM(Table4[[#This Row],[الاجمالي]]+J24)</f>
        <v>0</v>
      </c>
    </row>
    <row r="26" spans="1:10" ht="43.5" customHeight="1" x14ac:dyDescent="0.3">
      <c r="A26" s="15">
        <v>111030002</v>
      </c>
      <c r="B26" s="1" t="s">
        <v>140</v>
      </c>
      <c r="C26" s="1">
        <v>31.75</v>
      </c>
      <c r="F26" s="7"/>
      <c r="G26" s="9"/>
      <c r="H26" s="9"/>
      <c r="I26" s="8">
        <f>Table4[[#This Row],[السعر]]*Table4[[#This Row],[العدد]]</f>
        <v>0</v>
      </c>
      <c r="J26" s="9">
        <f>SUM(Table4[[#This Row],[الاجمالي]]+J25)</f>
        <v>0</v>
      </c>
    </row>
    <row r="27" spans="1:10" ht="43.5" customHeight="1" x14ac:dyDescent="0.3">
      <c r="A27" s="15">
        <v>111030003</v>
      </c>
      <c r="B27" s="1" t="s">
        <v>141</v>
      </c>
      <c r="C27" s="1">
        <v>58.75</v>
      </c>
      <c r="F27" s="7"/>
      <c r="G27" s="9"/>
      <c r="H27" s="9"/>
      <c r="I27" s="8">
        <f>Table4[[#This Row],[السعر]]*Table4[[#This Row],[العدد]]</f>
        <v>0</v>
      </c>
      <c r="J27" s="9">
        <f>SUM(Table4[[#This Row],[الاجمالي]]+J26)</f>
        <v>0</v>
      </c>
    </row>
    <row r="28" spans="1:10" ht="43.5" customHeight="1" x14ac:dyDescent="0.3">
      <c r="A28" s="15">
        <v>111093001</v>
      </c>
      <c r="B28" s="1" t="s">
        <v>142</v>
      </c>
      <c r="C28" s="1">
        <v>12.25</v>
      </c>
      <c r="F28" s="7"/>
      <c r="G28" s="9"/>
      <c r="H28" s="9"/>
      <c r="I28" s="8">
        <f>Table4[[#This Row],[السعر]]*Table4[[#This Row],[العدد]]</f>
        <v>0</v>
      </c>
      <c r="J28" s="9">
        <f>SUM(Table4[[#This Row],[الاجمالي]]+J27)</f>
        <v>0</v>
      </c>
    </row>
    <row r="29" spans="1:10" ht="43.5" customHeight="1" x14ac:dyDescent="0.3">
      <c r="A29" s="15">
        <v>111093002</v>
      </c>
      <c r="B29" s="1" t="s">
        <v>143</v>
      </c>
      <c r="C29" s="1">
        <v>18.25</v>
      </c>
      <c r="F29" s="7"/>
      <c r="G29" s="9"/>
      <c r="H29" s="9"/>
      <c r="I29" s="8">
        <f>Table4[[#This Row],[السعر]]*Table4[[#This Row],[العدد]]</f>
        <v>0</v>
      </c>
      <c r="J29" s="9">
        <f>SUM(Table4[[#This Row],[الاجمالي]]+J28)</f>
        <v>0</v>
      </c>
    </row>
    <row r="30" spans="1:10" ht="43.5" customHeight="1" x14ac:dyDescent="0.3">
      <c r="A30" s="15">
        <v>111093003</v>
      </c>
      <c r="B30" s="1" t="s">
        <v>144</v>
      </c>
      <c r="C30" s="1">
        <v>31.5</v>
      </c>
      <c r="F30" s="7"/>
      <c r="G30" s="9"/>
      <c r="H30" s="9"/>
      <c r="I30" s="8">
        <f>Table4[[#This Row],[السعر]]*Table4[[#This Row],[العدد]]</f>
        <v>0</v>
      </c>
      <c r="J30" s="9">
        <f>SUM(Table4[[#This Row],[الاجمالي]]+J29)</f>
        <v>0</v>
      </c>
    </row>
    <row r="31" spans="1:10" ht="43.5" customHeight="1" x14ac:dyDescent="0.3">
      <c r="A31" s="15">
        <v>375029990</v>
      </c>
      <c r="B31" s="1" t="s">
        <v>187</v>
      </c>
      <c r="C31" s="1">
        <v>480</v>
      </c>
      <c r="F31" s="7"/>
      <c r="G31" s="9"/>
      <c r="H31" s="9"/>
      <c r="I31" s="8">
        <f>Table4[[#This Row],[السعر]]*Table4[[#This Row],[العدد]]</f>
        <v>0</v>
      </c>
      <c r="J31" s="9">
        <f>SUM(Table4[[#This Row],[الاجمالي]]+J30)</f>
        <v>0</v>
      </c>
    </row>
    <row r="32" spans="1:10" ht="43.5" customHeight="1" x14ac:dyDescent="0.3">
      <c r="A32" s="15">
        <v>375029991</v>
      </c>
      <c r="B32" s="1" t="s">
        <v>188</v>
      </c>
      <c r="C32" s="1">
        <v>650</v>
      </c>
      <c r="F32" s="7"/>
      <c r="G32" s="9"/>
      <c r="H32" s="9"/>
      <c r="I32" s="8">
        <f>Table4[[#This Row],[السعر]]*Table4[[#This Row],[العدد]]</f>
        <v>0</v>
      </c>
      <c r="J32" s="9">
        <f>SUM(Table4[[#This Row],[الاجمالي]]+J31)</f>
        <v>0</v>
      </c>
    </row>
    <row r="33" spans="1:10" ht="43.5" customHeight="1" x14ac:dyDescent="0.3">
      <c r="A33" s="15">
        <v>375029992</v>
      </c>
      <c r="B33" s="1" t="s">
        <v>189</v>
      </c>
      <c r="C33" s="1">
        <v>320</v>
      </c>
      <c r="F33" s="7"/>
      <c r="G33" s="9"/>
      <c r="H33" s="9"/>
      <c r="I33" s="8">
        <f>Table4[[#This Row],[السعر]]*Table4[[#This Row],[العدد]]</f>
        <v>0</v>
      </c>
      <c r="J33" s="9">
        <f>SUM(Table4[[#This Row],[الاجمالي]]+J32)</f>
        <v>0</v>
      </c>
    </row>
    <row r="34" spans="1:10" ht="43.5" customHeight="1" x14ac:dyDescent="0.3">
      <c r="A34" s="15">
        <v>373020005</v>
      </c>
      <c r="B34" s="1" t="s">
        <v>0</v>
      </c>
      <c r="C34" s="1">
        <v>595</v>
      </c>
      <c r="F34" s="7"/>
      <c r="G34" s="9"/>
      <c r="H34" s="9"/>
      <c r="I34" s="8">
        <f>Table4[[#This Row],[السعر]]*Table4[[#This Row],[العدد]]</f>
        <v>0</v>
      </c>
      <c r="J34" s="9">
        <f>SUM(Table4[[#This Row],[الاجمالي]]+J33)</f>
        <v>0</v>
      </c>
    </row>
    <row r="35" spans="1:10" ht="43.5" customHeight="1" x14ac:dyDescent="0.3">
      <c r="A35" s="15">
        <v>373020006</v>
      </c>
      <c r="B35" s="1" t="s">
        <v>1</v>
      </c>
      <c r="C35" s="1">
        <v>780</v>
      </c>
      <c r="F35" s="7"/>
      <c r="G35" s="9"/>
      <c r="H35" s="9"/>
      <c r="I35" s="8">
        <f>Table4[[#This Row],[السعر]]*Table4[[#This Row],[العدد]]</f>
        <v>0</v>
      </c>
      <c r="J35" s="9">
        <f>SUM(Table4[[#This Row],[الاجمالي]]+J34)</f>
        <v>0</v>
      </c>
    </row>
    <row r="36" spans="1:10" ht="43.5" customHeight="1" x14ac:dyDescent="0.3">
      <c r="A36" s="15">
        <v>373010035</v>
      </c>
      <c r="B36" s="1" t="s">
        <v>2</v>
      </c>
      <c r="C36" s="1">
        <v>725</v>
      </c>
      <c r="F36" s="7"/>
      <c r="G36" s="9"/>
      <c r="H36" s="9"/>
      <c r="I36" s="8">
        <f>Table4[[#This Row],[السعر]]*Table4[[#This Row],[العدد]]</f>
        <v>0</v>
      </c>
      <c r="J36" s="9">
        <f>SUM(Table4[[#This Row],[الاجمالي]]+J35)</f>
        <v>0</v>
      </c>
    </row>
    <row r="37" spans="1:10" ht="43.5" customHeight="1" x14ac:dyDescent="0.3">
      <c r="A37" s="15">
        <v>373010036</v>
      </c>
      <c r="B37" s="1" t="s">
        <v>3</v>
      </c>
      <c r="C37" s="1">
        <v>940</v>
      </c>
      <c r="F37" s="7"/>
      <c r="G37" s="9"/>
      <c r="H37" s="9"/>
      <c r="I37" s="8">
        <f>Table4[[#This Row],[السعر]]*Table4[[#This Row],[العدد]]</f>
        <v>0</v>
      </c>
      <c r="J37" s="9">
        <f>SUM(Table4[[#This Row],[الاجمالي]]+J36)</f>
        <v>0</v>
      </c>
    </row>
    <row r="38" spans="1:10" ht="43.5" customHeight="1" x14ac:dyDescent="0.3">
      <c r="A38" s="15">
        <v>353093010</v>
      </c>
      <c r="B38" s="1" t="s">
        <v>203</v>
      </c>
      <c r="C38" s="1">
        <v>10.25</v>
      </c>
      <c r="F38" s="7"/>
      <c r="G38" s="9"/>
      <c r="H38" s="9"/>
      <c r="I38" s="8">
        <f>Table4[[#This Row],[السعر]]*Table4[[#This Row],[العدد]]</f>
        <v>0</v>
      </c>
      <c r="J38" s="9">
        <f>SUM(Table4[[#This Row],[الاجمالي]]+J37)</f>
        <v>0</v>
      </c>
    </row>
    <row r="39" spans="1:10" ht="43.5" customHeight="1" x14ac:dyDescent="0.3">
      <c r="A39" s="15">
        <v>353093011</v>
      </c>
      <c r="B39" s="1" t="s">
        <v>204</v>
      </c>
      <c r="C39" s="1">
        <v>14.75</v>
      </c>
      <c r="F39" s="7"/>
      <c r="G39" s="9"/>
      <c r="H39" s="9"/>
      <c r="I39" s="8">
        <f>Table4[[#This Row],[السعر]]*Table4[[#This Row],[العدد]]</f>
        <v>0</v>
      </c>
      <c r="J39" s="9">
        <f>SUM(Table4[[#This Row],[الاجمالي]]+J38)</f>
        <v>0</v>
      </c>
    </row>
    <row r="40" spans="1:10" ht="43.5" customHeight="1" x14ac:dyDescent="0.3">
      <c r="A40" s="15">
        <v>353093012</v>
      </c>
      <c r="B40" s="1" t="s">
        <v>220</v>
      </c>
      <c r="C40" s="1">
        <v>13.75</v>
      </c>
      <c r="F40" s="7"/>
      <c r="G40" s="9"/>
      <c r="H40" s="9"/>
      <c r="I40" s="8">
        <f>Table4[[#This Row],[السعر]]*Table4[[#This Row],[العدد]]</f>
        <v>0</v>
      </c>
      <c r="J40" s="9">
        <f>SUM(Table4[[#This Row],[الاجمالي]]+J39)</f>
        <v>0</v>
      </c>
    </row>
    <row r="41" spans="1:10" ht="43.5" customHeight="1" x14ac:dyDescent="0.3">
      <c r="A41" s="15">
        <v>353010015</v>
      </c>
      <c r="B41" s="1" t="s">
        <v>221</v>
      </c>
      <c r="C41" s="1">
        <v>43.5</v>
      </c>
      <c r="F41" s="7"/>
      <c r="G41" s="9"/>
      <c r="H41" s="9"/>
      <c r="I41" s="8">
        <f>Table4[[#This Row],[السعر]]*Table4[[#This Row],[العدد]]</f>
        <v>0</v>
      </c>
      <c r="J41" s="9">
        <f>SUM(Table4[[#This Row],[الاجمالي]]+J40)</f>
        <v>0</v>
      </c>
    </row>
    <row r="42" spans="1:10" ht="43.5" customHeight="1" x14ac:dyDescent="0.3">
      <c r="A42" s="15">
        <v>353010016</v>
      </c>
      <c r="B42" s="1" t="s">
        <v>222</v>
      </c>
      <c r="C42" s="1">
        <v>64</v>
      </c>
      <c r="F42" s="7">
        <v>2</v>
      </c>
      <c r="G42" s="9" t="s">
        <v>222</v>
      </c>
      <c r="H42" s="9">
        <v>64</v>
      </c>
      <c r="I42" s="8">
        <f>Table4[[#This Row],[السعر]]*Table4[[#This Row],[العدد]]</f>
        <v>128</v>
      </c>
      <c r="J42" s="9">
        <f>SUM(Table4[[#This Row],[الاجمالي]]+J41)</f>
        <v>128</v>
      </c>
    </row>
    <row r="43" spans="1:10" ht="43.5" customHeight="1" x14ac:dyDescent="0.3">
      <c r="A43" s="15">
        <v>353010017</v>
      </c>
      <c r="B43" s="1" t="s">
        <v>223</v>
      </c>
      <c r="C43" s="1">
        <v>110.25</v>
      </c>
      <c r="F43" s="7"/>
      <c r="G43" s="9"/>
      <c r="H43" s="9"/>
      <c r="I43" s="8">
        <f>Table4[[#This Row],[السعر]]*Table4[[#This Row],[العدد]]</f>
        <v>0</v>
      </c>
      <c r="J43" s="9">
        <f>SUM(Table4[[#This Row],[الاجمالي]]+J42)</f>
        <v>128</v>
      </c>
    </row>
    <row r="44" spans="1:10" ht="43.5" customHeight="1" x14ac:dyDescent="0.3">
      <c r="A44" s="15">
        <v>353020015</v>
      </c>
      <c r="B44" s="1" t="s">
        <v>224</v>
      </c>
      <c r="C44" s="1">
        <v>68.25</v>
      </c>
      <c r="F44" s="7"/>
      <c r="G44" s="9"/>
      <c r="H44" s="9"/>
      <c r="I44" s="8">
        <f>Table4[[#This Row],[السعر]]*Table4[[#This Row],[العدد]]</f>
        <v>0</v>
      </c>
      <c r="J44" s="9">
        <f>SUM(Table4[[#This Row],[الاجمالي]]+J43)</f>
        <v>128</v>
      </c>
    </row>
    <row r="45" spans="1:10" ht="43.5" customHeight="1" x14ac:dyDescent="0.3">
      <c r="A45" s="15">
        <v>353020016</v>
      </c>
      <c r="B45" s="1" t="s">
        <v>225</v>
      </c>
      <c r="C45" s="1">
        <v>128.75</v>
      </c>
      <c r="F45" s="7">
        <v>2</v>
      </c>
      <c r="G45" s="9" t="s">
        <v>225</v>
      </c>
      <c r="H45" s="9">
        <v>128.75</v>
      </c>
      <c r="I45" s="8">
        <f>Table4[[#This Row],[السعر]]*Table4[[#This Row],[العدد]]</f>
        <v>257.5</v>
      </c>
      <c r="J45" s="9">
        <f>SUM(Table4[[#This Row],[الاجمالي]]+J44)</f>
        <v>385.5</v>
      </c>
    </row>
    <row r="46" spans="1:10" ht="43.5" customHeight="1" x14ac:dyDescent="0.3">
      <c r="A46" s="15">
        <v>353020017</v>
      </c>
      <c r="B46" s="1" t="s">
        <v>226</v>
      </c>
      <c r="C46" s="1">
        <v>323.25</v>
      </c>
      <c r="F46" s="7"/>
      <c r="G46" s="9"/>
      <c r="H46" s="9"/>
      <c r="I46" s="8">
        <f>Table4[[#This Row],[السعر]]*Table4[[#This Row],[العدد]]</f>
        <v>0</v>
      </c>
      <c r="J46" s="9">
        <f>SUM(Table4[[#This Row],[الاجمالي]]+J45)</f>
        <v>385.5</v>
      </c>
    </row>
    <row r="47" spans="1:10" ht="43.5" customHeight="1" x14ac:dyDescent="0.3">
      <c r="A47" s="15">
        <v>313099110</v>
      </c>
      <c r="B47" s="1" t="s">
        <v>156</v>
      </c>
      <c r="C47" s="1">
        <v>2850</v>
      </c>
      <c r="F47" s="7"/>
      <c r="G47" s="9"/>
      <c r="H47" s="9"/>
      <c r="I47" s="8">
        <f>Table4[[#This Row],[السعر]]*Table4[[#This Row],[العدد]]</f>
        <v>0</v>
      </c>
      <c r="J47" s="9">
        <f>SUM(Table4[[#This Row],[الاجمالي]]+J46)</f>
        <v>385.5</v>
      </c>
    </row>
    <row r="48" spans="1:10" ht="43.5" customHeight="1" x14ac:dyDescent="0.3">
      <c r="A48" s="15">
        <v>313099111</v>
      </c>
      <c r="B48" s="1" t="s">
        <v>157</v>
      </c>
      <c r="C48" s="1">
        <v>4100</v>
      </c>
      <c r="F48" s="7"/>
      <c r="G48" s="9"/>
      <c r="H48" s="9"/>
      <c r="I48" s="8">
        <f>Table4[[#This Row],[السعر]]*Table4[[#This Row],[العدد]]</f>
        <v>0</v>
      </c>
      <c r="J48" s="9">
        <f>SUM(Table4[[#This Row],[الاجمالي]]+J47)</f>
        <v>385.5</v>
      </c>
    </row>
    <row r="49" spans="1:10" ht="43.5" customHeight="1" x14ac:dyDescent="0.3">
      <c r="A49" s="15">
        <v>377090010</v>
      </c>
      <c r="B49" s="1" t="s">
        <v>158</v>
      </c>
      <c r="C49" s="1">
        <v>115</v>
      </c>
      <c r="F49" s="7"/>
      <c r="G49" s="9"/>
      <c r="H49" s="9"/>
      <c r="I49" s="8">
        <f>Table4[[#This Row],[السعر]]*Table4[[#This Row],[العدد]]</f>
        <v>0</v>
      </c>
      <c r="J49" s="9">
        <f>SUM(Table4[[#This Row],[الاجمالي]]+J48)</f>
        <v>385.5</v>
      </c>
    </row>
    <row r="50" spans="1:10" ht="43.5" customHeight="1" x14ac:dyDescent="0.3">
      <c r="A50" s="15">
        <v>377090011</v>
      </c>
      <c r="B50" s="1" t="s">
        <v>159</v>
      </c>
      <c r="C50" s="1">
        <v>310</v>
      </c>
      <c r="F50" s="7"/>
      <c r="G50" s="9"/>
      <c r="H50" s="9"/>
      <c r="I50" s="8">
        <f>Table4[[#This Row],[السعر]]*Table4[[#This Row],[العدد]]</f>
        <v>0</v>
      </c>
      <c r="J50" s="9">
        <f>SUM(Table4[[#This Row],[الاجمالي]]+J49)</f>
        <v>385.5</v>
      </c>
    </row>
    <row r="51" spans="1:10" ht="43.5" customHeight="1" x14ac:dyDescent="0.3">
      <c r="A51" s="15">
        <v>385010010</v>
      </c>
      <c r="B51" s="1" t="s">
        <v>190</v>
      </c>
      <c r="C51" s="1">
        <v>18.5</v>
      </c>
      <c r="F51" s="7"/>
      <c r="G51" s="9"/>
      <c r="H51" s="9"/>
      <c r="I51" s="8">
        <f>Table4[[#This Row],[السعر]]*Table4[[#This Row],[العدد]]</f>
        <v>0</v>
      </c>
      <c r="J51" s="9">
        <f>SUM(Table4[[#This Row],[الاجمالي]]+J50)</f>
        <v>385.5</v>
      </c>
    </row>
    <row r="52" spans="1:10" ht="43.5" customHeight="1" x14ac:dyDescent="0.3">
      <c r="A52" s="15">
        <v>385010011</v>
      </c>
      <c r="B52" s="1" t="s">
        <v>191</v>
      </c>
      <c r="C52" s="1">
        <v>22</v>
      </c>
      <c r="F52" s="7"/>
      <c r="G52" s="9"/>
      <c r="H52" s="9"/>
      <c r="I52" s="8">
        <f>Table4[[#This Row],[السعر]]*Table4[[#This Row],[العدد]]</f>
        <v>0</v>
      </c>
      <c r="J52" s="9">
        <f>SUM(Table4[[#This Row],[الاجمالي]]+J51)</f>
        <v>385.5</v>
      </c>
    </row>
    <row r="53" spans="1:10" ht="43.5" customHeight="1" x14ac:dyDescent="0.3">
      <c r="A53" s="15">
        <v>313093001</v>
      </c>
      <c r="B53" s="1" t="s">
        <v>227</v>
      </c>
      <c r="C53" s="1">
        <v>6.5</v>
      </c>
      <c r="F53" s="7"/>
      <c r="G53" s="9"/>
      <c r="H53" s="9"/>
      <c r="I53" s="8">
        <f>Table4[[#This Row],[السعر]]*Table4[[#This Row],[العدد]]</f>
        <v>0</v>
      </c>
      <c r="J53" s="9">
        <f>SUM(Table4[[#This Row],[الاجمالي]]+J52)</f>
        <v>385.5</v>
      </c>
    </row>
    <row r="54" spans="1:10" ht="43.5" customHeight="1" x14ac:dyDescent="0.3">
      <c r="A54" s="15">
        <v>313093002</v>
      </c>
      <c r="B54" s="1" t="s">
        <v>228</v>
      </c>
      <c r="C54" s="1">
        <v>9.25</v>
      </c>
      <c r="F54" s="7"/>
      <c r="G54" s="9"/>
      <c r="H54" s="9"/>
      <c r="I54" s="8">
        <f>Table4[[#This Row],[السعر]]*Table4[[#This Row],[العدد]]</f>
        <v>0</v>
      </c>
      <c r="J54" s="9">
        <f>SUM(Table4[[#This Row],[الاجمالي]]+J53)</f>
        <v>385.5</v>
      </c>
    </row>
    <row r="55" spans="1:10" ht="43.5" customHeight="1" x14ac:dyDescent="0.3">
      <c r="A55" s="15">
        <v>313093003</v>
      </c>
      <c r="B55" s="1" t="s">
        <v>229</v>
      </c>
      <c r="C55" s="1">
        <v>14.75</v>
      </c>
      <c r="F55" s="7"/>
      <c r="G55" s="9"/>
      <c r="H55" s="9"/>
      <c r="I55" s="8">
        <f>Table4[[#This Row],[السعر]]*Table4[[#This Row],[العدد]]</f>
        <v>0</v>
      </c>
      <c r="J55" s="9">
        <f>SUM(Table4[[#This Row],[الاجمالي]]+J54)</f>
        <v>385.5</v>
      </c>
    </row>
    <row r="56" spans="1:10" ht="43.5" customHeight="1" x14ac:dyDescent="0.3">
      <c r="A56" s="15">
        <v>313093004</v>
      </c>
      <c r="B56" s="1" t="s">
        <v>230</v>
      </c>
      <c r="C56" s="1">
        <v>26.25</v>
      </c>
      <c r="F56" s="7"/>
      <c r="G56" s="9"/>
      <c r="H56" s="9"/>
      <c r="I56" s="8">
        <f>Table4[[#This Row],[السعر]]*Table4[[#This Row],[العدد]]</f>
        <v>0</v>
      </c>
      <c r="J56" s="9">
        <f>SUM(Table4[[#This Row],[الاجمالي]]+J55)</f>
        <v>385.5</v>
      </c>
    </row>
    <row r="57" spans="1:10" ht="43.5" customHeight="1" x14ac:dyDescent="0.3">
      <c r="A57" s="15">
        <v>313093005</v>
      </c>
      <c r="B57" s="1" t="s">
        <v>231</v>
      </c>
      <c r="C57" s="1">
        <v>45</v>
      </c>
      <c r="F57" s="7"/>
      <c r="G57" s="9"/>
      <c r="H57" s="9"/>
      <c r="I57" s="8">
        <f>Table4[[#This Row],[السعر]]*Table4[[#This Row],[العدد]]</f>
        <v>0</v>
      </c>
      <c r="J57" s="9">
        <f>SUM(Table4[[#This Row],[الاجمالي]]+J56)</f>
        <v>385.5</v>
      </c>
    </row>
    <row r="58" spans="1:10" ht="43.5" customHeight="1" x14ac:dyDescent="0.3">
      <c r="A58" s="15">
        <v>313093006</v>
      </c>
      <c r="B58" s="1" t="s">
        <v>232</v>
      </c>
      <c r="C58" s="1">
        <v>83.25</v>
      </c>
      <c r="F58" s="7"/>
      <c r="G58" s="9"/>
      <c r="H58" s="9"/>
      <c r="I58" s="8">
        <f>Table4[[#This Row],[السعر]]*Table4[[#This Row],[العدد]]</f>
        <v>0</v>
      </c>
      <c r="J58" s="9">
        <f>SUM(Table4[[#This Row],[الاجمالي]]+J57)</f>
        <v>385.5</v>
      </c>
    </row>
    <row r="59" spans="1:10" ht="43.5" customHeight="1" x14ac:dyDescent="0.3">
      <c r="A59" s="15">
        <v>313093007</v>
      </c>
      <c r="B59" s="1" t="s">
        <v>233</v>
      </c>
      <c r="C59" s="1">
        <v>137.5</v>
      </c>
      <c r="F59" s="7"/>
      <c r="G59" s="9"/>
      <c r="H59" s="9"/>
      <c r="I59" s="8">
        <f>Table4[[#This Row],[السعر]]*Table4[[#This Row],[العدد]]</f>
        <v>0</v>
      </c>
      <c r="J59" s="9">
        <f>SUM(Table4[[#This Row],[الاجمالي]]+J58)</f>
        <v>385.5</v>
      </c>
    </row>
    <row r="60" spans="1:10" ht="43.5" customHeight="1" x14ac:dyDescent="0.3">
      <c r="A60" s="15">
        <v>313093008</v>
      </c>
      <c r="B60" s="1" t="s">
        <v>234</v>
      </c>
      <c r="C60" s="1">
        <v>225</v>
      </c>
      <c r="F60" s="7"/>
      <c r="G60" s="9"/>
      <c r="H60" s="9"/>
      <c r="I60" s="8">
        <f>Table4[[#This Row],[السعر]]*Table4[[#This Row],[العدد]]</f>
        <v>0</v>
      </c>
      <c r="J60" s="9">
        <f>SUM(Table4[[#This Row],[الاجمالي]]+J59)</f>
        <v>385.5</v>
      </c>
    </row>
    <row r="61" spans="1:10" ht="43.5" customHeight="1" x14ac:dyDescent="0.3">
      <c r="A61" s="15">
        <v>313093009</v>
      </c>
      <c r="B61" s="1" t="s">
        <v>235</v>
      </c>
      <c r="C61" s="1">
        <v>350</v>
      </c>
      <c r="F61" s="7"/>
      <c r="G61" s="9"/>
      <c r="H61" s="9"/>
      <c r="I61" s="8">
        <f>Table4[[#This Row],[السعر]]*Table4[[#This Row],[العدد]]</f>
        <v>0</v>
      </c>
      <c r="J61" s="9">
        <f>SUM(Table4[[#This Row],[الاجمالي]]+J60)</f>
        <v>385.5</v>
      </c>
    </row>
    <row r="62" spans="1:10" ht="43.5" customHeight="1" x14ac:dyDescent="0.3">
      <c r="A62" s="15">
        <v>313096001</v>
      </c>
      <c r="B62" s="1" t="s">
        <v>236</v>
      </c>
      <c r="C62" s="1">
        <v>4.25</v>
      </c>
      <c r="F62" s="7"/>
      <c r="G62" s="9"/>
      <c r="H62" s="9"/>
      <c r="I62" s="8">
        <f>Table4[[#This Row],[السعر]]*Table4[[#This Row],[العدد]]</f>
        <v>0</v>
      </c>
      <c r="J62" s="9">
        <f>SUM(Table4[[#This Row],[الاجمالي]]+J61)</f>
        <v>385.5</v>
      </c>
    </row>
    <row r="63" spans="1:10" ht="43.5" customHeight="1" x14ac:dyDescent="0.3">
      <c r="A63" s="15">
        <v>313096002</v>
      </c>
      <c r="B63" s="1" t="s">
        <v>237</v>
      </c>
      <c r="C63" s="1">
        <v>5</v>
      </c>
      <c r="F63" s="7"/>
      <c r="G63" s="9"/>
      <c r="H63" s="9"/>
      <c r="I63" s="8">
        <f>Table4[[#This Row],[السعر]]*Table4[[#This Row],[العدد]]</f>
        <v>0</v>
      </c>
      <c r="J63" s="9">
        <f>SUM(Table4[[#This Row],[الاجمالي]]+J62)</f>
        <v>385.5</v>
      </c>
    </row>
    <row r="64" spans="1:10" ht="43.5" customHeight="1" x14ac:dyDescent="0.3">
      <c r="A64" s="15">
        <v>313096003</v>
      </c>
      <c r="B64" s="1" t="s">
        <v>238</v>
      </c>
      <c r="C64" s="1">
        <v>6.5</v>
      </c>
      <c r="F64" s="7"/>
      <c r="G64" s="9"/>
      <c r="H64" s="9"/>
      <c r="I64" s="8">
        <f>Table4[[#This Row],[السعر]]*Table4[[#This Row],[العدد]]</f>
        <v>0</v>
      </c>
      <c r="J64" s="9">
        <f>SUM(Table4[[#This Row],[الاجمالي]]+J63)</f>
        <v>385.5</v>
      </c>
    </row>
    <row r="65" spans="1:10" ht="43.5" customHeight="1" x14ac:dyDescent="0.3">
      <c r="A65" s="15">
        <v>313096004</v>
      </c>
      <c r="B65" s="1" t="s">
        <v>239</v>
      </c>
      <c r="C65" s="1">
        <v>5.5</v>
      </c>
      <c r="F65" s="7"/>
      <c r="G65" s="9"/>
      <c r="H65" s="9"/>
      <c r="I65" s="8">
        <f>Table4[[#This Row],[السعر]]*Table4[[#This Row],[العدد]]</f>
        <v>0</v>
      </c>
      <c r="J65" s="9">
        <f>SUM(Table4[[#This Row],[الاجمالي]]+J64)</f>
        <v>385.5</v>
      </c>
    </row>
    <row r="66" spans="1:10" ht="43.5" customHeight="1" x14ac:dyDescent="0.3">
      <c r="A66" s="15">
        <v>313096005</v>
      </c>
      <c r="B66" s="1" t="s">
        <v>240</v>
      </c>
      <c r="C66" s="1">
        <v>7.25</v>
      </c>
      <c r="F66" s="7"/>
      <c r="G66" s="9"/>
      <c r="H66" s="9"/>
      <c r="I66" s="8">
        <f>Table4[[#This Row],[السعر]]*Table4[[#This Row],[العدد]]</f>
        <v>0</v>
      </c>
      <c r="J66" s="9">
        <f>SUM(Table4[[#This Row],[الاجمالي]]+J65)</f>
        <v>385.5</v>
      </c>
    </row>
    <row r="67" spans="1:10" ht="43.5" customHeight="1" x14ac:dyDescent="0.3">
      <c r="A67" s="15">
        <v>313096006</v>
      </c>
      <c r="B67" s="1" t="s">
        <v>241</v>
      </c>
      <c r="C67" s="1">
        <v>11.25</v>
      </c>
      <c r="F67" s="7"/>
      <c r="G67" s="9"/>
      <c r="H67" s="9"/>
      <c r="I67" s="8">
        <f>Table4[[#This Row],[السعر]]*Table4[[#This Row],[العدد]]</f>
        <v>0</v>
      </c>
      <c r="J67" s="9">
        <f>SUM(Table4[[#This Row],[الاجمالي]]+J66)</f>
        <v>385.5</v>
      </c>
    </row>
    <row r="68" spans="1:10" ht="43.5" customHeight="1" x14ac:dyDescent="0.3">
      <c r="A68" s="15">
        <v>313010001</v>
      </c>
      <c r="B68" s="1" t="s">
        <v>242</v>
      </c>
      <c r="C68" s="1">
        <v>8.25</v>
      </c>
      <c r="F68" s="7"/>
      <c r="G68" s="9"/>
      <c r="H68" s="9"/>
      <c r="I68" s="8">
        <f>Table4[[#This Row],[السعر]]*Table4[[#This Row],[العدد]]</f>
        <v>0</v>
      </c>
      <c r="J68" s="9">
        <f>SUM(Table4[[#This Row],[الاجمالي]]+J67)</f>
        <v>385.5</v>
      </c>
    </row>
    <row r="69" spans="1:10" ht="43.5" customHeight="1" x14ac:dyDescent="0.3">
      <c r="A69" s="15">
        <v>313010002</v>
      </c>
      <c r="B69" s="1" t="s">
        <v>243</v>
      </c>
      <c r="C69" s="1">
        <v>11.75</v>
      </c>
      <c r="F69" s="7"/>
      <c r="G69" s="9"/>
      <c r="H69" s="9"/>
      <c r="I69" s="8">
        <f>Table4[[#This Row],[السعر]]*Table4[[#This Row],[العدد]]</f>
        <v>0</v>
      </c>
      <c r="J69" s="9">
        <f>SUM(Table4[[#This Row],[الاجمالي]]+J68)</f>
        <v>385.5</v>
      </c>
    </row>
    <row r="70" spans="1:10" ht="43.5" customHeight="1" x14ac:dyDescent="0.3">
      <c r="A70" s="15">
        <v>313010003</v>
      </c>
      <c r="B70" s="1" t="s">
        <v>244</v>
      </c>
      <c r="C70" s="1">
        <v>20</v>
      </c>
      <c r="F70" s="7"/>
      <c r="G70" s="9"/>
      <c r="H70" s="9"/>
      <c r="I70" s="8">
        <f>Table4[[#This Row],[السعر]]*Table4[[#This Row],[العدد]]</f>
        <v>0</v>
      </c>
      <c r="J70" s="9">
        <f>SUM(Table4[[#This Row],[الاجمالي]]+J69)</f>
        <v>385.5</v>
      </c>
    </row>
    <row r="71" spans="1:10" ht="43.5" customHeight="1" x14ac:dyDescent="0.3">
      <c r="A71" s="15">
        <v>313010004</v>
      </c>
      <c r="B71" s="1" t="s">
        <v>245</v>
      </c>
      <c r="C71" s="1">
        <v>39</v>
      </c>
      <c r="F71" s="7"/>
      <c r="G71" s="9"/>
      <c r="H71" s="9"/>
      <c r="I71" s="8">
        <f>Table4[[#This Row],[السعر]]*Table4[[#This Row],[العدد]]</f>
        <v>0</v>
      </c>
      <c r="J71" s="9">
        <f>SUM(Table4[[#This Row],[الاجمالي]]+J70)</f>
        <v>385.5</v>
      </c>
    </row>
    <row r="72" spans="1:10" ht="43.5" customHeight="1" x14ac:dyDescent="0.3">
      <c r="A72" s="15">
        <v>313010005</v>
      </c>
      <c r="B72" s="1" t="s">
        <v>246</v>
      </c>
      <c r="C72" s="1">
        <v>65</v>
      </c>
      <c r="F72" s="7"/>
      <c r="G72" s="9"/>
      <c r="H72" s="9"/>
      <c r="I72" s="8">
        <f>Table4[[#This Row],[السعر]]*Table4[[#This Row],[العدد]]</f>
        <v>0</v>
      </c>
      <c r="J72" s="9">
        <f>SUM(Table4[[#This Row],[الاجمالي]]+J71)</f>
        <v>385.5</v>
      </c>
    </row>
    <row r="73" spans="1:10" ht="43.5" customHeight="1" x14ac:dyDescent="0.3">
      <c r="A73" s="15">
        <v>313010006</v>
      </c>
      <c r="B73" s="1" t="s">
        <v>247</v>
      </c>
      <c r="C73" s="1">
        <v>115.5</v>
      </c>
      <c r="F73" s="7"/>
      <c r="G73" s="9"/>
      <c r="H73" s="9"/>
      <c r="I73" s="8">
        <f>Table4[[#This Row],[السعر]]*Table4[[#This Row],[العدد]]</f>
        <v>0</v>
      </c>
      <c r="J73" s="9">
        <f>SUM(Table4[[#This Row],[الاجمالي]]+J72)</f>
        <v>385.5</v>
      </c>
    </row>
    <row r="74" spans="1:10" ht="43.5" customHeight="1" x14ac:dyDescent="0.3">
      <c r="A74" s="15">
        <v>313010007</v>
      </c>
      <c r="B74" s="1" t="s">
        <v>248</v>
      </c>
      <c r="C74" s="1">
        <v>191</v>
      </c>
      <c r="F74" s="7"/>
      <c r="G74" s="9"/>
      <c r="H74" s="9"/>
      <c r="I74" s="8">
        <f>Table4[[#This Row],[السعر]]*Table4[[#This Row],[العدد]]</f>
        <v>0</v>
      </c>
      <c r="J74" s="9">
        <f>SUM(Table4[[#This Row],[الاجمالي]]+J73)</f>
        <v>385.5</v>
      </c>
    </row>
    <row r="75" spans="1:10" ht="43.5" customHeight="1" x14ac:dyDescent="0.3">
      <c r="A75" s="15">
        <v>313010008</v>
      </c>
      <c r="B75" s="1" t="s">
        <v>249</v>
      </c>
      <c r="C75" s="1">
        <v>305</v>
      </c>
      <c r="F75" s="7"/>
      <c r="G75" s="9"/>
      <c r="H75" s="9"/>
      <c r="I75" s="8">
        <f>Table4[[#This Row],[السعر]]*Table4[[#This Row],[العدد]]</f>
        <v>0</v>
      </c>
      <c r="J75" s="9">
        <f>SUM(Table4[[#This Row],[الاجمالي]]+J74)</f>
        <v>385.5</v>
      </c>
    </row>
    <row r="76" spans="1:10" ht="43.5" customHeight="1" x14ac:dyDescent="0.3">
      <c r="A76" s="15">
        <v>313010009</v>
      </c>
      <c r="B76" s="1" t="s">
        <v>250</v>
      </c>
      <c r="C76" s="1">
        <v>540</v>
      </c>
      <c r="F76" s="7"/>
      <c r="G76" s="9"/>
      <c r="H76" s="9"/>
      <c r="I76" s="8">
        <f>Table4[[#This Row],[السعر]]*Table4[[#This Row],[العدد]]</f>
        <v>0</v>
      </c>
      <c r="J76" s="9">
        <f>SUM(Table4[[#This Row],[الاجمالي]]+J75)</f>
        <v>385.5</v>
      </c>
    </row>
    <row r="77" spans="1:10" ht="43.5" customHeight="1" x14ac:dyDescent="0.3">
      <c r="A77" s="15">
        <v>313020001</v>
      </c>
      <c r="B77" s="1" t="s">
        <v>251</v>
      </c>
      <c r="C77" s="1">
        <v>11.25</v>
      </c>
      <c r="F77" s="7"/>
      <c r="G77" s="9"/>
      <c r="H77" s="9"/>
      <c r="I77" s="8">
        <f>Table4[[#This Row],[السعر]]*Table4[[#This Row],[العدد]]</f>
        <v>0</v>
      </c>
      <c r="J77" s="9">
        <f>SUM(Table4[[#This Row],[الاجمالي]]+J76)</f>
        <v>385.5</v>
      </c>
    </row>
    <row r="78" spans="1:10" ht="43.5" customHeight="1" x14ac:dyDescent="0.3">
      <c r="A78" s="15">
        <v>313020002</v>
      </c>
      <c r="B78" s="1" t="s">
        <v>252</v>
      </c>
      <c r="C78" s="1">
        <v>14.5</v>
      </c>
      <c r="F78" s="7"/>
      <c r="G78" s="9"/>
      <c r="H78" s="9"/>
      <c r="I78" s="8">
        <f>Table4[[#This Row],[السعر]]*Table4[[#This Row],[العدد]]</f>
        <v>0</v>
      </c>
      <c r="J78" s="9">
        <f>SUM(Table4[[#This Row],[الاجمالي]]+J77)</f>
        <v>385.5</v>
      </c>
    </row>
    <row r="79" spans="1:10" ht="43.5" customHeight="1" x14ac:dyDescent="0.3">
      <c r="A79" s="15">
        <v>313020003</v>
      </c>
      <c r="B79" s="1" t="s">
        <v>253</v>
      </c>
      <c r="C79" s="1">
        <v>25</v>
      </c>
      <c r="F79" s="7"/>
      <c r="G79" s="9"/>
      <c r="H79" s="9"/>
      <c r="I79" s="8">
        <f>Table4[[#This Row],[السعر]]*Table4[[#This Row],[العدد]]</f>
        <v>0</v>
      </c>
      <c r="J79" s="9">
        <f>SUM(Table4[[#This Row],[الاجمالي]]+J78)</f>
        <v>385.5</v>
      </c>
    </row>
    <row r="80" spans="1:10" ht="43.5" customHeight="1" x14ac:dyDescent="0.3">
      <c r="A80" s="15">
        <v>313020004</v>
      </c>
      <c r="B80" s="1" t="s">
        <v>254</v>
      </c>
      <c r="C80" s="1">
        <v>42</v>
      </c>
      <c r="F80" s="7"/>
      <c r="G80" s="9"/>
      <c r="H80" s="9"/>
      <c r="I80" s="8">
        <f>Table4[[#This Row],[السعر]]*Table4[[#This Row],[العدد]]</f>
        <v>0</v>
      </c>
      <c r="J80" s="9">
        <f>SUM(Table4[[#This Row],[الاجمالي]]+J79)</f>
        <v>385.5</v>
      </c>
    </row>
    <row r="81" spans="1:10" ht="43.5" customHeight="1" x14ac:dyDescent="0.3">
      <c r="A81" s="15">
        <v>313020005</v>
      </c>
      <c r="B81" s="1" t="s">
        <v>255</v>
      </c>
      <c r="C81" s="1">
        <v>72</v>
      </c>
      <c r="F81" s="7"/>
      <c r="G81" s="9"/>
      <c r="H81" s="9"/>
      <c r="I81" s="8">
        <f>Table4[[#This Row],[السعر]]*Table4[[#This Row],[العدد]]</f>
        <v>0</v>
      </c>
      <c r="J81" s="9">
        <f>SUM(Table4[[#This Row],[الاجمالي]]+J80)</f>
        <v>385.5</v>
      </c>
    </row>
    <row r="82" spans="1:10" ht="43.5" customHeight="1" x14ac:dyDescent="0.3">
      <c r="A82" s="15">
        <v>313020006</v>
      </c>
      <c r="B82" s="1" t="s">
        <v>256</v>
      </c>
      <c r="C82" s="1">
        <v>125</v>
      </c>
      <c r="F82" s="7"/>
      <c r="G82" s="9"/>
      <c r="H82" s="9"/>
      <c r="I82" s="8">
        <f>Table4[[#This Row],[السعر]]*Table4[[#This Row],[العدد]]</f>
        <v>0</v>
      </c>
      <c r="J82" s="9">
        <f>SUM(Table4[[#This Row],[الاجمالي]]+J81)</f>
        <v>385.5</v>
      </c>
    </row>
    <row r="83" spans="1:10" ht="43.5" customHeight="1" x14ac:dyDescent="0.3">
      <c r="A83" s="15">
        <v>313020007</v>
      </c>
      <c r="B83" s="1" t="s">
        <v>257</v>
      </c>
      <c r="C83" s="1">
        <v>195</v>
      </c>
      <c r="F83" s="7"/>
      <c r="G83" s="9"/>
      <c r="H83" s="9"/>
      <c r="I83" s="8">
        <f>Table4[[#This Row],[السعر]]*Table4[[#This Row],[العدد]]</f>
        <v>0</v>
      </c>
      <c r="J83" s="9">
        <f>SUM(Table4[[#This Row],[الاجمالي]]+J82)</f>
        <v>385.5</v>
      </c>
    </row>
    <row r="84" spans="1:10" ht="43.5" customHeight="1" x14ac:dyDescent="0.3">
      <c r="A84" s="15">
        <v>313020008</v>
      </c>
      <c r="B84" s="1" t="s">
        <v>258</v>
      </c>
      <c r="C84" s="1">
        <v>315</v>
      </c>
      <c r="F84" s="7"/>
      <c r="G84" s="9"/>
      <c r="H84" s="9"/>
      <c r="I84" s="8">
        <f>Table4[[#This Row],[السعر]]*Table4[[#This Row],[العدد]]</f>
        <v>0</v>
      </c>
      <c r="J84" s="9">
        <f>SUM(Table4[[#This Row],[الاجمالي]]+J83)</f>
        <v>385.5</v>
      </c>
    </row>
    <row r="85" spans="1:10" ht="43.5" customHeight="1" x14ac:dyDescent="0.3">
      <c r="A85" s="15">
        <v>313095001</v>
      </c>
      <c r="B85" s="1" t="s">
        <v>259</v>
      </c>
      <c r="C85" s="1">
        <v>6.5</v>
      </c>
      <c r="F85" s="7"/>
      <c r="G85" s="9"/>
      <c r="H85" s="9"/>
      <c r="I85" s="8">
        <f>Table4[[#This Row],[السعر]]*Table4[[#This Row],[العدد]]</f>
        <v>0</v>
      </c>
      <c r="J85" s="9">
        <f>SUM(Table4[[#This Row],[الاجمالي]]+J84)</f>
        <v>385.5</v>
      </c>
    </row>
    <row r="86" spans="1:10" ht="43.5" customHeight="1" x14ac:dyDescent="0.3">
      <c r="A86" s="15">
        <v>313095002</v>
      </c>
      <c r="B86" s="1" t="s">
        <v>260</v>
      </c>
      <c r="C86" s="1">
        <v>8.75</v>
      </c>
      <c r="F86" s="7"/>
      <c r="G86" s="9"/>
      <c r="H86" s="9"/>
      <c r="I86" s="8">
        <f>Table4[[#This Row],[السعر]]*Table4[[#This Row],[العدد]]</f>
        <v>0</v>
      </c>
      <c r="J86" s="9">
        <f>SUM(Table4[[#This Row],[الاجمالي]]+J85)</f>
        <v>385.5</v>
      </c>
    </row>
    <row r="87" spans="1:10" ht="43.5" customHeight="1" x14ac:dyDescent="0.3">
      <c r="A87" s="15">
        <v>313095003</v>
      </c>
      <c r="B87" s="1" t="s">
        <v>261</v>
      </c>
      <c r="C87" s="1">
        <v>14.5</v>
      </c>
      <c r="F87" s="7"/>
      <c r="G87" s="9"/>
      <c r="H87" s="9"/>
      <c r="I87" s="8">
        <f>Table4[[#This Row],[السعر]]*Table4[[#This Row],[العدد]]</f>
        <v>0</v>
      </c>
      <c r="J87" s="9">
        <f>SUM(Table4[[#This Row],[الاجمالي]]+J86)</f>
        <v>385.5</v>
      </c>
    </row>
    <row r="88" spans="1:10" ht="43.5" customHeight="1" x14ac:dyDescent="0.3">
      <c r="A88" s="15">
        <v>313095004</v>
      </c>
      <c r="B88" s="1" t="s">
        <v>262</v>
      </c>
      <c r="C88" s="1">
        <v>25</v>
      </c>
      <c r="F88" s="7"/>
      <c r="G88" s="9"/>
      <c r="H88" s="9"/>
      <c r="I88" s="8">
        <f>Table4[[#This Row],[السعر]]*Table4[[#This Row],[العدد]]</f>
        <v>0</v>
      </c>
      <c r="J88" s="9">
        <f>SUM(Table4[[#This Row],[الاجمالي]]+J87)</f>
        <v>385.5</v>
      </c>
    </row>
    <row r="89" spans="1:10" ht="43.5" customHeight="1" x14ac:dyDescent="0.3">
      <c r="A89" s="15">
        <v>313095005</v>
      </c>
      <c r="B89" s="1" t="s">
        <v>263</v>
      </c>
      <c r="C89" s="1">
        <v>40</v>
      </c>
      <c r="F89" s="7"/>
      <c r="G89" s="9"/>
      <c r="H89" s="9"/>
      <c r="I89" s="8">
        <f>Table4[[#This Row],[السعر]]*Table4[[#This Row],[العدد]]</f>
        <v>0</v>
      </c>
      <c r="J89" s="9">
        <f>SUM(Table4[[#This Row],[الاجمالي]]+J88)</f>
        <v>385.5</v>
      </c>
    </row>
    <row r="90" spans="1:10" ht="43.5" customHeight="1" x14ac:dyDescent="0.3">
      <c r="A90" s="15">
        <v>313095006</v>
      </c>
      <c r="B90" s="1" t="s">
        <v>264</v>
      </c>
      <c r="C90" s="1">
        <v>75</v>
      </c>
      <c r="F90" s="7"/>
      <c r="G90" s="9"/>
      <c r="H90" s="9"/>
      <c r="I90" s="8">
        <f>Table4[[#This Row],[السعر]]*Table4[[#This Row],[العدد]]</f>
        <v>0</v>
      </c>
      <c r="J90" s="9">
        <f>SUM(Table4[[#This Row],[الاجمالي]]+J89)</f>
        <v>385.5</v>
      </c>
    </row>
    <row r="91" spans="1:10" ht="43.5" customHeight="1" x14ac:dyDescent="0.3">
      <c r="A91" s="15">
        <v>313099905</v>
      </c>
      <c r="B91" s="1" t="s">
        <v>265</v>
      </c>
      <c r="C91" s="1">
        <v>19.25</v>
      </c>
      <c r="F91" s="7"/>
      <c r="G91" s="9"/>
      <c r="H91" s="9"/>
      <c r="I91" s="8">
        <f>Table4[[#This Row],[السعر]]*Table4[[#This Row],[العدد]]</f>
        <v>0</v>
      </c>
      <c r="J91" s="9">
        <f>SUM(Table4[[#This Row],[الاجمالي]]+J90)</f>
        <v>385.5</v>
      </c>
    </row>
    <row r="92" spans="1:10" ht="43.5" customHeight="1" x14ac:dyDescent="0.3">
      <c r="A92" s="15">
        <v>313099906</v>
      </c>
      <c r="B92" s="1" t="s">
        <v>266</v>
      </c>
      <c r="C92" s="1">
        <v>30</v>
      </c>
      <c r="F92" s="7"/>
      <c r="G92" s="9"/>
      <c r="H92" s="9"/>
      <c r="I92" s="8">
        <f>Table4[[#This Row],[السعر]]*Table4[[#This Row],[العدد]]</f>
        <v>0</v>
      </c>
      <c r="J92" s="9">
        <f>SUM(Table4[[#This Row],[الاجمالي]]+J91)</f>
        <v>385.5</v>
      </c>
    </row>
    <row r="93" spans="1:10" ht="43.5" customHeight="1" x14ac:dyDescent="0.3">
      <c r="A93" s="15">
        <v>313099101</v>
      </c>
      <c r="B93" s="1" t="s">
        <v>4</v>
      </c>
      <c r="C93" s="1">
        <v>5.25</v>
      </c>
      <c r="F93" s="7"/>
      <c r="G93" s="9"/>
      <c r="H93" s="9"/>
      <c r="I93" s="8">
        <f>Table4[[#This Row],[السعر]]*Table4[[#This Row],[العدد]]</f>
        <v>0</v>
      </c>
      <c r="J93" s="9">
        <f>SUM(Table4[[#This Row],[الاجمالي]]+J92)</f>
        <v>385.5</v>
      </c>
    </row>
    <row r="94" spans="1:10" ht="43.5" customHeight="1" x14ac:dyDescent="0.3">
      <c r="A94" s="15">
        <v>313099102</v>
      </c>
      <c r="B94" s="1" t="s">
        <v>5</v>
      </c>
      <c r="C94" s="1">
        <v>5.25</v>
      </c>
      <c r="F94" s="7"/>
      <c r="G94" s="9"/>
      <c r="H94" s="9"/>
      <c r="I94" s="8">
        <f>Table4[[#This Row],[السعر]]*Table4[[#This Row],[العدد]]</f>
        <v>0</v>
      </c>
      <c r="J94" s="9">
        <f>SUM(Table4[[#This Row],[الاجمالي]]+J93)</f>
        <v>385.5</v>
      </c>
    </row>
    <row r="95" spans="1:10" ht="43.5" customHeight="1" x14ac:dyDescent="0.3">
      <c r="A95" s="15">
        <v>313099103</v>
      </c>
      <c r="B95" s="1" t="s">
        <v>6</v>
      </c>
      <c r="C95" s="1">
        <v>12.25</v>
      </c>
      <c r="F95" s="7"/>
      <c r="G95" s="9"/>
      <c r="H95" s="9"/>
      <c r="I95" s="8">
        <f>Table4[[#This Row],[السعر]]*Table4[[#This Row],[العدد]]</f>
        <v>0</v>
      </c>
      <c r="J95" s="9">
        <f>SUM(Table4[[#This Row],[الاجمالي]]+J94)</f>
        <v>385.5</v>
      </c>
    </row>
    <row r="96" spans="1:10" ht="43.5" customHeight="1" x14ac:dyDescent="0.3">
      <c r="A96" s="15">
        <v>313099104</v>
      </c>
      <c r="B96" s="1" t="s">
        <v>7</v>
      </c>
      <c r="C96" s="1">
        <v>12.25</v>
      </c>
      <c r="F96" s="7"/>
      <c r="G96" s="9"/>
      <c r="H96" s="9"/>
      <c r="I96" s="8">
        <f>Table4[[#This Row],[السعر]]*Table4[[#This Row],[العدد]]</f>
        <v>0</v>
      </c>
      <c r="J96" s="9">
        <f>SUM(Table4[[#This Row],[الاجمالي]]+J95)</f>
        <v>385.5</v>
      </c>
    </row>
    <row r="97" spans="1:10" ht="43.5" customHeight="1" x14ac:dyDescent="0.3">
      <c r="A97" s="15">
        <v>313060001</v>
      </c>
      <c r="B97" s="1" t="s">
        <v>467</v>
      </c>
      <c r="C97" s="1">
        <v>48.75</v>
      </c>
      <c r="F97" s="7"/>
      <c r="G97" s="9"/>
      <c r="H97" s="9"/>
      <c r="I97" s="8">
        <f>Table4[[#This Row],[السعر]]*Table4[[#This Row],[العدد]]</f>
        <v>0</v>
      </c>
      <c r="J97" s="9">
        <f>SUM(Table4[[#This Row],[الاجمالي]]+J96)</f>
        <v>385.5</v>
      </c>
    </row>
    <row r="98" spans="1:10" ht="43.5" customHeight="1" x14ac:dyDescent="0.3">
      <c r="A98" s="15">
        <v>313060002</v>
      </c>
      <c r="B98" s="1" t="s">
        <v>468</v>
      </c>
      <c r="C98" s="1">
        <v>80</v>
      </c>
      <c r="F98" s="7"/>
      <c r="G98" s="9"/>
      <c r="H98" s="9"/>
      <c r="I98" s="8">
        <f>Table4[[#This Row],[السعر]]*Table4[[#This Row],[العدد]]</f>
        <v>0</v>
      </c>
      <c r="J98" s="9">
        <f>SUM(Table4[[#This Row],[الاجمالي]]+J97)</f>
        <v>385.5</v>
      </c>
    </row>
    <row r="99" spans="1:10" ht="43.5" customHeight="1" x14ac:dyDescent="0.3">
      <c r="A99" s="15">
        <v>313060003</v>
      </c>
      <c r="B99" s="1" t="s">
        <v>469</v>
      </c>
      <c r="C99" s="1">
        <v>124.5</v>
      </c>
      <c r="F99" s="7"/>
      <c r="G99" s="9"/>
      <c r="H99" s="9"/>
      <c r="I99" s="8">
        <f>Table4[[#This Row],[السعر]]*Table4[[#This Row],[العدد]]</f>
        <v>0</v>
      </c>
      <c r="J99" s="9">
        <f>SUM(Table4[[#This Row],[الاجمالي]]+J98)</f>
        <v>385.5</v>
      </c>
    </row>
    <row r="100" spans="1:10" ht="43.5" customHeight="1" x14ac:dyDescent="0.3">
      <c r="A100" s="15">
        <v>313060004</v>
      </c>
      <c r="B100" s="1" t="s">
        <v>470</v>
      </c>
      <c r="C100" s="1">
        <v>185</v>
      </c>
      <c r="F100" s="7"/>
      <c r="G100" s="9"/>
      <c r="H100" s="9"/>
      <c r="I100" s="8">
        <f>Table4[[#This Row],[السعر]]*Table4[[#This Row],[العدد]]</f>
        <v>0</v>
      </c>
      <c r="J100" s="9">
        <f>SUM(Table4[[#This Row],[الاجمالي]]+J99)</f>
        <v>385.5</v>
      </c>
    </row>
    <row r="101" spans="1:10" ht="43.5" customHeight="1" x14ac:dyDescent="0.3">
      <c r="A101" s="15">
        <v>313060005</v>
      </c>
      <c r="B101" s="1" t="s">
        <v>471</v>
      </c>
      <c r="C101" s="1">
        <v>290</v>
      </c>
      <c r="F101" s="7"/>
      <c r="G101" s="9"/>
      <c r="H101" s="9"/>
      <c r="I101" s="8">
        <f>Table4[[#This Row],[السعر]]*Table4[[#This Row],[العدد]]</f>
        <v>0</v>
      </c>
      <c r="J101" s="9">
        <f>SUM(Table4[[#This Row],[الاجمالي]]+J100)</f>
        <v>385.5</v>
      </c>
    </row>
    <row r="102" spans="1:10" ht="43.5" customHeight="1" x14ac:dyDescent="0.3">
      <c r="A102" s="15">
        <v>313060006</v>
      </c>
      <c r="B102" s="1" t="s">
        <v>472</v>
      </c>
      <c r="C102" s="1">
        <v>443</v>
      </c>
      <c r="F102" s="7"/>
      <c r="G102" s="9"/>
      <c r="H102" s="9"/>
      <c r="I102" s="8">
        <f>Table4[[#This Row],[السعر]]*Table4[[#This Row],[العدد]]</f>
        <v>0</v>
      </c>
      <c r="J102" s="9">
        <f>SUM(Table4[[#This Row],[الاجمالي]]+J101)</f>
        <v>385.5</v>
      </c>
    </row>
    <row r="103" spans="1:10" ht="43.5" customHeight="1" x14ac:dyDescent="0.3">
      <c r="A103" s="15">
        <v>313060007</v>
      </c>
      <c r="B103" s="1" t="s">
        <v>473</v>
      </c>
      <c r="C103" s="1">
        <v>635.5</v>
      </c>
      <c r="F103" s="7"/>
      <c r="G103" s="9"/>
      <c r="H103" s="9"/>
      <c r="I103" s="8">
        <f>Table4[[#This Row],[السعر]]*Table4[[#This Row],[العدد]]</f>
        <v>0</v>
      </c>
      <c r="J103" s="9">
        <f>SUM(Table4[[#This Row],[الاجمالي]]+J102)</f>
        <v>385.5</v>
      </c>
    </row>
    <row r="104" spans="1:10" ht="43.5" customHeight="1" x14ac:dyDescent="0.3">
      <c r="A104" s="15">
        <v>313060008</v>
      </c>
      <c r="B104" s="1" t="s">
        <v>474</v>
      </c>
      <c r="C104" s="1">
        <v>915</v>
      </c>
      <c r="F104" s="7"/>
      <c r="G104" s="9"/>
      <c r="H104" s="9"/>
      <c r="I104" s="8">
        <f>Table4[[#This Row],[السعر]]*Table4[[#This Row],[العدد]]</f>
        <v>0</v>
      </c>
      <c r="J104" s="9">
        <f>SUM(Table4[[#This Row],[الاجمالي]]+J103)</f>
        <v>385.5</v>
      </c>
    </row>
    <row r="105" spans="1:10" ht="43.5" customHeight="1" x14ac:dyDescent="0.3">
      <c r="A105" s="15">
        <v>313060009</v>
      </c>
      <c r="B105" s="1" t="s">
        <v>475</v>
      </c>
      <c r="C105" s="1">
        <v>1375</v>
      </c>
      <c r="F105" s="17"/>
      <c r="G105" s="18"/>
      <c r="H105" s="18"/>
      <c r="I105" s="19"/>
      <c r="J105" s="13">
        <f>SUM(Table4[[#This Row],[الاجمالي]]+J104)</f>
        <v>385.5</v>
      </c>
    </row>
    <row r="106" spans="1:10" ht="43.5" customHeight="1" x14ac:dyDescent="0.3">
      <c r="A106" s="15">
        <v>313070001</v>
      </c>
      <c r="B106" s="1" t="s">
        <v>147</v>
      </c>
      <c r="C106" s="1">
        <v>56.75</v>
      </c>
      <c r="F106" s="20"/>
      <c r="G106" s="20"/>
      <c r="H106" s="20"/>
      <c r="I106" s="20"/>
      <c r="J106" s="20"/>
    </row>
    <row r="107" spans="1:10" ht="43.5" customHeight="1" x14ac:dyDescent="0.3">
      <c r="A107" s="15">
        <v>313070002</v>
      </c>
      <c r="B107" s="1" t="s">
        <v>148</v>
      </c>
      <c r="C107" s="1">
        <v>93.25</v>
      </c>
    </row>
    <row r="108" spans="1:10" ht="43.5" customHeight="1" x14ac:dyDescent="0.3">
      <c r="A108" s="15">
        <v>313070003</v>
      </c>
      <c r="B108" s="1" t="s">
        <v>149</v>
      </c>
      <c r="C108" s="1">
        <v>145.5</v>
      </c>
    </row>
    <row r="109" spans="1:10" ht="43.5" customHeight="1" x14ac:dyDescent="0.3">
      <c r="A109" s="15">
        <v>313070004</v>
      </c>
      <c r="B109" s="1" t="s">
        <v>150</v>
      </c>
      <c r="C109" s="1">
        <v>215.75</v>
      </c>
    </row>
    <row r="110" spans="1:10" ht="43.5" customHeight="1" x14ac:dyDescent="0.3">
      <c r="A110" s="15">
        <v>313070005</v>
      </c>
      <c r="B110" s="1" t="s">
        <v>151</v>
      </c>
      <c r="C110" s="1">
        <v>338</v>
      </c>
    </row>
    <row r="111" spans="1:10" ht="43.5" customHeight="1" x14ac:dyDescent="0.3">
      <c r="A111" s="15">
        <v>313070006</v>
      </c>
      <c r="B111" s="1" t="s">
        <v>152</v>
      </c>
      <c r="C111" s="1">
        <v>516</v>
      </c>
    </row>
    <row r="112" spans="1:10" ht="43.5" customHeight="1" x14ac:dyDescent="0.3">
      <c r="A112" s="15">
        <v>313070007</v>
      </c>
      <c r="B112" s="1" t="s">
        <v>153</v>
      </c>
      <c r="C112" s="1">
        <v>741</v>
      </c>
    </row>
    <row r="113" spans="1:3" ht="43.5" customHeight="1" x14ac:dyDescent="0.3">
      <c r="A113" s="15">
        <v>313070008</v>
      </c>
      <c r="B113" s="1" t="s">
        <v>154</v>
      </c>
      <c r="C113" s="1">
        <v>1067</v>
      </c>
    </row>
    <row r="114" spans="1:3" ht="43.5" customHeight="1" x14ac:dyDescent="0.3">
      <c r="A114" s="15">
        <v>313070009</v>
      </c>
      <c r="B114" s="1" t="s">
        <v>155</v>
      </c>
      <c r="C114" s="1">
        <v>1603.5</v>
      </c>
    </row>
    <row r="115" spans="1:3" ht="43.5" customHeight="1" x14ac:dyDescent="0.3">
      <c r="A115" s="15">
        <v>371099130</v>
      </c>
      <c r="B115" s="1" t="s">
        <v>192</v>
      </c>
      <c r="C115" s="1">
        <v>52.25</v>
      </c>
    </row>
    <row r="116" spans="1:3" ht="43.5" customHeight="1" x14ac:dyDescent="0.3">
      <c r="A116" s="15">
        <v>371099131</v>
      </c>
      <c r="B116" s="1" t="s">
        <v>193</v>
      </c>
      <c r="C116" s="1">
        <v>57</v>
      </c>
    </row>
    <row r="117" spans="1:3" ht="43.5" customHeight="1" x14ac:dyDescent="0.3">
      <c r="A117" s="15">
        <v>371099132</v>
      </c>
      <c r="B117" s="1" t="s">
        <v>194</v>
      </c>
      <c r="C117" s="1">
        <v>63.5</v>
      </c>
    </row>
    <row r="118" spans="1:3" ht="43.5" customHeight="1" x14ac:dyDescent="0.3">
      <c r="A118" s="15">
        <v>371099133</v>
      </c>
      <c r="B118" s="1" t="s">
        <v>195</v>
      </c>
      <c r="C118" s="1">
        <v>70.25</v>
      </c>
    </row>
    <row r="119" spans="1:3" ht="43.5" customHeight="1" x14ac:dyDescent="0.3">
      <c r="A119" s="15">
        <v>371099137</v>
      </c>
      <c r="B119" s="1" t="s">
        <v>196</v>
      </c>
      <c r="C119" s="1">
        <v>81.75</v>
      </c>
    </row>
    <row r="120" spans="1:3" ht="43.5" customHeight="1" x14ac:dyDescent="0.3">
      <c r="A120" s="15">
        <v>371099138</v>
      </c>
      <c r="B120" s="1" t="s">
        <v>197</v>
      </c>
      <c r="C120" s="1">
        <v>89.5</v>
      </c>
    </row>
    <row r="121" spans="1:3" ht="43.5" customHeight="1" x14ac:dyDescent="0.3">
      <c r="A121" s="15">
        <v>371099134</v>
      </c>
      <c r="B121" s="1" t="s">
        <v>160</v>
      </c>
      <c r="C121" s="1">
        <v>119</v>
      </c>
    </row>
    <row r="122" spans="1:3" ht="43.5" customHeight="1" x14ac:dyDescent="0.3">
      <c r="A122" s="15">
        <v>371099135</v>
      </c>
      <c r="B122" s="1" t="s">
        <v>161</v>
      </c>
      <c r="C122" s="1">
        <v>129.25</v>
      </c>
    </row>
    <row r="123" spans="1:3" ht="43.5" customHeight="1" x14ac:dyDescent="0.3">
      <c r="A123" s="15">
        <v>371099136</v>
      </c>
      <c r="B123" s="1" t="s">
        <v>162</v>
      </c>
      <c r="C123" s="1">
        <v>135.75</v>
      </c>
    </row>
    <row r="124" spans="1:3" ht="43.5" customHeight="1" x14ac:dyDescent="0.3">
      <c r="A124" s="15">
        <v>371099139</v>
      </c>
      <c r="B124" s="1" t="s">
        <v>163</v>
      </c>
      <c r="C124" s="1">
        <v>151</v>
      </c>
    </row>
    <row r="125" spans="1:3" ht="43.5" customHeight="1" x14ac:dyDescent="0.3">
      <c r="A125" s="15">
        <v>371099140</v>
      </c>
      <c r="B125" s="1" t="s">
        <v>164</v>
      </c>
      <c r="C125" s="1">
        <v>163</v>
      </c>
    </row>
    <row r="126" spans="1:3" ht="43.5" customHeight="1" x14ac:dyDescent="0.3">
      <c r="A126" s="15">
        <v>371099115</v>
      </c>
      <c r="B126" s="1" t="s">
        <v>8</v>
      </c>
      <c r="C126" s="1">
        <v>47.75</v>
      </c>
    </row>
    <row r="127" spans="1:3" ht="43.5" customHeight="1" x14ac:dyDescent="0.3">
      <c r="A127" s="15">
        <v>371099116</v>
      </c>
      <c r="B127" s="1" t="s">
        <v>9</v>
      </c>
      <c r="C127" s="1">
        <v>53</v>
      </c>
    </row>
    <row r="128" spans="1:3" ht="43.5" customHeight="1" x14ac:dyDescent="0.3">
      <c r="A128" s="15">
        <v>371099117</v>
      </c>
      <c r="B128" s="1" t="s">
        <v>10</v>
      </c>
      <c r="C128" s="1">
        <v>58.75</v>
      </c>
    </row>
    <row r="129" spans="1:3" ht="43.5" customHeight="1" x14ac:dyDescent="0.3">
      <c r="A129" s="15">
        <v>313010010</v>
      </c>
      <c r="B129" s="1" t="s">
        <v>267</v>
      </c>
      <c r="C129" s="1">
        <v>32.75</v>
      </c>
    </row>
    <row r="130" spans="1:3" ht="43.5" customHeight="1" x14ac:dyDescent="0.3">
      <c r="A130" s="15">
        <v>313010011</v>
      </c>
      <c r="B130" s="1" t="s">
        <v>268</v>
      </c>
      <c r="C130" s="1">
        <v>35.5</v>
      </c>
    </row>
    <row r="131" spans="1:3" ht="43.5" customHeight="1" x14ac:dyDescent="0.3">
      <c r="A131" s="15">
        <v>313010012</v>
      </c>
      <c r="B131" s="1" t="s">
        <v>269</v>
      </c>
      <c r="C131" s="1">
        <v>49</v>
      </c>
    </row>
    <row r="132" spans="1:3" ht="43.5" customHeight="1" x14ac:dyDescent="0.3">
      <c r="A132" s="15">
        <v>313010013</v>
      </c>
      <c r="B132" s="1" t="s">
        <v>270</v>
      </c>
      <c r="C132" s="1">
        <v>70</v>
      </c>
    </row>
    <row r="133" spans="1:3" ht="43.5" customHeight="1" x14ac:dyDescent="0.3">
      <c r="A133" s="15">
        <v>313010014</v>
      </c>
      <c r="B133" s="1" t="s">
        <v>271</v>
      </c>
      <c r="C133" s="1">
        <v>83.25</v>
      </c>
    </row>
    <row r="134" spans="1:3" ht="43.5" customHeight="1" x14ac:dyDescent="0.3">
      <c r="A134" s="15">
        <v>313020010</v>
      </c>
      <c r="B134" s="1" t="s">
        <v>272</v>
      </c>
      <c r="C134" s="1">
        <v>44.25</v>
      </c>
    </row>
    <row r="135" spans="1:3" ht="43.5" customHeight="1" x14ac:dyDescent="0.3">
      <c r="A135" s="15">
        <v>313020011</v>
      </c>
      <c r="B135" s="1" t="s">
        <v>273</v>
      </c>
      <c r="C135" s="1">
        <v>49</v>
      </c>
    </row>
    <row r="136" spans="1:3" ht="43.5" customHeight="1" x14ac:dyDescent="0.3">
      <c r="A136" s="15">
        <v>313020012</v>
      </c>
      <c r="B136" s="1" t="s">
        <v>274</v>
      </c>
      <c r="C136" s="1">
        <v>63</v>
      </c>
    </row>
    <row r="137" spans="1:3" ht="43.5" customHeight="1" x14ac:dyDescent="0.3">
      <c r="A137" s="15">
        <v>313020013</v>
      </c>
      <c r="B137" s="1" t="s">
        <v>275</v>
      </c>
      <c r="C137" s="1">
        <v>83.25</v>
      </c>
    </row>
    <row r="138" spans="1:3" ht="43.5" customHeight="1" x14ac:dyDescent="0.3">
      <c r="A138" s="15">
        <v>313020014</v>
      </c>
      <c r="B138" s="1" t="s">
        <v>276</v>
      </c>
      <c r="C138" s="1">
        <v>108.75</v>
      </c>
    </row>
    <row r="139" spans="1:3" ht="43.5" customHeight="1" x14ac:dyDescent="0.3">
      <c r="A139" s="15">
        <v>313060010</v>
      </c>
      <c r="B139" s="1" t="s">
        <v>277</v>
      </c>
      <c r="C139" s="1">
        <v>41</v>
      </c>
    </row>
    <row r="140" spans="1:3" ht="43.5" customHeight="1" x14ac:dyDescent="0.3">
      <c r="A140" s="15">
        <v>313060011</v>
      </c>
      <c r="B140" s="1" t="s">
        <v>278</v>
      </c>
      <c r="C140" s="1">
        <v>45.75</v>
      </c>
    </row>
    <row r="141" spans="1:3" ht="43.5" customHeight="1" x14ac:dyDescent="0.3">
      <c r="A141" s="15">
        <v>313060012</v>
      </c>
      <c r="B141" s="1" t="s">
        <v>279</v>
      </c>
      <c r="C141" s="1">
        <v>58.75</v>
      </c>
    </row>
    <row r="142" spans="1:3" ht="43.5" customHeight="1" x14ac:dyDescent="0.3">
      <c r="A142" s="15">
        <v>313060013</v>
      </c>
      <c r="B142" s="1" t="s">
        <v>280</v>
      </c>
      <c r="C142" s="1">
        <v>78.5</v>
      </c>
    </row>
    <row r="143" spans="1:3" ht="43.5" customHeight="1" x14ac:dyDescent="0.3">
      <c r="A143" s="15">
        <v>313060014</v>
      </c>
      <c r="B143" s="1" t="s">
        <v>281</v>
      </c>
      <c r="C143" s="1">
        <v>94.75</v>
      </c>
    </row>
    <row r="144" spans="1:3" ht="43.5" customHeight="1" x14ac:dyDescent="0.3">
      <c r="A144" s="15">
        <v>313070010</v>
      </c>
      <c r="B144" s="1" t="s">
        <v>282</v>
      </c>
      <c r="C144" s="1">
        <v>55.75</v>
      </c>
    </row>
    <row r="145" spans="1:3" ht="43.5" customHeight="1" x14ac:dyDescent="0.3">
      <c r="A145" s="15">
        <v>313070011</v>
      </c>
      <c r="B145" s="1" t="s">
        <v>283</v>
      </c>
      <c r="C145" s="1">
        <v>60.75</v>
      </c>
    </row>
    <row r="146" spans="1:3" ht="43.5" customHeight="1" x14ac:dyDescent="0.3">
      <c r="A146" s="15">
        <v>313070012</v>
      </c>
      <c r="B146" s="1" t="s">
        <v>284</v>
      </c>
      <c r="C146" s="1">
        <v>72.25</v>
      </c>
    </row>
    <row r="147" spans="1:3" ht="43.5" customHeight="1" x14ac:dyDescent="0.3">
      <c r="A147" s="15">
        <v>313070013</v>
      </c>
      <c r="B147" s="1" t="s">
        <v>285</v>
      </c>
      <c r="C147" s="1">
        <v>96.25</v>
      </c>
    </row>
    <row r="148" spans="1:3" ht="43.5" customHeight="1" x14ac:dyDescent="0.3">
      <c r="A148" s="15">
        <v>313070014</v>
      </c>
      <c r="B148" s="1" t="s">
        <v>286</v>
      </c>
      <c r="C148" s="1">
        <v>124</v>
      </c>
    </row>
    <row r="149" spans="1:3" ht="43.5" customHeight="1" x14ac:dyDescent="0.3">
      <c r="A149" s="15">
        <v>313091010</v>
      </c>
      <c r="B149" s="1" t="s">
        <v>287</v>
      </c>
      <c r="C149" s="1">
        <v>28</v>
      </c>
    </row>
    <row r="150" spans="1:3" ht="43.5" customHeight="1" x14ac:dyDescent="0.3">
      <c r="A150" s="15">
        <v>313091011</v>
      </c>
      <c r="B150" s="1" t="s">
        <v>288</v>
      </c>
      <c r="C150" s="1">
        <v>31.75</v>
      </c>
    </row>
    <row r="151" spans="1:3" ht="43.5" customHeight="1" x14ac:dyDescent="0.3">
      <c r="A151" s="15">
        <v>313091012</v>
      </c>
      <c r="B151" s="1" t="s">
        <v>289</v>
      </c>
      <c r="C151" s="1">
        <v>39.75</v>
      </c>
    </row>
    <row r="152" spans="1:3" ht="43.5" customHeight="1" x14ac:dyDescent="0.3">
      <c r="A152" s="15">
        <v>313091013</v>
      </c>
      <c r="B152" s="1" t="s">
        <v>290</v>
      </c>
      <c r="C152" s="1">
        <v>56.5</v>
      </c>
    </row>
    <row r="153" spans="1:3" ht="43.5" customHeight="1" x14ac:dyDescent="0.3">
      <c r="A153" s="15">
        <v>313091014</v>
      </c>
      <c r="B153" s="1" t="s">
        <v>291</v>
      </c>
      <c r="C153" s="1">
        <v>74.25</v>
      </c>
    </row>
    <row r="154" spans="1:3" ht="43.5" customHeight="1" x14ac:dyDescent="0.3">
      <c r="A154" s="15">
        <v>313091015</v>
      </c>
      <c r="B154" s="1" t="s">
        <v>292</v>
      </c>
      <c r="C154" s="1">
        <v>185</v>
      </c>
    </row>
    <row r="155" spans="1:3" ht="43.5" customHeight="1" x14ac:dyDescent="0.3">
      <c r="A155" s="15">
        <v>313091016</v>
      </c>
      <c r="B155" s="1" t="s">
        <v>293</v>
      </c>
      <c r="C155" s="1">
        <v>225</v>
      </c>
    </row>
    <row r="156" spans="1:3" ht="43.5" customHeight="1" x14ac:dyDescent="0.3">
      <c r="A156" s="15">
        <v>313091017</v>
      </c>
      <c r="B156" s="1" t="s">
        <v>294</v>
      </c>
      <c r="C156" s="1">
        <v>345</v>
      </c>
    </row>
    <row r="157" spans="1:3" ht="43.5" customHeight="1" x14ac:dyDescent="0.3">
      <c r="A157" s="15">
        <v>313092010</v>
      </c>
      <c r="B157" s="1" t="s">
        <v>295</v>
      </c>
      <c r="C157" s="1">
        <v>38.25</v>
      </c>
    </row>
    <row r="158" spans="1:3" ht="43.5" customHeight="1" x14ac:dyDescent="0.3">
      <c r="A158" s="15">
        <v>313092011</v>
      </c>
      <c r="B158" s="1" t="s">
        <v>296</v>
      </c>
      <c r="C158" s="1">
        <v>42.75</v>
      </c>
    </row>
    <row r="159" spans="1:3" ht="43.5" customHeight="1" x14ac:dyDescent="0.3">
      <c r="A159" s="15">
        <v>313092012</v>
      </c>
      <c r="B159" s="1" t="s">
        <v>297</v>
      </c>
      <c r="C159" s="1">
        <v>55.5</v>
      </c>
    </row>
    <row r="160" spans="1:3" ht="43.5" customHeight="1" x14ac:dyDescent="0.3">
      <c r="A160" s="15">
        <v>313092013</v>
      </c>
      <c r="B160" s="1" t="s">
        <v>298</v>
      </c>
      <c r="C160" s="1">
        <v>72.25</v>
      </c>
    </row>
    <row r="161" spans="1:3" ht="43.5" customHeight="1" x14ac:dyDescent="0.3">
      <c r="A161" s="15">
        <v>313092014</v>
      </c>
      <c r="B161" s="1" t="s">
        <v>299</v>
      </c>
      <c r="C161" s="1">
        <v>96.5</v>
      </c>
    </row>
    <row r="162" spans="1:3" ht="43.5" customHeight="1" x14ac:dyDescent="0.3">
      <c r="A162" s="15">
        <v>313092015</v>
      </c>
      <c r="B162" s="1" t="s">
        <v>300</v>
      </c>
      <c r="C162" s="1">
        <v>255</v>
      </c>
    </row>
    <row r="163" spans="1:3" ht="43.5" customHeight="1" x14ac:dyDescent="0.3">
      <c r="A163" s="15">
        <v>313092016</v>
      </c>
      <c r="B163" s="1" t="s">
        <v>301</v>
      </c>
      <c r="C163" s="1">
        <v>310</v>
      </c>
    </row>
    <row r="164" spans="1:3" ht="43.5" customHeight="1" x14ac:dyDescent="0.3">
      <c r="A164" s="15">
        <v>313092017</v>
      </c>
      <c r="B164" s="1" t="s">
        <v>302</v>
      </c>
      <c r="C164" s="1">
        <v>450</v>
      </c>
    </row>
    <row r="165" spans="1:3" ht="43.5" customHeight="1" x14ac:dyDescent="0.3">
      <c r="A165" s="15">
        <v>313100001</v>
      </c>
      <c r="B165" s="1" t="s">
        <v>303</v>
      </c>
      <c r="C165" s="1">
        <v>237.75</v>
      </c>
    </row>
    <row r="166" spans="1:3" ht="43.5" customHeight="1" x14ac:dyDescent="0.3">
      <c r="A166" s="15">
        <v>313100002</v>
      </c>
      <c r="B166" s="1" t="s">
        <v>304</v>
      </c>
      <c r="C166" s="1">
        <v>250</v>
      </c>
    </row>
    <row r="167" spans="1:3" ht="43.5" customHeight="1" x14ac:dyDescent="0.3">
      <c r="A167" s="15">
        <v>313100003</v>
      </c>
      <c r="B167" s="1" t="s">
        <v>305</v>
      </c>
      <c r="C167" s="1">
        <v>360</v>
      </c>
    </row>
    <row r="168" spans="1:3" ht="43.5" customHeight="1" x14ac:dyDescent="0.3">
      <c r="A168" s="15">
        <v>311099110</v>
      </c>
      <c r="B168" s="1" t="s">
        <v>11</v>
      </c>
      <c r="C168" s="1">
        <v>62.75</v>
      </c>
    </row>
    <row r="169" spans="1:3" ht="43.5" customHeight="1" x14ac:dyDescent="0.3">
      <c r="A169" s="15">
        <v>313100005</v>
      </c>
      <c r="B169" s="1" t="s">
        <v>12</v>
      </c>
      <c r="C169" s="1">
        <v>115</v>
      </c>
    </row>
    <row r="170" spans="1:3" ht="43.5" customHeight="1" x14ac:dyDescent="0.3">
      <c r="A170" s="15">
        <v>313100006</v>
      </c>
      <c r="B170" s="1" t="s">
        <v>13</v>
      </c>
      <c r="C170" s="1">
        <v>165</v>
      </c>
    </row>
    <row r="171" spans="1:3" ht="43.5" customHeight="1" x14ac:dyDescent="0.3">
      <c r="A171" s="15">
        <v>313100007</v>
      </c>
      <c r="B171" s="1" t="s">
        <v>14</v>
      </c>
      <c r="C171" s="1">
        <v>225</v>
      </c>
    </row>
    <row r="172" spans="1:3" ht="43.5" customHeight="1" x14ac:dyDescent="0.3">
      <c r="A172" s="15">
        <v>313099901</v>
      </c>
      <c r="B172" s="1" t="s">
        <v>306</v>
      </c>
      <c r="C172" s="1">
        <v>45</v>
      </c>
    </row>
    <row r="173" spans="1:3" ht="43.5" customHeight="1" x14ac:dyDescent="0.3">
      <c r="A173" s="15">
        <v>313099902</v>
      </c>
      <c r="B173" s="1" t="s">
        <v>307</v>
      </c>
      <c r="C173" s="1">
        <v>53.5</v>
      </c>
    </row>
    <row r="174" spans="1:3" ht="43.5" customHeight="1" x14ac:dyDescent="0.3">
      <c r="A174" s="15">
        <v>313099903</v>
      </c>
      <c r="B174" s="1" t="s">
        <v>308</v>
      </c>
      <c r="C174" s="1">
        <v>83</v>
      </c>
    </row>
    <row r="175" spans="1:3" ht="43.5" customHeight="1" x14ac:dyDescent="0.3">
      <c r="A175" s="15">
        <v>313099905</v>
      </c>
      <c r="B175" s="1" t="s">
        <v>265</v>
      </c>
      <c r="C175" s="1">
        <v>19.25</v>
      </c>
    </row>
    <row r="176" spans="1:3" ht="43.5" customHeight="1" x14ac:dyDescent="0.3">
      <c r="A176" s="15">
        <v>313099906</v>
      </c>
      <c r="B176" s="1" t="s">
        <v>266</v>
      </c>
      <c r="C176" s="1">
        <v>30</v>
      </c>
    </row>
    <row r="177" spans="1:3" ht="43.5" customHeight="1" x14ac:dyDescent="0.3">
      <c r="A177" s="15">
        <v>313099907</v>
      </c>
      <c r="B177" s="1" t="s">
        <v>309</v>
      </c>
      <c r="C177" s="1">
        <v>48.5</v>
      </c>
    </row>
    <row r="178" spans="1:3" ht="43.5" customHeight="1" x14ac:dyDescent="0.3">
      <c r="A178" s="15">
        <v>313050010</v>
      </c>
      <c r="B178" s="1" t="s">
        <v>310</v>
      </c>
      <c r="C178" s="1">
        <v>6.75</v>
      </c>
    </row>
    <row r="179" spans="1:3" ht="43.5" customHeight="1" x14ac:dyDescent="0.3">
      <c r="A179" s="15">
        <v>313050011</v>
      </c>
      <c r="B179" s="1" t="s">
        <v>311</v>
      </c>
      <c r="C179" s="1">
        <v>9.75</v>
      </c>
    </row>
    <row r="180" spans="1:3" ht="43.5" customHeight="1" x14ac:dyDescent="0.3">
      <c r="A180" s="15">
        <v>313050012</v>
      </c>
      <c r="B180" s="1" t="s">
        <v>312</v>
      </c>
      <c r="C180" s="1">
        <v>9.75</v>
      </c>
    </row>
    <row r="181" spans="1:3" ht="43.5" customHeight="1" x14ac:dyDescent="0.3">
      <c r="A181" s="15">
        <v>313050013</v>
      </c>
      <c r="B181" s="1" t="s">
        <v>313</v>
      </c>
      <c r="C181" s="1">
        <v>16.25</v>
      </c>
    </row>
    <row r="182" spans="1:3" ht="43.5" customHeight="1" x14ac:dyDescent="0.3">
      <c r="A182" s="15">
        <v>313050014</v>
      </c>
      <c r="B182" s="1" t="s">
        <v>314</v>
      </c>
      <c r="C182" s="1">
        <v>16.25</v>
      </c>
    </row>
    <row r="183" spans="1:3" ht="43.5" customHeight="1" x14ac:dyDescent="0.3">
      <c r="A183" s="15">
        <v>313050015</v>
      </c>
      <c r="B183" s="1" t="s">
        <v>315</v>
      </c>
      <c r="C183" s="1">
        <v>16.25</v>
      </c>
    </row>
    <row r="184" spans="1:3" ht="43.5" customHeight="1" x14ac:dyDescent="0.3">
      <c r="A184" s="15">
        <v>313050016</v>
      </c>
      <c r="B184" s="1" t="s">
        <v>316</v>
      </c>
      <c r="C184" s="1">
        <v>23</v>
      </c>
    </row>
    <row r="185" spans="1:3" ht="43.5" customHeight="1" x14ac:dyDescent="0.3">
      <c r="A185" s="15">
        <v>313050017</v>
      </c>
      <c r="B185" s="1" t="s">
        <v>317</v>
      </c>
      <c r="C185" s="1">
        <v>23</v>
      </c>
    </row>
    <row r="186" spans="1:3" ht="43.5" customHeight="1" x14ac:dyDescent="0.3">
      <c r="A186" s="15">
        <v>313050018</v>
      </c>
      <c r="B186" s="1" t="s">
        <v>318</v>
      </c>
      <c r="C186" s="1">
        <v>23</v>
      </c>
    </row>
    <row r="187" spans="1:3" ht="43.5" customHeight="1" x14ac:dyDescent="0.3">
      <c r="A187" s="15">
        <v>313050019</v>
      </c>
      <c r="B187" s="1" t="s">
        <v>319</v>
      </c>
      <c r="C187" s="1">
        <v>23</v>
      </c>
    </row>
    <row r="188" spans="1:3" ht="43.5" customHeight="1" x14ac:dyDescent="0.3">
      <c r="A188" s="15">
        <v>313030001</v>
      </c>
      <c r="B188" s="1" t="s">
        <v>320</v>
      </c>
      <c r="C188" s="1">
        <v>11.25</v>
      </c>
    </row>
    <row r="189" spans="1:3" ht="43.5" customHeight="1" x14ac:dyDescent="0.3">
      <c r="A189" s="15">
        <v>313030002</v>
      </c>
      <c r="B189" s="1" t="s">
        <v>321</v>
      </c>
      <c r="C189" s="1">
        <v>16.5</v>
      </c>
    </row>
    <row r="190" spans="1:3" ht="43.5" customHeight="1" x14ac:dyDescent="0.3">
      <c r="A190" s="15">
        <v>313030003</v>
      </c>
      <c r="B190" s="1" t="s">
        <v>322</v>
      </c>
      <c r="C190" s="1">
        <v>26.5</v>
      </c>
    </row>
    <row r="191" spans="1:3" ht="43.5" customHeight="1" x14ac:dyDescent="0.3">
      <c r="A191" s="15">
        <v>313030004</v>
      </c>
      <c r="B191" s="1" t="s">
        <v>323</v>
      </c>
      <c r="C191" s="1">
        <v>48</v>
      </c>
    </row>
    <row r="192" spans="1:3" ht="43.5" customHeight="1" x14ac:dyDescent="0.3">
      <c r="A192" s="15">
        <v>313030005</v>
      </c>
      <c r="B192" s="1" t="s">
        <v>324</v>
      </c>
      <c r="C192" s="1">
        <v>85</v>
      </c>
    </row>
    <row r="193" spans="1:3" ht="43.5" customHeight="1" x14ac:dyDescent="0.3">
      <c r="A193" s="15">
        <v>353080010</v>
      </c>
      <c r="B193" s="1" t="s">
        <v>15</v>
      </c>
      <c r="C193" s="1">
        <v>505.25</v>
      </c>
    </row>
    <row r="194" spans="1:3" ht="43.5" customHeight="1" x14ac:dyDescent="0.3">
      <c r="A194" s="15">
        <v>353060010</v>
      </c>
      <c r="B194" s="1" t="s">
        <v>205</v>
      </c>
      <c r="C194" s="1">
        <v>19</v>
      </c>
    </row>
    <row r="195" spans="1:3" ht="43.5" customHeight="1" x14ac:dyDescent="0.3">
      <c r="A195" s="15">
        <v>353060007</v>
      </c>
      <c r="B195" s="1" t="s">
        <v>206</v>
      </c>
      <c r="C195" s="1">
        <v>25</v>
      </c>
    </row>
    <row r="196" spans="1:3" ht="43.5" customHeight="1" x14ac:dyDescent="0.3">
      <c r="A196" s="15">
        <v>353060001</v>
      </c>
      <c r="B196" s="1" t="s">
        <v>325</v>
      </c>
      <c r="C196" s="1">
        <v>23.5</v>
      </c>
    </row>
    <row r="197" spans="1:3" ht="43.5" customHeight="1" x14ac:dyDescent="0.3">
      <c r="A197" s="15">
        <v>353060002</v>
      </c>
      <c r="B197" s="1" t="s">
        <v>326</v>
      </c>
      <c r="C197" s="1">
        <v>35.75</v>
      </c>
    </row>
    <row r="198" spans="1:3" ht="43.5" customHeight="1" x14ac:dyDescent="0.3">
      <c r="A198" s="15">
        <v>353060003</v>
      </c>
      <c r="B198" s="1" t="s">
        <v>327</v>
      </c>
      <c r="C198" s="1">
        <v>52.75</v>
      </c>
    </row>
    <row r="199" spans="1:3" ht="43.5" customHeight="1" x14ac:dyDescent="0.3">
      <c r="A199" s="15">
        <v>353060005</v>
      </c>
      <c r="B199" s="1" t="s">
        <v>328</v>
      </c>
      <c r="C199" s="1">
        <v>121</v>
      </c>
    </row>
    <row r="200" spans="1:3" ht="43.5" customHeight="1" x14ac:dyDescent="0.3">
      <c r="A200" s="15">
        <v>353060006</v>
      </c>
      <c r="B200" s="1" t="s">
        <v>329</v>
      </c>
      <c r="C200" s="1">
        <v>505.25</v>
      </c>
    </row>
    <row r="201" spans="1:3" ht="43.5" customHeight="1" x14ac:dyDescent="0.3">
      <c r="A201" s="15">
        <v>353060004</v>
      </c>
      <c r="B201" s="1" t="s">
        <v>330</v>
      </c>
      <c r="C201" s="1">
        <v>569.25</v>
      </c>
    </row>
    <row r="202" spans="1:3" ht="43.5" customHeight="1" x14ac:dyDescent="0.3">
      <c r="A202" s="15">
        <v>353070003</v>
      </c>
      <c r="B202" s="1" t="s">
        <v>331</v>
      </c>
      <c r="C202" s="1">
        <v>114.75</v>
      </c>
    </row>
    <row r="203" spans="1:3" ht="43.5" customHeight="1" x14ac:dyDescent="0.3">
      <c r="A203" s="15">
        <v>353070001</v>
      </c>
      <c r="B203" s="1" t="s">
        <v>332</v>
      </c>
      <c r="C203" s="1">
        <v>171</v>
      </c>
    </row>
    <row r="204" spans="1:3" ht="43.5" customHeight="1" x14ac:dyDescent="0.3">
      <c r="A204" s="15">
        <v>353070002</v>
      </c>
      <c r="B204" s="1" t="s">
        <v>333</v>
      </c>
      <c r="C204" s="1">
        <v>232.75</v>
      </c>
    </row>
    <row r="205" spans="1:3" ht="43.5" customHeight="1" x14ac:dyDescent="0.3">
      <c r="A205" s="15">
        <v>353070004</v>
      </c>
      <c r="B205" s="1" t="s">
        <v>334</v>
      </c>
      <c r="C205" s="1">
        <v>442.25</v>
      </c>
    </row>
    <row r="206" spans="1:3" ht="43.5" customHeight="1" x14ac:dyDescent="0.3">
      <c r="A206" s="15">
        <v>353080110</v>
      </c>
      <c r="B206" s="1" t="s">
        <v>207</v>
      </c>
      <c r="C206" s="1">
        <v>15.25</v>
      </c>
    </row>
    <row r="207" spans="1:3" ht="43.5" customHeight="1" x14ac:dyDescent="0.3">
      <c r="A207" s="15">
        <v>353080107</v>
      </c>
      <c r="B207" s="1" t="s">
        <v>208</v>
      </c>
      <c r="C207" s="1">
        <v>21.25</v>
      </c>
    </row>
    <row r="208" spans="1:3" ht="43.5" customHeight="1" x14ac:dyDescent="0.3">
      <c r="A208" s="15">
        <v>353080101</v>
      </c>
      <c r="B208" s="1" t="s">
        <v>335</v>
      </c>
      <c r="C208" s="1">
        <v>20.75</v>
      </c>
    </row>
    <row r="209" spans="1:3" ht="43.5" customHeight="1" x14ac:dyDescent="0.3">
      <c r="A209" s="15">
        <v>353080102</v>
      </c>
      <c r="B209" s="1" t="s">
        <v>336</v>
      </c>
      <c r="C209" s="1">
        <v>30.75</v>
      </c>
    </row>
    <row r="210" spans="1:3" ht="43.5" customHeight="1" x14ac:dyDescent="0.3">
      <c r="A210" s="15">
        <v>353080103</v>
      </c>
      <c r="B210" s="1" t="s">
        <v>337</v>
      </c>
      <c r="C210" s="1">
        <v>43.75</v>
      </c>
    </row>
    <row r="211" spans="1:3" ht="43.5" customHeight="1" x14ac:dyDescent="0.3">
      <c r="A211" s="15">
        <v>353080105</v>
      </c>
      <c r="B211" s="1" t="s">
        <v>338</v>
      </c>
      <c r="C211" s="1">
        <v>94</v>
      </c>
    </row>
    <row r="212" spans="1:3" ht="43.5" customHeight="1" x14ac:dyDescent="0.3">
      <c r="A212" s="15">
        <v>353080106</v>
      </c>
      <c r="B212" s="1" t="s">
        <v>339</v>
      </c>
      <c r="C212" s="1">
        <v>170.5</v>
      </c>
    </row>
    <row r="213" spans="1:3" ht="43.5" customHeight="1" x14ac:dyDescent="0.3">
      <c r="A213" s="15">
        <v>353080104</v>
      </c>
      <c r="B213" s="1" t="s">
        <v>340</v>
      </c>
      <c r="C213" s="1">
        <v>473.25</v>
      </c>
    </row>
    <row r="214" spans="1:3" ht="43.5" customHeight="1" x14ac:dyDescent="0.3">
      <c r="A214" s="15">
        <v>353081010</v>
      </c>
      <c r="B214" s="1" t="s">
        <v>341</v>
      </c>
      <c r="C214" s="1">
        <v>134.5</v>
      </c>
    </row>
    <row r="215" spans="1:3" ht="43.5" customHeight="1" x14ac:dyDescent="0.3">
      <c r="A215" s="15">
        <v>353081011</v>
      </c>
      <c r="B215" s="1" t="s">
        <v>342</v>
      </c>
      <c r="C215" s="1">
        <v>227.25</v>
      </c>
    </row>
    <row r="216" spans="1:3" ht="43.5" customHeight="1" x14ac:dyDescent="0.3">
      <c r="A216" s="15">
        <v>353081002</v>
      </c>
      <c r="B216" s="1" t="s">
        <v>343</v>
      </c>
      <c r="C216" s="1">
        <v>134.5</v>
      </c>
    </row>
    <row r="217" spans="1:3" ht="43.5" customHeight="1" x14ac:dyDescent="0.3">
      <c r="A217" s="15">
        <v>353081003</v>
      </c>
      <c r="B217" s="1" t="s">
        <v>344</v>
      </c>
      <c r="C217" s="1">
        <v>221.75</v>
      </c>
    </row>
    <row r="218" spans="1:3" ht="43.5" customHeight="1" x14ac:dyDescent="0.3">
      <c r="A218" s="15">
        <v>371040038</v>
      </c>
      <c r="B218" s="1" t="s">
        <v>16</v>
      </c>
      <c r="C218" s="1">
        <v>2592.25</v>
      </c>
    </row>
    <row r="219" spans="1:3" ht="43.5" customHeight="1" x14ac:dyDescent="0.3">
      <c r="A219" s="15">
        <v>371040037</v>
      </c>
      <c r="B219" s="1" t="s">
        <v>17</v>
      </c>
      <c r="C219" s="1">
        <v>2930.25</v>
      </c>
    </row>
    <row r="220" spans="1:3" ht="43.5" customHeight="1" x14ac:dyDescent="0.3">
      <c r="A220" s="15">
        <v>371040094</v>
      </c>
      <c r="B220" s="1" t="s">
        <v>18</v>
      </c>
      <c r="C220" s="1">
        <v>2701</v>
      </c>
    </row>
    <row r="221" spans="1:3" ht="43.5" customHeight="1" x14ac:dyDescent="0.3">
      <c r="A221" s="15">
        <v>371040095</v>
      </c>
      <c r="B221" s="1" t="s">
        <v>19</v>
      </c>
      <c r="C221" s="1">
        <v>3040</v>
      </c>
    </row>
    <row r="222" spans="1:3" ht="43.5" customHeight="1" x14ac:dyDescent="0.3">
      <c r="A222" s="15">
        <v>371040091</v>
      </c>
      <c r="B222" s="1" t="s">
        <v>20</v>
      </c>
      <c r="C222" s="1">
        <v>3125.75</v>
      </c>
    </row>
    <row r="223" spans="1:3" ht="43.5" customHeight="1" x14ac:dyDescent="0.3">
      <c r="A223" s="15">
        <v>371040092</v>
      </c>
      <c r="B223" s="1" t="s">
        <v>21</v>
      </c>
      <c r="C223" s="1">
        <v>3495.25</v>
      </c>
    </row>
    <row r="224" spans="1:3" ht="43.5" customHeight="1" x14ac:dyDescent="0.3">
      <c r="A224" s="15">
        <v>371040039</v>
      </c>
      <c r="B224" s="1" t="s">
        <v>22</v>
      </c>
      <c r="C224" s="1">
        <v>3125.75</v>
      </c>
    </row>
    <row r="225" spans="1:3" ht="43.5" customHeight="1" x14ac:dyDescent="0.3">
      <c r="A225" s="15">
        <v>371040040</v>
      </c>
      <c r="B225" s="1" t="s">
        <v>23</v>
      </c>
      <c r="C225" s="1">
        <v>3495.25</v>
      </c>
    </row>
    <row r="226" spans="1:3" ht="43.5" customHeight="1" x14ac:dyDescent="0.3">
      <c r="A226" s="15">
        <v>371040093</v>
      </c>
      <c r="B226" s="1" t="s">
        <v>24</v>
      </c>
      <c r="C226" s="1">
        <v>3495.25</v>
      </c>
    </row>
    <row r="227" spans="1:3" ht="43.5" customHeight="1" x14ac:dyDescent="0.3">
      <c r="A227" s="15">
        <v>353099959</v>
      </c>
      <c r="B227" s="1" t="s">
        <v>25</v>
      </c>
      <c r="C227" s="1">
        <v>1300</v>
      </c>
    </row>
    <row r="228" spans="1:3" ht="43.5" customHeight="1" x14ac:dyDescent="0.3">
      <c r="A228" s="15">
        <v>353099960</v>
      </c>
      <c r="B228" s="1" t="s">
        <v>26</v>
      </c>
      <c r="C228" s="1">
        <v>1419.25</v>
      </c>
    </row>
    <row r="229" spans="1:3" ht="43.5" customHeight="1" x14ac:dyDescent="0.3">
      <c r="A229" s="15">
        <v>371040041</v>
      </c>
      <c r="B229" s="1" t="s">
        <v>27</v>
      </c>
      <c r="C229" s="1">
        <v>1184.25</v>
      </c>
    </row>
    <row r="230" spans="1:3" ht="43.5" customHeight="1" x14ac:dyDescent="0.3">
      <c r="A230" s="15">
        <v>371040042</v>
      </c>
      <c r="B230" s="1" t="s">
        <v>28</v>
      </c>
      <c r="C230" s="1">
        <v>1512.25</v>
      </c>
    </row>
    <row r="231" spans="1:3" ht="43.5" customHeight="1" x14ac:dyDescent="0.3">
      <c r="A231" s="15">
        <v>371040043</v>
      </c>
      <c r="B231" s="1" t="s">
        <v>29</v>
      </c>
      <c r="C231" s="1">
        <v>1408</v>
      </c>
    </row>
    <row r="232" spans="1:3" ht="43.5" customHeight="1" x14ac:dyDescent="0.3">
      <c r="A232" s="15">
        <v>371040044</v>
      </c>
      <c r="B232" s="1" t="s">
        <v>30</v>
      </c>
      <c r="C232" s="1">
        <v>1418</v>
      </c>
    </row>
    <row r="233" spans="1:3" ht="43.5" customHeight="1" x14ac:dyDescent="0.3">
      <c r="A233" s="15">
        <v>371040096</v>
      </c>
      <c r="B233" s="1" t="s">
        <v>31</v>
      </c>
      <c r="C233" s="1">
        <v>1516.75</v>
      </c>
    </row>
    <row r="234" spans="1:3" ht="43.5" customHeight="1" x14ac:dyDescent="0.3">
      <c r="A234" s="15">
        <v>371040097</v>
      </c>
      <c r="B234" s="1" t="s">
        <v>32</v>
      </c>
      <c r="C234" s="1">
        <v>1527.75</v>
      </c>
    </row>
    <row r="235" spans="1:3" ht="43.5" customHeight="1" x14ac:dyDescent="0.3">
      <c r="A235" s="15">
        <v>353010010</v>
      </c>
      <c r="B235" s="1" t="s">
        <v>209</v>
      </c>
      <c r="C235" s="1">
        <v>14.25</v>
      </c>
    </row>
    <row r="236" spans="1:3" ht="43.5" customHeight="1" x14ac:dyDescent="0.3">
      <c r="A236" s="15">
        <v>353010007</v>
      </c>
      <c r="B236" s="1" t="s">
        <v>210</v>
      </c>
      <c r="C236" s="1">
        <v>17</v>
      </c>
    </row>
    <row r="237" spans="1:3" ht="43.5" customHeight="1" x14ac:dyDescent="0.3">
      <c r="A237" s="15">
        <v>353010001</v>
      </c>
      <c r="B237" s="1" t="s">
        <v>253</v>
      </c>
      <c r="C237" s="1">
        <v>16.5</v>
      </c>
    </row>
    <row r="238" spans="1:3" ht="43.5" customHeight="1" x14ac:dyDescent="0.3">
      <c r="A238" s="15">
        <v>353010002</v>
      </c>
      <c r="B238" s="1" t="s">
        <v>254</v>
      </c>
      <c r="C238" s="1">
        <v>25.75</v>
      </c>
    </row>
    <row r="239" spans="1:3" ht="43.5" customHeight="1" x14ac:dyDescent="0.3">
      <c r="A239" s="15">
        <v>353010003</v>
      </c>
      <c r="B239" s="1" t="s">
        <v>255</v>
      </c>
      <c r="C239" s="1">
        <v>46.25</v>
      </c>
    </row>
    <row r="240" spans="1:3" ht="43.5" customHeight="1" x14ac:dyDescent="0.3">
      <c r="A240" s="15">
        <v>353010005</v>
      </c>
      <c r="B240" s="1" t="s">
        <v>257</v>
      </c>
      <c r="C240" s="1">
        <v>68</v>
      </c>
    </row>
    <row r="241" spans="1:3" ht="43.5" customHeight="1" x14ac:dyDescent="0.3">
      <c r="A241" s="15">
        <v>353010006</v>
      </c>
      <c r="B241" s="1" t="s">
        <v>345</v>
      </c>
      <c r="C241" s="1">
        <v>116.25</v>
      </c>
    </row>
    <row r="242" spans="1:3" ht="43.5" customHeight="1" x14ac:dyDescent="0.3">
      <c r="A242" s="15">
        <v>353010004</v>
      </c>
      <c r="B242" s="1" t="s">
        <v>346</v>
      </c>
      <c r="C242" s="1">
        <v>280</v>
      </c>
    </row>
    <row r="243" spans="1:3" ht="43.5" customHeight="1" x14ac:dyDescent="0.3">
      <c r="A243" s="15">
        <v>353020010</v>
      </c>
      <c r="B243" s="1" t="s">
        <v>211</v>
      </c>
      <c r="C243" s="1">
        <v>13.75</v>
      </c>
    </row>
    <row r="244" spans="1:3" ht="43.5" customHeight="1" x14ac:dyDescent="0.3">
      <c r="A244" s="15">
        <v>353020007</v>
      </c>
      <c r="B244" s="1" t="s">
        <v>212</v>
      </c>
      <c r="C244" s="1">
        <v>17</v>
      </c>
    </row>
    <row r="245" spans="1:3" ht="43.5" customHeight="1" x14ac:dyDescent="0.3">
      <c r="A245" s="15">
        <v>353020001</v>
      </c>
      <c r="B245" s="1" t="s">
        <v>244</v>
      </c>
      <c r="C245" s="1">
        <v>16.5</v>
      </c>
    </row>
    <row r="246" spans="1:3" ht="43.5" customHeight="1" x14ac:dyDescent="0.3">
      <c r="A246" s="15">
        <v>353020002</v>
      </c>
      <c r="B246" s="1" t="s">
        <v>245</v>
      </c>
      <c r="C246" s="1">
        <v>25.75</v>
      </c>
    </row>
    <row r="247" spans="1:3" ht="43.5" customHeight="1" x14ac:dyDescent="0.3">
      <c r="A247" s="15">
        <v>353020003</v>
      </c>
      <c r="B247" s="1" t="s">
        <v>347</v>
      </c>
      <c r="C247" s="1">
        <v>41.25</v>
      </c>
    </row>
    <row r="248" spans="1:3" ht="43.5" customHeight="1" x14ac:dyDescent="0.3">
      <c r="A248" s="15">
        <v>353020004</v>
      </c>
      <c r="B248" s="1" t="s">
        <v>246</v>
      </c>
      <c r="C248" s="1">
        <v>71.75</v>
      </c>
    </row>
    <row r="249" spans="1:3" ht="43.5" customHeight="1" x14ac:dyDescent="0.3">
      <c r="A249" s="15">
        <v>353020005</v>
      </c>
      <c r="B249" s="1" t="s">
        <v>248</v>
      </c>
      <c r="C249" s="1">
        <v>135.5</v>
      </c>
    </row>
    <row r="250" spans="1:3" ht="43.5" customHeight="1" x14ac:dyDescent="0.3">
      <c r="A250" s="15">
        <v>353020006</v>
      </c>
      <c r="B250" s="1" t="s">
        <v>250</v>
      </c>
      <c r="C250" s="1">
        <v>340.25</v>
      </c>
    </row>
    <row r="251" spans="1:3" ht="43.5" customHeight="1" x14ac:dyDescent="0.3">
      <c r="A251" s="15">
        <v>353030001</v>
      </c>
      <c r="B251" s="1" t="s">
        <v>348</v>
      </c>
      <c r="C251" s="1">
        <v>76.25</v>
      </c>
    </row>
    <row r="252" spans="1:3" ht="43.5" customHeight="1" x14ac:dyDescent="0.3">
      <c r="A252" s="15">
        <v>353030002</v>
      </c>
      <c r="B252" s="1" t="s">
        <v>349</v>
      </c>
      <c r="C252" s="1">
        <v>108.25</v>
      </c>
    </row>
    <row r="253" spans="1:3" ht="43.5" customHeight="1" x14ac:dyDescent="0.3">
      <c r="A253" s="15">
        <v>353030003</v>
      </c>
      <c r="B253" s="1" t="s">
        <v>350</v>
      </c>
      <c r="C253" s="1">
        <v>200.75</v>
      </c>
    </row>
    <row r="254" spans="1:3" ht="43.5" customHeight="1" x14ac:dyDescent="0.3">
      <c r="A254" s="15">
        <v>333060020</v>
      </c>
      <c r="B254" s="1" t="s">
        <v>179</v>
      </c>
      <c r="C254" s="1">
        <v>51</v>
      </c>
    </row>
    <row r="255" spans="1:3" ht="43.5" customHeight="1" x14ac:dyDescent="0.3">
      <c r="A255" s="15">
        <v>333060007</v>
      </c>
      <c r="B255" s="1" t="s">
        <v>213</v>
      </c>
      <c r="C255" s="1">
        <v>35.25</v>
      </c>
    </row>
    <row r="256" spans="1:3" ht="43.5" customHeight="1" x14ac:dyDescent="0.3">
      <c r="A256" s="15">
        <v>333060008</v>
      </c>
      <c r="B256" s="1" t="s">
        <v>214</v>
      </c>
      <c r="C256" s="1">
        <v>57.75</v>
      </c>
    </row>
    <row r="257" spans="1:3" ht="43.5" customHeight="1" x14ac:dyDescent="0.3">
      <c r="A257" s="15">
        <v>333060009</v>
      </c>
      <c r="B257" s="1" t="s">
        <v>215</v>
      </c>
      <c r="C257" s="1">
        <v>62.5</v>
      </c>
    </row>
    <row r="258" spans="1:3" ht="43.5" customHeight="1" x14ac:dyDescent="0.3">
      <c r="A258" s="15">
        <v>333010001</v>
      </c>
      <c r="B258" s="1" t="s">
        <v>351</v>
      </c>
      <c r="C258" s="1">
        <v>71</v>
      </c>
    </row>
    <row r="259" spans="1:3" ht="43.5" customHeight="1" x14ac:dyDescent="0.3">
      <c r="A259" s="15">
        <v>333010002</v>
      </c>
      <c r="B259" s="1" t="s">
        <v>213</v>
      </c>
      <c r="C259" s="1">
        <v>32.25</v>
      </c>
    </row>
    <row r="260" spans="1:3" ht="43.5" customHeight="1" x14ac:dyDescent="0.3">
      <c r="A260" s="15">
        <v>333020001</v>
      </c>
      <c r="B260" s="1" t="s">
        <v>352</v>
      </c>
      <c r="C260" s="1">
        <v>98</v>
      </c>
    </row>
    <row r="261" spans="1:3" ht="43.5" customHeight="1" x14ac:dyDescent="0.3">
      <c r="A261" s="15">
        <v>333030001</v>
      </c>
      <c r="B261" s="1" t="s">
        <v>353</v>
      </c>
      <c r="C261" s="1">
        <v>131</v>
      </c>
    </row>
    <row r="262" spans="1:3" ht="43.5" customHeight="1" x14ac:dyDescent="0.3">
      <c r="A262" s="15">
        <v>333030002</v>
      </c>
      <c r="B262" s="1" t="s">
        <v>354</v>
      </c>
      <c r="C262" s="1">
        <v>154</v>
      </c>
    </row>
    <row r="263" spans="1:3" ht="43.5" customHeight="1" x14ac:dyDescent="0.3">
      <c r="A263" s="15">
        <v>333040001</v>
      </c>
      <c r="B263" s="1" t="s">
        <v>355</v>
      </c>
      <c r="C263" s="1">
        <v>187.25</v>
      </c>
    </row>
    <row r="264" spans="1:3" ht="43.5" customHeight="1" x14ac:dyDescent="0.3">
      <c r="A264" s="15">
        <v>333040003</v>
      </c>
      <c r="B264" s="1" t="s">
        <v>356</v>
      </c>
      <c r="C264" s="1">
        <v>139.5</v>
      </c>
    </row>
    <row r="265" spans="1:3" ht="43.5" customHeight="1" x14ac:dyDescent="0.3">
      <c r="A265" s="15">
        <v>333050001</v>
      </c>
      <c r="B265" s="1" t="s">
        <v>357</v>
      </c>
      <c r="C265" s="1">
        <v>288.5</v>
      </c>
    </row>
    <row r="266" spans="1:3" ht="43.5" customHeight="1" x14ac:dyDescent="0.3">
      <c r="A266" s="15">
        <v>333050002</v>
      </c>
      <c r="B266" s="1" t="s">
        <v>358</v>
      </c>
      <c r="C266" s="1">
        <v>241.75</v>
      </c>
    </row>
    <row r="267" spans="1:3" ht="43.5" customHeight="1" x14ac:dyDescent="0.3">
      <c r="A267" s="15">
        <v>333140021</v>
      </c>
      <c r="B267" s="1" t="s">
        <v>33</v>
      </c>
      <c r="C267" s="1">
        <v>153.25</v>
      </c>
    </row>
    <row r="268" spans="1:3" ht="43.5" customHeight="1" x14ac:dyDescent="0.3">
      <c r="A268" s="15">
        <v>333140014</v>
      </c>
      <c r="B268" s="1" t="s">
        <v>34</v>
      </c>
      <c r="C268" s="1">
        <v>180.25</v>
      </c>
    </row>
    <row r="269" spans="1:3" ht="43.5" customHeight="1" x14ac:dyDescent="0.3">
      <c r="A269" s="15">
        <v>333140001</v>
      </c>
      <c r="B269" s="1" t="s">
        <v>35</v>
      </c>
      <c r="C269" s="1">
        <v>267.5</v>
      </c>
    </row>
    <row r="270" spans="1:3" ht="43.5" customHeight="1" x14ac:dyDescent="0.3">
      <c r="A270" s="15">
        <v>333140015</v>
      </c>
      <c r="B270" s="1" t="s">
        <v>36</v>
      </c>
      <c r="C270" s="1">
        <v>318.75</v>
      </c>
    </row>
    <row r="271" spans="1:3" ht="43.5" customHeight="1" x14ac:dyDescent="0.3">
      <c r="A271" s="15">
        <v>333140017</v>
      </c>
      <c r="B271" s="1" t="s">
        <v>37</v>
      </c>
      <c r="C271" s="1">
        <v>374.75</v>
      </c>
    </row>
    <row r="272" spans="1:3" ht="43.5" customHeight="1" x14ac:dyDescent="0.3">
      <c r="A272" s="15">
        <v>333140018</v>
      </c>
      <c r="B272" s="1" t="s">
        <v>38</v>
      </c>
      <c r="C272" s="1">
        <v>473.25</v>
      </c>
    </row>
    <row r="273" spans="1:3" ht="43.5" customHeight="1" x14ac:dyDescent="0.3">
      <c r="A273" s="15">
        <v>333060010</v>
      </c>
      <c r="B273" s="1" t="s">
        <v>180</v>
      </c>
      <c r="C273" s="1">
        <v>48.75</v>
      </c>
    </row>
    <row r="274" spans="1:3" ht="43.5" customHeight="1" x14ac:dyDescent="0.3">
      <c r="A274" s="15">
        <v>333060011</v>
      </c>
      <c r="B274" s="1" t="s">
        <v>181</v>
      </c>
      <c r="C274" s="1">
        <v>34.5</v>
      </c>
    </row>
    <row r="275" spans="1:3" ht="43.5" customHeight="1" x14ac:dyDescent="0.3">
      <c r="A275" s="15">
        <v>333010010</v>
      </c>
      <c r="B275" s="1" t="s">
        <v>182</v>
      </c>
      <c r="C275" s="1">
        <v>68.25</v>
      </c>
    </row>
    <row r="276" spans="1:3" ht="43.5" customHeight="1" x14ac:dyDescent="0.3">
      <c r="A276" s="15">
        <v>333020010</v>
      </c>
      <c r="B276" s="1" t="s">
        <v>183</v>
      </c>
      <c r="C276" s="1">
        <v>92.75</v>
      </c>
    </row>
    <row r="277" spans="1:3" ht="43.5" customHeight="1" x14ac:dyDescent="0.3">
      <c r="A277" s="15">
        <v>333030010</v>
      </c>
      <c r="B277" s="1" t="s">
        <v>184</v>
      </c>
      <c r="C277" s="1">
        <v>125.75</v>
      </c>
    </row>
    <row r="278" spans="1:3" ht="43.5" customHeight="1" x14ac:dyDescent="0.3">
      <c r="A278" s="15">
        <v>333040010</v>
      </c>
      <c r="B278" s="1" t="s">
        <v>185</v>
      </c>
      <c r="C278" s="1">
        <v>179.75</v>
      </c>
    </row>
    <row r="279" spans="1:3" ht="43.5" customHeight="1" x14ac:dyDescent="0.3">
      <c r="A279" s="15">
        <v>333050010</v>
      </c>
      <c r="B279" s="1" t="s">
        <v>186</v>
      </c>
      <c r="C279" s="1">
        <v>277.25</v>
      </c>
    </row>
    <row r="280" spans="1:3" ht="43.5" customHeight="1" x14ac:dyDescent="0.3">
      <c r="A280" s="15">
        <v>385010005</v>
      </c>
      <c r="B280" s="1" t="s">
        <v>39</v>
      </c>
      <c r="C280" s="1">
        <v>160.5</v>
      </c>
    </row>
    <row r="281" spans="1:3" ht="43.5" customHeight="1" x14ac:dyDescent="0.3">
      <c r="A281" s="15">
        <v>385010006</v>
      </c>
      <c r="B281" s="1" t="s">
        <v>40</v>
      </c>
      <c r="C281" s="1">
        <v>443.75</v>
      </c>
    </row>
    <row r="282" spans="1:3" ht="43.5" customHeight="1" x14ac:dyDescent="0.3">
      <c r="A282" s="15">
        <v>385010008</v>
      </c>
      <c r="B282" s="1" t="s">
        <v>41</v>
      </c>
      <c r="C282" s="1">
        <v>270.75</v>
      </c>
    </row>
    <row r="283" spans="1:3" ht="43.5" customHeight="1" x14ac:dyDescent="0.3">
      <c r="A283" s="15">
        <v>385010009</v>
      </c>
      <c r="B283" s="1" t="s">
        <v>42</v>
      </c>
      <c r="C283" s="1">
        <v>405.75</v>
      </c>
    </row>
    <row r="284" spans="1:3" ht="43.5" customHeight="1" x14ac:dyDescent="0.3">
      <c r="A284" s="15">
        <v>375100001</v>
      </c>
      <c r="B284" s="1" t="s">
        <v>43</v>
      </c>
      <c r="C284" s="1">
        <v>6076</v>
      </c>
    </row>
    <row r="285" spans="1:3" ht="43.5" customHeight="1" x14ac:dyDescent="0.3">
      <c r="A285" s="15">
        <v>375100008</v>
      </c>
      <c r="B285" s="1" t="s">
        <v>44</v>
      </c>
      <c r="C285" s="1">
        <v>969.5</v>
      </c>
    </row>
    <row r="286" spans="1:3" ht="43.5" customHeight="1" x14ac:dyDescent="0.3">
      <c r="A286" s="15">
        <v>375100009</v>
      </c>
      <c r="B286" s="1" t="s">
        <v>45</v>
      </c>
      <c r="C286" s="1">
        <v>969.5</v>
      </c>
    </row>
    <row r="287" spans="1:3" ht="43.5" customHeight="1" x14ac:dyDescent="0.3">
      <c r="A287" s="15">
        <v>375100010</v>
      </c>
      <c r="B287" s="1" t="s">
        <v>46</v>
      </c>
      <c r="C287" s="1">
        <v>969.5</v>
      </c>
    </row>
    <row r="288" spans="1:3" ht="43.5" customHeight="1" x14ac:dyDescent="0.3">
      <c r="A288" s="15">
        <v>375100011</v>
      </c>
      <c r="B288" s="1" t="s">
        <v>47</v>
      </c>
      <c r="C288" s="1">
        <v>969.5</v>
      </c>
    </row>
    <row r="289" spans="1:3" ht="43.5" customHeight="1" x14ac:dyDescent="0.3">
      <c r="A289" s="15">
        <v>375100012</v>
      </c>
      <c r="B289" s="1" t="s">
        <v>48</v>
      </c>
      <c r="C289" s="1">
        <v>969.5</v>
      </c>
    </row>
    <row r="290" spans="1:3" ht="43.5" customHeight="1" x14ac:dyDescent="0.3">
      <c r="A290" s="15">
        <v>376010019</v>
      </c>
      <c r="B290" s="1" t="s">
        <v>49</v>
      </c>
      <c r="C290" s="1">
        <v>9176.5</v>
      </c>
    </row>
    <row r="291" spans="1:3" ht="43.5" customHeight="1" x14ac:dyDescent="0.3">
      <c r="A291" s="15">
        <v>376010020</v>
      </c>
      <c r="B291" s="1" t="s">
        <v>50</v>
      </c>
      <c r="C291" s="1">
        <v>17062.75</v>
      </c>
    </row>
    <row r="292" spans="1:3" ht="43.5" customHeight="1" x14ac:dyDescent="0.3">
      <c r="A292" s="15">
        <v>376010021</v>
      </c>
      <c r="B292" s="1" t="s">
        <v>51</v>
      </c>
      <c r="C292" s="1">
        <v>26480.25</v>
      </c>
    </row>
    <row r="293" spans="1:3" ht="43.5" customHeight="1" x14ac:dyDescent="0.3">
      <c r="A293" s="15">
        <v>377020020</v>
      </c>
      <c r="B293" s="1" t="s">
        <v>198</v>
      </c>
      <c r="C293" s="1">
        <v>96</v>
      </c>
    </row>
    <row r="294" spans="1:3" ht="43.5" customHeight="1" x14ac:dyDescent="0.3">
      <c r="A294" s="15">
        <v>377020021</v>
      </c>
      <c r="B294" s="1" t="s">
        <v>199</v>
      </c>
      <c r="C294" s="1">
        <v>159.25</v>
      </c>
    </row>
    <row r="295" spans="1:3" ht="43.5" customHeight="1" x14ac:dyDescent="0.3">
      <c r="A295" s="15">
        <v>377020022</v>
      </c>
      <c r="B295" s="1" t="s">
        <v>200</v>
      </c>
      <c r="C295" s="1">
        <v>251</v>
      </c>
    </row>
    <row r="296" spans="1:3" ht="43.5" customHeight="1" x14ac:dyDescent="0.3">
      <c r="A296" s="15">
        <v>373010022</v>
      </c>
      <c r="B296" s="1" t="s">
        <v>52</v>
      </c>
      <c r="C296" s="1">
        <v>143.5</v>
      </c>
    </row>
    <row r="297" spans="1:3" ht="43.5" customHeight="1" x14ac:dyDescent="0.3">
      <c r="A297" s="15">
        <v>373010013</v>
      </c>
      <c r="B297" s="1" t="s">
        <v>53</v>
      </c>
      <c r="C297" s="1">
        <v>143.5</v>
      </c>
    </row>
    <row r="298" spans="1:3" ht="43.5" customHeight="1" x14ac:dyDescent="0.3">
      <c r="A298" s="15">
        <v>373010029</v>
      </c>
      <c r="B298" s="1" t="s">
        <v>54</v>
      </c>
      <c r="C298" s="1">
        <v>160</v>
      </c>
    </row>
    <row r="299" spans="1:3" ht="43.5" customHeight="1" x14ac:dyDescent="0.3">
      <c r="A299" s="15">
        <v>373010012</v>
      </c>
      <c r="B299" s="1" t="s">
        <v>55</v>
      </c>
      <c r="C299" s="1">
        <v>192.25</v>
      </c>
    </row>
    <row r="300" spans="1:3" ht="43.5" customHeight="1" x14ac:dyDescent="0.3">
      <c r="A300" s="15">
        <v>373020004</v>
      </c>
      <c r="B300" s="1" t="s">
        <v>359</v>
      </c>
      <c r="C300" s="1">
        <v>92</v>
      </c>
    </row>
    <row r="301" spans="1:3" ht="43.5" customHeight="1" x14ac:dyDescent="0.3">
      <c r="A301" s="15">
        <v>373030003</v>
      </c>
      <c r="B301" s="1" t="s">
        <v>56</v>
      </c>
      <c r="C301" s="1">
        <v>63.75</v>
      </c>
    </row>
    <row r="302" spans="1:3" ht="43.5" customHeight="1" x14ac:dyDescent="0.3">
      <c r="A302" s="15">
        <v>373030004</v>
      </c>
      <c r="B302" s="1" t="s">
        <v>57</v>
      </c>
      <c r="C302" s="1">
        <v>63.5</v>
      </c>
    </row>
    <row r="303" spans="1:3" ht="43.5" customHeight="1" x14ac:dyDescent="0.3">
      <c r="A303" s="15">
        <v>373099901</v>
      </c>
      <c r="B303" s="1" t="s">
        <v>360</v>
      </c>
      <c r="C303" s="1">
        <v>167.25</v>
      </c>
    </row>
    <row r="304" spans="1:3" ht="43.5" customHeight="1" x14ac:dyDescent="0.3">
      <c r="A304" s="15">
        <v>353099903</v>
      </c>
      <c r="B304" s="1" t="s">
        <v>58</v>
      </c>
      <c r="C304" s="1">
        <v>2660</v>
      </c>
    </row>
    <row r="305" spans="1:3" ht="43.5" customHeight="1" x14ac:dyDescent="0.3">
      <c r="A305" s="15">
        <v>353099908</v>
      </c>
      <c r="B305" s="1" t="s">
        <v>59</v>
      </c>
      <c r="C305" s="1">
        <v>381</v>
      </c>
    </row>
    <row r="306" spans="1:3" ht="43.5" customHeight="1" x14ac:dyDescent="0.3">
      <c r="A306" s="15">
        <v>353099909</v>
      </c>
      <c r="B306" s="1" t="s">
        <v>60</v>
      </c>
      <c r="C306" s="1">
        <v>1409</v>
      </c>
    </row>
    <row r="307" spans="1:3" ht="43.5" customHeight="1" x14ac:dyDescent="0.3">
      <c r="A307" s="15">
        <v>353099910</v>
      </c>
      <c r="B307" s="1" t="s">
        <v>61</v>
      </c>
      <c r="C307" s="1">
        <v>1096.5</v>
      </c>
    </row>
    <row r="308" spans="1:3" ht="43.5" customHeight="1" x14ac:dyDescent="0.3">
      <c r="A308" s="15">
        <v>353099911</v>
      </c>
      <c r="B308" s="1" t="s">
        <v>62</v>
      </c>
      <c r="C308" s="1">
        <v>1166.75</v>
      </c>
    </row>
    <row r="309" spans="1:3" ht="43.5" customHeight="1" x14ac:dyDescent="0.3">
      <c r="A309" s="15">
        <v>353099917</v>
      </c>
      <c r="B309" s="1" t="s">
        <v>63</v>
      </c>
      <c r="C309" s="1">
        <v>1233.5</v>
      </c>
    </row>
    <row r="310" spans="1:3" ht="43.5" customHeight="1" x14ac:dyDescent="0.3">
      <c r="A310" s="15">
        <v>353099914</v>
      </c>
      <c r="B310" s="1" t="s">
        <v>64</v>
      </c>
      <c r="C310" s="1">
        <v>3733.75</v>
      </c>
    </row>
    <row r="311" spans="1:3" ht="43.5" customHeight="1" x14ac:dyDescent="0.3">
      <c r="A311" s="15">
        <v>353099915</v>
      </c>
      <c r="B311" s="1" t="s">
        <v>65</v>
      </c>
      <c r="C311" s="1">
        <v>1273.5</v>
      </c>
    </row>
    <row r="312" spans="1:3" ht="43.5" customHeight="1" x14ac:dyDescent="0.3">
      <c r="A312" s="15">
        <v>353099916</v>
      </c>
      <c r="B312" s="1" t="s">
        <v>66</v>
      </c>
      <c r="C312" s="1">
        <v>1064</v>
      </c>
    </row>
    <row r="313" spans="1:3" ht="43.5" customHeight="1" x14ac:dyDescent="0.3">
      <c r="A313" s="15">
        <v>373010037</v>
      </c>
      <c r="B313" s="1" t="s">
        <v>67</v>
      </c>
      <c r="C313" s="1">
        <v>240</v>
      </c>
    </row>
    <row r="314" spans="1:3" ht="43.5" customHeight="1" x14ac:dyDescent="0.3">
      <c r="A314" s="15">
        <v>375020101</v>
      </c>
      <c r="B314" s="1" t="s">
        <v>361</v>
      </c>
      <c r="C314" s="1">
        <v>382.25</v>
      </c>
    </row>
    <row r="315" spans="1:3" ht="43.5" customHeight="1" x14ac:dyDescent="0.3">
      <c r="A315" s="15">
        <v>375020102</v>
      </c>
      <c r="B315" s="1" t="s">
        <v>362</v>
      </c>
      <c r="C315" s="1">
        <v>480</v>
      </c>
    </row>
    <row r="316" spans="1:3" ht="43.5" customHeight="1" x14ac:dyDescent="0.3">
      <c r="A316" s="15">
        <v>353099920</v>
      </c>
      <c r="B316" s="1" t="s">
        <v>68</v>
      </c>
      <c r="C316" s="1">
        <v>1225.5</v>
      </c>
    </row>
    <row r="317" spans="1:3" ht="43.5" customHeight="1" x14ac:dyDescent="0.3">
      <c r="A317" s="15">
        <v>353099918</v>
      </c>
      <c r="B317" s="1" t="s">
        <v>69</v>
      </c>
      <c r="C317" s="1">
        <v>1612</v>
      </c>
    </row>
    <row r="318" spans="1:3" ht="43.5" customHeight="1" x14ac:dyDescent="0.3">
      <c r="A318" s="15">
        <v>353099921</v>
      </c>
      <c r="B318" s="1" t="s">
        <v>70</v>
      </c>
      <c r="C318" s="1">
        <v>2434.25</v>
      </c>
    </row>
    <row r="319" spans="1:3" ht="43.5" customHeight="1" x14ac:dyDescent="0.3">
      <c r="A319" s="15">
        <v>353099922</v>
      </c>
      <c r="B319" s="1" t="s">
        <v>201</v>
      </c>
      <c r="C319" s="1">
        <v>30396.5</v>
      </c>
    </row>
    <row r="320" spans="1:3" ht="43.5" customHeight="1" x14ac:dyDescent="0.3">
      <c r="A320" s="15">
        <v>353099924</v>
      </c>
      <c r="B320" s="1" t="s">
        <v>202</v>
      </c>
      <c r="C320" s="1">
        <v>8279</v>
      </c>
    </row>
    <row r="321" spans="1:3" ht="43.5" customHeight="1" x14ac:dyDescent="0.3">
      <c r="A321" s="15">
        <v>353099940</v>
      </c>
      <c r="B321" s="1" t="s">
        <v>71</v>
      </c>
      <c r="C321" s="1">
        <v>835.25</v>
      </c>
    </row>
    <row r="322" spans="1:3" ht="43.5" customHeight="1" x14ac:dyDescent="0.3">
      <c r="A322" s="15">
        <v>353099941</v>
      </c>
      <c r="B322" s="1" t="s">
        <v>72</v>
      </c>
      <c r="C322" s="1">
        <v>1113.5</v>
      </c>
    </row>
    <row r="323" spans="1:3" ht="43.5" customHeight="1" x14ac:dyDescent="0.3">
      <c r="A323" s="15">
        <v>353096201</v>
      </c>
      <c r="B323" s="1" t="s">
        <v>73</v>
      </c>
      <c r="C323" s="1">
        <v>569.75</v>
      </c>
    </row>
    <row r="324" spans="1:3" ht="43.5" customHeight="1" x14ac:dyDescent="0.3">
      <c r="A324" s="15">
        <v>353096210</v>
      </c>
      <c r="B324" s="1" t="s">
        <v>74</v>
      </c>
      <c r="C324" s="1">
        <v>1025.25</v>
      </c>
    </row>
    <row r="325" spans="1:3" ht="43.5" customHeight="1" x14ac:dyDescent="0.3">
      <c r="A325" s="15">
        <v>353096203</v>
      </c>
      <c r="B325" s="1" t="s">
        <v>145</v>
      </c>
      <c r="C325" s="1">
        <v>272.5</v>
      </c>
    </row>
    <row r="326" spans="1:3" ht="43.5" customHeight="1" x14ac:dyDescent="0.3">
      <c r="A326" s="15">
        <v>373099935</v>
      </c>
      <c r="B326" s="1" t="s">
        <v>75</v>
      </c>
      <c r="C326" s="1">
        <v>85</v>
      </c>
    </row>
    <row r="327" spans="1:3" ht="43.5" customHeight="1" x14ac:dyDescent="0.3">
      <c r="A327" s="15">
        <v>353096204</v>
      </c>
      <c r="B327" s="1" t="s">
        <v>146</v>
      </c>
      <c r="C327" s="1">
        <v>307.25</v>
      </c>
    </row>
    <row r="328" spans="1:3" ht="43.5" customHeight="1" x14ac:dyDescent="0.3">
      <c r="A328" s="15">
        <v>353096212</v>
      </c>
      <c r="B328" s="1" t="s">
        <v>76</v>
      </c>
      <c r="C328" s="1">
        <v>58</v>
      </c>
    </row>
    <row r="329" spans="1:3" ht="43.5" customHeight="1" x14ac:dyDescent="0.3">
      <c r="A329" s="15">
        <v>353096205</v>
      </c>
      <c r="B329" s="1" t="s">
        <v>77</v>
      </c>
      <c r="C329" s="1">
        <v>66</v>
      </c>
    </row>
    <row r="330" spans="1:3" ht="43.5" customHeight="1" x14ac:dyDescent="0.3">
      <c r="A330" s="15">
        <v>353096401</v>
      </c>
      <c r="B330" s="1" t="s">
        <v>78</v>
      </c>
      <c r="C330" s="1">
        <v>278.75</v>
      </c>
    </row>
    <row r="331" spans="1:3" ht="43.5" customHeight="1" x14ac:dyDescent="0.3">
      <c r="A331" s="15">
        <v>353096211</v>
      </c>
      <c r="B331" s="1" t="s">
        <v>79</v>
      </c>
      <c r="C331" s="1">
        <v>945.75</v>
      </c>
    </row>
    <row r="332" spans="1:3" ht="43.5" customHeight="1" x14ac:dyDescent="0.3">
      <c r="A332" s="15">
        <v>353096213</v>
      </c>
      <c r="B332" s="1" t="s">
        <v>80</v>
      </c>
      <c r="C332" s="1">
        <v>767</v>
      </c>
    </row>
    <row r="333" spans="1:3" ht="43.5" customHeight="1" x14ac:dyDescent="0.3">
      <c r="A333" s="15">
        <v>353096218</v>
      </c>
      <c r="B333" s="1" t="s">
        <v>81</v>
      </c>
      <c r="C333" s="1">
        <v>3228.25</v>
      </c>
    </row>
    <row r="334" spans="1:3" ht="43.5" customHeight="1" x14ac:dyDescent="0.3">
      <c r="A334" s="15">
        <v>353096221</v>
      </c>
      <c r="B334" s="1" t="s">
        <v>82</v>
      </c>
      <c r="C334" s="1">
        <v>786</v>
      </c>
    </row>
    <row r="335" spans="1:3" ht="43.5" customHeight="1" x14ac:dyDescent="0.3">
      <c r="A335" s="15">
        <v>353096220</v>
      </c>
      <c r="B335" s="1" t="s">
        <v>83</v>
      </c>
      <c r="C335" s="1">
        <v>1549.25</v>
      </c>
    </row>
    <row r="336" spans="1:3" ht="43.5" customHeight="1" x14ac:dyDescent="0.3">
      <c r="A336" s="15">
        <v>353096224</v>
      </c>
      <c r="B336" s="1" t="s">
        <v>84</v>
      </c>
      <c r="C336" s="1">
        <v>112.25</v>
      </c>
    </row>
    <row r="337" spans="1:3" ht="43.5" customHeight="1" x14ac:dyDescent="0.3">
      <c r="A337" s="15">
        <v>353096223</v>
      </c>
      <c r="B337" s="1" t="s">
        <v>85</v>
      </c>
      <c r="C337" s="1">
        <v>112.25</v>
      </c>
    </row>
    <row r="338" spans="1:3" ht="43.5" customHeight="1" x14ac:dyDescent="0.3">
      <c r="A338" s="15">
        <v>353096225</v>
      </c>
      <c r="B338" s="1" t="s">
        <v>86</v>
      </c>
      <c r="C338" s="1">
        <v>224.5</v>
      </c>
    </row>
    <row r="339" spans="1:3" ht="43.5" customHeight="1" x14ac:dyDescent="0.3">
      <c r="A339" s="15">
        <v>353096222</v>
      </c>
      <c r="B339" s="1" t="s">
        <v>87</v>
      </c>
      <c r="C339" s="1">
        <v>112.25</v>
      </c>
    </row>
    <row r="340" spans="1:3" ht="43.5" customHeight="1" x14ac:dyDescent="0.3">
      <c r="A340" s="15">
        <v>373050015</v>
      </c>
      <c r="B340" s="1" t="s">
        <v>363</v>
      </c>
      <c r="C340" s="1">
        <v>24.25</v>
      </c>
    </row>
    <row r="341" spans="1:3" ht="43.5" customHeight="1" x14ac:dyDescent="0.3">
      <c r="A341" s="15">
        <v>373050016</v>
      </c>
      <c r="B341" s="1" t="s">
        <v>88</v>
      </c>
      <c r="C341" s="1">
        <v>24.25</v>
      </c>
    </row>
    <row r="342" spans="1:3" ht="43.5" customHeight="1" x14ac:dyDescent="0.3">
      <c r="A342" s="15">
        <v>373050007</v>
      </c>
      <c r="B342" s="1" t="s">
        <v>364</v>
      </c>
      <c r="C342" s="1">
        <v>22.75</v>
      </c>
    </row>
    <row r="343" spans="1:3" ht="43.5" customHeight="1" x14ac:dyDescent="0.3">
      <c r="A343" s="15">
        <v>373050011</v>
      </c>
      <c r="B343" s="1" t="s">
        <v>365</v>
      </c>
      <c r="C343" s="1">
        <v>29.25</v>
      </c>
    </row>
    <row r="344" spans="1:3" ht="43.5" customHeight="1" x14ac:dyDescent="0.3">
      <c r="A344" s="15">
        <v>373050014</v>
      </c>
      <c r="B344" s="1" t="s">
        <v>366</v>
      </c>
      <c r="C344" s="1">
        <v>57.75</v>
      </c>
    </row>
    <row r="345" spans="1:3" ht="43.5" customHeight="1" x14ac:dyDescent="0.3">
      <c r="A345" s="15">
        <v>373050013</v>
      </c>
      <c r="B345" s="1" t="s">
        <v>367</v>
      </c>
      <c r="C345" s="1">
        <v>82.75</v>
      </c>
    </row>
    <row r="346" spans="1:3" ht="43.5" customHeight="1" x14ac:dyDescent="0.3">
      <c r="A346" s="15">
        <v>373050008</v>
      </c>
      <c r="B346" s="1" t="s">
        <v>368</v>
      </c>
      <c r="C346" s="1">
        <v>29.25</v>
      </c>
    </row>
    <row r="347" spans="1:3" ht="43.5" customHeight="1" x14ac:dyDescent="0.3">
      <c r="A347" s="15">
        <v>373050001</v>
      </c>
      <c r="B347" s="1" t="s">
        <v>369</v>
      </c>
      <c r="C347" s="1">
        <v>34</v>
      </c>
    </row>
    <row r="348" spans="1:3" ht="43.5" customHeight="1" x14ac:dyDescent="0.3">
      <c r="A348" s="15">
        <v>373050002</v>
      </c>
      <c r="B348" s="1" t="s">
        <v>370</v>
      </c>
      <c r="C348" s="1">
        <v>56.5</v>
      </c>
    </row>
    <row r="349" spans="1:3" ht="43.5" customHeight="1" x14ac:dyDescent="0.3">
      <c r="A349" s="15">
        <v>373050018</v>
      </c>
      <c r="B349" s="1" t="s">
        <v>371</v>
      </c>
      <c r="C349" s="1">
        <v>66.25</v>
      </c>
    </row>
    <row r="350" spans="1:3" ht="43.5" customHeight="1" x14ac:dyDescent="0.3">
      <c r="A350" s="15">
        <v>373050003</v>
      </c>
      <c r="B350" s="1" t="s">
        <v>372</v>
      </c>
      <c r="C350" s="1">
        <v>74.75</v>
      </c>
    </row>
    <row r="351" spans="1:3" ht="43.5" customHeight="1" x14ac:dyDescent="0.3">
      <c r="A351" s="15">
        <v>373050019</v>
      </c>
      <c r="B351" s="1" t="s">
        <v>373</v>
      </c>
      <c r="C351" s="1">
        <v>94.25</v>
      </c>
    </row>
    <row r="352" spans="1:3" ht="43.5" customHeight="1" x14ac:dyDescent="0.3">
      <c r="A352" s="15">
        <v>373050034</v>
      </c>
      <c r="B352" s="1" t="s">
        <v>374</v>
      </c>
      <c r="C352" s="1">
        <v>99</v>
      </c>
    </row>
    <row r="353" spans="1:3" ht="43.5" customHeight="1" x14ac:dyDescent="0.3">
      <c r="A353" s="15">
        <v>373050004</v>
      </c>
      <c r="B353" s="1" t="s">
        <v>375</v>
      </c>
      <c r="C353" s="1">
        <v>107.25</v>
      </c>
    </row>
    <row r="354" spans="1:3" ht="43.5" customHeight="1" x14ac:dyDescent="0.3">
      <c r="A354" s="15">
        <v>373050005</v>
      </c>
      <c r="B354" s="1" t="s">
        <v>376</v>
      </c>
      <c r="C354" s="1">
        <v>107.25</v>
      </c>
    </row>
    <row r="355" spans="1:3" ht="43.5" customHeight="1" x14ac:dyDescent="0.3">
      <c r="A355" s="15">
        <v>373050033</v>
      </c>
      <c r="B355" s="1" t="s">
        <v>377</v>
      </c>
      <c r="C355" s="1">
        <v>113</v>
      </c>
    </row>
    <row r="356" spans="1:3" ht="43.5" customHeight="1" x14ac:dyDescent="0.3">
      <c r="A356" s="15">
        <v>373050006</v>
      </c>
      <c r="B356" s="1" t="s">
        <v>378</v>
      </c>
      <c r="C356" s="1">
        <v>156.5</v>
      </c>
    </row>
    <row r="357" spans="1:3" ht="43.5" customHeight="1" x14ac:dyDescent="0.3">
      <c r="A357" s="15">
        <v>373099905</v>
      </c>
      <c r="B357" s="1" t="s">
        <v>379</v>
      </c>
      <c r="C357" s="1">
        <v>9</v>
      </c>
    </row>
    <row r="358" spans="1:3" ht="43.5" customHeight="1" x14ac:dyDescent="0.3">
      <c r="A358" s="15">
        <v>373010023</v>
      </c>
      <c r="B358" s="1" t="s">
        <v>89</v>
      </c>
      <c r="C358" s="1">
        <v>142.75</v>
      </c>
    </row>
    <row r="359" spans="1:3" ht="43.5" customHeight="1" x14ac:dyDescent="0.3">
      <c r="A359" s="15">
        <v>373010010</v>
      </c>
      <c r="B359" s="1" t="s">
        <v>90</v>
      </c>
      <c r="C359" s="1">
        <v>162.75</v>
      </c>
    </row>
    <row r="360" spans="1:3" ht="43.5" customHeight="1" x14ac:dyDescent="0.3">
      <c r="A360" s="15">
        <v>373010039</v>
      </c>
      <c r="B360" s="1" t="s">
        <v>91</v>
      </c>
      <c r="C360" s="1">
        <v>260.25</v>
      </c>
    </row>
    <row r="361" spans="1:3" ht="43.5" customHeight="1" x14ac:dyDescent="0.3">
      <c r="A361" s="15">
        <v>373099906</v>
      </c>
      <c r="B361" s="1" t="s">
        <v>380</v>
      </c>
      <c r="C361" s="1">
        <v>255.75</v>
      </c>
    </row>
    <row r="362" spans="1:3" ht="43.5" customHeight="1" x14ac:dyDescent="0.3">
      <c r="A362" s="15">
        <v>373099907</v>
      </c>
      <c r="B362" s="1" t="s">
        <v>381</v>
      </c>
      <c r="C362" s="1">
        <v>230.75</v>
      </c>
    </row>
    <row r="363" spans="1:3" ht="43.5" customHeight="1" x14ac:dyDescent="0.3">
      <c r="A363" s="15">
        <v>373099908</v>
      </c>
      <c r="B363" s="1" t="s">
        <v>382</v>
      </c>
      <c r="C363" s="1">
        <v>76.25</v>
      </c>
    </row>
    <row r="364" spans="1:3" ht="43.5" customHeight="1" x14ac:dyDescent="0.3">
      <c r="A364" s="15">
        <v>373099909</v>
      </c>
      <c r="B364" s="1" t="s">
        <v>383</v>
      </c>
      <c r="C364" s="1">
        <v>121.5</v>
      </c>
    </row>
    <row r="365" spans="1:3" ht="43.5" customHeight="1" x14ac:dyDescent="0.3">
      <c r="A365" s="15">
        <v>373099910</v>
      </c>
      <c r="B365" s="1" t="s">
        <v>384</v>
      </c>
      <c r="C365" s="1">
        <v>160.75</v>
      </c>
    </row>
    <row r="366" spans="1:3" ht="43.5" customHeight="1" x14ac:dyDescent="0.3">
      <c r="A366" s="15">
        <v>373099913</v>
      </c>
      <c r="B366" s="1" t="s">
        <v>385</v>
      </c>
      <c r="C366" s="1">
        <v>204</v>
      </c>
    </row>
    <row r="367" spans="1:3" ht="43.5" customHeight="1" x14ac:dyDescent="0.3">
      <c r="A367" s="15">
        <v>373099914</v>
      </c>
      <c r="B367" s="1" t="s">
        <v>386</v>
      </c>
      <c r="C367" s="1">
        <v>323.5</v>
      </c>
    </row>
    <row r="368" spans="1:3" ht="43.5" customHeight="1" x14ac:dyDescent="0.3">
      <c r="A368" s="15">
        <v>373099917</v>
      </c>
      <c r="B368" s="1" t="s">
        <v>387</v>
      </c>
      <c r="C368" s="1">
        <v>340.25</v>
      </c>
    </row>
    <row r="369" spans="1:3" ht="43.5" customHeight="1" x14ac:dyDescent="0.3">
      <c r="A369" s="15">
        <v>373099915</v>
      </c>
      <c r="B369" s="1" t="s">
        <v>92</v>
      </c>
      <c r="C369" s="1">
        <v>213.75</v>
      </c>
    </row>
    <row r="370" spans="1:3" ht="43.5" customHeight="1" x14ac:dyDescent="0.3">
      <c r="A370" s="15">
        <v>373099916</v>
      </c>
      <c r="B370" s="1" t="s">
        <v>93</v>
      </c>
      <c r="C370" s="1">
        <v>128.75</v>
      </c>
    </row>
    <row r="371" spans="1:3" ht="43.5" customHeight="1" x14ac:dyDescent="0.3">
      <c r="A371" s="15">
        <v>373020002</v>
      </c>
      <c r="B371" s="1" t="s">
        <v>94</v>
      </c>
      <c r="C371" s="1">
        <v>105.75</v>
      </c>
    </row>
    <row r="372" spans="1:3" ht="43.5" customHeight="1" x14ac:dyDescent="0.3">
      <c r="A372" s="15">
        <v>373020003</v>
      </c>
      <c r="B372" s="1" t="s">
        <v>95</v>
      </c>
      <c r="C372" s="1">
        <v>123.5</v>
      </c>
    </row>
    <row r="373" spans="1:3" ht="43.5" customHeight="1" x14ac:dyDescent="0.3">
      <c r="A373" s="15">
        <v>373010033</v>
      </c>
      <c r="B373" s="1" t="s">
        <v>96</v>
      </c>
      <c r="C373" s="1">
        <v>203.5</v>
      </c>
    </row>
    <row r="374" spans="1:3" ht="43.5" customHeight="1" x14ac:dyDescent="0.3">
      <c r="A374" s="15">
        <v>373010034</v>
      </c>
      <c r="B374" s="1" t="s">
        <v>97</v>
      </c>
      <c r="C374" s="1">
        <v>203.5</v>
      </c>
    </row>
    <row r="375" spans="1:3" ht="43.5" customHeight="1" x14ac:dyDescent="0.3">
      <c r="A375" s="15">
        <v>373010032</v>
      </c>
      <c r="B375" s="1" t="s">
        <v>98</v>
      </c>
      <c r="C375" s="1">
        <v>203.5</v>
      </c>
    </row>
    <row r="376" spans="1:3" ht="43.5" customHeight="1" x14ac:dyDescent="0.3">
      <c r="A376" s="15">
        <v>373010031</v>
      </c>
      <c r="B376" s="1" t="s">
        <v>99</v>
      </c>
      <c r="C376" s="1">
        <v>203.5</v>
      </c>
    </row>
    <row r="377" spans="1:3" ht="43.5" customHeight="1" x14ac:dyDescent="0.3">
      <c r="A377" s="15">
        <v>375029990</v>
      </c>
      <c r="B377" s="1" t="s">
        <v>187</v>
      </c>
      <c r="C377" s="1">
        <v>480</v>
      </c>
    </row>
    <row r="378" spans="1:3" ht="43.5" customHeight="1" x14ac:dyDescent="0.3">
      <c r="A378" s="15">
        <v>353095001</v>
      </c>
      <c r="B378" s="1" t="s">
        <v>388</v>
      </c>
      <c r="C378" s="1">
        <v>64.25</v>
      </c>
    </row>
    <row r="379" spans="1:3" ht="43.5" customHeight="1" x14ac:dyDescent="0.3">
      <c r="A379" s="15">
        <v>353095005</v>
      </c>
      <c r="B379" s="1" t="s">
        <v>389</v>
      </c>
      <c r="C379" s="1">
        <v>70.25</v>
      </c>
    </row>
    <row r="380" spans="1:3" ht="43.5" customHeight="1" x14ac:dyDescent="0.3">
      <c r="A380" s="15">
        <v>353095002</v>
      </c>
      <c r="B380" s="1" t="s">
        <v>390</v>
      </c>
      <c r="C380" s="1">
        <v>114.5</v>
      </c>
    </row>
    <row r="381" spans="1:3" ht="43.5" customHeight="1" x14ac:dyDescent="0.3">
      <c r="A381" s="15">
        <v>353095006</v>
      </c>
      <c r="B381" s="1" t="s">
        <v>391</v>
      </c>
      <c r="C381" s="1">
        <v>119.5</v>
      </c>
    </row>
    <row r="382" spans="1:3" ht="43.5" customHeight="1" x14ac:dyDescent="0.3">
      <c r="A382" s="15">
        <v>353095003</v>
      </c>
      <c r="B382" s="1" t="s">
        <v>392</v>
      </c>
      <c r="C382" s="1">
        <v>135.5</v>
      </c>
    </row>
    <row r="383" spans="1:3" ht="43.5" customHeight="1" x14ac:dyDescent="0.3">
      <c r="A383" s="15">
        <v>353095004</v>
      </c>
      <c r="B383" s="1" t="s">
        <v>393</v>
      </c>
      <c r="C383" s="1">
        <v>214.5</v>
      </c>
    </row>
    <row r="384" spans="1:3" ht="43.5" customHeight="1" x14ac:dyDescent="0.3">
      <c r="A384" s="15">
        <v>353095012</v>
      </c>
      <c r="B384" s="1" t="s">
        <v>394</v>
      </c>
      <c r="C384" s="1">
        <v>20</v>
      </c>
    </row>
    <row r="385" spans="1:3" ht="43.5" customHeight="1" x14ac:dyDescent="0.3">
      <c r="A385" s="15">
        <v>353095014</v>
      </c>
      <c r="B385" s="1" t="s">
        <v>395</v>
      </c>
      <c r="C385" s="1">
        <v>45</v>
      </c>
    </row>
    <row r="386" spans="1:3" ht="43.5" customHeight="1" x14ac:dyDescent="0.3">
      <c r="A386" s="15">
        <v>353095016</v>
      </c>
      <c r="B386" s="1" t="s">
        <v>396</v>
      </c>
      <c r="C386" s="1">
        <v>45</v>
      </c>
    </row>
    <row r="387" spans="1:3" ht="43.5" customHeight="1" x14ac:dyDescent="0.3">
      <c r="A387" s="15">
        <v>353095017</v>
      </c>
      <c r="B387" s="1" t="s">
        <v>397</v>
      </c>
      <c r="C387" s="1">
        <v>71.25</v>
      </c>
    </row>
    <row r="388" spans="1:3" ht="43.5" customHeight="1" x14ac:dyDescent="0.3">
      <c r="A388" s="15">
        <v>353095018</v>
      </c>
      <c r="B388" s="1" t="s">
        <v>398</v>
      </c>
      <c r="C388" s="1">
        <v>160.75</v>
      </c>
    </row>
    <row r="389" spans="1:3" ht="43.5" customHeight="1" x14ac:dyDescent="0.3">
      <c r="A389" s="15">
        <v>353095026</v>
      </c>
      <c r="B389" s="1" t="s">
        <v>216</v>
      </c>
      <c r="C389" s="1">
        <v>12</v>
      </c>
    </row>
    <row r="390" spans="1:3" ht="43.5" customHeight="1" x14ac:dyDescent="0.3">
      <c r="A390" s="15">
        <v>353095020</v>
      </c>
      <c r="B390" s="1" t="s">
        <v>217</v>
      </c>
      <c r="C390" s="1">
        <v>15.25</v>
      </c>
    </row>
    <row r="391" spans="1:3" ht="43.5" customHeight="1" x14ac:dyDescent="0.3">
      <c r="A391" s="15">
        <v>353095019</v>
      </c>
      <c r="B391" s="1" t="s">
        <v>399</v>
      </c>
      <c r="C391" s="1">
        <v>15.25</v>
      </c>
    </row>
    <row r="392" spans="1:3" ht="43.5" customHeight="1" x14ac:dyDescent="0.3">
      <c r="A392" s="15">
        <v>353095024</v>
      </c>
      <c r="B392" s="1" t="s">
        <v>400</v>
      </c>
      <c r="C392" s="1">
        <v>46</v>
      </c>
    </row>
    <row r="393" spans="1:3" ht="43.5" customHeight="1" x14ac:dyDescent="0.3">
      <c r="A393" s="15">
        <v>353095025</v>
      </c>
      <c r="B393" s="1" t="s">
        <v>401</v>
      </c>
      <c r="C393" s="1">
        <v>55.25</v>
      </c>
    </row>
    <row r="394" spans="1:3" ht="43.5" customHeight="1" x14ac:dyDescent="0.3">
      <c r="A394" s="15">
        <v>353095022</v>
      </c>
      <c r="B394" s="1" t="s">
        <v>402</v>
      </c>
      <c r="C394" s="1">
        <v>68.25</v>
      </c>
    </row>
    <row r="395" spans="1:3" ht="43.5" customHeight="1" x14ac:dyDescent="0.3">
      <c r="A395" s="15">
        <v>353095028</v>
      </c>
      <c r="B395" s="1" t="s">
        <v>403</v>
      </c>
      <c r="C395" s="1">
        <v>106.75</v>
      </c>
    </row>
    <row r="396" spans="1:3" ht="43.5" customHeight="1" x14ac:dyDescent="0.3">
      <c r="A396" s="15">
        <v>353095010</v>
      </c>
      <c r="B396" s="1" t="s">
        <v>404</v>
      </c>
      <c r="C396" s="1">
        <v>121</v>
      </c>
    </row>
    <row r="397" spans="1:3" ht="43.5" customHeight="1" x14ac:dyDescent="0.3">
      <c r="A397" s="15">
        <v>353095023</v>
      </c>
      <c r="B397" s="1" t="s">
        <v>405</v>
      </c>
      <c r="C397" s="1">
        <v>170</v>
      </c>
    </row>
    <row r="398" spans="1:3" ht="43.5" customHeight="1" x14ac:dyDescent="0.3">
      <c r="A398" s="15">
        <v>353096101</v>
      </c>
      <c r="B398" s="1" t="s">
        <v>100</v>
      </c>
      <c r="C398" s="1">
        <v>1332.25</v>
      </c>
    </row>
    <row r="399" spans="1:3" ht="43.5" customHeight="1" x14ac:dyDescent="0.3">
      <c r="A399" s="15">
        <v>353096102</v>
      </c>
      <c r="B399" s="1" t="s">
        <v>101</v>
      </c>
      <c r="C399" s="1">
        <v>1332.25</v>
      </c>
    </row>
    <row r="400" spans="1:3" ht="43.5" customHeight="1" x14ac:dyDescent="0.3">
      <c r="A400" s="15">
        <v>353096103</v>
      </c>
      <c r="B400" s="1" t="s">
        <v>102</v>
      </c>
      <c r="C400" s="1">
        <v>871</v>
      </c>
    </row>
    <row r="401" spans="1:3" ht="43.5" customHeight="1" x14ac:dyDescent="0.3">
      <c r="A401" s="15">
        <v>353096104</v>
      </c>
      <c r="B401" s="1" t="s">
        <v>103</v>
      </c>
      <c r="C401" s="1">
        <v>899.25</v>
      </c>
    </row>
    <row r="402" spans="1:3" ht="43.5" customHeight="1" x14ac:dyDescent="0.3">
      <c r="A402" s="15">
        <v>353096105</v>
      </c>
      <c r="B402" s="1" t="s">
        <v>104</v>
      </c>
      <c r="C402" s="1">
        <v>205.25</v>
      </c>
    </row>
    <row r="403" spans="1:3" ht="43.5" customHeight="1" x14ac:dyDescent="0.3">
      <c r="A403" s="15">
        <v>353096501</v>
      </c>
      <c r="B403" s="1" t="s">
        <v>105</v>
      </c>
      <c r="C403" s="1">
        <v>41.75</v>
      </c>
    </row>
    <row r="404" spans="1:3" ht="43.5" customHeight="1" x14ac:dyDescent="0.3">
      <c r="A404" s="15">
        <v>353096502</v>
      </c>
      <c r="B404" s="1" t="s">
        <v>106</v>
      </c>
      <c r="C404" s="1">
        <v>59.25</v>
      </c>
    </row>
    <row r="405" spans="1:3" ht="43.5" customHeight="1" x14ac:dyDescent="0.3">
      <c r="A405" s="15">
        <v>353096503</v>
      </c>
      <c r="B405" s="1" t="s">
        <v>107</v>
      </c>
      <c r="C405" s="1">
        <v>71.5</v>
      </c>
    </row>
    <row r="406" spans="1:3" ht="43.5" customHeight="1" x14ac:dyDescent="0.3">
      <c r="A406" s="15">
        <v>353096504</v>
      </c>
      <c r="B406" s="1" t="s">
        <v>108</v>
      </c>
      <c r="C406" s="1">
        <v>75</v>
      </c>
    </row>
    <row r="407" spans="1:3" ht="43.5" customHeight="1" x14ac:dyDescent="0.3">
      <c r="A407" s="15">
        <v>353096505</v>
      </c>
      <c r="B407" s="1" t="s">
        <v>109</v>
      </c>
      <c r="C407" s="1">
        <v>37</v>
      </c>
    </row>
    <row r="408" spans="1:3" ht="43.5" customHeight="1" x14ac:dyDescent="0.3">
      <c r="A408" s="15">
        <v>353096506</v>
      </c>
      <c r="B408" s="1" t="s">
        <v>110</v>
      </c>
      <c r="C408" s="1">
        <v>28</v>
      </c>
    </row>
    <row r="409" spans="1:3" ht="43.5" customHeight="1" x14ac:dyDescent="0.3">
      <c r="A409" s="15">
        <v>353096507</v>
      </c>
      <c r="B409" s="1" t="s">
        <v>111</v>
      </c>
      <c r="C409" s="1">
        <v>23.75</v>
      </c>
    </row>
    <row r="410" spans="1:3" ht="43.5" customHeight="1" x14ac:dyDescent="0.3">
      <c r="A410" s="15">
        <v>353099933</v>
      </c>
      <c r="B410" s="1" t="s">
        <v>112</v>
      </c>
      <c r="C410" s="1">
        <v>153.5</v>
      </c>
    </row>
    <row r="411" spans="1:3" ht="43.5" customHeight="1" x14ac:dyDescent="0.3">
      <c r="A411" s="15">
        <v>353099902</v>
      </c>
      <c r="B411" s="1" t="s">
        <v>406</v>
      </c>
      <c r="C411" s="1">
        <v>189.75</v>
      </c>
    </row>
    <row r="412" spans="1:3" ht="43.5" customHeight="1" x14ac:dyDescent="0.3">
      <c r="A412" s="15">
        <v>353099901</v>
      </c>
      <c r="B412" s="1" t="s">
        <v>407</v>
      </c>
      <c r="C412" s="1">
        <v>239.75</v>
      </c>
    </row>
    <row r="413" spans="1:3" ht="43.5" customHeight="1" x14ac:dyDescent="0.3">
      <c r="A413" s="15">
        <v>353099929</v>
      </c>
      <c r="B413" s="1" t="s">
        <v>408</v>
      </c>
      <c r="C413" s="1">
        <v>260.25</v>
      </c>
    </row>
    <row r="414" spans="1:3" ht="43.5" customHeight="1" x14ac:dyDescent="0.3">
      <c r="A414" s="15">
        <v>353099932</v>
      </c>
      <c r="B414" s="1" t="s">
        <v>113</v>
      </c>
      <c r="C414" s="1">
        <v>212.75</v>
      </c>
    </row>
    <row r="415" spans="1:3" ht="43.5" customHeight="1" x14ac:dyDescent="0.3">
      <c r="A415" s="15">
        <v>353099931</v>
      </c>
      <c r="B415" s="1" t="s">
        <v>114</v>
      </c>
      <c r="C415" s="1">
        <v>295.25</v>
      </c>
    </row>
    <row r="416" spans="1:3" ht="43.5" customHeight="1" x14ac:dyDescent="0.3">
      <c r="A416" s="15">
        <v>373040003</v>
      </c>
      <c r="B416" s="1" t="s">
        <v>409</v>
      </c>
      <c r="C416" s="1">
        <v>41.5</v>
      </c>
    </row>
    <row r="417" spans="1:3" ht="43.5" customHeight="1" x14ac:dyDescent="0.3">
      <c r="A417" s="15">
        <v>373040002</v>
      </c>
      <c r="B417" s="1" t="s">
        <v>410</v>
      </c>
      <c r="C417" s="1">
        <v>53</v>
      </c>
    </row>
    <row r="418" spans="1:3" ht="43.5" customHeight="1" x14ac:dyDescent="0.3">
      <c r="A418" s="15">
        <v>373040001</v>
      </c>
      <c r="B418" s="1" t="s">
        <v>411</v>
      </c>
      <c r="C418" s="1">
        <v>71</v>
      </c>
    </row>
    <row r="419" spans="1:3" ht="43.5" customHeight="1" x14ac:dyDescent="0.3">
      <c r="A419" s="15">
        <v>353093010</v>
      </c>
      <c r="B419" s="1" t="s">
        <v>218</v>
      </c>
      <c r="C419" s="1">
        <v>10.75</v>
      </c>
    </row>
    <row r="420" spans="1:3" ht="43.5" customHeight="1" x14ac:dyDescent="0.3">
      <c r="A420" s="15">
        <v>353093007</v>
      </c>
      <c r="B420" s="1" t="s">
        <v>219</v>
      </c>
      <c r="C420" s="1">
        <v>15.5</v>
      </c>
    </row>
    <row r="421" spans="1:3" ht="43.5" customHeight="1" x14ac:dyDescent="0.3">
      <c r="A421" s="15">
        <v>353093000</v>
      </c>
      <c r="B421" s="1" t="s">
        <v>412</v>
      </c>
      <c r="C421" s="1">
        <v>14.5</v>
      </c>
    </row>
    <row r="422" spans="1:3" ht="43.5" customHeight="1" x14ac:dyDescent="0.3">
      <c r="A422" s="15">
        <v>353093001</v>
      </c>
      <c r="B422" s="1" t="s">
        <v>413</v>
      </c>
      <c r="C422" s="1">
        <v>25.75</v>
      </c>
    </row>
    <row r="423" spans="1:3" ht="43.5" customHeight="1" x14ac:dyDescent="0.3">
      <c r="A423" s="15">
        <v>353093002</v>
      </c>
      <c r="B423" s="1" t="s">
        <v>414</v>
      </c>
      <c r="C423" s="1">
        <v>32.5</v>
      </c>
    </row>
    <row r="424" spans="1:3" ht="43.5" customHeight="1" x14ac:dyDescent="0.3">
      <c r="A424" s="15">
        <v>353093008</v>
      </c>
      <c r="B424" s="1" t="s">
        <v>415</v>
      </c>
      <c r="C424" s="1">
        <v>33.5</v>
      </c>
    </row>
    <row r="425" spans="1:3" ht="43.5" customHeight="1" x14ac:dyDescent="0.3">
      <c r="A425" s="15">
        <v>353093009</v>
      </c>
      <c r="B425" s="1" t="s">
        <v>416</v>
      </c>
      <c r="C425" s="1">
        <v>70.25</v>
      </c>
    </row>
    <row r="426" spans="1:3" ht="43.5" customHeight="1" x14ac:dyDescent="0.3">
      <c r="A426" s="15">
        <v>353093003</v>
      </c>
      <c r="B426" s="1" t="s">
        <v>417</v>
      </c>
      <c r="C426" s="1">
        <v>57.5</v>
      </c>
    </row>
    <row r="427" spans="1:3" ht="43.5" customHeight="1" x14ac:dyDescent="0.3">
      <c r="A427" s="15">
        <v>353093004</v>
      </c>
      <c r="B427" s="1" t="s">
        <v>418</v>
      </c>
      <c r="C427" s="1">
        <v>90</v>
      </c>
    </row>
    <row r="428" spans="1:3" ht="43.5" customHeight="1" x14ac:dyDescent="0.3">
      <c r="A428" s="15">
        <v>353093005</v>
      </c>
      <c r="B428" s="1" t="s">
        <v>419</v>
      </c>
      <c r="C428" s="1">
        <v>227</v>
      </c>
    </row>
    <row r="429" spans="1:3" ht="43.5" customHeight="1" x14ac:dyDescent="0.3">
      <c r="A429" s="15">
        <v>373050021</v>
      </c>
      <c r="B429" s="1" t="s">
        <v>420</v>
      </c>
      <c r="C429" s="1">
        <v>80</v>
      </c>
    </row>
    <row r="430" spans="1:3" ht="43.5" customHeight="1" x14ac:dyDescent="0.3">
      <c r="A430" s="15">
        <v>373050022</v>
      </c>
      <c r="B430" s="1" t="s">
        <v>421</v>
      </c>
      <c r="C430" s="1">
        <v>84.75</v>
      </c>
    </row>
    <row r="431" spans="1:3" ht="43.5" customHeight="1" x14ac:dyDescent="0.3">
      <c r="A431" s="15">
        <v>373050023</v>
      </c>
      <c r="B431" s="1" t="s">
        <v>422</v>
      </c>
      <c r="C431" s="1">
        <v>89.75</v>
      </c>
    </row>
    <row r="432" spans="1:3" ht="43.5" customHeight="1" x14ac:dyDescent="0.3">
      <c r="A432" s="15">
        <v>373050025</v>
      </c>
      <c r="B432" s="1" t="s">
        <v>423</v>
      </c>
      <c r="C432" s="1">
        <v>97</v>
      </c>
    </row>
    <row r="433" spans="1:3" ht="43.5" customHeight="1" x14ac:dyDescent="0.3">
      <c r="A433" s="15">
        <v>373050026</v>
      </c>
      <c r="B433" s="1" t="s">
        <v>424</v>
      </c>
      <c r="C433" s="1">
        <v>97</v>
      </c>
    </row>
    <row r="434" spans="1:3" ht="43.5" customHeight="1" x14ac:dyDescent="0.3">
      <c r="A434" s="15">
        <v>373050027</v>
      </c>
      <c r="B434" s="1" t="s">
        <v>425</v>
      </c>
      <c r="C434" s="1">
        <v>98.25</v>
      </c>
    </row>
    <row r="435" spans="1:3" ht="43.5" customHeight="1" x14ac:dyDescent="0.3">
      <c r="A435" s="15">
        <v>373050028</v>
      </c>
      <c r="B435" s="1" t="s">
        <v>426</v>
      </c>
      <c r="C435" s="1">
        <v>102.5</v>
      </c>
    </row>
    <row r="436" spans="1:3" ht="43.5" customHeight="1" x14ac:dyDescent="0.3">
      <c r="A436" s="15">
        <v>373050029</v>
      </c>
      <c r="B436" s="1" t="s">
        <v>427</v>
      </c>
      <c r="C436" s="1">
        <v>100.5</v>
      </c>
    </row>
    <row r="437" spans="1:3" ht="43.5" customHeight="1" x14ac:dyDescent="0.3">
      <c r="A437" s="15">
        <v>373050030</v>
      </c>
      <c r="B437" s="1" t="s">
        <v>428</v>
      </c>
      <c r="C437" s="1">
        <v>160.75</v>
      </c>
    </row>
    <row r="438" spans="1:3" ht="43.5" customHeight="1" x14ac:dyDescent="0.3">
      <c r="A438" s="15">
        <v>373050032</v>
      </c>
      <c r="B438" s="1" t="s">
        <v>429</v>
      </c>
      <c r="C438" s="1">
        <v>78.5</v>
      </c>
    </row>
    <row r="439" spans="1:3" ht="43.5" customHeight="1" x14ac:dyDescent="0.3">
      <c r="A439" s="15">
        <v>373050031</v>
      </c>
      <c r="B439" s="1" t="s">
        <v>430</v>
      </c>
      <c r="C439" s="1">
        <v>78.5</v>
      </c>
    </row>
    <row r="440" spans="1:3" ht="43.5" customHeight="1" x14ac:dyDescent="0.3">
      <c r="A440" s="15">
        <v>373050017</v>
      </c>
      <c r="B440" s="1" t="s">
        <v>431</v>
      </c>
      <c r="C440" s="1">
        <v>82.75</v>
      </c>
    </row>
    <row r="441" spans="1:3" ht="43.5" customHeight="1" x14ac:dyDescent="0.3">
      <c r="A441" s="15">
        <v>353091015</v>
      </c>
      <c r="B441" s="1" t="s">
        <v>115</v>
      </c>
      <c r="C441" s="1">
        <v>207.5</v>
      </c>
    </row>
    <row r="442" spans="1:3" ht="43.5" customHeight="1" x14ac:dyDescent="0.3">
      <c r="A442" s="15">
        <v>353091016</v>
      </c>
      <c r="B442" s="1" t="s">
        <v>116</v>
      </c>
      <c r="C442" s="1">
        <v>213</v>
      </c>
    </row>
    <row r="443" spans="1:3" ht="43.5" customHeight="1" x14ac:dyDescent="0.3">
      <c r="A443" s="15">
        <v>353091014</v>
      </c>
      <c r="B443" s="1" t="s">
        <v>117</v>
      </c>
      <c r="C443" s="1">
        <v>304.25</v>
      </c>
    </row>
    <row r="444" spans="1:3" ht="43.5" customHeight="1" x14ac:dyDescent="0.3">
      <c r="A444" s="15">
        <v>353091013</v>
      </c>
      <c r="B444" s="1" t="s">
        <v>118</v>
      </c>
      <c r="C444" s="1">
        <v>332.5</v>
      </c>
    </row>
    <row r="445" spans="1:3" ht="43.5" customHeight="1" x14ac:dyDescent="0.3">
      <c r="A445" s="15">
        <v>353091030</v>
      </c>
      <c r="B445" s="1" t="s">
        <v>119</v>
      </c>
      <c r="C445" s="1">
        <v>393.5</v>
      </c>
    </row>
    <row r="446" spans="1:3" ht="43.5" customHeight="1" x14ac:dyDescent="0.3">
      <c r="A446" s="15">
        <v>353091002</v>
      </c>
      <c r="B446" s="1" t="s">
        <v>120</v>
      </c>
      <c r="C446" s="1">
        <v>673.25</v>
      </c>
    </row>
    <row r="447" spans="1:3" ht="43.5" customHeight="1" x14ac:dyDescent="0.3">
      <c r="A447" s="15">
        <v>353091036</v>
      </c>
      <c r="B447" s="1" t="s">
        <v>121</v>
      </c>
      <c r="C447" s="1">
        <v>272</v>
      </c>
    </row>
    <row r="448" spans="1:3" ht="43.5" customHeight="1" x14ac:dyDescent="0.3">
      <c r="A448" s="15">
        <v>353091034</v>
      </c>
      <c r="B448" s="1" t="s">
        <v>122</v>
      </c>
      <c r="C448" s="1">
        <v>357.75</v>
      </c>
    </row>
    <row r="449" spans="1:3" ht="43.5" customHeight="1" x14ac:dyDescent="0.3">
      <c r="A449" s="15">
        <v>353091033</v>
      </c>
      <c r="B449" s="1" t="s">
        <v>123</v>
      </c>
      <c r="C449" s="1">
        <v>357.75</v>
      </c>
    </row>
    <row r="450" spans="1:3" ht="43.5" customHeight="1" x14ac:dyDescent="0.3">
      <c r="A450" s="15">
        <v>353091032</v>
      </c>
      <c r="B450" s="1" t="s">
        <v>124</v>
      </c>
      <c r="C450" s="1">
        <v>422.75</v>
      </c>
    </row>
    <row r="451" spans="1:3" ht="43.5" customHeight="1" x14ac:dyDescent="0.3">
      <c r="A451" s="15">
        <v>353091031</v>
      </c>
      <c r="B451" s="1" t="s">
        <v>125</v>
      </c>
      <c r="C451" s="1">
        <v>432.25</v>
      </c>
    </row>
    <row r="452" spans="1:3" ht="43.5" customHeight="1" x14ac:dyDescent="0.3">
      <c r="A452" s="15">
        <v>353080017</v>
      </c>
      <c r="B452" s="1" t="s">
        <v>126</v>
      </c>
      <c r="C452" s="1">
        <v>177</v>
      </c>
    </row>
    <row r="453" spans="1:3" ht="43.5" customHeight="1" x14ac:dyDescent="0.3">
      <c r="A453" s="15">
        <v>353080015</v>
      </c>
      <c r="B453" s="1" t="s">
        <v>127</v>
      </c>
      <c r="C453" s="1">
        <v>237.75</v>
      </c>
    </row>
    <row r="454" spans="1:3" ht="43.5" customHeight="1" x14ac:dyDescent="0.3">
      <c r="A454" s="15">
        <v>353080014</v>
      </c>
      <c r="B454" s="1" t="s">
        <v>128</v>
      </c>
      <c r="C454" s="1">
        <v>237.75</v>
      </c>
    </row>
    <row r="455" spans="1:3" ht="43.5" customHeight="1" x14ac:dyDescent="0.3">
      <c r="A455" s="15">
        <v>353080013</v>
      </c>
      <c r="B455" s="1" t="s">
        <v>129</v>
      </c>
      <c r="C455" s="1">
        <v>244.5</v>
      </c>
    </row>
    <row r="456" spans="1:3" ht="43.5" customHeight="1" x14ac:dyDescent="0.3">
      <c r="A456" s="15">
        <v>353080012</v>
      </c>
      <c r="B456" s="1" t="s">
        <v>130</v>
      </c>
      <c r="C456" s="1">
        <v>354.5</v>
      </c>
    </row>
    <row r="457" spans="1:3" ht="43.5" customHeight="1" x14ac:dyDescent="0.3">
      <c r="A457" s="15">
        <v>331010010</v>
      </c>
      <c r="B457" s="1" t="s">
        <v>442</v>
      </c>
      <c r="C457" s="1">
        <v>62</v>
      </c>
    </row>
    <row r="458" spans="1:3" ht="43.5" customHeight="1" x14ac:dyDescent="0.3">
      <c r="A458" s="15">
        <v>331010001</v>
      </c>
      <c r="B458" s="1" t="s">
        <v>443</v>
      </c>
      <c r="C458" s="1">
        <v>159.75</v>
      </c>
    </row>
    <row r="459" spans="1:3" ht="43.5" customHeight="1" x14ac:dyDescent="0.3">
      <c r="A459" s="15">
        <v>331010002</v>
      </c>
      <c r="B459" s="1" t="s">
        <v>444</v>
      </c>
      <c r="C459" s="1">
        <v>243</v>
      </c>
    </row>
    <row r="460" spans="1:3" ht="43.5" customHeight="1" x14ac:dyDescent="0.3">
      <c r="A460" s="15">
        <v>331010003</v>
      </c>
      <c r="B460" s="1" t="s">
        <v>445</v>
      </c>
      <c r="C460" s="1">
        <v>348.75</v>
      </c>
    </row>
    <row r="461" spans="1:3" ht="43.5" customHeight="1" x14ac:dyDescent="0.3">
      <c r="A461" s="15">
        <v>331010004</v>
      </c>
      <c r="B461" s="1" t="s">
        <v>446</v>
      </c>
      <c r="C461" s="1">
        <v>476.5</v>
      </c>
    </row>
    <row r="462" spans="1:3" ht="43.5" customHeight="1" x14ac:dyDescent="0.3">
      <c r="A462" s="15">
        <v>331010005</v>
      </c>
      <c r="B462" s="1" t="s">
        <v>447</v>
      </c>
      <c r="C462" s="1">
        <v>678.75</v>
      </c>
    </row>
    <row r="463" spans="1:3" ht="43.5" customHeight="1" x14ac:dyDescent="0.3">
      <c r="A463" s="15">
        <v>331010007</v>
      </c>
      <c r="B463" s="1" t="s">
        <v>448</v>
      </c>
      <c r="C463" s="1">
        <v>1716.75</v>
      </c>
    </row>
    <row r="464" spans="1:3" ht="43.5" customHeight="1" x14ac:dyDescent="0.3">
      <c r="A464" s="15">
        <v>331020001</v>
      </c>
      <c r="B464" s="1" t="s">
        <v>476</v>
      </c>
      <c r="C464" s="1">
        <v>35.5</v>
      </c>
    </row>
    <row r="465" spans="1:3" ht="43.5" customHeight="1" x14ac:dyDescent="0.3">
      <c r="A465" s="15">
        <v>331020002</v>
      </c>
      <c r="B465" s="1" t="s">
        <v>477</v>
      </c>
      <c r="C465" s="1">
        <v>59.5</v>
      </c>
    </row>
    <row r="466" spans="1:3" ht="43.5" customHeight="1" x14ac:dyDescent="0.3">
      <c r="A466" s="15">
        <v>331020003</v>
      </c>
      <c r="B466" s="1" t="s">
        <v>478</v>
      </c>
      <c r="C466" s="1">
        <v>85.25</v>
      </c>
    </row>
    <row r="467" spans="1:3" ht="43.5" customHeight="1" x14ac:dyDescent="0.3">
      <c r="A467" s="15">
        <v>331020004</v>
      </c>
      <c r="B467" s="1" t="s">
        <v>479</v>
      </c>
      <c r="C467" s="1">
        <v>140.5</v>
      </c>
    </row>
    <row r="468" spans="1:3" ht="43.5" customHeight="1" x14ac:dyDescent="0.3">
      <c r="A468" s="15">
        <v>331020005</v>
      </c>
      <c r="B468" s="1" t="s">
        <v>480</v>
      </c>
      <c r="C468" s="1">
        <v>204.5</v>
      </c>
    </row>
    <row r="469" spans="1:3" ht="43.5" customHeight="1" x14ac:dyDescent="0.3">
      <c r="A469" s="15">
        <v>331020006</v>
      </c>
      <c r="B469" s="1" t="s">
        <v>481</v>
      </c>
      <c r="C469" s="1">
        <v>307.75</v>
      </c>
    </row>
    <row r="470" spans="1:3" ht="43.5" customHeight="1" x14ac:dyDescent="0.3">
      <c r="A470" s="15">
        <v>331020007</v>
      </c>
      <c r="B470" s="1" t="s">
        <v>482</v>
      </c>
      <c r="C470" s="1">
        <v>424.5</v>
      </c>
    </row>
    <row r="471" spans="1:3" ht="43.5" customHeight="1" x14ac:dyDescent="0.3">
      <c r="A471" s="15">
        <v>331020008</v>
      </c>
      <c r="B471" s="1" t="s">
        <v>483</v>
      </c>
      <c r="C471" s="1">
        <v>636.5</v>
      </c>
    </row>
    <row r="472" spans="1:3" ht="43.5" customHeight="1" x14ac:dyDescent="0.3">
      <c r="A472" s="15">
        <v>331020009</v>
      </c>
      <c r="B472" s="1" t="s">
        <v>484</v>
      </c>
      <c r="C472" s="1">
        <v>902.5</v>
      </c>
    </row>
    <row r="473" spans="1:3" ht="43.5" customHeight="1" x14ac:dyDescent="0.3">
      <c r="A473" s="15">
        <v>331020010</v>
      </c>
      <c r="B473" s="1" t="s">
        <v>485</v>
      </c>
      <c r="C473" s="1">
        <v>3295.5</v>
      </c>
    </row>
    <row r="474" spans="1:3" ht="43.5" customHeight="1" x14ac:dyDescent="0.3">
      <c r="A474" s="15">
        <v>331020011</v>
      </c>
      <c r="B474" s="1" t="s">
        <v>432</v>
      </c>
      <c r="C474" s="1">
        <v>31.75</v>
      </c>
    </row>
    <row r="475" spans="1:3" ht="43.5" customHeight="1" x14ac:dyDescent="0.3">
      <c r="A475" s="15">
        <v>331020012</v>
      </c>
      <c r="B475" s="1" t="s">
        <v>433</v>
      </c>
      <c r="C475" s="1">
        <v>54.75</v>
      </c>
    </row>
    <row r="476" spans="1:3" ht="43.5" customHeight="1" x14ac:dyDescent="0.3">
      <c r="A476" s="15">
        <v>3310</v>
      </c>
      <c r="B476" s="1" t="s">
        <v>434</v>
      </c>
      <c r="C476" s="1">
        <v>76.5</v>
      </c>
    </row>
    <row r="477" spans="1:3" ht="43.5" customHeight="1" x14ac:dyDescent="0.3">
      <c r="A477" s="15">
        <v>3310</v>
      </c>
      <c r="B477" s="1" t="s">
        <v>435</v>
      </c>
      <c r="C477" s="1">
        <v>125.75</v>
      </c>
    </row>
    <row r="478" spans="1:3" ht="43.5" customHeight="1" x14ac:dyDescent="0.3">
      <c r="A478" s="15">
        <v>3310</v>
      </c>
      <c r="B478" s="1" t="s">
        <v>436</v>
      </c>
      <c r="C478" s="1">
        <v>180.25</v>
      </c>
    </row>
    <row r="479" spans="1:3" ht="43.5" customHeight="1" x14ac:dyDescent="0.3">
      <c r="A479" s="15">
        <v>3310</v>
      </c>
      <c r="B479" s="1" t="s">
        <v>437</v>
      </c>
      <c r="C479" s="1">
        <v>275.5</v>
      </c>
    </row>
    <row r="480" spans="1:3" ht="43.5" customHeight="1" x14ac:dyDescent="0.3">
      <c r="A480" s="15">
        <v>3310</v>
      </c>
      <c r="B480" s="1" t="s">
        <v>438</v>
      </c>
      <c r="C480" s="1">
        <v>377</v>
      </c>
    </row>
    <row r="481" spans="1:3" ht="43.5" customHeight="1" x14ac:dyDescent="0.3">
      <c r="A481" s="15">
        <v>3310</v>
      </c>
      <c r="B481" s="1" t="s">
        <v>439</v>
      </c>
      <c r="C481" s="1">
        <v>571.25</v>
      </c>
    </row>
    <row r="482" spans="1:3" ht="43.5" customHeight="1" x14ac:dyDescent="0.3">
      <c r="A482" s="15">
        <v>3310</v>
      </c>
      <c r="B482" s="1" t="s">
        <v>440</v>
      </c>
      <c r="C482" s="1">
        <v>806.5</v>
      </c>
    </row>
    <row r="483" spans="1:3" ht="43.5" customHeight="1" x14ac:dyDescent="0.3">
      <c r="A483" s="15">
        <v>3310</v>
      </c>
      <c r="B483" s="1" t="s">
        <v>441</v>
      </c>
      <c r="C483" s="1">
        <v>2755.25</v>
      </c>
    </row>
    <row r="484" spans="1:3" ht="43.5" customHeight="1" x14ac:dyDescent="0.3">
      <c r="A484" s="15">
        <v>3310</v>
      </c>
      <c r="B484" s="1" t="s">
        <v>486</v>
      </c>
      <c r="C484" s="1">
        <v>59.75</v>
      </c>
    </row>
    <row r="485" spans="1:3" ht="43.5" customHeight="1" x14ac:dyDescent="0.3">
      <c r="A485" s="15">
        <v>3310</v>
      </c>
      <c r="B485" s="1" t="s">
        <v>487</v>
      </c>
      <c r="C485" s="1">
        <v>90.25</v>
      </c>
    </row>
    <row r="486" spans="1:3" ht="43.5" customHeight="1" x14ac:dyDescent="0.3">
      <c r="A486" s="15">
        <v>3310</v>
      </c>
      <c r="B486" s="1" t="s">
        <v>488</v>
      </c>
      <c r="C486" s="1">
        <v>131.75</v>
      </c>
    </row>
    <row r="487" spans="1:3" ht="43.5" customHeight="1" x14ac:dyDescent="0.3">
      <c r="A487" s="15">
        <v>3310</v>
      </c>
      <c r="B487" s="1" t="s">
        <v>489</v>
      </c>
      <c r="C487" s="1">
        <v>219</v>
      </c>
    </row>
    <row r="488" spans="1:3" ht="43.5" customHeight="1" x14ac:dyDescent="0.3">
      <c r="A488" s="15">
        <v>3310</v>
      </c>
      <c r="B488" s="1" t="s">
        <v>490</v>
      </c>
      <c r="C488" s="1">
        <v>323</v>
      </c>
    </row>
    <row r="489" spans="1:3" ht="43.5" customHeight="1" x14ac:dyDescent="0.3">
      <c r="A489" s="15">
        <v>3310</v>
      </c>
      <c r="B489" s="1" t="s">
        <v>491</v>
      </c>
      <c r="C489" s="1">
        <v>506.25</v>
      </c>
    </row>
    <row r="490" spans="1:3" ht="43.5" customHeight="1" x14ac:dyDescent="0.3">
      <c r="A490" s="15">
        <v>3310</v>
      </c>
      <c r="B490" s="1" t="s">
        <v>492</v>
      </c>
      <c r="C490" s="1">
        <v>766</v>
      </c>
    </row>
    <row r="491" spans="1:3" ht="43.5" customHeight="1" x14ac:dyDescent="0.3">
      <c r="A491" s="15">
        <v>3310</v>
      </c>
      <c r="B491" s="1" t="s">
        <v>493</v>
      </c>
      <c r="C491" s="1">
        <v>1017.25</v>
      </c>
    </row>
    <row r="492" spans="1:3" ht="43.5" customHeight="1" x14ac:dyDescent="0.3">
      <c r="A492" s="15">
        <v>3310</v>
      </c>
      <c r="B492" s="1" t="s">
        <v>494</v>
      </c>
      <c r="C492" s="1">
        <v>1624.5</v>
      </c>
    </row>
    <row r="493" spans="1:3" ht="43.5" customHeight="1" x14ac:dyDescent="0.3">
      <c r="A493" s="15">
        <v>3310</v>
      </c>
      <c r="B493" s="1" t="s">
        <v>449</v>
      </c>
      <c r="C493" s="1">
        <v>54.25</v>
      </c>
    </row>
    <row r="494" spans="1:3" ht="43.5" customHeight="1" x14ac:dyDescent="0.3">
      <c r="A494" s="15">
        <v>3310</v>
      </c>
      <c r="B494" s="1" t="s">
        <v>450</v>
      </c>
      <c r="C494" s="1">
        <v>81.25</v>
      </c>
    </row>
    <row r="495" spans="1:3" ht="43.5" customHeight="1" x14ac:dyDescent="0.3">
      <c r="A495" s="15">
        <v>3310</v>
      </c>
      <c r="B495" s="1" t="s">
        <v>451</v>
      </c>
      <c r="C495" s="1">
        <v>121</v>
      </c>
    </row>
    <row r="496" spans="1:3" ht="43.5" customHeight="1" x14ac:dyDescent="0.3">
      <c r="A496" s="15">
        <v>3310</v>
      </c>
      <c r="B496" s="1" t="s">
        <v>452</v>
      </c>
      <c r="C496" s="1">
        <v>196</v>
      </c>
    </row>
    <row r="497" spans="1:3" ht="43.5" customHeight="1" x14ac:dyDescent="0.3">
      <c r="A497" s="15">
        <v>3310</v>
      </c>
      <c r="B497" s="1" t="s">
        <v>453</v>
      </c>
      <c r="C497" s="1">
        <v>289.5</v>
      </c>
    </row>
    <row r="498" spans="1:3" ht="43.5" customHeight="1" x14ac:dyDescent="0.3">
      <c r="A498" s="15">
        <v>3310</v>
      </c>
      <c r="B498" s="1" t="s">
        <v>454</v>
      </c>
      <c r="C498" s="1">
        <v>452.75</v>
      </c>
    </row>
    <row r="499" spans="1:3" ht="43.5" customHeight="1" x14ac:dyDescent="0.3">
      <c r="A499" s="15"/>
      <c r="B499" s="1" t="s">
        <v>455</v>
      </c>
      <c r="C499" s="1">
        <v>690.75</v>
      </c>
    </row>
    <row r="500" spans="1:3" ht="43.5" customHeight="1" x14ac:dyDescent="0.3">
      <c r="A500" s="15"/>
      <c r="B500" s="1" t="s">
        <v>456</v>
      </c>
      <c r="C500" s="1">
        <v>935.25</v>
      </c>
    </row>
    <row r="501" spans="1:3" ht="43.5" customHeight="1" x14ac:dyDescent="0.3">
      <c r="A501" s="15"/>
      <c r="B501" s="1" t="s">
        <v>457</v>
      </c>
      <c r="C501" s="1">
        <v>1488</v>
      </c>
    </row>
    <row r="502" spans="1:3" ht="43.5" customHeight="1" x14ac:dyDescent="0.3">
      <c r="A502" s="15"/>
      <c r="B502" s="1" t="s">
        <v>496</v>
      </c>
      <c r="C502" s="1">
        <v>66</v>
      </c>
    </row>
    <row r="503" spans="1:3" ht="43.5" customHeight="1" x14ac:dyDescent="0.3">
      <c r="A503" s="15"/>
      <c r="B503" s="1" t="s">
        <v>497</v>
      </c>
      <c r="C503" s="1">
        <v>99</v>
      </c>
    </row>
    <row r="504" spans="1:3" ht="43.5" customHeight="1" x14ac:dyDescent="0.3">
      <c r="A504" s="15"/>
      <c r="B504" s="1" t="s">
        <v>498</v>
      </c>
      <c r="C504" s="1">
        <v>145</v>
      </c>
    </row>
    <row r="505" spans="1:3" ht="43.5" customHeight="1" x14ac:dyDescent="0.3">
      <c r="A505" s="15"/>
      <c r="B505" s="1" t="s">
        <v>499</v>
      </c>
      <c r="C505" s="1">
        <v>357.75</v>
      </c>
    </row>
    <row r="506" spans="1:3" ht="43.5" customHeight="1" x14ac:dyDescent="0.3">
      <c r="A506" s="15"/>
      <c r="B506" s="1" t="s">
        <v>495</v>
      </c>
      <c r="C506" s="1">
        <v>561.5</v>
      </c>
    </row>
    <row r="507" spans="1:3" ht="43.5" customHeight="1" x14ac:dyDescent="0.3">
      <c r="A507" s="15"/>
      <c r="B507" s="1" t="s">
        <v>500</v>
      </c>
      <c r="C507" s="1">
        <v>24.25</v>
      </c>
    </row>
    <row r="508" spans="1:3" ht="43.5" customHeight="1" x14ac:dyDescent="0.3">
      <c r="A508" s="15"/>
      <c r="B508" s="1" t="s">
        <v>501</v>
      </c>
      <c r="C508" s="1">
        <v>27.5</v>
      </c>
    </row>
    <row r="509" spans="1:3" ht="43.5" customHeight="1" x14ac:dyDescent="0.3">
      <c r="A509" s="15"/>
      <c r="B509" s="1" t="s">
        <v>502</v>
      </c>
      <c r="C509" s="1">
        <v>41</v>
      </c>
    </row>
    <row r="510" spans="1:3" ht="43.5" customHeight="1" x14ac:dyDescent="0.3">
      <c r="A510" s="15"/>
      <c r="B510" s="1" t="s">
        <v>503</v>
      </c>
      <c r="C510" s="1">
        <v>85</v>
      </c>
    </row>
    <row r="511" spans="1:3" ht="43.5" customHeight="1" x14ac:dyDescent="0.3">
      <c r="A511" s="15"/>
      <c r="B511" s="1" t="s">
        <v>504</v>
      </c>
      <c r="C511" s="1">
        <v>144.5</v>
      </c>
    </row>
    <row r="512" spans="1:3" ht="43.5" customHeight="1" x14ac:dyDescent="0.3">
      <c r="A512" s="15"/>
      <c r="B512" s="1" t="s">
        <v>505</v>
      </c>
      <c r="C512" s="1">
        <v>202.75</v>
      </c>
    </row>
    <row r="513" spans="1:3" ht="43.5" customHeight="1" x14ac:dyDescent="0.3">
      <c r="A513" s="15"/>
      <c r="B513" s="1" t="s">
        <v>506</v>
      </c>
      <c r="C513" s="1">
        <v>245.5</v>
      </c>
    </row>
    <row r="514" spans="1:3" ht="43.5" customHeight="1" x14ac:dyDescent="0.3">
      <c r="A514" s="15"/>
      <c r="B514" s="1" t="s">
        <v>507</v>
      </c>
      <c r="C514" s="1">
        <v>485</v>
      </c>
    </row>
    <row r="515" spans="1:3" ht="43.5" customHeight="1" x14ac:dyDescent="0.3">
      <c r="A515" s="15"/>
      <c r="B515" s="1" t="s">
        <v>508</v>
      </c>
      <c r="C515" s="1">
        <v>978.75</v>
      </c>
    </row>
    <row r="516" spans="1:3" ht="43.5" customHeight="1" x14ac:dyDescent="0.3">
      <c r="A516" s="15"/>
      <c r="B516" s="1" t="s">
        <v>509</v>
      </c>
      <c r="C516" s="1">
        <v>2078</v>
      </c>
    </row>
    <row r="517" spans="1:3" ht="43.5" customHeight="1" x14ac:dyDescent="0.3">
      <c r="A517" s="15"/>
      <c r="B517" s="1" t="s">
        <v>510</v>
      </c>
      <c r="C517" s="1"/>
    </row>
    <row r="518" spans="1:3" ht="43.5" customHeight="1" x14ac:dyDescent="0.3">
      <c r="A518" s="15"/>
      <c r="B518" s="1" t="s">
        <v>511</v>
      </c>
      <c r="C518" s="1"/>
    </row>
    <row r="519" spans="1:3" ht="43.5" customHeight="1" x14ac:dyDescent="0.3">
      <c r="A519" s="15"/>
      <c r="B519" s="1" t="s">
        <v>512</v>
      </c>
      <c r="C519" s="1"/>
    </row>
    <row r="520" spans="1:3" ht="43.5" customHeight="1" x14ac:dyDescent="0.3">
      <c r="A520" s="15"/>
      <c r="B520" s="1" t="s">
        <v>513</v>
      </c>
      <c r="C520" s="1"/>
    </row>
    <row r="521" spans="1:3" ht="43.5" customHeight="1" x14ac:dyDescent="0.3">
      <c r="A521" s="15"/>
      <c r="B521" s="1" t="s">
        <v>514</v>
      </c>
      <c r="C521" s="1"/>
    </row>
    <row r="522" spans="1:3" ht="43.5" customHeight="1" x14ac:dyDescent="0.3">
      <c r="A522" s="15"/>
      <c r="B522" s="1" t="s">
        <v>515</v>
      </c>
      <c r="C522" s="1"/>
    </row>
    <row r="523" spans="1:3" ht="43.5" customHeight="1" x14ac:dyDescent="0.3">
      <c r="A523" s="15"/>
      <c r="B523" s="1" t="s">
        <v>516</v>
      </c>
      <c r="C523" s="1"/>
    </row>
    <row r="524" spans="1:3" ht="43.5" customHeight="1" x14ac:dyDescent="0.3">
      <c r="A524" s="15"/>
      <c r="B524" s="1" t="s">
        <v>517</v>
      </c>
      <c r="C524" s="1"/>
    </row>
    <row r="525" spans="1:3" ht="43.5" customHeight="1" x14ac:dyDescent="0.3">
      <c r="A525" s="15"/>
      <c r="B525" s="1" t="s">
        <v>518</v>
      </c>
      <c r="C525" s="1"/>
    </row>
    <row r="526" spans="1:3" ht="43.5" customHeight="1" x14ac:dyDescent="0.3">
      <c r="A526" s="15"/>
      <c r="B526" s="1" t="s">
        <v>519</v>
      </c>
      <c r="C526" s="1"/>
    </row>
    <row r="527" spans="1:3" ht="43.5" customHeight="1" x14ac:dyDescent="0.3">
      <c r="A527" s="15"/>
      <c r="B527" s="1"/>
      <c r="C527" s="1"/>
    </row>
    <row r="528" spans="1:3" ht="43.5" customHeight="1" x14ac:dyDescent="0.3">
      <c r="A528" s="15"/>
      <c r="B528" s="1"/>
      <c r="C528" s="1"/>
    </row>
    <row r="529" spans="1:3" ht="43.5" customHeight="1" x14ac:dyDescent="0.3">
      <c r="A529" s="15"/>
      <c r="B529" s="1"/>
      <c r="C529" s="1"/>
    </row>
    <row r="530" spans="1:3" ht="43.5" customHeight="1" x14ac:dyDescent="0.3">
      <c r="A530" s="15"/>
      <c r="B530" s="1"/>
      <c r="C530" s="1"/>
    </row>
    <row r="531" spans="1:3" ht="43.5" customHeight="1" x14ac:dyDescent="0.3">
      <c r="A531" s="15"/>
      <c r="B531" s="1"/>
      <c r="C531" s="1"/>
    </row>
    <row r="532" spans="1:3" ht="43.5" customHeight="1" x14ac:dyDescent="0.3">
      <c r="A532" s="15"/>
      <c r="B532" s="1"/>
      <c r="C532" s="1"/>
    </row>
    <row r="533" spans="1:3" ht="43.5" customHeight="1" x14ac:dyDescent="0.3">
      <c r="A533" s="15"/>
      <c r="B533" s="1"/>
      <c r="C533" s="1"/>
    </row>
    <row r="534" spans="1:3" ht="43.5" customHeight="1" x14ac:dyDescent="0.3">
      <c r="A534" s="15"/>
      <c r="B534" s="1"/>
      <c r="C534" s="1"/>
    </row>
    <row r="535" spans="1:3" ht="43.5" customHeight="1" x14ac:dyDescent="0.3">
      <c r="A535" s="15"/>
      <c r="B535" s="1"/>
      <c r="C535" s="1"/>
    </row>
    <row r="536" spans="1:3" ht="43.5" customHeight="1" x14ac:dyDescent="0.3">
      <c r="A536" s="15"/>
      <c r="B536" s="1"/>
      <c r="C536" s="1"/>
    </row>
    <row r="537" spans="1:3" ht="43.5" customHeight="1" x14ac:dyDescent="0.3">
      <c r="A537" s="15"/>
      <c r="B537" s="1"/>
      <c r="C537" s="1"/>
    </row>
    <row r="538" spans="1:3" ht="43.5" customHeight="1" x14ac:dyDescent="0.3">
      <c r="A538" s="15"/>
      <c r="B538" s="1"/>
      <c r="C538" s="1"/>
    </row>
    <row r="539" spans="1:3" ht="43.5" customHeight="1" x14ac:dyDescent="0.3">
      <c r="A539" s="15"/>
      <c r="B539" s="1"/>
      <c r="C539" s="1"/>
    </row>
    <row r="540" spans="1:3" ht="43.5" customHeight="1" x14ac:dyDescent="0.3">
      <c r="A540" s="15"/>
      <c r="B540" s="1"/>
      <c r="C540" s="1"/>
    </row>
    <row r="541" spans="1:3" ht="43.5" customHeight="1" x14ac:dyDescent="0.3">
      <c r="A541" s="15"/>
      <c r="B541" s="1"/>
      <c r="C541" s="1"/>
    </row>
    <row r="542" spans="1:3" ht="43.5" customHeight="1" x14ac:dyDescent="0.3">
      <c r="A542" s="15"/>
      <c r="B542" s="1"/>
      <c r="C542" s="1"/>
    </row>
    <row r="543" spans="1:3" ht="43.5" customHeight="1" x14ac:dyDescent="0.3">
      <c r="A543" s="15"/>
      <c r="B543" s="1"/>
      <c r="C543" s="1"/>
    </row>
    <row r="544" spans="1:3" ht="43.5" customHeight="1" x14ac:dyDescent="0.3"/>
    <row r="545" ht="43.5" customHeight="1" x14ac:dyDescent="0.3"/>
    <row r="546" ht="43.5" customHeight="1" x14ac:dyDescent="0.3"/>
    <row r="547" ht="43.5" customHeight="1" x14ac:dyDescent="0.3"/>
    <row r="548" ht="43.5" customHeight="1" x14ac:dyDescent="0.3"/>
    <row r="549" ht="43.5" customHeight="1" x14ac:dyDescent="0.3"/>
    <row r="550" ht="43.5" customHeight="1" x14ac:dyDescent="0.3"/>
    <row r="551" ht="43.5" customHeight="1" x14ac:dyDescent="0.3"/>
    <row r="552" ht="43.5" customHeight="1" x14ac:dyDescent="0.3"/>
    <row r="553" ht="43.5" customHeight="1" x14ac:dyDescent="0.3"/>
    <row r="554" ht="43.5" customHeight="1" x14ac:dyDescent="0.3"/>
    <row r="555" ht="43.5" customHeight="1" x14ac:dyDescent="0.3"/>
    <row r="556" ht="43.5" customHeight="1" x14ac:dyDescent="0.3"/>
    <row r="557" ht="43.5" customHeight="1" x14ac:dyDescent="0.3"/>
    <row r="558" ht="43.5" customHeight="1" x14ac:dyDescent="0.3"/>
    <row r="559" ht="43.5" customHeight="1" x14ac:dyDescent="0.3"/>
    <row r="560" ht="43.5" customHeight="1" x14ac:dyDescent="0.3"/>
    <row r="561" ht="43.5" customHeight="1" x14ac:dyDescent="0.3"/>
    <row r="562" ht="43.5" customHeight="1" x14ac:dyDescent="0.3"/>
    <row r="563" ht="43.5" customHeight="1" x14ac:dyDescent="0.3"/>
    <row r="564" ht="43.5" customHeight="1" x14ac:dyDescent="0.3"/>
    <row r="565" ht="43.5" customHeight="1" x14ac:dyDescent="0.3"/>
    <row r="566" ht="43.5" customHeight="1" x14ac:dyDescent="0.3"/>
    <row r="567" ht="43.5" customHeight="1" x14ac:dyDescent="0.3"/>
    <row r="568" ht="43.5" customHeight="1" x14ac:dyDescent="0.3"/>
    <row r="569" ht="43.5" customHeight="1" x14ac:dyDescent="0.3"/>
    <row r="570" ht="43.5" customHeight="1" x14ac:dyDescent="0.3"/>
    <row r="571" ht="43.5" customHeight="1" x14ac:dyDescent="0.3"/>
    <row r="572" ht="43.5" customHeight="1" x14ac:dyDescent="0.3"/>
    <row r="573" ht="43.5" customHeight="1" x14ac:dyDescent="0.3"/>
    <row r="574" ht="43.5" customHeight="1" x14ac:dyDescent="0.3"/>
    <row r="575" ht="43.5" customHeight="1" x14ac:dyDescent="0.3"/>
    <row r="576" ht="43.5" customHeight="1" x14ac:dyDescent="0.3"/>
    <row r="577" ht="43.5" customHeight="1" x14ac:dyDescent="0.3"/>
    <row r="578" ht="43.5" customHeight="1" x14ac:dyDescent="0.3"/>
    <row r="579" ht="43.5" customHeight="1" x14ac:dyDescent="0.3"/>
    <row r="580" ht="43.5" customHeight="1" x14ac:dyDescent="0.3"/>
    <row r="581" ht="43.5" customHeight="1" x14ac:dyDescent="0.3"/>
    <row r="582" ht="43.5" customHeight="1" x14ac:dyDescent="0.3"/>
    <row r="583" ht="43.5" customHeight="1" x14ac:dyDescent="0.3"/>
    <row r="584" ht="43.5" customHeight="1" x14ac:dyDescent="0.3"/>
    <row r="585" ht="43.5" customHeight="1" x14ac:dyDescent="0.3"/>
    <row r="586" ht="43.5" customHeight="1" x14ac:dyDescent="0.3"/>
    <row r="587" ht="43.5" customHeight="1" x14ac:dyDescent="0.3"/>
    <row r="588" ht="43.5" customHeight="1" x14ac:dyDescent="0.3"/>
    <row r="589" ht="43.5" customHeight="1" x14ac:dyDescent="0.3"/>
    <row r="590" ht="43.5" customHeight="1" x14ac:dyDescent="0.3"/>
    <row r="591" ht="43.5" customHeight="1" x14ac:dyDescent="0.3"/>
    <row r="592" ht="43.5" customHeight="1" x14ac:dyDescent="0.3"/>
    <row r="593" ht="43.5" customHeight="1" x14ac:dyDescent="0.3"/>
    <row r="594" ht="43.5" customHeight="1" x14ac:dyDescent="0.3"/>
    <row r="595" ht="43.5" customHeight="1" x14ac:dyDescent="0.3"/>
    <row r="596" ht="43.5" customHeight="1" x14ac:dyDescent="0.3"/>
    <row r="597" ht="43.5" customHeight="1" x14ac:dyDescent="0.3"/>
    <row r="598" ht="43.5" customHeight="1" x14ac:dyDescent="0.3"/>
    <row r="599" ht="43.5" customHeight="1" x14ac:dyDescent="0.3"/>
    <row r="600" ht="43.5" customHeight="1" x14ac:dyDescent="0.3"/>
    <row r="601" ht="43.5" customHeight="1" x14ac:dyDescent="0.3"/>
    <row r="602" ht="43.5" customHeight="1" x14ac:dyDescent="0.3"/>
    <row r="603" ht="43.5" customHeight="1" x14ac:dyDescent="0.3"/>
    <row r="604" ht="43.5" customHeight="1" x14ac:dyDescent="0.3"/>
    <row r="605" ht="43.5" customHeight="1" x14ac:dyDescent="0.3"/>
    <row r="606" ht="43.5" customHeight="1" x14ac:dyDescent="0.3"/>
    <row r="607" ht="43.5" customHeight="1" x14ac:dyDescent="0.3"/>
    <row r="608" ht="43.5" customHeight="1" x14ac:dyDescent="0.3"/>
    <row r="609" ht="43.5" customHeight="1" x14ac:dyDescent="0.3"/>
    <row r="610" ht="43.5" customHeight="1" x14ac:dyDescent="0.3"/>
    <row r="611" ht="43.5" customHeight="1" x14ac:dyDescent="0.3"/>
    <row r="612" ht="43.5" customHeight="1" x14ac:dyDescent="0.3"/>
    <row r="613" ht="43.5" customHeight="1" x14ac:dyDescent="0.3"/>
    <row r="614" ht="43.5" customHeight="1" x14ac:dyDescent="0.3"/>
    <row r="615" ht="43.5" customHeight="1" x14ac:dyDescent="0.3"/>
    <row r="616" ht="43.5" customHeight="1" x14ac:dyDescent="0.3"/>
    <row r="617" ht="43.5" customHeight="1" x14ac:dyDescent="0.3"/>
    <row r="618" ht="43.5" customHeight="1" x14ac:dyDescent="0.3"/>
    <row r="619" ht="43.5" customHeight="1" x14ac:dyDescent="0.3"/>
    <row r="620" ht="43.5" customHeight="1" x14ac:dyDescent="0.3"/>
    <row r="621" ht="43.5" customHeight="1" x14ac:dyDescent="0.3"/>
    <row r="622" ht="43.5" customHeight="1" x14ac:dyDescent="0.3"/>
    <row r="623" ht="43.5" customHeight="1" x14ac:dyDescent="0.3"/>
    <row r="624" ht="43.5" customHeight="1" x14ac:dyDescent="0.3"/>
    <row r="625" ht="43.5" customHeight="1" x14ac:dyDescent="0.3"/>
    <row r="626" ht="43.5" customHeight="1" x14ac:dyDescent="0.3"/>
    <row r="627" ht="43.5" customHeight="1" x14ac:dyDescent="0.3"/>
    <row r="628" ht="43.5" customHeight="1" x14ac:dyDescent="0.3"/>
    <row r="629" ht="43.5" customHeight="1" x14ac:dyDescent="0.3"/>
    <row r="630" ht="43.5" customHeight="1" x14ac:dyDescent="0.3"/>
    <row r="631" ht="43.5" customHeight="1" x14ac:dyDescent="0.3"/>
    <row r="632" ht="43.5" customHeight="1" x14ac:dyDescent="0.3"/>
    <row r="633" ht="43.5" customHeight="1" x14ac:dyDescent="0.3"/>
    <row r="634" ht="43.5" customHeight="1" x14ac:dyDescent="0.3"/>
    <row r="635" ht="43.5" customHeight="1" x14ac:dyDescent="0.3"/>
    <row r="636" ht="43.5" customHeight="1" x14ac:dyDescent="0.3"/>
    <row r="637" ht="43.5" customHeight="1" x14ac:dyDescent="0.3"/>
    <row r="638" ht="43.5" customHeight="1" x14ac:dyDescent="0.3"/>
    <row r="639" ht="43.5" customHeight="1" x14ac:dyDescent="0.3"/>
    <row r="640" ht="43.5" customHeight="1" x14ac:dyDescent="0.3"/>
    <row r="641" ht="43.5" customHeight="1" x14ac:dyDescent="0.3"/>
    <row r="642" ht="43.5" customHeight="1" x14ac:dyDescent="0.3"/>
    <row r="643" ht="43.5" customHeight="1" x14ac:dyDescent="0.3"/>
    <row r="644" ht="43.5" customHeight="1" x14ac:dyDescent="0.3"/>
    <row r="645" ht="43.5" customHeight="1" x14ac:dyDescent="0.3"/>
    <row r="646" ht="43.5" customHeight="1" x14ac:dyDescent="0.3"/>
    <row r="647" ht="43.5" customHeight="1" x14ac:dyDescent="0.3"/>
    <row r="648" ht="43.5" customHeight="1" x14ac:dyDescent="0.3"/>
    <row r="649" ht="43.5" customHeight="1" x14ac:dyDescent="0.3"/>
    <row r="650" ht="43.5" customHeight="1" x14ac:dyDescent="0.3"/>
    <row r="651" ht="43.5" customHeight="1" x14ac:dyDescent="0.3"/>
    <row r="652" ht="43.5" customHeight="1" x14ac:dyDescent="0.3"/>
    <row r="653" ht="43.5" customHeight="1" x14ac:dyDescent="0.3"/>
    <row r="654" ht="43.5" customHeight="1" x14ac:dyDescent="0.3"/>
    <row r="655" ht="43.5" customHeight="1" x14ac:dyDescent="0.3"/>
    <row r="656" ht="43.5" customHeight="1" x14ac:dyDescent="0.3"/>
    <row r="657" ht="43.5" customHeight="1" x14ac:dyDescent="0.3"/>
    <row r="658" ht="43.5" customHeight="1" x14ac:dyDescent="0.3"/>
    <row r="659" ht="43.5" customHeight="1" x14ac:dyDescent="0.3"/>
    <row r="660" ht="43.5" customHeight="1" x14ac:dyDescent="0.3"/>
    <row r="661" ht="43.5" customHeight="1" x14ac:dyDescent="0.3"/>
    <row r="662" ht="43.5" customHeight="1" x14ac:dyDescent="0.3"/>
    <row r="663" ht="43.5" customHeight="1" x14ac:dyDescent="0.3"/>
    <row r="664" ht="43.5" customHeight="1" x14ac:dyDescent="0.3"/>
    <row r="665" ht="43.5" customHeight="1" x14ac:dyDescent="0.3"/>
    <row r="666" ht="43.5" customHeight="1" x14ac:dyDescent="0.3"/>
    <row r="667" ht="43.5" customHeight="1" x14ac:dyDescent="0.3"/>
    <row r="668" ht="43.5" customHeight="1" x14ac:dyDescent="0.3"/>
    <row r="669" ht="43.5" customHeight="1" x14ac:dyDescent="0.3"/>
    <row r="670" ht="43.5" customHeight="1" x14ac:dyDescent="0.3"/>
    <row r="671" ht="43.5" customHeight="1" x14ac:dyDescent="0.3"/>
    <row r="672" ht="43.5" customHeight="1" x14ac:dyDescent="0.3"/>
    <row r="673" ht="43.5" customHeight="1" x14ac:dyDescent="0.3"/>
    <row r="674" ht="43.5" customHeight="1" x14ac:dyDescent="0.3"/>
    <row r="675" ht="43.5" customHeight="1" x14ac:dyDescent="0.3"/>
    <row r="676" ht="43.5" customHeight="1" x14ac:dyDescent="0.3"/>
    <row r="677" ht="43.5" customHeight="1" x14ac:dyDescent="0.3"/>
    <row r="678" ht="43.5" customHeight="1" x14ac:dyDescent="0.3"/>
    <row r="679" ht="43.5" customHeight="1" x14ac:dyDescent="0.3"/>
    <row r="680" ht="43.5" customHeight="1" x14ac:dyDescent="0.3"/>
    <row r="681" ht="43.5" customHeight="1" x14ac:dyDescent="0.3"/>
    <row r="682" ht="43.5" customHeight="1" x14ac:dyDescent="0.3"/>
    <row r="683" ht="43.5" customHeight="1" x14ac:dyDescent="0.3"/>
    <row r="684" ht="43.5" customHeight="1" x14ac:dyDescent="0.3"/>
    <row r="685" ht="43.5" customHeight="1" x14ac:dyDescent="0.3"/>
    <row r="686" ht="43.5" customHeight="1" x14ac:dyDescent="0.3"/>
    <row r="687" ht="43.5" customHeight="1" x14ac:dyDescent="0.3"/>
    <row r="688" ht="43.5" customHeight="1" x14ac:dyDescent="0.3"/>
    <row r="689" ht="43.5" customHeight="1" x14ac:dyDescent="0.3"/>
    <row r="690" ht="43.5" customHeight="1" x14ac:dyDescent="0.3"/>
    <row r="691" ht="43.5" customHeight="1" x14ac:dyDescent="0.3"/>
    <row r="692" ht="43.5" customHeight="1" x14ac:dyDescent="0.3"/>
    <row r="693" ht="43.5" customHeight="1" x14ac:dyDescent="0.3"/>
    <row r="694" ht="43.5" customHeight="1" x14ac:dyDescent="0.3"/>
    <row r="695" ht="43.5" customHeight="1" x14ac:dyDescent="0.3"/>
    <row r="696" ht="43.5" customHeight="1" x14ac:dyDescent="0.3"/>
    <row r="697" ht="43.5" customHeight="1" x14ac:dyDescent="0.3"/>
    <row r="698" ht="43.5" customHeight="1" x14ac:dyDescent="0.3"/>
    <row r="699" ht="43.5" customHeight="1" x14ac:dyDescent="0.3"/>
    <row r="700" ht="43.5" customHeight="1" x14ac:dyDescent="0.3"/>
    <row r="701" ht="43.5" customHeight="1" x14ac:dyDescent="0.3"/>
    <row r="702" ht="43.5" customHeight="1" x14ac:dyDescent="0.3"/>
    <row r="703" ht="43.5" customHeight="1" x14ac:dyDescent="0.3"/>
    <row r="704" ht="43.5" customHeight="1" x14ac:dyDescent="0.3"/>
    <row r="705" ht="43.5" customHeight="1" x14ac:dyDescent="0.3"/>
    <row r="706" ht="43.5" customHeight="1" x14ac:dyDescent="0.3"/>
    <row r="707" ht="43.5" customHeight="1" x14ac:dyDescent="0.3"/>
    <row r="708" ht="43.5" customHeight="1" x14ac:dyDescent="0.3"/>
    <row r="709" ht="43.5" customHeight="1" x14ac:dyDescent="0.3"/>
    <row r="710" ht="43.5" customHeight="1" x14ac:dyDescent="0.3"/>
    <row r="711" ht="43.5" customHeight="1" x14ac:dyDescent="0.3"/>
    <row r="712" ht="43.5" customHeight="1" x14ac:dyDescent="0.3"/>
    <row r="713" ht="43.5" customHeight="1" x14ac:dyDescent="0.3"/>
    <row r="714" ht="43.5" customHeight="1" x14ac:dyDescent="0.3"/>
    <row r="715" ht="43.5" customHeight="1" x14ac:dyDescent="0.3"/>
    <row r="716" ht="43.5" customHeight="1" x14ac:dyDescent="0.3"/>
    <row r="717" ht="43.5" customHeight="1" x14ac:dyDescent="0.3"/>
    <row r="718" ht="43.5" customHeight="1" x14ac:dyDescent="0.3"/>
    <row r="719" ht="43.5" customHeight="1" x14ac:dyDescent="0.3"/>
    <row r="720" ht="43.5" customHeight="1" x14ac:dyDescent="0.3"/>
    <row r="721" ht="43.5" customHeight="1" x14ac:dyDescent="0.3"/>
    <row r="722" ht="43.5" customHeight="1" x14ac:dyDescent="0.3"/>
    <row r="723" ht="43.5" customHeight="1" x14ac:dyDescent="0.3"/>
    <row r="724" ht="43.5" customHeight="1" x14ac:dyDescent="0.3"/>
    <row r="725" ht="43.5" customHeight="1" x14ac:dyDescent="0.3"/>
    <row r="726" ht="43.5" customHeight="1" x14ac:dyDescent="0.3"/>
    <row r="727" ht="43.5" customHeight="1" x14ac:dyDescent="0.3"/>
    <row r="728" ht="43.5" customHeight="1" x14ac:dyDescent="0.3"/>
    <row r="729" ht="43.5" customHeight="1" x14ac:dyDescent="0.3"/>
    <row r="730" ht="43.5" customHeight="1" x14ac:dyDescent="0.3"/>
    <row r="731" ht="43.5" customHeight="1" x14ac:dyDescent="0.3"/>
    <row r="732" ht="43.5" customHeight="1" x14ac:dyDescent="0.3"/>
    <row r="733" ht="43.5" customHeight="1" x14ac:dyDescent="0.3"/>
    <row r="734" ht="43.5" customHeight="1" x14ac:dyDescent="0.3"/>
    <row r="735" ht="43.5" customHeight="1" x14ac:dyDescent="0.3"/>
    <row r="736" ht="43.5" customHeight="1" x14ac:dyDescent="0.3"/>
    <row r="737" ht="43.5" customHeight="1" x14ac:dyDescent="0.3"/>
    <row r="738" ht="43.5" customHeight="1" x14ac:dyDescent="0.3"/>
    <row r="739" ht="43.5" customHeight="1" x14ac:dyDescent="0.3"/>
    <row r="740" ht="43.5" customHeight="1" x14ac:dyDescent="0.3"/>
    <row r="741" ht="43.5" customHeight="1" x14ac:dyDescent="0.3"/>
    <row r="742" ht="43.5" customHeight="1" x14ac:dyDescent="0.3"/>
    <row r="743" ht="43.5" customHeight="1" x14ac:dyDescent="0.3"/>
    <row r="744" ht="43.5" customHeight="1" x14ac:dyDescent="0.3"/>
    <row r="745" ht="43.5" customHeight="1" x14ac:dyDescent="0.3"/>
    <row r="746" ht="43.5" customHeight="1" x14ac:dyDescent="0.3"/>
    <row r="747" ht="43.5" customHeight="1" x14ac:dyDescent="0.3"/>
    <row r="748" ht="43.5" customHeight="1" x14ac:dyDescent="0.3"/>
    <row r="749" ht="43.5" customHeight="1" x14ac:dyDescent="0.3"/>
    <row r="750" ht="43.5" customHeight="1" x14ac:dyDescent="0.3"/>
    <row r="751" ht="43.5" customHeight="1" x14ac:dyDescent="0.3"/>
    <row r="752" ht="43.5" customHeight="1" x14ac:dyDescent="0.3"/>
    <row r="753" ht="43.5" customHeight="1" x14ac:dyDescent="0.3"/>
    <row r="754" ht="43.5" customHeight="1" x14ac:dyDescent="0.3"/>
    <row r="755" ht="43.5" customHeight="1" x14ac:dyDescent="0.3"/>
    <row r="756" ht="43.5" customHeight="1" x14ac:dyDescent="0.3"/>
    <row r="757" ht="43.5" customHeight="1" x14ac:dyDescent="0.3"/>
    <row r="758" ht="43.5" customHeight="1" x14ac:dyDescent="0.3"/>
    <row r="759" ht="43.5" customHeight="1" x14ac:dyDescent="0.3"/>
    <row r="760" ht="43.5" customHeight="1" x14ac:dyDescent="0.3"/>
    <row r="761" ht="43.5" customHeight="1" x14ac:dyDescent="0.3"/>
    <row r="762" ht="43.5" customHeight="1" x14ac:dyDescent="0.3"/>
    <row r="763" ht="43.5" customHeight="1" x14ac:dyDescent="0.3"/>
    <row r="764" ht="43.5" customHeight="1" x14ac:dyDescent="0.3"/>
    <row r="765" ht="43.5" customHeight="1" x14ac:dyDescent="0.3"/>
    <row r="766" ht="43.5" customHeight="1" x14ac:dyDescent="0.3"/>
    <row r="767" ht="43.5" customHeight="1" x14ac:dyDescent="0.3"/>
    <row r="768" ht="43.5" customHeight="1" x14ac:dyDescent="0.3"/>
    <row r="769" ht="43.5" customHeight="1" x14ac:dyDescent="0.3"/>
    <row r="770" ht="43.5" customHeight="1" x14ac:dyDescent="0.3"/>
    <row r="771" ht="43.5" customHeight="1" x14ac:dyDescent="0.3"/>
    <row r="772" ht="43.5" customHeight="1" x14ac:dyDescent="0.3"/>
    <row r="773" ht="43.5" customHeight="1" x14ac:dyDescent="0.3"/>
    <row r="774" ht="43.5" customHeight="1" x14ac:dyDescent="0.3"/>
    <row r="775" ht="43.5" customHeight="1" x14ac:dyDescent="0.3"/>
    <row r="776" ht="43.5" customHeight="1" x14ac:dyDescent="0.3"/>
    <row r="777" ht="43.5" customHeight="1" x14ac:dyDescent="0.3"/>
    <row r="778" ht="43.5" customHeight="1" x14ac:dyDescent="0.3"/>
    <row r="779" ht="43.5" customHeight="1" x14ac:dyDescent="0.3"/>
    <row r="780" ht="43.5" customHeight="1" x14ac:dyDescent="0.3"/>
    <row r="781" ht="43.5" customHeight="1" x14ac:dyDescent="0.3"/>
    <row r="782" ht="43.5" customHeight="1" x14ac:dyDescent="0.3"/>
    <row r="783" ht="43.5" customHeight="1" x14ac:dyDescent="0.3"/>
    <row r="784" ht="43.5" customHeight="1" x14ac:dyDescent="0.3"/>
    <row r="785" ht="43.5" customHeight="1" x14ac:dyDescent="0.3"/>
    <row r="786" ht="43.5" customHeight="1" x14ac:dyDescent="0.3"/>
    <row r="787" ht="43.5" customHeight="1" x14ac:dyDescent="0.3"/>
    <row r="788" ht="43.5" customHeight="1" x14ac:dyDescent="0.3"/>
    <row r="789" ht="43.5" customHeight="1" x14ac:dyDescent="0.3"/>
    <row r="790" ht="43.5" customHeight="1" x14ac:dyDescent="0.3"/>
    <row r="791" ht="43.5" customHeight="1" x14ac:dyDescent="0.3"/>
    <row r="792" ht="43.5" customHeight="1" x14ac:dyDescent="0.3"/>
    <row r="793" ht="43.5" customHeight="1" x14ac:dyDescent="0.3"/>
    <row r="794" ht="43.5" customHeight="1" x14ac:dyDescent="0.3"/>
    <row r="795" ht="43.5" customHeight="1" x14ac:dyDescent="0.3"/>
    <row r="796" ht="43.5" customHeight="1" x14ac:dyDescent="0.3"/>
    <row r="797" ht="43.5" customHeight="1" x14ac:dyDescent="0.3"/>
    <row r="798" ht="43.5" customHeight="1" x14ac:dyDescent="0.3"/>
    <row r="799" ht="43.5" customHeight="1" x14ac:dyDescent="0.3"/>
    <row r="800" ht="43.5" customHeight="1" x14ac:dyDescent="0.3"/>
    <row r="801" ht="43.5" customHeight="1" x14ac:dyDescent="0.3"/>
    <row r="802" ht="43.5" customHeight="1" x14ac:dyDescent="0.3"/>
    <row r="803" ht="43.5" customHeight="1" x14ac:dyDescent="0.3"/>
    <row r="804" ht="43.5" customHeight="1" x14ac:dyDescent="0.3"/>
    <row r="805" ht="43.5" customHeight="1" x14ac:dyDescent="0.3"/>
    <row r="806" ht="43.5" customHeight="1" x14ac:dyDescent="0.3"/>
    <row r="807" ht="43.5" customHeight="1" x14ac:dyDescent="0.3"/>
    <row r="808" ht="43.5" customHeight="1" x14ac:dyDescent="0.3"/>
    <row r="809" ht="43.5" customHeight="1" x14ac:dyDescent="0.3"/>
    <row r="810" ht="43.5" customHeight="1" x14ac:dyDescent="0.3"/>
    <row r="811" ht="43.5" customHeight="1" x14ac:dyDescent="0.3"/>
    <row r="812" ht="43.5" customHeight="1" x14ac:dyDescent="0.3"/>
    <row r="813" ht="43.5" customHeight="1" x14ac:dyDescent="0.3"/>
    <row r="814" ht="43.5" customHeight="1" x14ac:dyDescent="0.3"/>
    <row r="815" ht="43.5" customHeight="1" x14ac:dyDescent="0.3"/>
    <row r="816" ht="43.5" customHeight="1" x14ac:dyDescent="0.3"/>
    <row r="817" ht="43.5" customHeight="1" x14ac:dyDescent="0.3"/>
    <row r="818" ht="43.5" customHeight="1" x14ac:dyDescent="0.3"/>
    <row r="819" ht="43.5" customHeight="1" x14ac:dyDescent="0.3"/>
    <row r="820" ht="43.5" customHeight="1" x14ac:dyDescent="0.3"/>
    <row r="821" ht="43.5" customHeight="1" x14ac:dyDescent="0.3"/>
    <row r="822" ht="43.5" customHeight="1" x14ac:dyDescent="0.3"/>
    <row r="823" ht="43.5" customHeight="1" x14ac:dyDescent="0.3"/>
    <row r="824" ht="43.5" customHeight="1" x14ac:dyDescent="0.3"/>
    <row r="825" ht="43.5" customHeight="1" x14ac:dyDescent="0.3"/>
    <row r="826" ht="43.5" customHeight="1" x14ac:dyDescent="0.3"/>
    <row r="827" ht="43.5" customHeight="1" x14ac:dyDescent="0.3"/>
    <row r="828" ht="43.5" customHeight="1" x14ac:dyDescent="0.3"/>
    <row r="829" ht="43.5" customHeight="1" x14ac:dyDescent="0.3"/>
    <row r="830" ht="43.5" customHeight="1" x14ac:dyDescent="0.3"/>
    <row r="831" ht="43.5" customHeight="1" x14ac:dyDescent="0.3"/>
    <row r="832" ht="43.5" customHeight="1" x14ac:dyDescent="0.3"/>
    <row r="833" ht="43.5" customHeight="1" x14ac:dyDescent="0.3"/>
    <row r="834" ht="43.5" customHeight="1" x14ac:dyDescent="0.3"/>
    <row r="835" ht="43.5" customHeight="1" x14ac:dyDescent="0.3"/>
    <row r="836" ht="43.5" customHeight="1" x14ac:dyDescent="0.3"/>
    <row r="837" ht="43.5" customHeight="1" x14ac:dyDescent="0.3"/>
    <row r="838" ht="43.5" customHeight="1" x14ac:dyDescent="0.3"/>
    <row r="839" ht="43.5" customHeight="1" x14ac:dyDescent="0.3"/>
    <row r="840" ht="43.5" customHeight="1" x14ac:dyDescent="0.3"/>
    <row r="841" ht="43.5" customHeight="1" x14ac:dyDescent="0.3"/>
    <row r="842" ht="43.5" customHeight="1" x14ac:dyDescent="0.3"/>
    <row r="843" ht="43.5" customHeight="1" x14ac:dyDescent="0.3"/>
    <row r="844" ht="43.5" customHeight="1" x14ac:dyDescent="0.3"/>
    <row r="845" ht="43.5" customHeight="1" x14ac:dyDescent="0.3"/>
    <row r="846" ht="43.5" customHeight="1" x14ac:dyDescent="0.3"/>
    <row r="847" ht="43.5" customHeight="1" x14ac:dyDescent="0.3"/>
    <row r="848" ht="43.5" customHeight="1" x14ac:dyDescent="0.3"/>
    <row r="849" ht="43.5" customHeight="1" x14ac:dyDescent="0.3"/>
    <row r="850" ht="43.5" customHeight="1" x14ac:dyDescent="0.3"/>
    <row r="851" ht="43.5" customHeight="1" x14ac:dyDescent="0.3"/>
    <row r="852" ht="43.5" customHeight="1" x14ac:dyDescent="0.3"/>
    <row r="853" ht="43.5" customHeight="1" x14ac:dyDescent="0.3"/>
    <row r="854" ht="43.5" customHeight="1" x14ac:dyDescent="0.3"/>
    <row r="855" ht="43.5" customHeight="1" x14ac:dyDescent="0.3"/>
    <row r="856" ht="43.5" customHeight="1" x14ac:dyDescent="0.3"/>
    <row r="857" ht="43.5" customHeight="1" x14ac:dyDescent="0.3"/>
    <row r="858" ht="43.5" customHeight="1" x14ac:dyDescent="0.3"/>
    <row r="859" ht="43.5" customHeight="1" x14ac:dyDescent="0.3"/>
    <row r="860" ht="43.5" customHeight="1" x14ac:dyDescent="0.3"/>
    <row r="861" ht="43.5" customHeight="1" x14ac:dyDescent="0.3"/>
    <row r="862" ht="43.5" customHeight="1" x14ac:dyDescent="0.3"/>
    <row r="863" ht="43.5" customHeight="1" x14ac:dyDescent="0.3"/>
    <row r="864" ht="43.5" customHeight="1" x14ac:dyDescent="0.3"/>
    <row r="865" ht="43.5" customHeight="1" x14ac:dyDescent="0.3"/>
    <row r="866" ht="43.5" customHeight="1" x14ac:dyDescent="0.3"/>
    <row r="867" ht="43.5" customHeight="1" x14ac:dyDescent="0.3"/>
    <row r="868" ht="43.5" customHeight="1" x14ac:dyDescent="0.3"/>
    <row r="869" ht="43.5" customHeight="1" x14ac:dyDescent="0.3"/>
    <row r="870" ht="43.5" customHeight="1" x14ac:dyDescent="0.3"/>
    <row r="871" ht="43.5" customHeight="1" x14ac:dyDescent="0.3"/>
    <row r="872" ht="43.5" customHeight="1" x14ac:dyDescent="0.3"/>
    <row r="873" ht="43.5" customHeight="1" x14ac:dyDescent="0.3"/>
    <row r="874" ht="43.5" customHeight="1" x14ac:dyDescent="0.3"/>
    <row r="875" ht="43.5" customHeight="1" x14ac:dyDescent="0.3"/>
    <row r="876" ht="43.5" customHeight="1" x14ac:dyDescent="0.3"/>
    <row r="877" ht="43.5" customHeight="1" x14ac:dyDescent="0.3"/>
    <row r="878" ht="43.5" customHeight="1" x14ac:dyDescent="0.3"/>
    <row r="879" ht="43.5" customHeight="1" x14ac:dyDescent="0.3"/>
    <row r="880" ht="43.5" customHeight="1" x14ac:dyDescent="0.3"/>
    <row r="881" ht="43.5" customHeight="1" x14ac:dyDescent="0.3"/>
    <row r="882" ht="43.5" customHeight="1" x14ac:dyDescent="0.3"/>
    <row r="883" ht="43.5" customHeight="1" x14ac:dyDescent="0.3"/>
    <row r="884" ht="43.5" customHeight="1" x14ac:dyDescent="0.3"/>
    <row r="885" ht="43.5" customHeight="1" x14ac:dyDescent="0.3"/>
    <row r="886" ht="43.5" customHeight="1" x14ac:dyDescent="0.3"/>
    <row r="887" ht="43.5" customHeight="1" x14ac:dyDescent="0.3"/>
    <row r="888" ht="43.5" customHeight="1" x14ac:dyDescent="0.3"/>
    <row r="889" ht="43.5" customHeight="1" x14ac:dyDescent="0.3"/>
    <row r="890" ht="43.5" customHeight="1" x14ac:dyDescent="0.3"/>
    <row r="891" ht="43.5" customHeight="1" x14ac:dyDescent="0.3"/>
    <row r="892" ht="43.5" customHeight="1" x14ac:dyDescent="0.3"/>
    <row r="893" ht="43.5" customHeight="1" x14ac:dyDescent="0.3"/>
    <row r="894" ht="43.5" customHeight="1" x14ac:dyDescent="0.3"/>
    <row r="895" ht="43.5" customHeight="1" x14ac:dyDescent="0.3"/>
    <row r="896" ht="43.5" customHeight="1" x14ac:dyDescent="0.3"/>
    <row r="897" ht="43.5" customHeight="1" x14ac:dyDescent="0.3"/>
    <row r="898" ht="43.5" customHeight="1" x14ac:dyDescent="0.3"/>
    <row r="899" ht="43.5" customHeight="1" x14ac:dyDescent="0.3"/>
    <row r="900" ht="43.5" customHeight="1" x14ac:dyDescent="0.3"/>
    <row r="901" ht="43.5" customHeight="1" x14ac:dyDescent="0.3"/>
    <row r="902" ht="43.5" customHeight="1" x14ac:dyDescent="0.3"/>
    <row r="903" ht="43.5" customHeight="1" x14ac:dyDescent="0.3"/>
    <row r="904" ht="43.5" customHeight="1" x14ac:dyDescent="0.3"/>
    <row r="905" ht="43.5" customHeight="1" x14ac:dyDescent="0.3"/>
    <row r="906" ht="43.5" customHeight="1" x14ac:dyDescent="0.3"/>
    <row r="907" ht="43.5" customHeight="1" x14ac:dyDescent="0.3"/>
    <row r="908" ht="43.5" customHeight="1" x14ac:dyDescent="0.3"/>
    <row r="909" ht="43.5" customHeight="1" x14ac:dyDescent="0.3"/>
    <row r="910" ht="43.5" customHeight="1" x14ac:dyDescent="0.3"/>
    <row r="911" ht="43.5" customHeight="1" x14ac:dyDescent="0.3"/>
    <row r="912" ht="43.5" customHeight="1" x14ac:dyDescent="0.3"/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P1598"/>
  <sheetViews>
    <sheetView tabSelected="1" workbookViewId="0">
      <pane ySplit="1" topLeftCell="A1100" activePane="bottomLeft" state="frozen"/>
      <selection pane="bottomLeft" activeCell="E921" sqref="E921:E1116"/>
    </sheetView>
  </sheetViews>
  <sheetFormatPr defaultRowHeight="14.4" x14ac:dyDescent="0.3"/>
  <cols>
    <col min="1" max="1" width="12.109375" customWidth="1"/>
    <col min="2" max="2" width="57.88671875" customWidth="1"/>
    <col min="3" max="3" width="14.6640625" customWidth="1"/>
    <col min="4" max="4" width="11.77734375" customWidth="1"/>
    <col min="5" max="5" width="42.33203125" customWidth="1"/>
    <col min="6" max="6" width="7" customWidth="1"/>
    <col min="7" max="7" width="9.88671875" customWidth="1"/>
    <col min="8" max="8" width="51" customWidth="1"/>
    <col min="9" max="10" width="9.77734375" customWidth="1"/>
    <col min="11" max="11" width="14.109375" customWidth="1"/>
    <col min="13" max="13" width="45.21875" customWidth="1"/>
    <col min="14" max="14" width="10.109375" customWidth="1"/>
    <col min="15" max="15" width="12.21875" customWidth="1"/>
  </cols>
  <sheetData>
    <row r="1" spans="1:16" ht="21" x14ac:dyDescent="0.3">
      <c r="A1" s="3" t="s">
        <v>520</v>
      </c>
      <c r="B1" s="3" t="s">
        <v>166</v>
      </c>
      <c r="C1" s="3" t="s">
        <v>133</v>
      </c>
      <c r="D1" s="27" t="s">
        <v>1363</v>
      </c>
      <c r="E1" s="3" t="s">
        <v>1594</v>
      </c>
      <c r="G1" s="4" t="s">
        <v>165</v>
      </c>
      <c r="H1" s="5" t="s">
        <v>166</v>
      </c>
      <c r="I1" s="5" t="s">
        <v>133</v>
      </c>
      <c r="J1" s="6" t="s">
        <v>167</v>
      </c>
      <c r="K1" s="34" t="s">
        <v>1364</v>
      </c>
      <c r="L1" s="32" t="e">
        <f>LOOKUP(9.99999999999999E+307,K:K )</f>
        <v>#N/A</v>
      </c>
      <c r="M1" s="32" t="s">
        <v>1384</v>
      </c>
    </row>
    <row r="2" spans="1:16" ht="21" x14ac:dyDescent="0.3">
      <c r="A2" s="23">
        <v>331010010</v>
      </c>
      <c r="B2" s="24" t="s">
        <v>442</v>
      </c>
      <c r="C2" s="25">
        <v>62</v>
      </c>
      <c r="D2" s="3">
        <f t="shared" ref="D2:D65" si="0">C2</f>
        <v>62</v>
      </c>
      <c r="E2" s="3" t="s">
        <v>1385</v>
      </c>
      <c r="G2" s="7"/>
      <c r="H2" s="5"/>
      <c r="I2" s="5" t="e">
        <f>VLOOKUP(H2,B:D,3,0)</f>
        <v>#N/A</v>
      </c>
      <c r="J2" s="8" t="e">
        <f>Table2[[#This Row],[السعر]]*Table2[[#This Row],[العدد]]</f>
        <v>#N/A</v>
      </c>
      <c r="K2" s="9" t="e">
        <f>SUM(Table2[[#This Row],[الاجمالي]],0)</f>
        <v>#N/A</v>
      </c>
      <c r="L2" s="3"/>
      <c r="M2" t="s">
        <v>1557</v>
      </c>
    </row>
    <row r="3" spans="1:16" ht="21" x14ac:dyDescent="0.3">
      <c r="A3" s="26">
        <v>331010001</v>
      </c>
      <c r="B3" s="29" t="s">
        <v>443</v>
      </c>
      <c r="C3" s="30">
        <v>159.75</v>
      </c>
      <c r="D3" s="3">
        <f t="shared" si="0"/>
        <v>159.75</v>
      </c>
      <c r="E3" s="3" t="s">
        <v>1385</v>
      </c>
      <c r="G3" s="7"/>
      <c r="H3" s="9"/>
      <c r="I3" s="5" t="e">
        <f t="shared" ref="I3:I66" si="1">VLOOKUP(H3,B:D,3,0)</f>
        <v>#N/A</v>
      </c>
      <c r="J3" s="8" t="e">
        <f>Table2[[#This Row],[السعر]]*Table2[[#This Row],[العدد]]</f>
        <v>#N/A</v>
      </c>
      <c r="K3" s="9" t="e">
        <f>SUM(Table2[[#This Row],[الاجمالي]],K2)</f>
        <v>#N/A</v>
      </c>
      <c r="L3" s="3"/>
    </row>
    <row r="4" spans="1:16" ht="21" x14ac:dyDescent="0.3">
      <c r="A4" s="23">
        <v>331010002</v>
      </c>
      <c r="B4" s="24" t="s">
        <v>444</v>
      </c>
      <c r="C4" s="25">
        <v>243</v>
      </c>
      <c r="D4" s="3">
        <f t="shared" si="0"/>
        <v>243</v>
      </c>
      <c r="E4" s="3" t="s">
        <v>1385</v>
      </c>
      <c r="G4" s="7"/>
      <c r="H4" s="9"/>
      <c r="I4" s="5" t="e">
        <f t="shared" si="1"/>
        <v>#N/A</v>
      </c>
      <c r="J4" s="8" t="e">
        <f>Table2[[#This Row],[السعر]]*Table2[[#This Row],[العدد]]</f>
        <v>#N/A</v>
      </c>
      <c r="K4" s="8" t="e">
        <f>SUM(Table2[[#This Row],[الاجمالي]],K3)</f>
        <v>#N/A</v>
      </c>
      <c r="L4" s="53"/>
      <c r="M4" s="52"/>
      <c r="N4" s="39"/>
      <c r="O4" s="42"/>
      <c r="P4" s="49"/>
    </row>
    <row r="5" spans="1:16" ht="21" x14ac:dyDescent="0.3">
      <c r="A5" s="26">
        <v>331010003</v>
      </c>
      <c r="B5" s="29" t="s">
        <v>445</v>
      </c>
      <c r="C5" s="30">
        <v>348.75</v>
      </c>
      <c r="D5" s="3">
        <f t="shared" si="0"/>
        <v>348.75</v>
      </c>
      <c r="E5" s="3" t="s">
        <v>1385</v>
      </c>
      <c r="G5" s="7"/>
      <c r="H5" s="9"/>
      <c r="I5" s="5" t="e">
        <f t="shared" si="1"/>
        <v>#N/A</v>
      </c>
      <c r="J5" s="8" t="e">
        <f>Table2[[#This Row],[السعر]]*Table2[[#This Row],[العدد]]</f>
        <v>#N/A</v>
      </c>
      <c r="K5" s="9" t="e">
        <f>SUM(Table2[[#This Row],[الاجمالي]],K4)</f>
        <v>#N/A</v>
      </c>
      <c r="L5" s="37"/>
      <c r="M5" s="38"/>
      <c r="N5" s="31"/>
      <c r="O5" s="43" t="s">
        <v>1385</v>
      </c>
      <c r="P5" s="50"/>
    </row>
    <row r="6" spans="1:16" ht="21" x14ac:dyDescent="0.3">
      <c r="A6" s="23">
        <v>331010004</v>
      </c>
      <c r="B6" s="24" t="s">
        <v>446</v>
      </c>
      <c r="C6" s="25">
        <v>476.5</v>
      </c>
      <c r="D6" s="3">
        <f t="shared" si="0"/>
        <v>476.5</v>
      </c>
      <c r="E6" s="3" t="s">
        <v>1385</v>
      </c>
      <c r="G6" s="7"/>
      <c r="H6" s="9"/>
      <c r="I6" s="5" t="e">
        <f t="shared" si="1"/>
        <v>#N/A</v>
      </c>
      <c r="J6" s="8" t="e">
        <f>Table2[[#This Row],[السعر]]*Table2[[#This Row],[العدد]]</f>
        <v>#N/A</v>
      </c>
      <c r="K6" s="9" t="e">
        <f>SUM(Table2[[#This Row],[الاجمالي]],K5)</f>
        <v>#N/A</v>
      </c>
      <c r="L6" s="37"/>
      <c r="M6" s="39"/>
      <c r="N6" s="33"/>
      <c r="O6" s="44"/>
      <c r="P6" s="50"/>
    </row>
    <row r="7" spans="1:16" ht="21" x14ac:dyDescent="0.3">
      <c r="A7" s="26">
        <v>331010005</v>
      </c>
      <c r="B7" s="29" t="s">
        <v>447</v>
      </c>
      <c r="C7" s="30">
        <v>678.75</v>
      </c>
      <c r="D7" s="3">
        <f t="shared" si="0"/>
        <v>678.75</v>
      </c>
      <c r="E7" s="3" t="s">
        <v>1385</v>
      </c>
      <c r="G7" s="7"/>
      <c r="H7" s="9"/>
      <c r="I7" s="5" t="e">
        <f t="shared" si="1"/>
        <v>#N/A</v>
      </c>
      <c r="J7" s="8" t="e">
        <f>Table2[[#This Row],[السعر]]*Table2[[#This Row],[العدد]]</f>
        <v>#N/A</v>
      </c>
      <c r="K7" s="9" t="e">
        <f>SUM(Table2[[#This Row],[الاجمالي]],K6)</f>
        <v>#N/A</v>
      </c>
      <c r="L7" s="37"/>
      <c r="M7" s="38"/>
      <c r="N7" s="33"/>
      <c r="O7" s="45" t="s">
        <v>1387</v>
      </c>
      <c r="P7" s="50"/>
    </row>
    <row r="8" spans="1:16" ht="21" x14ac:dyDescent="0.3">
      <c r="A8" s="23">
        <v>331010007</v>
      </c>
      <c r="B8" s="24" t="s">
        <v>448</v>
      </c>
      <c r="C8" s="25">
        <v>1716.75</v>
      </c>
      <c r="D8" s="3">
        <f t="shared" si="0"/>
        <v>1716.75</v>
      </c>
      <c r="E8" s="3" t="s">
        <v>1385</v>
      </c>
      <c r="G8" s="7"/>
      <c r="H8" s="9"/>
      <c r="I8" s="5" t="e">
        <f t="shared" si="1"/>
        <v>#N/A</v>
      </c>
      <c r="J8" s="8" t="e">
        <f>Table2[[#This Row],[السعر]]*Table2[[#This Row],[العدد]]</f>
        <v>#N/A</v>
      </c>
      <c r="K8" s="9" t="e">
        <f>SUM(Table2[[#This Row],[الاجمالي]],K7)</f>
        <v>#N/A</v>
      </c>
      <c r="L8" s="37"/>
      <c r="M8" s="39"/>
      <c r="N8" s="39"/>
      <c r="O8" s="46"/>
      <c r="P8" s="50"/>
    </row>
    <row r="9" spans="1:16" ht="21" x14ac:dyDescent="0.3">
      <c r="A9" s="26">
        <v>331020001</v>
      </c>
      <c r="B9" s="29" t="s">
        <v>1365</v>
      </c>
      <c r="C9" s="30">
        <v>35.5</v>
      </c>
      <c r="D9" s="3">
        <f t="shared" si="0"/>
        <v>35.5</v>
      </c>
      <c r="E9" s="3" t="s">
        <v>1385</v>
      </c>
      <c r="G9" s="7"/>
      <c r="H9" s="9"/>
      <c r="I9" s="5" t="e">
        <f t="shared" si="1"/>
        <v>#N/A</v>
      </c>
      <c r="J9" s="8" t="e">
        <f>Table2[[#This Row],[السعر]]*Table2[[#This Row],[العدد]]</f>
        <v>#N/A</v>
      </c>
      <c r="K9" s="9" t="e">
        <f>SUM(Table2[[#This Row],[الاجمالي]],K8)</f>
        <v>#N/A</v>
      </c>
      <c r="L9" s="37"/>
      <c r="M9" s="56"/>
      <c r="N9" s="39"/>
      <c r="O9" s="45" t="s">
        <v>1386</v>
      </c>
      <c r="P9" s="50"/>
    </row>
    <row r="10" spans="1:16" ht="21" x14ac:dyDescent="0.3">
      <c r="A10" s="23">
        <v>331020002</v>
      </c>
      <c r="B10" s="24" t="s">
        <v>1366</v>
      </c>
      <c r="C10" s="25">
        <v>59.5</v>
      </c>
      <c r="D10" s="3">
        <f t="shared" si="0"/>
        <v>59.5</v>
      </c>
      <c r="E10" s="3" t="s">
        <v>1385</v>
      </c>
      <c r="G10" s="7"/>
      <c r="H10" s="9"/>
      <c r="I10" s="5" t="e">
        <f t="shared" si="1"/>
        <v>#N/A</v>
      </c>
      <c r="J10" s="8" t="e">
        <f>Table2[[#This Row],[السعر]]*Table2[[#This Row],[العدد]]</f>
        <v>#N/A</v>
      </c>
      <c r="K10" s="9" t="e">
        <f>SUM(Table2[[#This Row],[الاجمالي]],K9)</f>
        <v>#N/A</v>
      </c>
      <c r="L10" s="37"/>
      <c r="M10" s="58"/>
      <c r="N10" s="55"/>
      <c r="O10" s="45"/>
      <c r="P10" s="50"/>
    </row>
    <row r="11" spans="1:16" ht="21" x14ac:dyDescent="0.3">
      <c r="A11" s="26">
        <v>331020003</v>
      </c>
      <c r="B11" s="29" t="s">
        <v>1367</v>
      </c>
      <c r="C11" s="30">
        <v>85.25</v>
      </c>
      <c r="D11" s="3">
        <f t="shared" si="0"/>
        <v>85.25</v>
      </c>
      <c r="E11" s="3" t="s">
        <v>1385</v>
      </c>
      <c r="G11" s="10"/>
      <c r="H11" s="11"/>
      <c r="I11" s="5" t="e">
        <f t="shared" si="1"/>
        <v>#N/A</v>
      </c>
      <c r="J11" s="8" t="e">
        <f>Table2[[#This Row],[السعر]]*Table2[[#This Row],[العدد]]</f>
        <v>#N/A</v>
      </c>
      <c r="K11" s="9" t="e">
        <f>SUM(Table2[[#This Row],[الاجمالي]],K10)</f>
        <v>#N/A</v>
      </c>
      <c r="L11" s="37"/>
      <c r="M11" s="39"/>
      <c r="N11" s="55"/>
      <c r="O11" s="47" t="s">
        <v>1592</v>
      </c>
      <c r="P11" s="50"/>
    </row>
    <row r="12" spans="1:16" ht="21" x14ac:dyDescent="0.3">
      <c r="A12" s="23">
        <v>331020004</v>
      </c>
      <c r="B12" s="24" t="s">
        <v>1368</v>
      </c>
      <c r="C12" s="25">
        <v>140.5</v>
      </c>
      <c r="D12" s="3">
        <f t="shared" si="0"/>
        <v>140.5</v>
      </c>
      <c r="E12" s="3" t="s">
        <v>1385</v>
      </c>
      <c r="G12" s="10"/>
      <c r="H12" s="11"/>
      <c r="I12" s="5" t="e">
        <f t="shared" si="1"/>
        <v>#N/A</v>
      </c>
      <c r="J12" s="8" t="e">
        <f>Table2[[#This Row],[السعر]]*Table2[[#This Row],[العدد]]</f>
        <v>#N/A</v>
      </c>
      <c r="K12" s="9" t="e">
        <f>SUM(Table2[[#This Row],[الاجمالي]],K11)</f>
        <v>#N/A</v>
      </c>
      <c r="L12" s="54"/>
      <c r="M12" s="57"/>
      <c r="N12" s="55"/>
      <c r="O12" s="48"/>
      <c r="P12" s="51"/>
    </row>
    <row r="13" spans="1:16" ht="21" x14ac:dyDescent="0.3">
      <c r="A13" s="26">
        <v>331020005</v>
      </c>
      <c r="B13" s="29" t="s">
        <v>1369</v>
      </c>
      <c r="C13" s="30">
        <v>204.5</v>
      </c>
      <c r="D13" s="3">
        <f t="shared" si="0"/>
        <v>204.5</v>
      </c>
      <c r="E13" s="3" t="s">
        <v>1385</v>
      </c>
      <c r="G13" s="7"/>
      <c r="H13" s="9"/>
      <c r="I13" s="5" t="e">
        <f t="shared" si="1"/>
        <v>#N/A</v>
      </c>
      <c r="J13" s="8" t="e">
        <f>Table2[[#This Row],[السعر]]*Table2[[#This Row],[العدد]]</f>
        <v>#N/A</v>
      </c>
      <c r="K13" s="9" t="e">
        <f>SUM(Table2[[#This Row],[الاجمالي]],K12)</f>
        <v>#N/A</v>
      </c>
      <c r="M13" s="36"/>
      <c r="N13" s="36"/>
    </row>
    <row r="14" spans="1:16" ht="21" x14ac:dyDescent="0.3">
      <c r="A14" s="23">
        <v>331020006</v>
      </c>
      <c r="B14" s="24" t="s">
        <v>1370</v>
      </c>
      <c r="C14" s="25">
        <v>307.75</v>
      </c>
      <c r="D14" s="3">
        <f t="shared" si="0"/>
        <v>307.75</v>
      </c>
      <c r="E14" s="3" t="s">
        <v>1385</v>
      </c>
      <c r="G14" s="7"/>
      <c r="H14" s="9"/>
      <c r="I14" s="5" t="e">
        <f t="shared" si="1"/>
        <v>#N/A</v>
      </c>
      <c r="J14" s="8" t="e">
        <f>Table2[[#This Row],[السعر]]*Table2[[#This Row],[العدد]]</f>
        <v>#N/A</v>
      </c>
      <c r="K14" s="9" t="e">
        <f>SUM(Table2[[#This Row],[الاجمالي]],K13)</f>
        <v>#N/A</v>
      </c>
      <c r="M14" s="36" t="s">
        <v>1593</v>
      </c>
      <c r="N14" s="36" t="s">
        <v>1388</v>
      </c>
    </row>
    <row r="15" spans="1:16" ht="21" x14ac:dyDescent="0.3">
      <c r="A15" s="26">
        <v>331020007</v>
      </c>
      <c r="B15" s="29" t="s">
        <v>1371</v>
      </c>
      <c r="C15" s="30">
        <v>424.5</v>
      </c>
      <c r="D15" s="3">
        <f t="shared" si="0"/>
        <v>424.5</v>
      </c>
      <c r="E15" s="3" t="s">
        <v>1385</v>
      </c>
      <c r="G15" s="7"/>
      <c r="H15" s="9"/>
      <c r="I15" s="5" t="e">
        <f t="shared" si="1"/>
        <v>#N/A</v>
      </c>
      <c r="J15" s="8" t="e">
        <f>Table2[[#This Row],[السعر]]*Table2[[#This Row],[العدد]]</f>
        <v>#N/A</v>
      </c>
      <c r="K15" s="9" t="e">
        <f>SUM(Table2[[#This Row],[الاجمالي]],K14)</f>
        <v>#N/A</v>
      </c>
    </row>
    <row r="16" spans="1:16" ht="21" x14ac:dyDescent="0.3">
      <c r="A16" s="23">
        <v>331020008</v>
      </c>
      <c r="B16" s="24" t="s">
        <v>1372</v>
      </c>
      <c r="C16" s="25">
        <v>636.5</v>
      </c>
      <c r="D16" s="3">
        <f t="shared" si="0"/>
        <v>636.5</v>
      </c>
      <c r="E16" s="3" t="s">
        <v>1385</v>
      </c>
      <c r="G16" s="7"/>
      <c r="H16" s="9"/>
      <c r="I16" s="5" t="e">
        <f t="shared" si="1"/>
        <v>#N/A</v>
      </c>
      <c r="J16" s="8" t="e">
        <f>Table2[[#This Row],[السعر]]*Table2[[#This Row],[العدد]]</f>
        <v>#N/A</v>
      </c>
      <c r="K16" s="9" t="e">
        <f>SUM(Table2[[#This Row],[الاجمالي]],K15)</f>
        <v>#N/A</v>
      </c>
    </row>
    <row r="17" spans="1:11" ht="21" x14ac:dyDescent="0.3">
      <c r="A17" s="26">
        <v>331020009</v>
      </c>
      <c r="B17" s="29" t="s">
        <v>1373</v>
      </c>
      <c r="C17" s="30">
        <v>902.5</v>
      </c>
      <c r="D17" s="3">
        <f t="shared" si="0"/>
        <v>902.5</v>
      </c>
      <c r="E17" s="3" t="s">
        <v>1385</v>
      </c>
      <c r="G17" s="7"/>
      <c r="H17" s="9"/>
      <c r="I17" s="5" t="e">
        <f t="shared" si="1"/>
        <v>#N/A</v>
      </c>
      <c r="J17" s="8" t="e">
        <f>Table2[[#This Row],[السعر]]*Table2[[#This Row],[العدد]]</f>
        <v>#N/A</v>
      </c>
      <c r="K17" s="9" t="e">
        <f>SUM(Table2[[#This Row],[الاجمالي]],K16)</f>
        <v>#N/A</v>
      </c>
    </row>
    <row r="18" spans="1:11" ht="21" x14ac:dyDescent="0.3">
      <c r="A18" s="23">
        <v>331020010</v>
      </c>
      <c r="B18" s="24" t="s">
        <v>1374</v>
      </c>
      <c r="C18" s="25">
        <v>3295.5</v>
      </c>
      <c r="D18" s="3">
        <f t="shared" si="0"/>
        <v>3295.5</v>
      </c>
      <c r="E18" s="3" t="s">
        <v>1385</v>
      </c>
      <c r="G18" s="7"/>
      <c r="H18" s="9"/>
      <c r="I18" s="5" t="e">
        <f t="shared" si="1"/>
        <v>#N/A</v>
      </c>
      <c r="J18" s="8" t="e">
        <f>Table2[[#This Row],[السعر]]*Table2[[#This Row],[العدد]]</f>
        <v>#N/A</v>
      </c>
      <c r="K18" s="9" t="e">
        <f>SUM(Table2[[#This Row],[الاجمالي]],K17)</f>
        <v>#N/A</v>
      </c>
    </row>
    <row r="19" spans="1:11" ht="21" x14ac:dyDescent="0.3">
      <c r="A19" s="26">
        <v>331020011</v>
      </c>
      <c r="B19" s="29" t="s">
        <v>432</v>
      </c>
      <c r="C19" s="30">
        <v>31.75</v>
      </c>
      <c r="D19" s="3">
        <f t="shared" si="0"/>
        <v>31.75</v>
      </c>
      <c r="E19" s="3" t="s">
        <v>1385</v>
      </c>
      <c r="G19" s="7"/>
      <c r="H19" s="9"/>
      <c r="I19" s="5" t="e">
        <f t="shared" si="1"/>
        <v>#N/A</v>
      </c>
      <c r="J19" s="8" t="e">
        <f>Table2[[#This Row],[السعر]]*Table2[[#This Row],[العدد]]</f>
        <v>#N/A</v>
      </c>
      <c r="K19" s="9" t="e">
        <f>SUM(Table2[[#This Row],[الاجمالي]],K18)</f>
        <v>#N/A</v>
      </c>
    </row>
    <row r="20" spans="1:11" ht="21" x14ac:dyDescent="0.3">
      <c r="A20" s="23">
        <v>331020012</v>
      </c>
      <c r="B20" s="24" t="s">
        <v>433</v>
      </c>
      <c r="C20" s="25">
        <v>54.75</v>
      </c>
      <c r="D20" s="3">
        <f t="shared" si="0"/>
        <v>54.75</v>
      </c>
      <c r="E20" s="3" t="s">
        <v>1385</v>
      </c>
      <c r="G20" s="7"/>
      <c r="H20" s="9"/>
      <c r="I20" s="5" t="e">
        <f t="shared" si="1"/>
        <v>#N/A</v>
      </c>
      <c r="J20" s="8" t="e">
        <f>Table2[[#This Row],[السعر]]*Table2[[#This Row],[العدد]]</f>
        <v>#N/A</v>
      </c>
      <c r="K20" s="9" t="e">
        <f>SUM(Table2[[#This Row],[الاجمالي]],K19)</f>
        <v>#N/A</v>
      </c>
    </row>
    <row r="21" spans="1:11" ht="21" x14ac:dyDescent="0.3">
      <c r="A21" s="26">
        <v>3310</v>
      </c>
      <c r="B21" s="29" t="s">
        <v>434</v>
      </c>
      <c r="C21" s="30">
        <v>76.5</v>
      </c>
      <c r="D21" s="3">
        <f t="shared" si="0"/>
        <v>76.5</v>
      </c>
      <c r="E21" s="3" t="s">
        <v>1385</v>
      </c>
      <c r="G21" s="7"/>
      <c r="H21" s="9"/>
      <c r="I21" s="5" t="e">
        <f t="shared" si="1"/>
        <v>#N/A</v>
      </c>
      <c r="J21" s="8" t="e">
        <f>Table2[[#This Row],[السعر]]*Table2[[#This Row],[العدد]]</f>
        <v>#N/A</v>
      </c>
      <c r="K21" s="9" t="e">
        <f>SUM(Table2[[#This Row],[الاجمالي]],K20)</f>
        <v>#N/A</v>
      </c>
    </row>
    <row r="22" spans="1:11" ht="21" x14ac:dyDescent="0.3">
      <c r="A22" s="23">
        <v>3310</v>
      </c>
      <c r="B22" s="24" t="s">
        <v>435</v>
      </c>
      <c r="C22" s="25">
        <v>125.75</v>
      </c>
      <c r="D22" s="3">
        <f t="shared" si="0"/>
        <v>125.75</v>
      </c>
      <c r="E22" s="3" t="s">
        <v>1385</v>
      </c>
      <c r="G22" s="7"/>
      <c r="H22" s="9"/>
      <c r="I22" s="5" t="e">
        <f t="shared" si="1"/>
        <v>#N/A</v>
      </c>
      <c r="J22" s="8" t="e">
        <f>Table2[[#This Row],[السعر]]*Table2[[#This Row],[العدد]]</f>
        <v>#N/A</v>
      </c>
      <c r="K22" s="9" t="e">
        <f>SUM(Table2[[#This Row],[الاجمالي]],K21)</f>
        <v>#N/A</v>
      </c>
    </row>
    <row r="23" spans="1:11" ht="21" x14ac:dyDescent="0.3">
      <c r="A23" s="26">
        <v>3310</v>
      </c>
      <c r="B23" s="29" t="s">
        <v>436</v>
      </c>
      <c r="C23" s="30">
        <v>180.25</v>
      </c>
      <c r="D23" s="3">
        <f t="shared" si="0"/>
        <v>180.25</v>
      </c>
      <c r="E23" s="3" t="s">
        <v>1385</v>
      </c>
      <c r="G23" s="7"/>
      <c r="H23" s="9"/>
      <c r="I23" s="5" t="e">
        <f t="shared" si="1"/>
        <v>#N/A</v>
      </c>
      <c r="J23" s="8" t="e">
        <f>Table2[[#This Row],[السعر]]*Table2[[#This Row],[العدد]]</f>
        <v>#N/A</v>
      </c>
      <c r="K23" s="9" t="e">
        <f>SUM(Table2[[#This Row],[الاجمالي]],K22)</f>
        <v>#N/A</v>
      </c>
    </row>
    <row r="24" spans="1:11" ht="21" x14ac:dyDescent="0.3">
      <c r="A24" s="23">
        <v>3310</v>
      </c>
      <c r="B24" s="24" t="s">
        <v>437</v>
      </c>
      <c r="C24" s="25">
        <v>275.5</v>
      </c>
      <c r="D24" s="3">
        <f t="shared" si="0"/>
        <v>275.5</v>
      </c>
      <c r="E24" s="3" t="s">
        <v>1385</v>
      </c>
      <c r="G24" s="7"/>
      <c r="H24" s="9"/>
      <c r="I24" s="5" t="e">
        <f t="shared" si="1"/>
        <v>#N/A</v>
      </c>
      <c r="J24" s="8" t="e">
        <f>Table2[[#This Row],[السعر]]*Table2[[#This Row],[العدد]]</f>
        <v>#N/A</v>
      </c>
      <c r="K24" s="9" t="e">
        <f>SUM(Table2[[#This Row],[الاجمالي]],K23)</f>
        <v>#N/A</v>
      </c>
    </row>
    <row r="25" spans="1:11" ht="21" x14ac:dyDescent="0.3">
      <c r="A25" s="26">
        <v>3310</v>
      </c>
      <c r="B25" s="29" t="s">
        <v>438</v>
      </c>
      <c r="C25" s="30">
        <v>377</v>
      </c>
      <c r="D25" s="3">
        <f t="shared" si="0"/>
        <v>377</v>
      </c>
      <c r="E25" s="3" t="s">
        <v>1385</v>
      </c>
      <c r="G25" s="7"/>
      <c r="H25" s="9"/>
      <c r="I25" s="5" t="e">
        <f t="shared" si="1"/>
        <v>#N/A</v>
      </c>
      <c r="J25" s="8" t="e">
        <f>Table2[[#This Row],[السعر]]*Table2[[#This Row],[العدد]]</f>
        <v>#N/A</v>
      </c>
      <c r="K25" s="9" t="e">
        <f>SUM(Table2[[#This Row],[الاجمالي]],K24)</f>
        <v>#N/A</v>
      </c>
    </row>
    <row r="26" spans="1:11" ht="21" x14ac:dyDescent="0.3">
      <c r="A26" s="23">
        <v>3310</v>
      </c>
      <c r="B26" s="24" t="s">
        <v>439</v>
      </c>
      <c r="C26" s="25">
        <v>571.25</v>
      </c>
      <c r="D26" s="3">
        <f t="shared" si="0"/>
        <v>571.25</v>
      </c>
      <c r="E26" s="3" t="s">
        <v>1385</v>
      </c>
      <c r="G26" s="7"/>
      <c r="H26" s="9"/>
      <c r="I26" s="5" t="e">
        <f t="shared" si="1"/>
        <v>#N/A</v>
      </c>
      <c r="J26" s="8" t="e">
        <f>Table2[[#This Row],[السعر]]*Table2[[#This Row],[العدد]]</f>
        <v>#N/A</v>
      </c>
      <c r="K26" s="9" t="e">
        <f>SUM(Table2[[#This Row],[الاجمالي]],K25)</f>
        <v>#N/A</v>
      </c>
    </row>
    <row r="27" spans="1:11" ht="21" x14ac:dyDescent="0.3">
      <c r="A27" s="26">
        <v>3310</v>
      </c>
      <c r="B27" s="29" t="s">
        <v>440</v>
      </c>
      <c r="C27" s="30">
        <v>806.5</v>
      </c>
      <c r="D27" s="3">
        <f t="shared" si="0"/>
        <v>806.5</v>
      </c>
      <c r="E27" s="3" t="s">
        <v>1385</v>
      </c>
      <c r="G27" s="7"/>
      <c r="H27" s="9"/>
      <c r="I27" s="5" t="e">
        <f t="shared" si="1"/>
        <v>#N/A</v>
      </c>
      <c r="J27" s="8" t="e">
        <f>Table2[[#This Row],[السعر]]*Table2[[#This Row],[العدد]]</f>
        <v>#N/A</v>
      </c>
      <c r="K27" s="9" t="e">
        <f>SUM(Table2[[#This Row],[الاجمالي]],K26)</f>
        <v>#N/A</v>
      </c>
    </row>
    <row r="28" spans="1:11" ht="21" x14ac:dyDescent="0.3">
      <c r="A28" s="23">
        <v>3310</v>
      </c>
      <c r="B28" s="24" t="s">
        <v>441</v>
      </c>
      <c r="C28" s="25">
        <v>2755.25</v>
      </c>
      <c r="D28" s="3">
        <f t="shared" si="0"/>
        <v>2755.25</v>
      </c>
      <c r="E28" s="3" t="s">
        <v>1385</v>
      </c>
      <c r="G28" s="7"/>
      <c r="H28" s="9"/>
      <c r="I28" s="5" t="e">
        <f t="shared" si="1"/>
        <v>#N/A</v>
      </c>
      <c r="J28" s="8" t="e">
        <f>Table2[[#This Row],[السعر]]*Table2[[#This Row],[العدد]]</f>
        <v>#N/A</v>
      </c>
      <c r="K28" s="9" t="e">
        <f>SUM(Table2[[#This Row],[الاجمالي]],K27)</f>
        <v>#N/A</v>
      </c>
    </row>
    <row r="29" spans="1:11" ht="21" x14ac:dyDescent="0.3">
      <c r="A29" s="26">
        <v>3310</v>
      </c>
      <c r="B29" s="29" t="s">
        <v>1375</v>
      </c>
      <c r="C29" s="30">
        <v>59.75</v>
      </c>
      <c r="D29" s="3">
        <f t="shared" si="0"/>
        <v>59.75</v>
      </c>
      <c r="E29" s="3" t="s">
        <v>1385</v>
      </c>
      <c r="G29" s="7"/>
      <c r="H29" s="9"/>
      <c r="I29" s="5" t="e">
        <f t="shared" si="1"/>
        <v>#N/A</v>
      </c>
      <c r="J29" s="8" t="e">
        <f>Table2[[#This Row],[السعر]]*Table2[[#This Row],[العدد]]</f>
        <v>#N/A</v>
      </c>
      <c r="K29" s="9" t="e">
        <f>SUM(Table2[[#This Row],[الاجمالي]],K28)</f>
        <v>#N/A</v>
      </c>
    </row>
    <row r="30" spans="1:11" ht="21" x14ac:dyDescent="0.3">
      <c r="A30" s="23">
        <v>3310</v>
      </c>
      <c r="B30" s="24" t="s">
        <v>1376</v>
      </c>
      <c r="C30" s="25">
        <v>90.25</v>
      </c>
      <c r="D30" s="3">
        <f t="shared" si="0"/>
        <v>90.25</v>
      </c>
      <c r="E30" s="3" t="s">
        <v>1385</v>
      </c>
      <c r="G30" s="7"/>
      <c r="H30" s="9"/>
      <c r="I30" s="5" t="e">
        <f t="shared" si="1"/>
        <v>#N/A</v>
      </c>
      <c r="J30" s="8" t="e">
        <f>Table2[[#This Row],[السعر]]*Table2[[#This Row],[العدد]]</f>
        <v>#N/A</v>
      </c>
      <c r="K30" s="9" t="e">
        <f>SUM(Table2[[#This Row],[الاجمالي]],K29)</f>
        <v>#N/A</v>
      </c>
    </row>
    <row r="31" spans="1:11" ht="21" x14ac:dyDescent="0.3">
      <c r="A31" s="26">
        <v>3310</v>
      </c>
      <c r="B31" s="29" t="s">
        <v>1377</v>
      </c>
      <c r="C31" s="30">
        <v>131.75</v>
      </c>
      <c r="D31" s="3">
        <f t="shared" si="0"/>
        <v>131.75</v>
      </c>
      <c r="E31" s="3" t="s">
        <v>1385</v>
      </c>
      <c r="G31" s="7"/>
      <c r="H31" s="9"/>
      <c r="I31" s="5" t="e">
        <f t="shared" si="1"/>
        <v>#N/A</v>
      </c>
      <c r="J31" s="8" t="e">
        <f>Table2[[#This Row],[السعر]]*Table2[[#This Row],[العدد]]</f>
        <v>#N/A</v>
      </c>
      <c r="K31" s="9" t="e">
        <f>SUM(Table2[[#This Row],[الاجمالي]],K30)</f>
        <v>#N/A</v>
      </c>
    </row>
    <row r="32" spans="1:11" ht="21" x14ac:dyDescent="0.3">
      <c r="A32" s="23">
        <v>3310</v>
      </c>
      <c r="B32" s="24" t="s">
        <v>1378</v>
      </c>
      <c r="C32" s="25">
        <v>219</v>
      </c>
      <c r="D32" s="3">
        <f t="shared" si="0"/>
        <v>219</v>
      </c>
      <c r="E32" s="3" t="s">
        <v>1385</v>
      </c>
      <c r="G32" s="7"/>
      <c r="H32" s="9"/>
      <c r="I32" s="5" t="e">
        <f t="shared" si="1"/>
        <v>#N/A</v>
      </c>
      <c r="J32" s="8" t="e">
        <f>Table2[[#This Row],[السعر]]*Table2[[#This Row],[العدد]]</f>
        <v>#N/A</v>
      </c>
      <c r="K32" s="9" t="e">
        <f>SUM(Table2[[#This Row],[الاجمالي]],K31)</f>
        <v>#N/A</v>
      </c>
    </row>
    <row r="33" spans="1:11" ht="21" x14ac:dyDescent="0.3">
      <c r="A33" s="26">
        <v>3310</v>
      </c>
      <c r="B33" s="29" t="s">
        <v>1379</v>
      </c>
      <c r="C33" s="30">
        <v>323</v>
      </c>
      <c r="D33" s="3">
        <f t="shared" si="0"/>
        <v>323</v>
      </c>
      <c r="E33" s="3" t="s">
        <v>1385</v>
      </c>
      <c r="G33" s="7"/>
      <c r="H33" s="9"/>
      <c r="I33" s="5" t="e">
        <f t="shared" si="1"/>
        <v>#N/A</v>
      </c>
      <c r="J33" s="8" t="e">
        <f>Table2[[#This Row],[السعر]]*Table2[[#This Row],[العدد]]</f>
        <v>#N/A</v>
      </c>
      <c r="K33" s="9" t="e">
        <f>SUM(Table2[[#This Row],[الاجمالي]],K32)</f>
        <v>#N/A</v>
      </c>
    </row>
    <row r="34" spans="1:11" ht="21" x14ac:dyDescent="0.3">
      <c r="A34" s="23">
        <v>3310</v>
      </c>
      <c r="B34" s="24" t="s">
        <v>1380</v>
      </c>
      <c r="C34" s="25">
        <v>506.25</v>
      </c>
      <c r="D34" s="3">
        <f t="shared" si="0"/>
        <v>506.25</v>
      </c>
      <c r="E34" s="3" t="s">
        <v>1385</v>
      </c>
      <c r="G34" s="7"/>
      <c r="H34" s="9"/>
      <c r="I34" s="5" t="e">
        <f t="shared" si="1"/>
        <v>#N/A</v>
      </c>
      <c r="J34" s="8" t="e">
        <f>Table2[[#This Row],[السعر]]*Table2[[#This Row],[العدد]]</f>
        <v>#N/A</v>
      </c>
      <c r="K34" s="9" t="e">
        <f>SUM(Table2[[#This Row],[الاجمالي]],K33)</f>
        <v>#N/A</v>
      </c>
    </row>
    <row r="35" spans="1:11" ht="21" x14ac:dyDescent="0.3">
      <c r="A35" s="26">
        <v>3310</v>
      </c>
      <c r="B35" s="29" t="s">
        <v>1381</v>
      </c>
      <c r="C35" s="30">
        <v>766</v>
      </c>
      <c r="D35" s="3">
        <f t="shared" si="0"/>
        <v>766</v>
      </c>
      <c r="E35" s="3" t="s">
        <v>1385</v>
      </c>
      <c r="G35" s="7"/>
      <c r="H35" s="9"/>
      <c r="I35" s="5" t="e">
        <f t="shared" si="1"/>
        <v>#N/A</v>
      </c>
      <c r="J35" s="8" t="e">
        <f>Table2[[#This Row],[السعر]]*Table2[[#This Row],[العدد]]</f>
        <v>#N/A</v>
      </c>
      <c r="K35" s="9" t="e">
        <f>SUM(Table2[[#This Row],[الاجمالي]],K34)</f>
        <v>#N/A</v>
      </c>
    </row>
    <row r="36" spans="1:11" ht="21" x14ac:dyDescent="0.3">
      <c r="A36" s="23">
        <v>3310</v>
      </c>
      <c r="B36" s="24" t="s">
        <v>1382</v>
      </c>
      <c r="C36" s="25">
        <v>1017.25</v>
      </c>
      <c r="D36" s="3">
        <f t="shared" si="0"/>
        <v>1017.25</v>
      </c>
      <c r="E36" s="3" t="s">
        <v>1385</v>
      </c>
      <c r="G36" s="7"/>
      <c r="H36" s="9"/>
      <c r="I36" s="5" t="e">
        <f t="shared" si="1"/>
        <v>#N/A</v>
      </c>
      <c r="J36" s="8" t="e">
        <f>Table2[[#This Row],[السعر]]*Table2[[#This Row],[العدد]]</f>
        <v>#N/A</v>
      </c>
      <c r="K36" s="9" t="e">
        <f>SUM(Table2[[#This Row],[الاجمالي]],K35)</f>
        <v>#N/A</v>
      </c>
    </row>
    <row r="37" spans="1:11" ht="21" x14ac:dyDescent="0.3">
      <c r="A37" s="26">
        <v>3310</v>
      </c>
      <c r="B37" s="29" t="s">
        <v>1383</v>
      </c>
      <c r="C37" s="30">
        <v>1624.5</v>
      </c>
      <c r="D37" s="3">
        <f t="shared" si="0"/>
        <v>1624.5</v>
      </c>
      <c r="E37" s="3" t="s">
        <v>1385</v>
      </c>
      <c r="G37" s="7"/>
      <c r="H37" s="9"/>
      <c r="I37" s="5" t="e">
        <f t="shared" si="1"/>
        <v>#N/A</v>
      </c>
      <c r="J37" s="8" t="e">
        <f>Table2[[#This Row],[السعر]]*Table2[[#This Row],[العدد]]</f>
        <v>#N/A</v>
      </c>
      <c r="K37" s="9" t="e">
        <f>SUM(Table2[[#This Row],[الاجمالي]],K36)</f>
        <v>#N/A</v>
      </c>
    </row>
    <row r="38" spans="1:11" ht="21" x14ac:dyDescent="0.3">
      <c r="A38" s="23">
        <v>3310</v>
      </c>
      <c r="B38" s="24" t="s">
        <v>449</v>
      </c>
      <c r="C38" s="25">
        <v>54.25</v>
      </c>
      <c r="D38" s="3">
        <f t="shared" si="0"/>
        <v>54.25</v>
      </c>
      <c r="E38" s="3" t="s">
        <v>1385</v>
      </c>
      <c r="G38" s="7"/>
      <c r="H38" s="9"/>
      <c r="I38" s="5" t="e">
        <f t="shared" si="1"/>
        <v>#N/A</v>
      </c>
      <c r="J38" s="8" t="e">
        <f>Table2[[#This Row],[السعر]]*Table2[[#This Row],[العدد]]</f>
        <v>#N/A</v>
      </c>
      <c r="K38" s="9" t="e">
        <f>SUM(Table2[[#This Row],[الاجمالي]],K37)</f>
        <v>#N/A</v>
      </c>
    </row>
    <row r="39" spans="1:11" ht="21" x14ac:dyDescent="0.3">
      <c r="A39" s="26">
        <v>3310</v>
      </c>
      <c r="B39" s="29" t="s">
        <v>450</v>
      </c>
      <c r="C39" s="30">
        <v>81.25</v>
      </c>
      <c r="D39" s="3">
        <f t="shared" si="0"/>
        <v>81.25</v>
      </c>
      <c r="E39" s="3" t="s">
        <v>1385</v>
      </c>
      <c r="G39" s="7"/>
      <c r="H39" s="9"/>
      <c r="I39" s="5" t="e">
        <f t="shared" si="1"/>
        <v>#N/A</v>
      </c>
      <c r="J39" s="8" t="e">
        <f>Table2[[#This Row],[السعر]]*Table2[[#This Row],[العدد]]</f>
        <v>#N/A</v>
      </c>
      <c r="K39" s="9" t="e">
        <f>SUM(Table2[[#This Row],[الاجمالي]],K38)</f>
        <v>#N/A</v>
      </c>
    </row>
    <row r="40" spans="1:11" ht="21" x14ac:dyDescent="0.3">
      <c r="A40" s="23">
        <v>3310</v>
      </c>
      <c r="B40" s="24" t="s">
        <v>451</v>
      </c>
      <c r="C40" s="25">
        <v>121</v>
      </c>
      <c r="D40" s="3">
        <f t="shared" si="0"/>
        <v>121</v>
      </c>
      <c r="E40" s="3" t="s">
        <v>1385</v>
      </c>
      <c r="G40" s="7"/>
      <c r="H40" s="9"/>
      <c r="I40" s="5" t="e">
        <f t="shared" si="1"/>
        <v>#N/A</v>
      </c>
      <c r="J40" s="8" t="e">
        <f>Table2[[#This Row],[السعر]]*Table2[[#This Row],[العدد]]</f>
        <v>#N/A</v>
      </c>
      <c r="K40" s="9" t="e">
        <f>SUM(Table2[[#This Row],[الاجمالي]],K39)</f>
        <v>#N/A</v>
      </c>
    </row>
    <row r="41" spans="1:11" ht="21" x14ac:dyDescent="0.3">
      <c r="A41" s="26">
        <v>3310</v>
      </c>
      <c r="B41" s="29" t="s">
        <v>452</v>
      </c>
      <c r="C41" s="30">
        <v>196</v>
      </c>
      <c r="D41" s="3">
        <f t="shared" si="0"/>
        <v>196</v>
      </c>
      <c r="E41" s="3" t="s">
        <v>1385</v>
      </c>
      <c r="G41" s="7"/>
      <c r="H41" s="9"/>
      <c r="I41" s="5" t="e">
        <f t="shared" si="1"/>
        <v>#N/A</v>
      </c>
      <c r="J41" s="8" t="e">
        <f>Table2[[#This Row],[السعر]]*Table2[[#This Row],[العدد]]</f>
        <v>#N/A</v>
      </c>
      <c r="K41" s="9" t="e">
        <f>SUM(Table2[[#This Row],[الاجمالي]],K40)</f>
        <v>#N/A</v>
      </c>
    </row>
    <row r="42" spans="1:11" ht="21" x14ac:dyDescent="0.3">
      <c r="A42" s="23">
        <v>3310</v>
      </c>
      <c r="B42" s="24" t="s">
        <v>453</v>
      </c>
      <c r="C42" s="25">
        <v>289.5</v>
      </c>
      <c r="D42" s="3">
        <f t="shared" si="0"/>
        <v>289.5</v>
      </c>
      <c r="E42" s="3" t="s">
        <v>1385</v>
      </c>
      <c r="G42" s="7"/>
      <c r="H42" s="9"/>
      <c r="I42" s="5" t="e">
        <f t="shared" si="1"/>
        <v>#N/A</v>
      </c>
      <c r="J42" s="8" t="e">
        <f>Table2[[#This Row],[السعر]]*Table2[[#This Row],[العدد]]</f>
        <v>#N/A</v>
      </c>
      <c r="K42" s="9" t="e">
        <f>SUM(Table2[[#This Row],[الاجمالي]],K41)</f>
        <v>#N/A</v>
      </c>
    </row>
    <row r="43" spans="1:11" ht="21" x14ac:dyDescent="0.3">
      <c r="A43" s="26">
        <v>3310</v>
      </c>
      <c r="B43" s="29" t="s">
        <v>454</v>
      </c>
      <c r="C43" s="30">
        <v>452.75</v>
      </c>
      <c r="D43" s="3">
        <f t="shared" si="0"/>
        <v>452.75</v>
      </c>
      <c r="E43" s="3" t="s">
        <v>1385</v>
      </c>
      <c r="G43" s="7"/>
      <c r="H43" s="9"/>
      <c r="I43" s="5" t="e">
        <f t="shared" si="1"/>
        <v>#N/A</v>
      </c>
      <c r="J43" s="8" t="e">
        <f>Table2[[#This Row],[السعر]]*Table2[[#This Row],[العدد]]</f>
        <v>#N/A</v>
      </c>
      <c r="K43" s="9" t="e">
        <f>SUM(Table2[[#This Row],[الاجمالي]],K42)</f>
        <v>#N/A</v>
      </c>
    </row>
    <row r="44" spans="1:11" ht="21" x14ac:dyDescent="0.3">
      <c r="A44" s="23"/>
      <c r="B44" s="24" t="s">
        <v>455</v>
      </c>
      <c r="C44" s="25">
        <v>690.75</v>
      </c>
      <c r="D44" s="3">
        <f t="shared" si="0"/>
        <v>690.75</v>
      </c>
      <c r="E44" s="3" t="s">
        <v>1385</v>
      </c>
      <c r="G44" s="7"/>
      <c r="H44" s="9"/>
      <c r="I44" s="5" t="e">
        <f t="shared" si="1"/>
        <v>#N/A</v>
      </c>
      <c r="J44" s="8" t="e">
        <f>Table2[[#This Row],[السعر]]*Table2[[#This Row],[العدد]]</f>
        <v>#N/A</v>
      </c>
      <c r="K44" s="9" t="e">
        <f>SUM(Table2[[#This Row],[الاجمالي]],K43)</f>
        <v>#N/A</v>
      </c>
    </row>
    <row r="45" spans="1:11" ht="21" x14ac:dyDescent="0.3">
      <c r="A45" s="26"/>
      <c r="B45" s="29" t="s">
        <v>456</v>
      </c>
      <c r="C45" s="30">
        <v>935.25</v>
      </c>
      <c r="D45" s="3">
        <f t="shared" si="0"/>
        <v>935.25</v>
      </c>
      <c r="E45" s="3" t="s">
        <v>1385</v>
      </c>
      <c r="G45" s="7"/>
      <c r="H45" s="9"/>
      <c r="I45" s="5" t="e">
        <f t="shared" si="1"/>
        <v>#N/A</v>
      </c>
      <c r="J45" s="8" t="e">
        <f>Table2[[#This Row],[السعر]]*Table2[[#This Row],[العدد]]</f>
        <v>#N/A</v>
      </c>
      <c r="K45" s="9" t="e">
        <f>SUM(Table2[[#This Row],[الاجمالي]],K44)</f>
        <v>#N/A</v>
      </c>
    </row>
    <row r="46" spans="1:11" ht="21" x14ac:dyDescent="0.3">
      <c r="A46" s="23"/>
      <c r="B46" s="24" t="s">
        <v>457</v>
      </c>
      <c r="C46" s="25">
        <v>1488</v>
      </c>
      <c r="D46" s="3">
        <f t="shared" si="0"/>
        <v>1488</v>
      </c>
      <c r="E46" s="3" t="s">
        <v>1385</v>
      </c>
      <c r="G46" s="7"/>
      <c r="H46" s="9"/>
      <c r="I46" s="5" t="e">
        <f t="shared" si="1"/>
        <v>#N/A</v>
      </c>
      <c r="J46" s="8" t="e">
        <f>Table2[[#This Row],[السعر]]*Table2[[#This Row],[العدد]]</f>
        <v>#N/A</v>
      </c>
      <c r="K46" s="9" t="e">
        <f>SUM(Table2[[#This Row],[الاجمالي]],K45)</f>
        <v>#N/A</v>
      </c>
    </row>
    <row r="47" spans="1:11" ht="21" x14ac:dyDescent="0.3">
      <c r="A47" s="26"/>
      <c r="B47" s="29" t="s">
        <v>496</v>
      </c>
      <c r="C47" s="30">
        <v>66</v>
      </c>
      <c r="D47" s="3">
        <f t="shared" si="0"/>
        <v>66</v>
      </c>
      <c r="E47" s="3" t="s">
        <v>1385</v>
      </c>
      <c r="G47" s="7"/>
      <c r="H47" s="9"/>
      <c r="I47" s="5" t="e">
        <f t="shared" si="1"/>
        <v>#N/A</v>
      </c>
      <c r="J47" s="8" t="e">
        <f>Table2[[#This Row],[السعر]]*Table2[[#This Row],[العدد]]</f>
        <v>#N/A</v>
      </c>
      <c r="K47" s="9" t="e">
        <f>SUM(Table2[[#This Row],[الاجمالي]],K46)</f>
        <v>#N/A</v>
      </c>
    </row>
    <row r="48" spans="1:11" ht="21" x14ac:dyDescent="0.3">
      <c r="A48" s="23"/>
      <c r="B48" s="24" t="s">
        <v>497</v>
      </c>
      <c r="C48" s="25">
        <v>99</v>
      </c>
      <c r="D48" s="3">
        <f t="shared" si="0"/>
        <v>99</v>
      </c>
      <c r="E48" s="3" t="s">
        <v>1385</v>
      </c>
      <c r="G48" s="7"/>
      <c r="H48" s="9"/>
      <c r="I48" s="5" t="e">
        <f t="shared" si="1"/>
        <v>#N/A</v>
      </c>
      <c r="J48" s="8" t="e">
        <f>Table2[[#This Row],[السعر]]*Table2[[#This Row],[العدد]]</f>
        <v>#N/A</v>
      </c>
      <c r="K48" s="9" t="e">
        <f>SUM(Table2[[#This Row],[الاجمالي]],K47)</f>
        <v>#N/A</v>
      </c>
    </row>
    <row r="49" spans="1:11" ht="21" x14ac:dyDescent="0.3">
      <c r="A49" s="26"/>
      <c r="B49" s="29" t="s">
        <v>498</v>
      </c>
      <c r="C49" s="30">
        <v>145</v>
      </c>
      <c r="D49" s="3">
        <f t="shared" si="0"/>
        <v>145</v>
      </c>
      <c r="E49" s="3" t="s">
        <v>1385</v>
      </c>
      <c r="G49" s="7"/>
      <c r="H49" s="9"/>
      <c r="I49" s="5" t="e">
        <f t="shared" si="1"/>
        <v>#N/A</v>
      </c>
      <c r="J49" s="8" t="e">
        <f>Table2[[#This Row],[السعر]]*Table2[[#This Row],[العدد]]</f>
        <v>#N/A</v>
      </c>
      <c r="K49" s="9" t="e">
        <f>SUM(Table2[[#This Row],[الاجمالي]],K48)</f>
        <v>#N/A</v>
      </c>
    </row>
    <row r="50" spans="1:11" ht="21" x14ac:dyDescent="0.3">
      <c r="A50" s="23"/>
      <c r="B50" s="24" t="s">
        <v>499</v>
      </c>
      <c r="C50" s="25">
        <v>357.75</v>
      </c>
      <c r="D50" s="3">
        <f t="shared" si="0"/>
        <v>357.75</v>
      </c>
      <c r="E50" s="3" t="s">
        <v>1385</v>
      </c>
      <c r="G50" s="7"/>
      <c r="H50" s="9"/>
      <c r="I50" s="5" t="e">
        <f t="shared" si="1"/>
        <v>#N/A</v>
      </c>
      <c r="J50" s="8" t="e">
        <f>Table2[[#This Row],[السعر]]*Table2[[#This Row],[العدد]]</f>
        <v>#N/A</v>
      </c>
      <c r="K50" s="9" t="e">
        <f>SUM(Table2[[#This Row],[الاجمالي]],K49)</f>
        <v>#N/A</v>
      </c>
    </row>
    <row r="51" spans="1:11" ht="21" x14ac:dyDescent="0.3">
      <c r="A51" s="26"/>
      <c r="B51" s="29" t="s">
        <v>495</v>
      </c>
      <c r="C51" s="30">
        <v>561.5</v>
      </c>
      <c r="D51" s="3">
        <f t="shared" si="0"/>
        <v>561.5</v>
      </c>
      <c r="E51" s="3" t="s">
        <v>1385</v>
      </c>
      <c r="G51" s="7"/>
      <c r="H51" s="9"/>
      <c r="I51" s="5" t="e">
        <f t="shared" si="1"/>
        <v>#N/A</v>
      </c>
      <c r="J51" s="8" t="e">
        <f>Table2[[#This Row],[السعر]]*Table2[[#This Row],[العدد]]</f>
        <v>#N/A</v>
      </c>
      <c r="K51" s="9" t="e">
        <f>SUM(Table2[[#This Row],[الاجمالي]],K50)</f>
        <v>#N/A</v>
      </c>
    </row>
    <row r="52" spans="1:11" ht="21" x14ac:dyDescent="0.3">
      <c r="A52" s="23"/>
      <c r="B52" s="24" t="s">
        <v>500</v>
      </c>
      <c r="C52" s="25">
        <v>24.25</v>
      </c>
      <c r="D52" s="3">
        <f t="shared" si="0"/>
        <v>24.25</v>
      </c>
      <c r="E52" s="3" t="s">
        <v>1385</v>
      </c>
      <c r="G52" s="7"/>
      <c r="H52" s="9"/>
      <c r="I52" s="5" t="e">
        <f t="shared" si="1"/>
        <v>#N/A</v>
      </c>
      <c r="J52" s="8" t="e">
        <f>Table2[[#This Row],[السعر]]*Table2[[#This Row],[العدد]]</f>
        <v>#N/A</v>
      </c>
      <c r="K52" s="9" t="e">
        <f>SUM(Table2[[#This Row],[الاجمالي]],K51)</f>
        <v>#N/A</v>
      </c>
    </row>
    <row r="53" spans="1:11" ht="21" x14ac:dyDescent="0.3">
      <c r="A53" s="26"/>
      <c r="B53" s="29" t="s">
        <v>501</v>
      </c>
      <c r="C53" s="30">
        <v>27.5</v>
      </c>
      <c r="D53" s="3">
        <f t="shared" si="0"/>
        <v>27.5</v>
      </c>
      <c r="E53" s="3" t="s">
        <v>1385</v>
      </c>
      <c r="G53" s="7"/>
      <c r="H53" s="9"/>
      <c r="I53" s="5" t="e">
        <f t="shared" si="1"/>
        <v>#N/A</v>
      </c>
      <c r="J53" s="8" t="e">
        <f>Table2[[#This Row],[السعر]]*Table2[[#This Row],[العدد]]</f>
        <v>#N/A</v>
      </c>
      <c r="K53" s="9" t="e">
        <f>SUM(Table2[[#This Row],[الاجمالي]],K52)</f>
        <v>#N/A</v>
      </c>
    </row>
    <row r="54" spans="1:11" ht="21" x14ac:dyDescent="0.3">
      <c r="A54" s="23"/>
      <c r="B54" s="24" t="s">
        <v>502</v>
      </c>
      <c r="C54" s="25">
        <v>41</v>
      </c>
      <c r="D54" s="3">
        <f t="shared" si="0"/>
        <v>41</v>
      </c>
      <c r="E54" s="3" t="s">
        <v>1385</v>
      </c>
      <c r="G54" s="7"/>
      <c r="H54" s="9"/>
      <c r="I54" s="5" t="e">
        <f t="shared" si="1"/>
        <v>#N/A</v>
      </c>
      <c r="J54" s="8" t="e">
        <f>Table2[[#This Row],[السعر]]*Table2[[#This Row],[العدد]]</f>
        <v>#N/A</v>
      </c>
      <c r="K54" s="9" t="e">
        <f>SUM(Table2[[#This Row],[الاجمالي]],K53)</f>
        <v>#N/A</v>
      </c>
    </row>
    <row r="55" spans="1:11" ht="21" x14ac:dyDescent="0.3">
      <c r="A55" s="26"/>
      <c r="B55" s="29" t="s">
        <v>503</v>
      </c>
      <c r="C55" s="30">
        <v>85</v>
      </c>
      <c r="D55" s="3">
        <f t="shared" si="0"/>
        <v>85</v>
      </c>
      <c r="E55" s="3" t="s">
        <v>1385</v>
      </c>
      <c r="G55" s="7"/>
      <c r="H55" s="9"/>
      <c r="I55" s="5" t="e">
        <f t="shared" si="1"/>
        <v>#N/A</v>
      </c>
      <c r="J55" s="8" t="e">
        <f>Table2[[#This Row],[السعر]]*Table2[[#This Row],[العدد]]</f>
        <v>#N/A</v>
      </c>
      <c r="K55" s="9" t="e">
        <f>SUM(Table2[[#This Row],[الاجمالي]],K54)</f>
        <v>#N/A</v>
      </c>
    </row>
    <row r="56" spans="1:11" ht="21" x14ac:dyDescent="0.3">
      <c r="A56" s="23"/>
      <c r="B56" s="24" t="s">
        <v>504</v>
      </c>
      <c r="C56" s="25">
        <v>144.5</v>
      </c>
      <c r="D56" s="3">
        <f t="shared" si="0"/>
        <v>144.5</v>
      </c>
      <c r="E56" s="3" t="s">
        <v>1385</v>
      </c>
      <c r="G56" s="7"/>
      <c r="H56" s="9"/>
      <c r="I56" s="5" t="e">
        <f t="shared" si="1"/>
        <v>#N/A</v>
      </c>
      <c r="J56" s="8" t="e">
        <f>Table2[[#This Row],[السعر]]*Table2[[#This Row],[العدد]]</f>
        <v>#N/A</v>
      </c>
      <c r="K56" s="9" t="e">
        <f>SUM(Table2[[#This Row],[الاجمالي]],K55)</f>
        <v>#N/A</v>
      </c>
    </row>
    <row r="57" spans="1:11" ht="21" x14ac:dyDescent="0.3">
      <c r="A57" s="26"/>
      <c r="B57" s="29" t="s">
        <v>505</v>
      </c>
      <c r="C57" s="30">
        <v>202.75</v>
      </c>
      <c r="D57" s="3">
        <f t="shared" si="0"/>
        <v>202.75</v>
      </c>
      <c r="E57" s="3" t="s">
        <v>1385</v>
      </c>
      <c r="G57" s="7"/>
      <c r="H57" s="9"/>
      <c r="I57" s="5" t="e">
        <f t="shared" si="1"/>
        <v>#N/A</v>
      </c>
      <c r="J57" s="8" t="e">
        <f>Table2[[#This Row],[السعر]]*Table2[[#This Row],[العدد]]</f>
        <v>#N/A</v>
      </c>
      <c r="K57" s="9" t="e">
        <f>SUM(Table2[[#This Row],[الاجمالي]],K56)</f>
        <v>#N/A</v>
      </c>
    </row>
    <row r="58" spans="1:11" ht="21" x14ac:dyDescent="0.3">
      <c r="A58" s="23"/>
      <c r="B58" s="24" t="s">
        <v>506</v>
      </c>
      <c r="C58" s="25">
        <v>245.5</v>
      </c>
      <c r="D58" s="3">
        <f t="shared" si="0"/>
        <v>245.5</v>
      </c>
      <c r="E58" s="3" t="s">
        <v>1385</v>
      </c>
      <c r="G58" s="7"/>
      <c r="H58" s="9"/>
      <c r="I58" s="5" t="e">
        <f t="shared" si="1"/>
        <v>#N/A</v>
      </c>
      <c r="J58" s="8" t="e">
        <f>Table2[[#This Row],[السعر]]*Table2[[#This Row],[العدد]]</f>
        <v>#N/A</v>
      </c>
      <c r="K58" s="9" t="e">
        <f>SUM(Table2[[#This Row],[الاجمالي]],K57)</f>
        <v>#N/A</v>
      </c>
    </row>
    <row r="59" spans="1:11" ht="21" x14ac:dyDescent="0.3">
      <c r="A59" s="26"/>
      <c r="B59" s="29" t="s">
        <v>507</v>
      </c>
      <c r="C59" s="30">
        <v>485</v>
      </c>
      <c r="D59" s="3">
        <f t="shared" si="0"/>
        <v>485</v>
      </c>
      <c r="E59" s="3" t="s">
        <v>1385</v>
      </c>
      <c r="G59" s="7"/>
      <c r="H59" s="9"/>
      <c r="I59" s="5" t="e">
        <f t="shared" si="1"/>
        <v>#N/A</v>
      </c>
      <c r="J59" s="8" t="e">
        <f>Table2[[#This Row],[السعر]]*Table2[[#This Row],[العدد]]</f>
        <v>#N/A</v>
      </c>
      <c r="K59" s="9" t="e">
        <f>SUM(Table2[[#This Row],[الاجمالي]],K58)</f>
        <v>#N/A</v>
      </c>
    </row>
    <row r="60" spans="1:11" ht="21" x14ac:dyDescent="0.3">
      <c r="A60" s="23"/>
      <c r="B60" s="24" t="s">
        <v>508</v>
      </c>
      <c r="C60" s="25">
        <v>978.75</v>
      </c>
      <c r="D60" s="3">
        <f t="shared" si="0"/>
        <v>978.75</v>
      </c>
      <c r="E60" s="3" t="s">
        <v>1385</v>
      </c>
      <c r="G60" s="7"/>
      <c r="H60" s="9"/>
      <c r="I60" s="5" t="e">
        <f t="shared" si="1"/>
        <v>#N/A</v>
      </c>
      <c r="J60" s="8" t="e">
        <f>Table2[[#This Row],[السعر]]*Table2[[#This Row],[العدد]]</f>
        <v>#N/A</v>
      </c>
      <c r="K60" s="9" t="e">
        <f>SUM(Table2[[#This Row],[الاجمالي]],K59)</f>
        <v>#N/A</v>
      </c>
    </row>
    <row r="61" spans="1:11" ht="21" x14ac:dyDescent="0.3">
      <c r="A61" s="26"/>
      <c r="B61" s="29" t="s">
        <v>509</v>
      </c>
      <c r="C61" s="30">
        <v>2078</v>
      </c>
      <c r="D61" s="3">
        <f t="shared" si="0"/>
        <v>2078</v>
      </c>
      <c r="E61" s="3" t="s">
        <v>1385</v>
      </c>
      <c r="G61" s="7"/>
      <c r="H61" s="9"/>
      <c r="I61" s="5" t="e">
        <f t="shared" si="1"/>
        <v>#N/A</v>
      </c>
      <c r="J61" s="8" t="e">
        <f>Table2[[#This Row],[السعر]]*Table2[[#This Row],[العدد]]</f>
        <v>#N/A</v>
      </c>
      <c r="K61" s="9" t="e">
        <f>SUM(Table2[[#This Row],[الاجمالي]],K60)</f>
        <v>#N/A</v>
      </c>
    </row>
    <row r="62" spans="1:11" ht="21" x14ac:dyDescent="0.3">
      <c r="A62" s="23"/>
      <c r="B62" s="24" t="s">
        <v>521</v>
      </c>
      <c r="C62" s="25">
        <v>14.25</v>
      </c>
      <c r="D62" s="3">
        <f t="shared" si="0"/>
        <v>14.25</v>
      </c>
      <c r="E62" s="3" t="s">
        <v>1385</v>
      </c>
      <c r="G62" s="7"/>
      <c r="H62" s="9"/>
      <c r="I62" s="5" t="e">
        <f t="shared" si="1"/>
        <v>#N/A</v>
      </c>
      <c r="J62" s="8" t="e">
        <f>Table2[[#This Row],[السعر]]*Table2[[#This Row],[العدد]]</f>
        <v>#N/A</v>
      </c>
      <c r="K62" s="9" t="e">
        <f>SUM(Table2[[#This Row],[الاجمالي]],K61)</f>
        <v>#N/A</v>
      </c>
    </row>
    <row r="63" spans="1:11" ht="21" x14ac:dyDescent="0.3">
      <c r="A63" s="26"/>
      <c r="B63" s="29" t="s">
        <v>522</v>
      </c>
      <c r="C63" s="30">
        <v>19.75</v>
      </c>
      <c r="D63" s="3">
        <f t="shared" si="0"/>
        <v>19.75</v>
      </c>
      <c r="E63" s="3" t="s">
        <v>1385</v>
      </c>
      <c r="G63" s="7"/>
      <c r="H63" s="9"/>
      <c r="I63" s="5" t="e">
        <f t="shared" si="1"/>
        <v>#N/A</v>
      </c>
      <c r="J63" s="8" t="e">
        <f>Table2[[#This Row],[السعر]]*Table2[[#This Row],[العدد]]</f>
        <v>#N/A</v>
      </c>
      <c r="K63" s="9" t="e">
        <f>SUM(Table2[[#This Row],[الاجمالي]],K62)</f>
        <v>#N/A</v>
      </c>
    </row>
    <row r="64" spans="1:11" ht="21" x14ac:dyDescent="0.3">
      <c r="A64" s="23"/>
      <c r="B64" s="24" t="s">
        <v>523</v>
      </c>
      <c r="C64" s="25">
        <v>37.75</v>
      </c>
      <c r="D64" s="3">
        <f t="shared" si="0"/>
        <v>37.75</v>
      </c>
      <c r="E64" s="3" t="s">
        <v>1385</v>
      </c>
      <c r="G64" s="7"/>
      <c r="H64" s="9"/>
      <c r="I64" s="5" t="e">
        <f t="shared" si="1"/>
        <v>#N/A</v>
      </c>
      <c r="J64" s="8" t="e">
        <f>Table2[[#This Row],[السعر]]*Table2[[#This Row],[العدد]]</f>
        <v>#N/A</v>
      </c>
      <c r="K64" s="9" t="e">
        <f>SUM(Table2[[#This Row],[الاجمالي]],K63)</f>
        <v>#N/A</v>
      </c>
    </row>
    <row r="65" spans="1:11" ht="21" x14ac:dyDescent="0.3">
      <c r="A65" s="26"/>
      <c r="B65" s="29" t="s">
        <v>524</v>
      </c>
      <c r="C65" s="30">
        <v>74.75</v>
      </c>
      <c r="D65" s="3">
        <f t="shared" si="0"/>
        <v>74.75</v>
      </c>
      <c r="E65" s="3" t="s">
        <v>1385</v>
      </c>
      <c r="G65" s="7"/>
      <c r="H65" s="9"/>
      <c r="I65" s="5" t="e">
        <f t="shared" si="1"/>
        <v>#N/A</v>
      </c>
      <c r="J65" s="8" t="e">
        <f>Table2[[#This Row],[السعر]]*Table2[[#This Row],[العدد]]</f>
        <v>#N/A</v>
      </c>
      <c r="K65" s="9" t="e">
        <f>SUM(Table2[[#This Row],[الاجمالي]],K64)</f>
        <v>#N/A</v>
      </c>
    </row>
    <row r="66" spans="1:11" ht="21" x14ac:dyDescent="0.3">
      <c r="A66" s="23"/>
      <c r="B66" s="24" t="s">
        <v>525</v>
      </c>
      <c r="C66" s="25">
        <v>139.25</v>
      </c>
      <c r="D66" s="3">
        <f t="shared" ref="D66:D129" si="2">C66</f>
        <v>139.25</v>
      </c>
      <c r="E66" s="3" t="s">
        <v>1385</v>
      </c>
      <c r="G66" s="7"/>
      <c r="H66" s="9"/>
      <c r="I66" s="5" t="e">
        <f t="shared" si="1"/>
        <v>#N/A</v>
      </c>
      <c r="J66" s="8" t="e">
        <f>Table2[[#This Row],[السعر]]*Table2[[#This Row],[العدد]]</f>
        <v>#N/A</v>
      </c>
      <c r="K66" s="9" t="e">
        <f>SUM(Table2[[#This Row],[الاجمالي]],K65)</f>
        <v>#N/A</v>
      </c>
    </row>
    <row r="67" spans="1:11" ht="21" x14ac:dyDescent="0.3">
      <c r="A67" s="26"/>
      <c r="B67" s="29" t="s">
        <v>526</v>
      </c>
      <c r="C67" s="30">
        <v>192</v>
      </c>
      <c r="D67" s="3">
        <f t="shared" si="2"/>
        <v>192</v>
      </c>
      <c r="E67" s="3" t="s">
        <v>1385</v>
      </c>
      <c r="G67" s="7"/>
      <c r="H67" s="9"/>
      <c r="I67" s="5" t="e">
        <f t="shared" ref="I67:I105" si="3">VLOOKUP(H67,B:D,3,0)</f>
        <v>#N/A</v>
      </c>
      <c r="J67" s="8" t="e">
        <f>Table2[[#This Row],[السعر]]*Table2[[#This Row],[العدد]]</f>
        <v>#N/A</v>
      </c>
      <c r="K67" s="9" t="e">
        <f>SUM(Table2[[#This Row],[الاجمالي]],K66)</f>
        <v>#N/A</v>
      </c>
    </row>
    <row r="68" spans="1:11" ht="21" x14ac:dyDescent="0.3">
      <c r="A68" s="23"/>
      <c r="B68" s="24" t="s">
        <v>527</v>
      </c>
      <c r="C68" s="25">
        <v>237</v>
      </c>
      <c r="D68" s="3">
        <f t="shared" si="2"/>
        <v>237</v>
      </c>
      <c r="E68" s="3" t="s">
        <v>1385</v>
      </c>
      <c r="G68" s="7"/>
      <c r="H68" s="9"/>
      <c r="I68" s="5" t="e">
        <f t="shared" si="3"/>
        <v>#N/A</v>
      </c>
      <c r="J68" s="8" t="e">
        <f>Table2[[#This Row],[السعر]]*Table2[[#This Row],[العدد]]</f>
        <v>#N/A</v>
      </c>
      <c r="K68" s="9" t="e">
        <f>SUM(Table2[[#This Row],[الاجمالي]],K67)</f>
        <v>#N/A</v>
      </c>
    </row>
    <row r="69" spans="1:11" ht="21" x14ac:dyDescent="0.3">
      <c r="A69" s="26"/>
      <c r="B69" s="29" t="s">
        <v>528</v>
      </c>
      <c r="C69" s="30">
        <v>499.5</v>
      </c>
      <c r="D69" s="3">
        <f t="shared" si="2"/>
        <v>499.5</v>
      </c>
      <c r="E69" s="3" t="s">
        <v>1385</v>
      </c>
      <c r="G69" s="7"/>
      <c r="H69" s="9"/>
      <c r="I69" s="5" t="e">
        <f t="shared" si="3"/>
        <v>#N/A</v>
      </c>
      <c r="J69" s="8" t="e">
        <f>Table2[[#This Row],[السعر]]*Table2[[#This Row],[العدد]]</f>
        <v>#N/A</v>
      </c>
      <c r="K69" s="9" t="e">
        <f>SUM(Table2[[#This Row],[الاجمالي]],K68)</f>
        <v>#N/A</v>
      </c>
    </row>
    <row r="70" spans="1:11" ht="21" x14ac:dyDescent="0.3">
      <c r="A70" s="23"/>
      <c r="B70" s="24" t="s">
        <v>529</v>
      </c>
      <c r="C70" s="3">
        <v>927.75</v>
      </c>
      <c r="D70" s="3">
        <f t="shared" si="2"/>
        <v>927.75</v>
      </c>
      <c r="E70" s="3" t="s">
        <v>1385</v>
      </c>
      <c r="G70" s="7"/>
      <c r="H70" s="9"/>
      <c r="I70" s="5" t="e">
        <f t="shared" si="3"/>
        <v>#N/A</v>
      </c>
      <c r="J70" s="8" t="e">
        <f>Table2[[#This Row],[السعر]]*Table2[[#This Row],[العدد]]</f>
        <v>#N/A</v>
      </c>
      <c r="K70" s="9" t="e">
        <f>SUM(Table2[[#This Row],[الاجمالي]],K69)</f>
        <v>#N/A</v>
      </c>
    </row>
    <row r="71" spans="1:11" ht="21" x14ac:dyDescent="0.3">
      <c r="A71" s="26"/>
      <c r="B71" s="29" t="s">
        <v>530</v>
      </c>
      <c r="C71" s="3">
        <v>2246.5</v>
      </c>
      <c r="D71" s="3">
        <f t="shared" si="2"/>
        <v>2246.5</v>
      </c>
      <c r="E71" s="3" t="s">
        <v>1385</v>
      </c>
      <c r="G71" s="7"/>
      <c r="H71" s="9"/>
      <c r="I71" s="5" t="e">
        <f t="shared" si="3"/>
        <v>#N/A</v>
      </c>
      <c r="J71" s="8" t="e">
        <f>Table2[[#This Row],[السعر]]*Table2[[#This Row],[العدد]]</f>
        <v>#N/A</v>
      </c>
      <c r="K71" s="9" t="e">
        <f>SUM(Table2[[#This Row],[الاجمالي]],K70)</f>
        <v>#N/A</v>
      </c>
    </row>
    <row r="72" spans="1:11" ht="21" x14ac:dyDescent="0.3">
      <c r="A72" s="3"/>
      <c r="B72" s="3" t="s">
        <v>531</v>
      </c>
      <c r="C72" s="3">
        <v>24.25</v>
      </c>
      <c r="D72" s="3">
        <f t="shared" si="2"/>
        <v>24.25</v>
      </c>
      <c r="E72" s="3" t="s">
        <v>1385</v>
      </c>
      <c r="G72" s="7"/>
      <c r="H72" s="9"/>
      <c r="I72" s="5" t="e">
        <f t="shared" si="3"/>
        <v>#N/A</v>
      </c>
      <c r="J72" s="8" t="e">
        <f>Table2[[#This Row],[السعر]]*Table2[[#This Row],[العدد]]</f>
        <v>#N/A</v>
      </c>
      <c r="K72" s="9" t="e">
        <f>SUM(Table2[[#This Row],[الاجمالي]],K71)</f>
        <v>#N/A</v>
      </c>
    </row>
    <row r="73" spans="1:11" ht="21" x14ac:dyDescent="0.3">
      <c r="A73" s="3"/>
      <c r="B73" s="3" t="s">
        <v>532</v>
      </c>
      <c r="C73" s="3">
        <v>28.25</v>
      </c>
      <c r="D73" s="3">
        <f t="shared" si="2"/>
        <v>28.25</v>
      </c>
      <c r="E73" s="3" t="s">
        <v>1385</v>
      </c>
      <c r="G73" s="7"/>
      <c r="H73" s="9"/>
      <c r="I73" s="5" t="e">
        <f t="shared" si="3"/>
        <v>#N/A</v>
      </c>
      <c r="J73" s="8" t="e">
        <f>Table2[[#This Row],[السعر]]*Table2[[#This Row],[العدد]]</f>
        <v>#N/A</v>
      </c>
      <c r="K73" s="9" t="e">
        <f>SUM(Table2[[#This Row],[الاجمالي]],K72)</f>
        <v>#N/A</v>
      </c>
    </row>
    <row r="74" spans="1:11" ht="21" x14ac:dyDescent="0.3">
      <c r="A74" s="3"/>
      <c r="B74" s="3" t="s">
        <v>533</v>
      </c>
      <c r="C74" s="3">
        <v>15.25</v>
      </c>
      <c r="D74" s="3">
        <f t="shared" si="2"/>
        <v>15.25</v>
      </c>
      <c r="E74" s="3" t="s">
        <v>1385</v>
      </c>
      <c r="G74" s="7"/>
      <c r="H74" s="9"/>
      <c r="I74" s="5" t="e">
        <f t="shared" si="3"/>
        <v>#N/A</v>
      </c>
      <c r="J74" s="8" t="e">
        <f>Table2[[#This Row],[السعر]]*Table2[[#This Row],[العدد]]</f>
        <v>#N/A</v>
      </c>
      <c r="K74" s="9" t="e">
        <f>SUM(Table2[[#This Row],[الاجمالي]],K73)</f>
        <v>#N/A</v>
      </c>
    </row>
    <row r="75" spans="1:11" ht="21" x14ac:dyDescent="0.3">
      <c r="A75" s="3"/>
      <c r="B75" s="3" t="s">
        <v>534</v>
      </c>
      <c r="C75" s="3">
        <v>22.5</v>
      </c>
      <c r="D75" s="3">
        <f t="shared" si="2"/>
        <v>22.5</v>
      </c>
      <c r="E75" s="3" t="s">
        <v>1385</v>
      </c>
      <c r="G75" s="7"/>
      <c r="H75" s="9"/>
      <c r="I75" s="5" t="e">
        <f t="shared" si="3"/>
        <v>#N/A</v>
      </c>
      <c r="J75" s="8" t="e">
        <f>Table2[[#This Row],[السعر]]*Table2[[#This Row],[العدد]]</f>
        <v>#N/A</v>
      </c>
      <c r="K75" s="9" t="e">
        <f>SUM(Table2[[#This Row],[الاجمالي]],K74)</f>
        <v>#N/A</v>
      </c>
    </row>
    <row r="76" spans="1:11" ht="21" x14ac:dyDescent="0.3">
      <c r="A76" s="3"/>
      <c r="B76" s="3" t="s">
        <v>535</v>
      </c>
      <c r="C76" s="3">
        <v>45</v>
      </c>
      <c r="D76" s="3">
        <f t="shared" si="2"/>
        <v>45</v>
      </c>
      <c r="E76" s="3" t="s">
        <v>1385</v>
      </c>
      <c r="G76" s="7"/>
      <c r="H76" s="9"/>
      <c r="I76" s="5" t="e">
        <f t="shared" si="3"/>
        <v>#N/A</v>
      </c>
      <c r="J76" s="8" t="e">
        <f>Table2[[#This Row],[السعر]]*Table2[[#This Row],[العدد]]</f>
        <v>#N/A</v>
      </c>
      <c r="K76" s="9" t="e">
        <f>SUM(Table2[[#This Row],[الاجمالي]],K75)</f>
        <v>#N/A</v>
      </c>
    </row>
    <row r="77" spans="1:11" ht="21" x14ac:dyDescent="0.3">
      <c r="A77" s="3"/>
      <c r="B77" s="3" t="s">
        <v>536</v>
      </c>
      <c r="C77" s="3">
        <v>23.25</v>
      </c>
      <c r="D77" s="3">
        <f t="shared" si="2"/>
        <v>23.25</v>
      </c>
      <c r="E77" s="3" t="s">
        <v>1385</v>
      </c>
      <c r="G77" s="7"/>
      <c r="H77" s="9"/>
      <c r="I77" s="5" t="e">
        <f t="shared" si="3"/>
        <v>#N/A</v>
      </c>
      <c r="J77" s="8" t="e">
        <f>Table2[[#This Row],[السعر]]*Table2[[#This Row],[العدد]]</f>
        <v>#N/A</v>
      </c>
      <c r="K77" s="9" t="e">
        <f>SUM(Table2[[#This Row],[الاجمالي]],K76)</f>
        <v>#N/A</v>
      </c>
    </row>
    <row r="78" spans="1:11" ht="21" x14ac:dyDescent="0.3">
      <c r="A78" s="3"/>
      <c r="B78" s="3" t="s">
        <v>537</v>
      </c>
      <c r="C78" s="3">
        <v>39.75</v>
      </c>
      <c r="D78" s="3">
        <f t="shared" si="2"/>
        <v>39.75</v>
      </c>
      <c r="E78" s="3" t="s">
        <v>1385</v>
      </c>
      <c r="G78" s="7"/>
      <c r="H78" s="9"/>
      <c r="I78" s="5" t="e">
        <f t="shared" si="3"/>
        <v>#N/A</v>
      </c>
      <c r="J78" s="8" t="e">
        <f>Table2[[#This Row],[السعر]]*Table2[[#This Row],[العدد]]</f>
        <v>#N/A</v>
      </c>
      <c r="K78" s="9" t="e">
        <f>SUM(Table2[[#This Row],[الاجمالي]],K77)</f>
        <v>#N/A</v>
      </c>
    </row>
    <row r="79" spans="1:11" ht="21" x14ac:dyDescent="0.3">
      <c r="A79" s="3"/>
      <c r="B79" s="3" t="s">
        <v>538</v>
      </c>
      <c r="C79" s="3">
        <v>54.5</v>
      </c>
      <c r="D79" s="3">
        <f t="shared" si="2"/>
        <v>54.5</v>
      </c>
      <c r="E79" s="3" t="s">
        <v>1385</v>
      </c>
      <c r="G79" s="7"/>
      <c r="H79" s="9"/>
      <c r="I79" s="5" t="e">
        <f t="shared" si="3"/>
        <v>#N/A</v>
      </c>
      <c r="J79" s="8" t="e">
        <f>Table2[[#This Row],[السعر]]*Table2[[#This Row],[العدد]]</f>
        <v>#N/A</v>
      </c>
      <c r="K79" s="9" t="e">
        <f>SUM(Table2[[#This Row],[الاجمالي]],K78)</f>
        <v>#N/A</v>
      </c>
    </row>
    <row r="80" spans="1:11" ht="21" x14ac:dyDescent="0.3">
      <c r="A80" s="3"/>
      <c r="B80" s="3" t="s">
        <v>539</v>
      </c>
      <c r="C80" s="3">
        <v>45.25</v>
      </c>
      <c r="D80" s="3">
        <f t="shared" si="2"/>
        <v>45.25</v>
      </c>
      <c r="E80" s="3" t="s">
        <v>1385</v>
      </c>
      <c r="G80" s="7"/>
      <c r="H80" s="9"/>
      <c r="I80" s="5" t="e">
        <f t="shared" si="3"/>
        <v>#N/A</v>
      </c>
      <c r="J80" s="8" t="e">
        <f>Table2[[#This Row],[السعر]]*Table2[[#This Row],[العدد]]</f>
        <v>#N/A</v>
      </c>
      <c r="K80" s="9" t="e">
        <f>SUM(Table2[[#This Row],[الاجمالي]],K79)</f>
        <v>#N/A</v>
      </c>
    </row>
    <row r="81" spans="1:11" ht="21" x14ac:dyDescent="0.3">
      <c r="A81" s="3"/>
      <c r="B81" s="3" t="s">
        <v>540</v>
      </c>
      <c r="C81" s="3">
        <v>36.5</v>
      </c>
      <c r="D81" s="3">
        <f t="shared" si="2"/>
        <v>36.5</v>
      </c>
      <c r="E81" s="3" t="s">
        <v>1385</v>
      </c>
      <c r="G81" s="7"/>
      <c r="H81" s="9"/>
      <c r="I81" s="5" t="e">
        <f t="shared" si="3"/>
        <v>#N/A</v>
      </c>
      <c r="J81" s="8" t="e">
        <f>Table2[[#This Row],[السعر]]*Table2[[#This Row],[العدد]]</f>
        <v>#N/A</v>
      </c>
      <c r="K81" s="9" t="e">
        <f>SUM(Table2[[#This Row],[الاجمالي]],K80)</f>
        <v>#N/A</v>
      </c>
    </row>
    <row r="82" spans="1:11" ht="21" x14ac:dyDescent="0.3">
      <c r="A82" s="3"/>
      <c r="B82" s="3" t="s">
        <v>541</v>
      </c>
      <c r="C82" s="3">
        <v>61</v>
      </c>
      <c r="D82" s="3">
        <f t="shared" si="2"/>
        <v>61</v>
      </c>
      <c r="E82" s="3" t="s">
        <v>1385</v>
      </c>
      <c r="G82" s="7"/>
      <c r="H82" s="9"/>
      <c r="I82" s="5" t="e">
        <f t="shared" si="3"/>
        <v>#N/A</v>
      </c>
      <c r="J82" s="8" t="e">
        <f>Table2[[#This Row],[السعر]]*Table2[[#This Row],[العدد]]</f>
        <v>#N/A</v>
      </c>
      <c r="K82" s="9" t="e">
        <f>SUM(Table2[[#This Row],[الاجمالي]],K81)</f>
        <v>#N/A</v>
      </c>
    </row>
    <row r="83" spans="1:11" ht="21" x14ac:dyDescent="0.3">
      <c r="A83" s="3"/>
      <c r="B83" s="3" t="s">
        <v>542</v>
      </c>
      <c r="C83" s="3">
        <v>21.5</v>
      </c>
      <c r="D83" s="3">
        <f t="shared" si="2"/>
        <v>21.5</v>
      </c>
      <c r="E83" s="3" t="s">
        <v>1385</v>
      </c>
      <c r="G83" s="7"/>
      <c r="H83" s="9"/>
      <c r="I83" s="5" t="e">
        <f t="shared" si="3"/>
        <v>#N/A</v>
      </c>
      <c r="J83" s="8" t="e">
        <f>Table2[[#This Row],[السعر]]*Table2[[#This Row],[العدد]]</f>
        <v>#N/A</v>
      </c>
      <c r="K83" s="9" t="e">
        <f>SUM(Table2[[#This Row],[الاجمالي]],K82)</f>
        <v>#N/A</v>
      </c>
    </row>
    <row r="84" spans="1:11" ht="21" x14ac:dyDescent="0.3">
      <c r="A84" s="3"/>
      <c r="B84" s="3" t="s">
        <v>543</v>
      </c>
      <c r="C84" s="3">
        <v>28.25</v>
      </c>
      <c r="D84" s="3">
        <f t="shared" si="2"/>
        <v>28.25</v>
      </c>
      <c r="E84" s="3" t="s">
        <v>1385</v>
      </c>
      <c r="G84" s="7"/>
      <c r="H84" s="9"/>
      <c r="I84" s="5" t="e">
        <f t="shared" si="3"/>
        <v>#N/A</v>
      </c>
      <c r="J84" s="8" t="e">
        <f>Table2[[#This Row],[السعر]]*Table2[[#This Row],[العدد]]</f>
        <v>#N/A</v>
      </c>
      <c r="K84" s="9" t="e">
        <f>SUM(Table2[[#This Row],[الاجمالي]],K83)</f>
        <v>#N/A</v>
      </c>
    </row>
    <row r="85" spans="1:11" ht="21" x14ac:dyDescent="0.3">
      <c r="A85" s="3"/>
      <c r="B85" s="3" t="s">
        <v>544</v>
      </c>
      <c r="C85" s="3">
        <v>56.75</v>
      </c>
      <c r="D85" s="3">
        <f t="shared" si="2"/>
        <v>56.75</v>
      </c>
      <c r="E85" s="3" t="s">
        <v>1385</v>
      </c>
      <c r="G85" s="7"/>
      <c r="H85" s="9"/>
      <c r="I85" s="5" t="e">
        <f t="shared" si="3"/>
        <v>#N/A</v>
      </c>
      <c r="J85" s="8" t="e">
        <f>Table2[[#This Row],[السعر]]*Table2[[#This Row],[العدد]]</f>
        <v>#N/A</v>
      </c>
      <c r="K85" s="9" t="e">
        <f>SUM(Table2[[#This Row],[الاجمالي]],K84)</f>
        <v>#N/A</v>
      </c>
    </row>
    <row r="86" spans="1:11" ht="21" x14ac:dyDescent="0.3">
      <c r="A86" s="3"/>
      <c r="B86" s="3" t="s">
        <v>545</v>
      </c>
      <c r="C86" s="3">
        <v>80.25</v>
      </c>
      <c r="D86" s="3">
        <f t="shared" si="2"/>
        <v>80.25</v>
      </c>
      <c r="E86" s="3" t="s">
        <v>1385</v>
      </c>
      <c r="G86" s="7"/>
      <c r="H86" s="9"/>
      <c r="I86" s="5" t="e">
        <f t="shared" si="3"/>
        <v>#N/A</v>
      </c>
      <c r="J86" s="8" t="e">
        <f>Table2[[#This Row],[السعر]]*Table2[[#This Row],[العدد]]</f>
        <v>#N/A</v>
      </c>
      <c r="K86" s="9" t="e">
        <f>SUM(Table2[[#This Row],[الاجمالي]],K85)</f>
        <v>#N/A</v>
      </c>
    </row>
    <row r="87" spans="1:11" ht="21" x14ac:dyDescent="0.3">
      <c r="A87" s="3"/>
      <c r="B87" s="3" t="s">
        <v>546</v>
      </c>
      <c r="C87" s="3">
        <v>132.5</v>
      </c>
      <c r="D87" s="3">
        <f t="shared" si="2"/>
        <v>132.5</v>
      </c>
      <c r="E87" s="3" t="s">
        <v>1385</v>
      </c>
      <c r="G87" s="7"/>
      <c r="H87" s="9"/>
      <c r="I87" s="5" t="e">
        <f t="shared" si="3"/>
        <v>#N/A</v>
      </c>
      <c r="J87" s="8" t="e">
        <f>Table2[[#This Row],[السعر]]*Table2[[#This Row],[العدد]]</f>
        <v>#N/A</v>
      </c>
      <c r="K87" s="9" t="e">
        <f>SUM(Table2[[#This Row],[الاجمالي]],K86)</f>
        <v>#N/A</v>
      </c>
    </row>
    <row r="88" spans="1:11" ht="21" x14ac:dyDescent="0.3">
      <c r="A88" s="3"/>
      <c r="B88" s="3" t="s">
        <v>547</v>
      </c>
      <c r="C88" s="3">
        <v>29</v>
      </c>
      <c r="D88" s="3">
        <f t="shared" si="2"/>
        <v>29</v>
      </c>
      <c r="E88" s="3" t="s">
        <v>1385</v>
      </c>
      <c r="G88" s="7"/>
      <c r="H88" s="9"/>
      <c r="I88" s="5" t="e">
        <f t="shared" si="3"/>
        <v>#N/A</v>
      </c>
      <c r="J88" s="8" t="e">
        <f>Table2[[#This Row],[السعر]]*Table2[[#This Row],[العدد]]</f>
        <v>#N/A</v>
      </c>
      <c r="K88" s="9" t="e">
        <f>SUM(Table2[[#This Row],[الاجمالي]],K87)</f>
        <v>#N/A</v>
      </c>
    </row>
    <row r="89" spans="1:11" ht="21" x14ac:dyDescent="0.3">
      <c r="A89" s="3"/>
      <c r="B89" s="3" t="s">
        <v>548</v>
      </c>
      <c r="C89" s="3">
        <v>55.5</v>
      </c>
      <c r="D89" s="3">
        <f t="shared" si="2"/>
        <v>55.5</v>
      </c>
      <c r="E89" s="3" t="s">
        <v>1385</v>
      </c>
      <c r="G89" s="7"/>
      <c r="H89" s="9"/>
      <c r="I89" s="5" t="e">
        <f t="shared" si="3"/>
        <v>#N/A</v>
      </c>
      <c r="J89" s="8" t="e">
        <f>Table2[[#This Row],[السعر]]*Table2[[#This Row],[العدد]]</f>
        <v>#N/A</v>
      </c>
      <c r="K89" s="9" t="e">
        <f>SUM(Table2[[#This Row],[الاجمالي]],K88)</f>
        <v>#N/A</v>
      </c>
    </row>
    <row r="90" spans="1:11" ht="21" x14ac:dyDescent="0.3">
      <c r="A90" s="3"/>
      <c r="B90" s="3" t="s">
        <v>549</v>
      </c>
      <c r="C90" s="3">
        <v>80</v>
      </c>
      <c r="D90" s="3">
        <f t="shared" si="2"/>
        <v>80</v>
      </c>
      <c r="E90" s="3" t="s">
        <v>1385</v>
      </c>
      <c r="G90" s="7"/>
      <c r="H90" s="9"/>
      <c r="I90" s="5" t="e">
        <f t="shared" si="3"/>
        <v>#N/A</v>
      </c>
      <c r="J90" s="8" t="e">
        <f>Table2[[#This Row],[السعر]]*Table2[[#This Row],[العدد]]</f>
        <v>#N/A</v>
      </c>
      <c r="K90" s="9" t="e">
        <f>SUM(Table2[[#This Row],[الاجمالي]],K89)</f>
        <v>#N/A</v>
      </c>
    </row>
    <row r="91" spans="1:11" ht="21" x14ac:dyDescent="0.3">
      <c r="A91" s="3"/>
      <c r="B91" s="3" t="s">
        <v>550</v>
      </c>
      <c r="C91" s="3">
        <v>131.25</v>
      </c>
      <c r="D91" s="3">
        <f t="shared" si="2"/>
        <v>131.25</v>
      </c>
      <c r="E91" s="3" t="s">
        <v>1385</v>
      </c>
      <c r="G91" s="7"/>
      <c r="H91" s="9"/>
      <c r="I91" s="5" t="e">
        <f t="shared" si="3"/>
        <v>#N/A</v>
      </c>
      <c r="J91" s="8" t="e">
        <f>Table2[[#This Row],[السعر]]*Table2[[#This Row],[العدد]]</f>
        <v>#N/A</v>
      </c>
      <c r="K91" s="9" t="e">
        <f>SUM(Table2[[#This Row],[الاجمالي]],K90)</f>
        <v>#N/A</v>
      </c>
    </row>
    <row r="92" spans="1:11" ht="21" x14ac:dyDescent="0.3">
      <c r="A92" s="3"/>
      <c r="B92" s="3" t="s">
        <v>551</v>
      </c>
      <c r="C92" s="3">
        <v>55.5</v>
      </c>
      <c r="D92" s="3">
        <f t="shared" si="2"/>
        <v>55.5</v>
      </c>
      <c r="E92" s="3" t="s">
        <v>1385</v>
      </c>
      <c r="G92" s="7"/>
      <c r="H92" s="9"/>
      <c r="I92" s="5" t="e">
        <f t="shared" si="3"/>
        <v>#N/A</v>
      </c>
      <c r="J92" s="8" t="e">
        <f>Table2[[#This Row],[السعر]]*Table2[[#This Row],[العدد]]</f>
        <v>#N/A</v>
      </c>
      <c r="K92" s="9" t="e">
        <f>SUM(Table2[[#This Row],[الاجمالي]],K91)</f>
        <v>#N/A</v>
      </c>
    </row>
    <row r="93" spans="1:11" ht="21" x14ac:dyDescent="0.3">
      <c r="A93" s="3"/>
      <c r="B93" s="3" t="s">
        <v>552</v>
      </c>
      <c r="C93" s="3">
        <v>80.25</v>
      </c>
      <c r="D93" s="3">
        <f t="shared" si="2"/>
        <v>80.25</v>
      </c>
      <c r="E93" s="3" t="s">
        <v>1385</v>
      </c>
      <c r="G93" s="7"/>
      <c r="H93" s="9"/>
      <c r="I93" s="5" t="e">
        <f t="shared" si="3"/>
        <v>#N/A</v>
      </c>
      <c r="J93" s="8" t="e">
        <f>Table2[[#This Row],[السعر]]*Table2[[#This Row],[العدد]]</f>
        <v>#N/A</v>
      </c>
      <c r="K93" s="9" t="e">
        <f>SUM(Table2[[#This Row],[الاجمالي]],K92)</f>
        <v>#N/A</v>
      </c>
    </row>
    <row r="94" spans="1:11" ht="21" x14ac:dyDescent="0.3">
      <c r="A94" s="3"/>
      <c r="B94" s="3" t="s">
        <v>553</v>
      </c>
      <c r="C94" s="3">
        <v>130</v>
      </c>
      <c r="D94" s="3">
        <f t="shared" si="2"/>
        <v>130</v>
      </c>
      <c r="E94" s="3" t="s">
        <v>1385</v>
      </c>
      <c r="G94" s="7"/>
      <c r="H94" s="9"/>
      <c r="I94" s="5" t="e">
        <f t="shared" si="3"/>
        <v>#N/A</v>
      </c>
      <c r="J94" s="8" t="e">
        <f>Table2[[#This Row],[السعر]]*Table2[[#This Row],[العدد]]</f>
        <v>#N/A</v>
      </c>
      <c r="K94" s="9" t="e">
        <f>SUM(Table2[[#This Row],[الاجمالي]],K93)</f>
        <v>#N/A</v>
      </c>
    </row>
    <row r="95" spans="1:11" ht="21" x14ac:dyDescent="0.3">
      <c r="A95" s="3"/>
      <c r="B95" s="3" t="s">
        <v>554</v>
      </c>
      <c r="C95" s="3">
        <v>80.75</v>
      </c>
      <c r="D95" s="3">
        <f t="shared" si="2"/>
        <v>80.75</v>
      </c>
      <c r="E95" s="3" t="s">
        <v>1385</v>
      </c>
      <c r="G95" s="7"/>
      <c r="H95" s="9"/>
      <c r="I95" s="5" t="e">
        <f t="shared" si="3"/>
        <v>#N/A</v>
      </c>
      <c r="J95" s="8" t="e">
        <f>Table2[[#This Row],[السعر]]*Table2[[#This Row],[العدد]]</f>
        <v>#N/A</v>
      </c>
      <c r="K95" s="9" t="e">
        <f>SUM(Table2[[#This Row],[الاجمالي]],K94)</f>
        <v>#N/A</v>
      </c>
    </row>
    <row r="96" spans="1:11" ht="21" x14ac:dyDescent="0.3">
      <c r="A96" s="3"/>
      <c r="B96" s="3" t="s">
        <v>555</v>
      </c>
      <c r="C96" s="3">
        <v>132</v>
      </c>
      <c r="D96" s="3">
        <f t="shared" si="2"/>
        <v>132</v>
      </c>
      <c r="E96" s="3" t="s">
        <v>1385</v>
      </c>
      <c r="G96" s="7"/>
      <c r="H96" s="9"/>
      <c r="I96" s="5" t="e">
        <f t="shared" si="3"/>
        <v>#N/A</v>
      </c>
      <c r="J96" s="8" t="e">
        <f>Table2[[#This Row],[السعر]]*Table2[[#This Row],[العدد]]</f>
        <v>#N/A</v>
      </c>
      <c r="K96" s="9" t="e">
        <f>SUM(Table2[[#This Row],[الاجمالي]],K95)</f>
        <v>#N/A</v>
      </c>
    </row>
    <row r="97" spans="1:11" ht="21" x14ac:dyDescent="0.3">
      <c r="A97" s="3"/>
      <c r="B97" s="3" t="s">
        <v>556</v>
      </c>
      <c r="C97" s="3">
        <v>132</v>
      </c>
      <c r="D97" s="3">
        <f t="shared" si="2"/>
        <v>132</v>
      </c>
      <c r="E97" s="3" t="s">
        <v>1385</v>
      </c>
      <c r="G97" s="7"/>
      <c r="H97" s="9"/>
      <c r="I97" s="5" t="e">
        <f t="shared" si="3"/>
        <v>#N/A</v>
      </c>
      <c r="J97" s="8" t="e">
        <f>Table2[[#This Row],[السعر]]*Table2[[#This Row],[العدد]]</f>
        <v>#N/A</v>
      </c>
      <c r="K97" s="9" t="e">
        <f>SUM(Table2[[#This Row],[الاجمالي]],K96)</f>
        <v>#N/A</v>
      </c>
    </row>
    <row r="98" spans="1:11" ht="21" x14ac:dyDescent="0.3">
      <c r="A98" s="3"/>
      <c r="B98" s="3" t="s">
        <v>557</v>
      </c>
      <c r="C98" s="3">
        <v>190</v>
      </c>
      <c r="D98" s="3">
        <f t="shared" si="2"/>
        <v>190</v>
      </c>
      <c r="E98" s="3" t="s">
        <v>1385</v>
      </c>
      <c r="G98" s="7"/>
      <c r="H98" s="9"/>
      <c r="I98" s="5" t="e">
        <f t="shared" si="3"/>
        <v>#N/A</v>
      </c>
      <c r="J98" s="8" t="e">
        <f>Table2[[#This Row],[السعر]]*Table2[[#This Row],[العدد]]</f>
        <v>#N/A</v>
      </c>
      <c r="K98" s="9" t="e">
        <f>SUM(Table2[[#This Row],[الاجمالي]],K97)</f>
        <v>#N/A</v>
      </c>
    </row>
    <row r="99" spans="1:11" ht="21" x14ac:dyDescent="0.3">
      <c r="A99" s="3"/>
      <c r="B99" s="3" t="s">
        <v>558</v>
      </c>
      <c r="C99" s="3">
        <v>190</v>
      </c>
      <c r="D99" s="3">
        <f t="shared" si="2"/>
        <v>190</v>
      </c>
      <c r="E99" s="3" t="s">
        <v>1385</v>
      </c>
      <c r="G99" s="7"/>
      <c r="H99" s="9"/>
      <c r="I99" s="5" t="e">
        <f t="shared" si="3"/>
        <v>#N/A</v>
      </c>
      <c r="J99" s="8" t="e">
        <f>Table2[[#This Row],[السعر]]*Table2[[#This Row],[العدد]]</f>
        <v>#N/A</v>
      </c>
      <c r="K99" s="9" t="e">
        <f>SUM(Table2[[#This Row],[الاجمالي]],K98)</f>
        <v>#N/A</v>
      </c>
    </row>
    <row r="100" spans="1:11" ht="21" x14ac:dyDescent="0.3">
      <c r="A100" s="3"/>
      <c r="B100" s="3" t="s">
        <v>559</v>
      </c>
      <c r="C100" s="3">
        <v>253.5</v>
      </c>
      <c r="D100" s="3">
        <f t="shared" si="2"/>
        <v>253.5</v>
      </c>
      <c r="E100" s="3" t="s">
        <v>1385</v>
      </c>
      <c r="G100" s="7"/>
      <c r="H100" s="9"/>
      <c r="I100" s="5" t="e">
        <f t="shared" si="3"/>
        <v>#N/A</v>
      </c>
      <c r="J100" s="8" t="e">
        <f>Table2[[#This Row],[السعر]]*Table2[[#This Row],[العدد]]</f>
        <v>#N/A</v>
      </c>
      <c r="K100" s="9" t="e">
        <f>SUM(Table2[[#This Row],[الاجمالي]],K99)</f>
        <v>#N/A</v>
      </c>
    </row>
    <row r="101" spans="1:11" ht="21" x14ac:dyDescent="0.3">
      <c r="A101" s="3"/>
      <c r="B101" s="3" t="s">
        <v>560</v>
      </c>
      <c r="C101" s="3">
        <v>253.5</v>
      </c>
      <c r="D101" s="3">
        <f t="shared" si="2"/>
        <v>253.5</v>
      </c>
      <c r="E101" s="3" t="s">
        <v>1385</v>
      </c>
      <c r="G101" s="7"/>
      <c r="H101" s="9"/>
      <c r="I101" s="5" t="e">
        <f t="shared" si="3"/>
        <v>#N/A</v>
      </c>
      <c r="J101" s="8" t="e">
        <f>Table2[[#This Row],[السعر]]*Table2[[#This Row],[العدد]]</f>
        <v>#N/A</v>
      </c>
      <c r="K101" s="9" t="e">
        <f>SUM(Table2[[#This Row],[الاجمالي]],K100)</f>
        <v>#N/A</v>
      </c>
    </row>
    <row r="102" spans="1:11" ht="21" x14ac:dyDescent="0.3">
      <c r="A102" s="3"/>
      <c r="B102" s="3" t="s">
        <v>561</v>
      </c>
      <c r="C102" s="3">
        <v>622.75</v>
      </c>
      <c r="D102" s="3">
        <f t="shared" si="2"/>
        <v>622.75</v>
      </c>
      <c r="E102" s="3" t="s">
        <v>1385</v>
      </c>
      <c r="G102" s="7"/>
      <c r="H102" s="9"/>
      <c r="I102" s="5" t="e">
        <f t="shared" si="3"/>
        <v>#N/A</v>
      </c>
      <c r="J102" s="8" t="e">
        <f>Table2[[#This Row],[السعر]]*Table2[[#This Row],[العدد]]</f>
        <v>#N/A</v>
      </c>
      <c r="K102" s="9" t="e">
        <f>SUM(Table2[[#This Row],[الاجمالي]],K101)</f>
        <v>#N/A</v>
      </c>
    </row>
    <row r="103" spans="1:11" ht="21" x14ac:dyDescent="0.3">
      <c r="A103" s="3"/>
      <c r="B103" s="3" t="s">
        <v>562</v>
      </c>
      <c r="C103" s="3">
        <v>622.75</v>
      </c>
      <c r="D103" s="3">
        <f t="shared" si="2"/>
        <v>622.75</v>
      </c>
      <c r="E103" s="3" t="s">
        <v>1385</v>
      </c>
      <c r="G103" s="7"/>
      <c r="H103" s="9"/>
      <c r="I103" s="5" t="e">
        <f t="shared" si="3"/>
        <v>#N/A</v>
      </c>
      <c r="J103" s="8" t="e">
        <f>Table2[[#This Row],[السعر]]*Table2[[#This Row],[العدد]]</f>
        <v>#N/A</v>
      </c>
      <c r="K103" s="9" t="e">
        <f>SUM(Table2[[#This Row],[الاجمالي]],K102)</f>
        <v>#N/A</v>
      </c>
    </row>
    <row r="104" spans="1:11" ht="21" x14ac:dyDescent="0.3">
      <c r="A104" s="3"/>
      <c r="B104" s="3" t="s">
        <v>563</v>
      </c>
      <c r="C104" s="3">
        <v>670.25</v>
      </c>
      <c r="D104" s="3">
        <f t="shared" si="2"/>
        <v>670.25</v>
      </c>
      <c r="E104" s="3" t="s">
        <v>1385</v>
      </c>
      <c r="G104" s="7"/>
      <c r="H104" s="9"/>
      <c r="I104" s="5" t="e">
        <f t="shared" si="3"/>
        <v>#N/A</v>
      </c>
      <c r="J104" s="8" t="e">
        <f>Table2[[#This Row],[السعر]]*Table2[[#This Row],[العدد]]</f>
        <v>#N/A</v>
      </c>
      <c r="K104" s="9" t="e">
        <f>SUM(Table2[[#This Row],[الاجمالي]],K103)</f>
        <v>#N/A</v>
      </c>
    </row>
    <row r="105" spans="1:11" ht="21" x14ac:dyDescent="0.3">
      <c r="A105" s="3"/>
      <c r="B105" s="3" t="s">
        <v>564</v>
      </c>
      <c r="C105" s="3">
        <v>1747.75</v>
      </c>
      <c r="D105" s="3">
        <f t="shared" si="2"/>
        <v>1747.75</v>
      </c>
      <c r="E105" s="3" t="s">
        <v>1385</v>
      </c>
      <c r="G105" s="17"/>
      <c r="H105" s="18"/>
      <c r="I105" s="5" t="e">
        <f t="shared" si="3"/>
        <v>#N/A</v>
      </c>
      <c r="J105" s="8" t="e">
        <f>Table2[[#This Row],[السعر]]*Table2[[#This Row],[العدد]]</f>
        <v>#N/A</v>
      </c>
      <c r="K105" s="9" t="e">
        <f>SUM(Table2[[#This Row],[الاجمالي]],K104)</f>
        <v>#N/A</v>
      </c>
    </row>
    <row r="106" spans="1:11" ht="18" x14ac:dyDescent="0.3">
      <c r="A106" s="3"/>
      <c r="B106" s="3" t="s">
        <v>565</v>
      </c>
      <c r="C106" s="3">
        <v>20.75</v>
      </c>
      <c r="D106" s="3">
        <f t="shared" si="2"/>
        <v>20.75</v>
      </c>
      <c r="E106" s="3" t="s">
        <v>1385</v>
      </c>
      <c r="G106" s="20"/>
      <c r="H106" s="20"/>
      <c r="I106" s="20"/>
      <c r="J106" s="20"/>
      <c r="K106" s="20"/>
    </row>
    <row r="107" spans="1:11" ht="18" x14ac:dyDescent="0.3">
      <c r="A107" s="3"/>
      <c r="B107" s="3" t="s">
        <v>566</v>
      </c>
      <c r="C107" s="3">
        <v>26.75</v>
      </c>
      <c r="D107" s="3">
        <f t="shared" si="2"/>
        <v>26.75</v>
      </c>
      <c r="E107" s="3" t="s">
        <v>1385</v>
      </c>
      <c r="G107" s="3"/>
      <c r="H107" s="3"/>
      <c r="I107" s="3"/>
      <c r="J107" s="3"/>
    </row>
    <row r="108" spans="1:11" ht="18" x14ac:dyDescent="0.3">
      <c r="A108" s="3"/>
      <c r="B108" s="3" t="s">
        <v>567</v>
      </c>
      <c r="C108" s="3">
        <v>48.5</v>
      </c>
      <c r="D108" s="3">
        <f t="shared" si="2"/>
        <v>48.5</v>
      </c>
      <c r="E108" s="3" t="s">
        <v>1385</v>
      </c>
      <c r="G108" s="3"/>
      <c r="H108" s="3"/>
      <c r="I108" s="3"/>
      <c r="J108" s="3"/>
    </row>
    <row r="109" spans="1:11" ht="18" x14ac:dyDescent="0.3">
      <c r="A109" s="3"/>
      <c r="B109" s="3" t="s">
        <v>568</v>
      </c>
      <c r="C109" s="3">
        <v>95.5</v>
      </c>
      <c r="D109" s="3">
        <f t="shared" si="2"/>
        <v>95.5</v>
      </c>
      <c r="E109" s="3" t="s">
        <v>1385</v>
      </c>
      <c r="G109" s="3"/>
      <c r="H109" s="3"/>
      <c r="I109" s="3"/>
      <c r="J109" s="3"/>
    </row>
    <row r="110" spans="1:11" ht="18" x14ac:dyDescent="0.3">
      <c r="A110" s="3"/>
      <c r="B110" s="3" t="s">
        <v>569</v>
      </c>
      <c r="C110" s="3">
        <v>153</v>
      </c>
      <c r="D110" s="3">
        <f t="shared" si="2"/>
        <v>153</v>
      </c>
      <c r="E110" s="3" t="s">
        <v>1385</v>
      </c>
      <c r="G110" s="3"/>
      <c r="H110" s="3"/>
      <c r="I110" s="3"/>
      <c r="J110" s="3"/>
    </row>
    <row r="111" spans="1:11" ht="18" x14ac:dyDescent="0.3">
      <c r="A111" s="3"/>
      <c r="B111" s="3" t="s">
        <v>570</v>
      </c>
      <c r="C111" s="3">
        <v>220.75</v>
      </c>
      <c r="D111" s="3">
        <f t="shared" si="2"/>
        <v>220.75</v>
      </c>
      <c r="E111" s="3" t="s">
        <v>1385</v>
      </c>
      <c r="G111" s="3"/>
      <c r="H111" s="3"/>
      <c r="I111" s="3"/>
      <c r="J111" s="3"/>
    </row>
    <row r="112" spans="1:11" ht="18" x14ac:dyDescent="0.3">
      <c r="A112" s="3"/>
      <c r="B112" s="3" t="s">
        <v>571</v>
      </c>
      <c r="C112" s="3">
        <v>348.5</v>
      </c>
      <c r="D112" s="3">
        <f t="shared" si="2"/>
        <v>348.5</v>
      </c>
      <c r="E112" s="3" t="s">
        <v>1385</v>
      </c>
      <c r="G112" s="3"/>
      <c r="H112" s="3"/>
      <c r="I112" s="3"/>
      <c r="J112" s="3"/>
    </row>
    <row r="113" spans="1:10" ht="18" x14ac:dyDescent="0.3">
      <c r="A113" s="3"/>
      <c r="B113" s="3" t="s">
        <v>572</v>
      </c>
      <c r="C113" s="3">
        <v>667.25</v>
      </c>
      <c r="D113" s="3">
        <f t="shared" si="2"/>
        <v>667.25</v>
      </c>
      <c r="E113" s="3" t="s">
        <v>1385</v>
      </c>
      <c r="G113" s="3"/>
      <c r="H113" s="3"/>
      <c r="I113" s="3"/>
      <c r="J113" s="3"/>
    </row>
    <row r="114" spans="1:10" ht="18" x14ac:dyDescent="0.3">
      <c r="A114" s="3"/>
      <c r="B114" s="3" t="s">
        <v>573</v>
      </c>
      <c r="C114" s="3">
        <v>1031</v>
      </c>
      <c r="D114" s="3">
        <f t="shared" si="2"/>
        <v>1031</v>
      </c>
      <c r="E114" s="3" t="s">
        <v>1385</v>
      </c>
      <c r="G114" s="3"/>
      <c r="H114" s="3"/>
      <c r="I114" s="3"/>
      <c r="J114" s="3"/>
    </row>
    <row r="115" spans="1:10" ht="18" x14ac:dyDescent="0.3">
      <c r="A115" s="3"/>
      <c r="B115" s="3" t="s">
        <v>574</v>
      </c>
      <c r="C115" s="3">
        <v>2865.25</v>
      </c>
      <c r="D115" s="3">
        <f t="shared" si="2"/>
        <v>2865.25</v>
      </c>
      <c r="E115" s="3" t="s">
        <v>1385</v>
      </c>
    </row>
    <row r="116" spans="1:10" ht="18" x14ac:dyDescent="0.3">
      <c r="A116" s="3"/>
      <c r="B116" s="3" t="s">
        <v>575</v>
      </c>
      <c r="C116" s="3">
        <v>38.25</v>
      </c>
      <c r="D116" s="3">
        <f t="shared" si="2"/>
        <v>38.25</v>
      </c>
      <c r="E116" s="3" t="s">
        <v>1385</v>
      </c>
    </row>
    <row r="117" spans="1:10" ht="18" x14ac:dyDescent="0.3">
      <c r="A117" s="3"/>
      <c r="B117" s="3" t="s">
        <v>576</v>
      </c>
      <c r="C117" s="3">
        <v>82.25</v>
      </c>
      <c r="D117" s="3">
        <f t="shared" si="2"/>
        <v>82.25</v>
      </c>
      <c r="E117" s="3" t="s">
        <v>1385</v>
      </c>
    </row>
    <row r="118" spans="1:10" ht="18" x14ac:dyDescent="0.3">
      <c r="A118" s="3"/>
      <c r="B118" s="3" t="s">
        <v>577</v>
      </c>
      <c r="C118" s="3">
        <v>86.75</v>
      </c>
      <c r="D118" s="3">
        <f t="shared" si="2"/>
        <v>86.75</v>
      </c>
      <c r="E118" s="3" t="s">
        <v>1385</v>
      </c>
    </row>
    <row r="119" spans="1:10" ht="18" x14ac:dyDescent="0.3">
      <c r="A119" s="3"/>
      <c r="B119" s="3" t="s">
        <v>578</v>
      </c>
      <c r="C119" s="3">
        <v>28</v>
      </c>
      <c r="D119" s="3">
        <f t="shared" si="2"/>
        <v>28</v>
      </c>
      <c r="E119" s="3" t="s">
        <v>1385</v>
      </c>
    </row>
    <row r="120" spans="1:10" ht="18" x14ac:dyDescent="0.3">
      <c r="A120" s="3"/>
      <c r="B120" s="3" t="s">
        <v>579</v>
      </c>
      <c r="C120" s="3">
        <v>41.75</v>
      </c>
      <c r="D120" s="3">
        <f t="shared" si="2"/>
        <v>41.75</v>
      </c>
      <c r="E120" s="3" t="s">
        <v>1385</v>
      </c>
    </row>
    <row r="121" spans="1:10" ht="18" x14ac:dyDescent="0.3">
      <c r="A121" s="3"/>
      <c r="B121" s="3" t="s">
        <v>580</v>
      </c>
      <c r="C121" s="3">
        <v>64.75</v>
      </c>
      <c r="D121" s="3">
        <f t="shared" si="2"/>
        <v>64.75</v>
      </c>
      <c r="E121" s="3" t="s">
        <v>1385</v>
      </c>
    </row>
    <row r="122" spans="1:10" ht="18" x14ac:dyDescent="0.3">
      <c r="A122" s="3"/>
      <c r="B122" s="3" t="s">
        <v>581</v>
      </c>
      <c r="C122" s="3">
        <v>62</v>
      </c>
      <c r="D122" s="3">
        <f t="shared" si="2"/>
        <v>62</v>
      </c>
      <c r="E122" s="3" t="s">
        <v>1385</v>
      </c>
    </row>
    <row r="123" spans="1:10" ht="18" x14ac:dyDescent="0.3">
      <c r="A123" s="3"/>
      <c r="B123" s="3" t="s">
        <v>582</v>
      </c>
      <c r="C123" s="3">
        <v>110</v>
      </c>
      <c r="D123" s="3">
        <f t="shared" si="2"/>
        <v>110</v>
      </c>
      <c r="E123" s="3" t="s">
        <v>1385</v>
      </c>
    </row>
    <row r="124" spans="1:10" ht="18" x14ac:dyDescent="0.3">
      <c r="A124" s="3"/>
      <c r="B124" s="3" t="s">
        <v>583</v>
      </c>
      <c r="C124" s="3">
        <v>110</v>
      </c>
      <c r="D124" s="3">
        <f t="shared" si="2"/>
        <v>110</v>
      </c>
      <c r="E124" s="3" t="s">
        <v>1385</v>
      </c>
    </row>
    <row r="125" spans="1:10" ht="18" x14ac:dyDescent="0.3">
      <c r="A125" s="3"/>
      <c r="B125" s="3" t="s">
        <v>584</v>
      </c>
      <c r="C125" s="3">
        <v>110</v>
      </c>
      <c r="D125" s="3">
        <f t="shared" si="2"/>
        <v>110</v>
      </c>
      <c r="E125" s="3" t="s">
        <v>1385</v>
      </c>
    </row>
    <row r="126" spans="1:10" ht="18" x14ac:dyDescent="0.3">
      <c r="A126" s="3"/>
      <c r="B126" s="3" t="s">
        <v>585</v>
      </c>
      <c r="C126" s="3">
        <v>173.75</v>
      </c>
      <c r="D126" s="3">
        <f t="shared" si="2"/>
        <v>173.75</v>
      </c>
      <c r="E126" s="3" t="s">
        <v>1385</v>
      </c>
    </row>
    <row r="127" spans="1:10" ht="18" x14ac:dyDescent="0.3">
      <c r="A127" s="3"/>
      <c r="B127" s="3" t="s">
        <v>586</v>
      </c>
      <c r="C127" s="3">
        <v>174</v>
      </c>
      <c r="D127" s="3">
        <f t="shared" si="2"/>
        <v>174</v>
      </c>
      <c r="E127" s="3" t="s">
        <v>1385</v>
      </c>
    </row>
    <row r="128" spans="1:10" ht="18" x14ac:dyDescent="0.3">
      <c r="A128" s="3"/>
      <c r="B128" s="3" t="s">
        <v>587</v>
      </c>
      <c r="C128" s="3">
        <v>177.25</v>
      </c>
      <c r="D128" s="3">
        <f t="shared" si="2"/>
        <v>177.25</v>
      </c>
      <c r="E128" s="3" t="s">
        <v>1385</v>
      </c>
    </row>
    <row r="129" spans="1:5" ht="18" x14ac:dyDescent="0.3">
      <c r="A129" s="3"/>
      <c r="B129" s="3" t="s">
        <v>588</v>
      </c>
      <c r="C129" s="3">
        <v>180.5</v>
      </c>
      <c r="D129" s="3">
        <f t="shared" si="2"/>
        <v>180.5</v>
      </c>
      <c r="E129" s="3" t="s">
        <v>1385</v>
      </c>
    </row>
    <row r="130" spans="1:5" ht="18" x14ac:dyDescent="0.3">
      <c r="A130" s="3"/>
      <c r="B130" s="3" t="s">
        <v>589</v>
      </c>
      <c r="C130" s="3">
        <v>236.25</v>
      </c>
      <c r="D130" s="3">
        <f t="shared" ref="D130:D193" si="4">C130</f>
        <v>236.25</v>
      </c>
      <c r="E130" s="3" t="s">
        <v>1385</v>
      </c>
    </row>
    <row r="131" spans="1:5" ht="18" x14ac:dyDescent="0.3">
      <c r="A131" s="3"/>
      <c r="B131" s="3" t="s">
        <v>590</v>
      </c>
      <c r="C131" s="3">
        <v>236.25</v>
      </c>
      <c r="D131" s="3">
        <f t="shared" si="4"/>
        <v>236.25</v>
      </c>
      <c r="E131" s="3" t="s">
        <v>1385</v>
      </c>
    </row>
    <row r="132" spans="1:5" ht="18" x14ac:dyDescent="0.3">
      <c r="A132" s="3"/>
      <c r="B132" s="3" t="s">
        <v>591</v>
      </c>
      <c r="C132" s="3">
        <v>236.25</v>
      </c>
      <c r="D132" s="3">
        <f t="shared" si="4"/>
        <v>236.25</v>
      </c>
      <c r="E132" s="3" t="s">
        <v>1385</v>
      </c>
    </row>
    <row r="133" spans="1:5" ht="18" x14ac:dyDescent="0.3">
      <c r="A133" s="3"/>
      <c r="B133" s="3" t="s">
        <v>592</v>
      </c>
      <c r="C133" s="3">
        <v>236.25</v>
      </c>
      <c r="D133" s="3">
        <f t="shared" si="4"/>
        <v>236.25</v>
      </c>
      <c r="E133" s="3" t="s">
        <v>1385</v>
      </c>
    </row>
    <row r="134" spans="1:5" ht="18" x14ac:dyDescent="0.3">
      <c r="A134" s="3"/>
      <c r="B134" s="3" t="s">
        <v>593</v>
      </c>
      <c r="C134" s="3">
        <v>236.25</v>
      </c>
      <c r="D134" s="3">
        <f t="shared" si="4"/>
        <v>236.25</v>
      </c>
      <c r="E134" s="3" t="s">
        <v>1385</v>
      </c>
    </row>
    <row r="135" spans="1:5" ht="18" x14ac:dyDescent="0.3">
      <c r="A135" s="3"/>
      <c r="B135" s="3" t="s">
        <v>594</v>
      </c>
      <c r="C135" s="3">
        <v>360</v>
      </c>
      <c r="D135" s="3">
        <f t="shared" si="4"/>
        <v>360</v>
      </c>
      <c r="E135" s="3" t="s">
        <v>1385</v>
      </c>
    </row>
    <row r="136" spans="1:5" ht="18" x14ac:dyDescent="0.3">
      <c r="A136" s="3"/>
      <c r="B136" s="3" t="s">
        <v>595</v>
      </c>
      <c r="C136" s="3">
        <v>370</v>
      </c>
      <c r="D136" s="3">
        <f t="shared" si="4"/>
        <v>370</v>
      </c>
      <c r="E136" s="3" t="s">
        <v>1385</v>
      </c>
    </row>
    <row r="137" spans="1:5" ht="18" x14ac:dyDescent="0.3">
      <c r="A137" s="3"/>
      <c r="B137" s="3" t="s">
        <v>596</v>
      </c>
      <c r="C137" s="3">
        <v>370</v>
      </c>
      <c r="D137" s="3">
        <f t="shared" si="4"/>
        <v>370</v>
      </c>
      <c r="E137" s="3" t="s">
        <v>1385</v>
      </c>
    </row>
    <row r="138" spans="1:5" ht="18" x14ac:dyDescent="0.3">
      <c r="A138" s="3"/>
      <c r="B138" s="3" t="s">
        <v>597</v>
      </c>
      <c r="C138" s="3">
        <v>368.25</v>
      </c>
      <c r="D138" s="3">
        <f t="shared" si="4"/>
        <v>368.25</v>
      </c>
      <c r="E138" s="3" t="s">
        <v>1385</v>
      </c>
    </row>
    <row r="139" spans="1:5" ht="18" x14ac:dyDescent="0.3">
      <c r="A139" s="3"/>
      <c r="B139" s="3" t="s">
        <v>598</v>
      </c>
      <c r="C139" s="3">
        <v>368.25</v>
      </c>
      <c r="D139" s="3">
        <f t="shared" si="4"/>
        <v>368.25</v>
      </c>
      <c r="E139" s="3" t="s">
        <v>1385</v>
      </c>
    </row>
    <row r="140" spans="1:5" ht="18" x14ac:dyDescent="0.3">
      <c r="A140" s="3"/>
      <c r="B140" s="3" t="s">
        <v>599</v>
      </c>
      <c r="C140" s="3">
        <v>368.25</v>
      </c>
      <c r="D140" s="3">
        <f t="shared" si="4"/>
        <v>368.25</v>
      </c>
      <c r="E140" s="3" t="s">
        <v>1385</v>
      </c>
    </row>
    <row r="141" spans="1:5" ht="18" x14ac:dyDescent="0.3">
      <c r="A141" s="3"/>
      <c r="B141" s="3" t="s">
        <v>600</v>
      </c>
      <c r="C141" s="3">
        <v>669.25</v>
      </c>
      <c r="D141" s="3">
        <f t="shared" si="4"/>
        <v>669.25</v>
      </c>
      <c r="E141" s="3" t="s">
        <v>1385</v>
      </c>
    </row>
    <row r="142" spans="1:5" ht="18" x14ac:dyDescent="0.3">
      <c r="A142" s="3"/>
      <c r="B142" s="3" t="s">
        <v>601</v>
      </c>
      <c r="C142" s="3">
        <v>669.25</v>
      </c>
      <c r="D142" s="3">
        <f t="shared" si="4"/>
        <v>669.25</v>
      </c>
      <c r="E142" s="3" t="s">
        <v>1385</v>
      </c>
    </row>
    <row r="143" spans="1:5" ht="18" x14ac:dyDescent="0.3">
      <c r="A143" s="3"/>
      <c r="B143" s="3" t="s">
        <v>602</v>
      </c>
      <c r="C143" s="3">
        <v>1043</v>
      </c>
      <c r="D143" s="3">
        <f t="shared" si="4"/>
        <v>1043</v>
      </c>
      <c r="E143" s="3" t="s">
        <v>1385</v>
      </c>
    </row>
    <row r="144" spans="1:5" ht="18" x14ac:dyDescent="0.3">
      <c r="A144" s="3"/>
      <c r="B144" s="3" t="s">
        <v>603</v>
      </c>
      <c r="C144" s="3">
        <v>1071</v>
      </c>
      <c r="D144" s="3">
        <f t="shared" si="4"/>
        <v>1071</v>
      </c>
      <c r="E144" s="3" t="s">
        <v>1385</v>
      </c>
    </row>
    <row r="145" spans="1:5" ht="18" x14ac:dyDescent="0.3">
      <c r="A145" s="3"/>
      <c r="B145" s="3" t="s">
        <v>604</v>
      </c>
      <c r="C145" s="3">
        <v>1240.75</v>
      </c>
      <c r="D145" s="3">
        <f t="shared" si="4"/>
        <v>1240.75</v>
      </c>
      <c r="E145" s="3" t="s">
        <v>1385</v>
      </c>
    </row>
    <row r="146" spans="1:5" ht="18" x14ac:dyDescent="0.3">
      <c r="A146" s="3"/>
      <c r="B146" s="3" t="s">
        <v>605</v>
      </c>
      <c r="C146" s="3">
        <v>3285.25</v>
      </c>
      <c r="D146" s="3">
        <f t="shared" si="4"/>
        <v>3285.25</v>
      </c>
      <c r="E146" s="3" t="s">
        <v>1385</v>
      </c>
    </row>
    <row r="147" spans="1:5" ht="18" x14ac:dyDescent="0.3">
      <c r="A147" s="3"/>
      <c r="B147" s="3" t="s">
        <v>606</v>
      </c>
      <c r="C147" s="3">
        <v>3420.75</v>
      </c>
      <c r="D147" s="3">
        <f t="shared" si="4"/>
        <v>3420.75</v>
      </c>
      <c r="E147" s="3" t="s">
        <v>1385</v>
      </c>
    </row>
    <row r="148" spans="1:5" ht="18" x14ac:dyDescent="0.3">
      <c r="A148" s="3"/>
      <c r="B148" s="3" t="s">
        <v>607</v>
      </c>
      <c r="C148" s="3">
        <v>14.5</v>
      </c>
      <c r="D148" s="3">
        <f t="shared" si="4"/>
        <v>14.5</v>
      </c>
      <c r="E148" s="3" t="s">
        <v>1385</v>
      </c>
    </row>
    <row r="149" spans="1:5" ht="18" x14ac:dyDescent="0.3">
      <c r="A149" s="3"/>
      <c r="B149" s="3" t="s">
        <v>808</v>
      </c>
      <c r="C149" s="3">
        <v>16</v>
      </c>
      <c r="D149" s="3">
        <f t="shared" si="4"/>
        <v>16</v>
      </c>
      <c r="E149" s="3" t="s">
        <v>1385</v>
      </c>
    </row>
    <row r="150" spans="1:5" ht="18" x14ac:dyDescent="0.3">
      <c r="A150" s="3"/>
      <c r="B150" s="3" t="s">
        <v>809</v>
      </c>
      <c r="C150" s="3">
        <v>27.25</v>
      </c>
      <c r="D150" s="3">
        <f t="shared" si="4"/>
        <v>27.25</v>
      </c>
      <c r="E150" s="3" t="s">
        <v>1385</v>
      </c>
    </row>
    <row r="151" spans="1:5" ht="18" x14ac:dyDescent="0.3">
      <c r="A151" s="3"/>
      <c r="B151" s="3" t="s">
        <v>810</v>
      </c>
      <c r="C151" s="3">
        <v>50</v>
      </c>
      <c r="D151" s="3">
        <f t="shared" si="4"/>
        <v>50</v>
      </c>
      <c r="E151" s="3" t="s">
        <v>1385</v>
      </c>
    </row>
    <row r="152" spans="1:5" ht="18" x14ac:dyDescent="0.3">
      <c r="A152" s="3"/>
      <c r="B152" s="3" t="s">
        <v>811</v>
      </c>
      <c r="C152" s="3">
        <v>84</v>
      </c>
      <c r="D152" s="3">
        <f t="shared" si="4"/>
        <v>84</v>
      </c>
      <c r="E152" s="3" t="s">
        <v>1385</v>
      </c>
    </row>
    <row r="153" spans="1:5" ht="18" x14ac:dyDescent="0.3">
      <c r="A153" s="3"/>
      <c r="B153" s="3" t="s">
        <v>812</v>
      </c>
      <c r="C153" s="3">
        <v>137.75</v>
      </c>
      <c r="D153" s="3">
        <f t="shared" si="4"/>
        <v>137.75</v>
      </c>
      <c r="E153" s="3" t="s">
        <v>1385</v>
      </c>
    </row>
    <row r="154" spans="1:5" ht="18" x14ac:dyDescent="0.3">
      <c r="A154" s="3"/>
      <c r="B154" s="3" t="s">
        <v>813</v>
      </c>
      <c r="C154" s="3">
        <v>203.5</v>
      </c>
      <c r="D154" s="3">
        <f t="shared" si="4"/>
        <v>203.5</v>
      </c>
      <c r="E154" s="3" t="s">
        <v>1385</v>
      </c>
    </row>
    <row r="155" spans="1:5" ht="18" x14ac:dyDescent="0.3">
      <c r="A155" s="3"/>
      <c r="B155" s="3" t="s">
        <v>814</v>
      </c>
      <c r="C155" s="3">
        <v>275.75</v>
      </c>
      <c r="D155" s="3">
        <f t="shared" si="4"/>
        <v>275.75</v>
      </c>
      <c r="E155" s="3" t="s">
        <v>1385</v>
      </c>
    </row>
    <row r="156" spans="1:5" ht="18" x14ac:dyDescent="0.3">
      <c r="A156" s="3"/>
      <c r="B156" s="3" t="s">
        <v>815</v>
      </c>
      <c r="C156" s="3">
        <v>625</v>
      </c>
      <c r="D156" s="3">
        <f t="shared" si="4"/>
        <v>625</v>
      </c>
      <c r="E156" s="3" t="s">
        <v>1385</v>
      </c>
    </row>
    <row r="157" spans="1:5" ht="18" x14ac:dyDescent="0.3">
      <c r="A157" s="3"/>
      <c r="B157" s="3" t="s">
        <v>816</v>
      </c>
      <c r="C157" s="3">
        <v>125.5</v>
      </c>
      <c r="D157" s="3">
        <f t="shared" si="4"/>
        <v>125.5</v>
      </c>
      <c r="E157" s="3" t="s">
        <v>1385</v>
      </c>
    </row>
    <row r="158" spans="1:5" ht="18" x14ac:dyDescent="0.3">
      <c r="A158" s="3"/>
      <c r="B158" s="3" t="s">
        <v>817</v>
      </c>
      <c r="C158" s="3">
        <v>148.25</v>
      </c>
      <c r="D158" s="3">
        <f t="shared" si="4"/>
        <v>148.25</v>
      </c>
      <c r="E158" s="3" t="s">
        <v>1385</v>
      </c>
    </row>
    <row r="159" spans="1:5" ht="18" x14ac:dyDescent="0.3">
      <c r="A159" s="3"/>
      <c r="B159" s="3" t="s">
        <v>608</v>
      </c>
      <c r="C159" s="3">
        <v>203.5</v>
      </c>
      <c r="D159" s="3">
        <f t="shared" si="4"/>
        <v>203.5</v>
      </c>
      <c r="E159" s="3" t="s">
        <v>1385</v>
      </c>
    </row>
    <row r="160" spans="1:5" ht="18" x14ac:dyDescent="0.3">
      <c r="A160" s="3"/>
      <c r="B160" s="3" t="s">
        <v>609</v>
      </c>
      <c r="C160" s="3">
        <v>16.75</v>
      </c>
      <c r="D160" s="3">
        <f t="shared" si="4"/>
        <v>16.75</v>
      </c>
      <c r="E160" s="3" t="s">
        <v>1385</v>
      </c>
    </row>
    <row r="161" spans="1:5" ht="18" x14ac:dyDescent="0.3">
      <c r="A161" s="3"/>
      <c r="B161" s="3" t="s">
        <v>610</v>
      </c>
      <c r="C161" s="3">
        <v>20</v>
      </c>
      <c r="D161" s="3">
        <f t="shared" si="4"/>
        <v>20</v>
      </c>
      <c r="E161" s="3" t="s">
        <v>1385</v>
      </c>
    </row>
    <row r="162" spans="1:5" ht="18" x14ac:dyDescent="0.3">
      <c r="A162" s="3"/>
      <c r="B162" s="3" t="s">
        <v>611</v>
      </c>
      <c r="C162" s="3">
        <v>32.25</v>
      </c>
      <c r="D162" s="3">
        <f t="shared" si="4"/>
        <v>32.25</v>
      </c>
      <c r="E162" s="3" t="s">
        <v>1385</v>
      </c>
    </row>
    <row r="163" spans="1:5" ht="18" x14ac:dyDescent="0.3">
      <c r="A163" s="3"/>
      <c r="B163" s="3" t="s">
        <v>612</v>
      </c>
      <c r="C163" s="3">
        <v>53.25</v>
      </c>
      <c r="D163" s="3">
        <f t="shared" si="4"/>
        <v>53.25</v>
      </c>
      <c r="E163" s="3" t="s">
        <v>1385</v>
      </c>
    </row>
    <row r="164" spans="1:5" ht="18" x14ac:dyDescent="0.3">
      <c r="A164" s="3"/>
      <c r="B164" s="3" t="s">
        <v>613</v>
      </c>
      <c r="C164" s="3">
        <v>98.75</v>
      </c>
      <c r="D164" s="3">
        <f t="shared" si="4"/>
        <v>98.75</v>
      </c>
      <c r="E164" s="3" t="s">
        <v>1385</v>
      </c>
    </row>
    <row r="165" spans="1:5" ht="18" x14ac:dyDescent="0.3">
      <c r="A165" s="3"/>
      <c r="B165" s="3" t="s">
        <v>614</v>
      </c>
      <c r="C165" s="3">
        <v>148.75</v>
      </c>
      <c r="D165" s="3">
        <f t="shared" si="4"/>
        <v>148.75</v>
      </c>
      <c r="E165" s="3" t="s">
        <v>1385</v>
      </c>
    </row>
    <row r="166" spans="1:5" ht="18" x14ac:dyDescent="0.3">
      <c r="A166" s="3"/>
      <c r="B166" s="3" t="s">
        <v>615</v>
      </c>
      <c r="C166" s="3">
        <v>193.25</v>
      </c>
      <c r="D166" s="3">
        <f t="shared" si="4"/>
        <v>193.25</v>
      </c>
      <c r="E166" s="3" t="s">
        <v>1385</v>
      </c>
    </row>
    <row r="167" spans="1:5" ht="18" x14ac:dyDescent="0.3">
      <c r="A167" s="3"/>
      <c r="B167" s="3" t="s">
        <v>616</v>
      </c>
      <c r="C167" s="3">
        <v>255.25</v>
      </c>
      <c r="D167" s="3">
        <f t="shared" si="4"/>
        <v>255.25</v>
      </c>
      <c r="E167" s="3" t="s">
        <v>1385</v>
      </c>
    </row>
    <row r="168" spans="1:5" ht="18" x14ac:dyDescent="0.3">
      <c r="A168" s="3"/>
      <c r="B168" s="3" t="s">
        <v>617</v>
      </c>
      <c r="C168" s="3">
        <v>490.25</v>
      </c>
      <c r="D168" s="3">
        <f t="shared" si="4"/>
        <v>490.25</v>
      </c>
      <c r="E168" s="3" t="s">
        <v>1385</v>
      </c>
    </row>
    <row r="169" spans="1:5" ht="18" x14ac:dyDescent="0.3">
      <c r="A169" s="3"/>
      <c r="B169" s="3" t="s">
        <v>618</v>
      </c>
      <c r="C169" s="3">
        <v>1852.5</v>
      </c>
      <c r="D169" s="3">
        <f t="shared" si="4"/>
        <v>1852.5</v>
      </c>
      <c r="E169" s="3" t="s">
        <v>1385</v>
      </c>
    </row>
    <row r="170" spans="1:5" ht="18" x14ac:dyDescent="0.3">
      <c r="A170" s="3"/>
      <c r="B170" s="3" t="s">
        <v>807</v>
      </c>
      <c r="C170" s="3">
        <v>7.25</v>
      </c>
      <c r="D170" s="3">
        <f t="shared" si="4"/>
        <v>7.25</v>
      </c>
      <c r="E170" s="3" t="s">
        <v>1385</v>
      </c>
    </row>
    <row r="171" spans="1:5" ht="18" x14ac:dyDescent="0.3">
      <c r="A171" s="3"/>
      <c r="B171" s="3" t="s">
        <v>619</v>
      </c>
      <c r="C171" s="3">
        <v>221.5</v>
      </c>
      <c r="D171" s="3">
        <f t="shared" si="4"/>
        <v>221.5</v>
      </c>
      <c r="E171" s="3" t="s">
        <v>1385</v>
      </c>
    </row>
    <row r="172" spans="1:5" ht="18" x14ac:dyDescent="0.3">
      <c r="A172" s="3"/>
      <c r="B172" s="3" t="s">
        <v>620</v>
      </c>
      <c r="C172" s="3">
        <v>421</v>
      </c>
      <c r="D172" s="3">
        <f t="shared" si="4"/>
        <v>421</v>
      </c>
      <c r="E172" s="3" t="s">
        <v>1385</v>
      </c>
    </row>
    <row r="173" spans="1:5" ht="18" x14ac:dyDescent="0.3">
      <c r="A173" s="3"/>
      <c r="B173" s="3" t="s">
        <v>621</v>
      </c>
      <c r="C173" s="3">
        <v>487.25</v>
      </c>
      <c r="D173" s="3">
        <f t="shared" si="4"/>
        <v>487.25</v>
      </c>
      <c r="E173" s="3" t="s">
        <v>1385</v>
      </c>
    </row>
    <row r="174" spans="1:5" ht="18" x14ac:dyDescent="0.3">
      <c r="A174" s="3"/>
      <c r="B174" s="3" t="s">
        <v>622</v>
      </c>
      <c r="C174" s="3">
        <v>810</v>
      </c>
      <c r="D174" s="3">
        <f t="shared" si="4"/>
        <v>810</v>
      </c>
      <c r="E174" s="3" t="s">
        <v>1385</v>
      </c>
    </row>
    <row r="175" spans="1:5" ht="18" x14ac:dyDescent="0.3">
      <c r="A175" s="3"/>
      <c r="B175" s="3" t="s">
        <v>623</v>
      </c>
      <c r="C175" s="3">
        <v>2479.25</v>
      </c>
      <c r="D175" s="3">
        <f t="shared" si="4"/>
        <v>2479.25</v>
      </c>
      <c r="E175" s="3" t="s">
        <v>1385</v>
      </c>
    </row>
    <row r="176" spans="1:5" ht="18" x14ac:dyDescent="0.3">
      <c r="A176" s="3"/>
      <c r="B176" s="3" t="s">
        <v>624</v>
      </c>
      <c r="C176" s="3">
        <v>6.25</v>
      </c>
      <c r="D176" s="3">
        <f t="shared" si="4"/>
        <v>6.25</v>
      </c>
      <c r="E176" s="3" t="s">
        <v>1385</v>
      </c>
    </row>
    <row r="177" spans="1:5" ht="18" x14ac:dyDescent="0.3">
      <c r="A177" s="3"/>
      <c r="B177" s="3" t="s">
        <v>625</v>
      </c>
      <c r="C177" s="3">
        <v>7.5</v>
      </c>
      <c r="D177" s="3">
        <f t="shared" si="4"/>
        <v>7.5</v>
      </c>
      <c r="E177" s="3" t="s">
        <v>1385</v>
      </c>
    </row>
    <row r="178" spans="1:5" ht="18" x14ac:dyDescent="0.3">
      <c r="A178" s="3"/>
      <c r="B178" s="3" t="s">
        <v>626</v>
      </c>
      <c r="C178" s="3">
        <v>10.75</v>
      </c>
      <c r="D178" s="3">
        <f t="shared" si="4"/>
        <v>10.75</v>
      </c>
      <c r="E178" s="3" t="s">
        <v>1385</v>
      </c>
    </row>
    <row r="179" spans="1:5" ht="18" x14ac:dyDescent="0.3">
      <c r="A179" s="3"/>
      <c r="B179" s="3" t="s">
        <v>627</v>
      </c>
      <c r="C179" s="3">
        <v>25.75</v>
      </c>
      <c r="D179" s="3">
        <f t="shared" si="4"/>
        <v>25.75</v>
      </c>
      <c r="E179" s="3" t="s">
        <v>1385</v>
      </c>
    </row>
    <row r="180" spans="1:5" ht="18" x14ac:dyDescent="0.3">
      <c r="A180" s="3"/>
      <c r="B180" s="3" t="s">
        <v>628</v>
      </c>
      <c r="C180" s="3">
        <v>31</v>
      </c>
      <c r="D180" s="3">
        <f t="shared" si="4"/>
        <v>31</v>
      </c>
      <c r="E180" s="3" t="s">
        <v>1385</v>
      </c>
    </row>
    <row r="181" spans="1:5" ht="18" x14ac:dyDescent="0.3">
      <c r="A181" s="3"/>
      <c r="B181" s="3" t="s">
        <v>629</v>
      </c>
      <c r="C181" s="3">
        <v>6.5</v>
      </c>
      <c r="D181" s="3">
        <f t="shared" si="4"/>
        <v>6.5</v>
      </c>
      <c r="E181" s="3" t="s">
        <v>1385</v>
      </c>
    </row>
    <row r="182" spans="1:5" ht="18" x14ac:dyDescent="0.3">
      <c r="A182" s="3"/>
      <c r="B182" s="3" t="s">
        <v>630</v>
      </c>
      <c r="C182" s="3">
        <v>8.75</v>
      </c>
      <c r="D182" s="3">
        <f t="shared" si="4"/>
        <v>8.75</v>
      </c>
      <c r="E182" s="3" t="s">
        <v>1385</v>
      </c>
    </row>
    <row r="183" spans="1:5" ht="18" x14ac:dyDescent="0.3">
      <c r="A183" s="3"/>
      <c r="B183" s="3" t="s">
        <v>631</v>
      </c>
      <c r="C183" s="3">
        <v>11.5</v>
      </c>
      <c r="D183" s="3">
        <f t="shared" si="4"/>
        <v>11.5</v>
      </c>
      <c r="E183" s="3" t="s">
        <v>1385</v>
      </c>
    </row>
    <row r="184" spans="1:5" ht="18" x14ac:dyDescent="0.3">
      <c r="A184" s="3"/>
      <c r="B184" s="3" t="s">
        <v>632</v>
      </c>
      <c r="C184" s="3">
        <v>27</v>
      </c>
      <c r="D184" s="3">
        <f t="shared" si="4"/>
        <v>27</v>
      </c>
      <c r="E184" s="3" t="s">
        <v>1385</v>
      </c>
    </row>
    <row r="185" spans="1:5" ht="18" x14ac:dyDescent="0.3">
      <c r="A185" s="3"/>
      <c r="B185" s="3" t="s">
        <v>633</v>
      </c>
      <c r="C185" s="3">
        <v>32</v>
      </c>
      <c r="D185" s="3">
        <f t="shared" si="4"/>
        <v>32</v>
      </c>
      <c r="E185" s="3" t="s">
        <v>1385</v>
      </c>
    </row>
    <row r="186" spans="1:5" ht="18" x14ac:dyDescent="0.3">
      <c r="A186" s="3"/>
      <c r="B186" s="3" t="s">
        <v>634</v>
      </c>
      <c r="C186" s="3">
        <v>5.25</v>
      </c>
      <c r="D186" s="3">
        <f t="shared" si="4"/>
        <v>5.25</v>
      </c>
      <c r="E186" s="3" t="s">
        <v>1385</v>
      </c>
    </row>
    <row r="187" spans="1:5" ht="18" x14ac:dyDescent="0.3">
      <c r="A187" s="3"/>
      <c r="B187" s="3" t="s">
        <v>635</v>
      </c>
      <c r="C187" s="3">
        <v>6.75</v>
      </c>
      <c r="D187" s="3">
        <f t="shared" si="4"/>
        <v>6.75</v>
      </c>
      <c r="E187" s="3" t="s">
        <v>1385</v>
      </c>
    </row>
    <row r="188" spans="1:5" ht="18" x14ac:dyDescent="0.3">
      <c r="A188" s="3"/>
      <c r="B188" s="3" t="s">
        <v>636</v>
      </c>
      <c r="C188" s="3">
        <v>8.5</v>
      </c>
      <c r="D188" s="3">
        <f t="shared" si="4"/>
        <v>8.5</v>
      </c>
      <c r="E188" s="3" t="s">
        <v>1385</v>
      </c>
    </row>
    <row r="189" spans="1:5" ht="18" x14ac:dyDescent="0.3">
      <c r="A189" s="3"/>
      <c r="B189" s="3" t="s">
        <v>637</v>
      </c>
      <c r="C189" s="3">
        <v>22.75</v>
      </c>
      <c r="D189" s="3">
        <f t="shared" si="4"/>
        <v>22.75</v>
      </c>
      <c r="E189" s="3" t="s">
        <v>1385</v>
      </c>
    </row>
    <row r="190" spans="1:5" ht="18" x14ac:dyDescent="0.3">
      <c r="A190" s="3"/>
      <c r="B190" s="3" t="s">
        <v>638</v>
      </c>
      <c r="C190" s="3">
        <v>43</v>
      </c>
      <c r="D190" s="3">
        <f t="shared" si="4"/>
        <v>43</v>
      </c>
      <c r="E190" s="3" t="s">
        <v>1385</v>
      </c>
    </row>
    <row r="191" spans="1:5" ht="18" x14ac:dyDescent="0.3">
      <c r="A191" s="3"/>
      <c r="B191" s="3" t="s">
        <v>639</v>
      </c>
      <c r="C191" s="3">
        <v>37</v>
      </c>
      <c r="D191" s="3">
        <f t="shared" si="4"/>
        <v>37</v>
      </c>
      <c r="E191" s="3" t="s">
        <v>1385</v>
      </c>
    </row>
    <row r="192" spans="1:5" ht="18" x14ac:dyDescent="0.3">
      <c r="A192" s="3"/>
      <c r="B192" s="3" t="s">
        <v>640</v>
      </c>
      <c r="C192" s="3">
        <v>52</v>
      </c>
      <c r="D192" s="3">
        <f t="shared" si="4"/>
        <v>52</v>
      </c>
      <c r="E192" s="3" t="s">
        <v>1385</v>
      </c>
    </row>
    <row r="193" spans="1:5" ht="18" x14ac:dyDescent="0.3">
      <c r="A193" s="3"/>
      <c r="B193" s="3" t="s">
        <v>641</v>
      </c>
      <c r="C193" s="3">
        <v>32</v>
      </c>
      <c r="D193" s="3">
        <f t="shared" si="4"/>
        <v>32</v>
      </c>
      <c r="E193" s="3" t="s">
        <v>1385</v>
      </c>
    </row>
    <row r="194" spans="1:5" ht="18" x14ac:dyDescent="0.3">
      <c r="A194" s="3"/>
      <c r="B194" s="3" t="s">
        <v>642</v>
      </c>
      <c r="C194" s="3">
        <v>46.25</v>
      </c>
      <c r="D194" s="3">
        <f t="shared" ref="D194:D257" si="5">C194</f>
        <v>46.25</v>
      </c>
      <c r="E194" s="3" t="s">
        <v>1385</v>
      </c>
    </row>
    <row r="195" spans="1:5" ht="18" x14ac:dyDescent="0.3">
      <c r="A195" s="3"/>
      <c r="B195" s="3" t="s">
        <v>643</v>
      </c>
      <c r="C195" s="3">
        <v>86</v>
      </c>
      <c r="D195" s="3">
        <f t="shared" si="5"/>
        <v>86</v>
      </c>
      <c r="E195" s="3" t="s">
        <v>1385</v>
      </c>
    </row>
    <row r="196" spans="1:5" ht="18" x14ac:dyDescent="0.3">
      <c r="A196" s="3"/>
      <c r="B196" s="3" t="s">
        <v>644</v>
      </c>
      <c r="C196" s="3">
        <v>165.5</v>
      </c>
      <c r="D196" s="3">
        <f t="shared" si="5"/>
        <v>165.5</v>
      </c>
      <c r="E196" s="3" t="s">
        <v>1385</v>
      </c>
    </row>
    <row r="197" spans="1:5" ht="18" x14ac:dyDescent="0.3">
      <c r="A197" s="3"/>
      <c r="B197" s="3" t="s">
        <v>645</v>
      </c>
      <c r="C197" s="3">
        <v>211</v>
      </c>
      <c r="D197" s="3">
        <f t="shared" si="5"/>
        <v>211</v>
      </c>
      <c r="E197" s="3" t="s">
        <v>1385</v>
      </c>
    </row>
    <row r="198" spans="1:5" ht="18" x14ac:dyDescent="0.3">
      <c r="A198" s="3"/>
      <c r="B198" s="3" t="s">
        <v>646</v>
      </c>
      <c r="C198" s="3">
        <v>32.5</v>
      </c>
      <c r="D198" s="3">
        <f t="shared" si="5"/>
        <v>32.5</v>
      </c>
      <c r="E198" s="3" t="s">
        <v>1385</v>
      </c>
    </row>
    <row r="199" spans="1:5" ht="18" x14ac:dyDescent="0.3">
      <c r="A199" s="3"/>
      <c r="B199" s="3" t="s">
        <v>647</v>
      </c>
      <c r="C199" s="3">
        <v>32.5</v>
      </c>
      <c r="D199" s="3">
        <f t="shared" si="5"/>
        <v>32.5</v>
      </c>
      <c r="E199" s="3" t="s">
        <v>1385</v>
      </c>
    </row>
    <row r="200" spans="1:5" ht="18" x14ac:dyDescent="0.3">
      <c r="A200" s="3"/>
      <c r="B200" s="3" t="s">
        <v>648</v>
      </c>
      <c r="C200" s="3">
        <v>92</v>
      </c>
      <c r="D200" s="3">
        <f t="shared" si="5"/>
        <v>92</v>
      </c>
      <c r="E200" s="3" t="s">
        <v>1385</v>
      </c>
    </row>
    <row r="201" spans="1:5" ht="18" x14ac:dyDescent="0.3">
      <c r="A201" s="3"/>
      <c r="B201" s="3" t="s">
        <v>649</v>
      </c>
      <c r="C201" s="3">
        <v>93.25</v>
      </c>
      <c r="D201" s="3">
        <f t="shared" si="5"/>
        <v>93.25</v>
      </c>
      <c r="E201" s="3" t="s">
        <v>1385</v>
      </c>
    </row>
    <row r="202" spans="1:5" ht="18" x14ac:dyDescent="0.35">
      <c r="A202" s="21"/>
      <c r="B202" s="3" t="s">
        <v>650</v>
      </c>
      <c r="C202" s="3">
        <v>153.25</v>
      </c>
      <c r="D202" s="3">
        <f t="shared" si="5"/>
        <v>153.25</v>
      </c>
      <c r="E202" s="3" t="s">
        <v>1385</v>
      </c>
    </row>
    <row r="203" spans="1:5" ht="18" x14ac:dyDescent="0.35">
      <c r="A203" s="21"/>
      <c r="B203" s="3" t="s">
        <v>651</v>
      </c>
      <c r="C203" s="3">
        <v>32.75</v>
      </c>
      <c r="D203" s="3">
        <f t="shared" si="5"/>
        <v>32.75</v>
      </c>
      <c r="E203" s="3" t="s">
        <v>1385</v>
      </c>
    </row>
    <row r="204" spans="1:5" ht="18" x14ac:dyDescent="0.35">
      <c r="A204" s="21"/>
      <c r="B204" s="3" t="s">
        <v>652</v>
      </c>
      <c r="C204" s="3">
        <v>55</v>
      </c>
      <c r="D204" s="3">
        <f t="shared" si="5"/>
        <v>55</v>
      </c>
      <c r="E204" s="3" t="s">
        <v>1385</v>
      </c>
    </row>
    <row r="205" spans="1:5" ht="18" x14ac:dyDescent="0.35">
      <c r="A205" s="21"/>
      <c r="B205" s="3" t="s">
        <v>653</v>
      </c>
      <c r="C205" s="3">
        <v>104.5</v>
      </c>
      <c r="D205" s="3">
        <f t="shared" si="5"/>
        <v>104.5</v>
      </c>
      <c r="E205" s="3" t="s">
        <v>1385</v>
      </c>
    </row>
    <row r="206" spans="1:5" ht="18" x14ac:dyDescent="0.35">
      <c r="A206" s="21"/>
      <c r="B206" s="3" t="s">
        <v>654</v>
      </c>
      <c r="C206" s="3">
        <v>179.5</v>
      </c>
      <c r="D206" s="3">
        <f t="shared" si="5"/>
        <v>179.5</v>
      </c>
      <c r="E206" s="3" t="s">
        <v>1385</v>
      </c>
    </row>
    <row r="207" spans="1:5" ht="18" x14ac:dyDescent="0.35">
      <c r="A207" s="21"/>
      <c r="B207" s="3" t="s">
        <v>655</v>
      </c>
      <c r="C207" s="3">
        <v>252.25</v>
      </c>
      <c r="D207" s="3">
        <f t="shared" si="5"/>
        <v>252.25</v>
      </c>
      <c r="E207" s="3" t="s">
        <v>1385</v>
      </c>
    </row>
    <row r="208" spans="1:5" ht="18" x14ac:dyDescent="0.35">
      <c r="A208" s="21"/>
      <c r="B208" s="3" t="s">
        <v>656</v>
      </c>
      <c r="C208" s="3">
        <v>43</v>
      </c>
      <c r="D208" s="3">
        <f t="shared" si="5"/>
        <v>43</v>
      </c>
      <c r="E208" s="3" t="s">
        <v>1385</v>
      </c>
    </row>
    <row r="209" spans="1:5" ht="18" x14ac:dyDescent="0.35">
      <c r="A209" s="21"/>
      <c r="B209" s="3" t="s">
        <v>657</v>
      </c>
      <c r="C209" s="3">
        <v>98.5</v>
      </c>
      <c r="D209" s="3">
        <f t="shared" si="5"/>
        <v>98.5</v>
      </c>
      <c r="E209" s="3" t="s">
        <v>1385</v>
      </c>
    </row>
    <row r="210" spans="1:5" ht="18" x14ac:dyDescent="0.35">
      <c r="A210" s="21"/>
      <c r="B210" s="3" t="s">
        <v>658</v>
      </c>
      <c r="C210" s="3">
        <v>104</v>
      </c>
      <c r="D210" s="3">
        <f t="shared" si="5"/>
        <v>104</v>
      </c>
      <c r="E210" s="3" t="s">
        <v>1385</v>
      </c>
    </row>
    <row r="211" spans="1:5" ht="18" x14ac:dyDescent="0.35">
      <c r="A211" s="21"/>
      <c r="B211" s="3" t="s">
        <v>659</v>
      </c>
      <c r="C211" s="3">
        <v>74.75</v>
      </c>
      <c r="D211" s="3">
        <f t="shared" si="5"/>
        <v>74.75</v>
      </c>
      <c r="E211" s="3" t="s">
        <v>1385</v>
      </c>
    </row>
    <row r="212" spans="1:5" ht="18" x14ac:dyDescent="0.35">
      <c r="A212" s="21"/>
      <c r="B212" s="3" t="s">
        <v>672</v>
      </c>
      <c r="C212" s="3">
        <v>73.75</v>
      </c>
      <c r="D212" s="3">
        <f t="shared" si="5"/>
        <v>73.75</v>
      </c>
      <c r="E212" s="3" t="s">
        <v>1385</v>
      </c>
    </row>
    <row r="213" spans="1:5" ht="18" x14ac:dyDescent="0.35">
      <c r="A213" s="21"/>
      <c r="B213" s="3" t="s">
        <v>673</v>
      </c>
      <c r="C213" s="3">
        <v>132</v>
      </c>
      <c r="D213" s="3">
        <f t="shared" si="5"/>
        <v>132</v>
      </c>
      <c r="E213" s="3" t="s">
        <v>1385</v>
      </c>
    </row>
    <row r="214" spans="1:5" ht="18" x14ac:dyDescent="0.35">
      <c r="A214" s="21"/>
      <c r="B214" s="3" t="s">
        <v>674</v>
      </c>
      <c r="C214" s="3">
        <v>185.25</v>
      </c>
      <c r="D214" s="3">
        <f t="shared" si="5"/>
        <v>185.25</v>
      </c>
      <c r="E214" s="3" t="s">
        <v>1385</v>
      </c>
    </row>
    <row r="215" spans="1:5" ht="18" x14ac:dyDescent="0.35">
      <c r="A215" s="21"/>
      <c r="B215" s="3" t="s">
        <v>675</v>
      </c>
      <c r="C215" s="3">
        <v>199.75</v>
      </c>
      <c r="D215" s="3">
        <f t="shared" si="5"/>
        <v>199.75</v>
      </c>
      <c r="E215" s="3" t="s">
        <v>1385</v>
      </c>
    </row>
    <row r="216" spans="1:5" ht="18" x14ac:dyDescent="0.35">
      <c r="A216" s="21"/>
      <c r="B216" s="3" t="s">
        <v>676</v>
      </c>
      <c r="C216" s="3">
        <v>220.75</v>
      </c>
      <c r="D216" s="3">
        <f t="shared" si="5"/>
        <v>220.75</v>
      </c>
      <c r="E216" s="3" t="s">
        <v>1385</v>
      </c>
    </row>
    <row r="217" spans="1:5" ht="18" x14ac:dyDescent="0.35">
      <c r="A217" s="21"/>
      <c r="B217" s="3" t="s">
        <v>677</v>
      </c>
      <c r="C217" s="3">
        <v>258.25</v>
      </c>
      <c r="D217" s="3">
        <f t="shared" si="5"/>
        <v>258.25</v>
      </c>
      <c r="E217" s="3" t="s">
        <v>1385</v>
      </c>
    </row>
    <row r="218" spans="1:5" ht="18" x14ac:dyDescent="0.35">
      <c r="A218" s="21"/>
      <c r="B218" s="3" t="s">
        <v>660</v>
      </c>
      <c r="C218" s="3">
        <v>24.5</v>
      </c>
      <c r="D218" s="3">
        <f t="shared" si="5"/>
        <v>24.5</v>
      </c>
      <c r="E218" s="3" t="s">
        <v>1385</v>
      </c>
    </row>
    <row r="219" spans="1:5" ht="18" x14ac:dyDescent="0.35">
      <c r="A219" s="21"/>
      <c r="B219" s="3" t="s">
        <v>661</v>
      </c>
      <c r="C219" s="3">
        <v>31.75</v>
      </c>
      <c r="D219" s="3">
        <f t="shared" si="5"/>
        <v>31.75</v>
      </c>
      <c r="E219" s="3" t="s">
        <v>1385</v>
      </c>
    </row>
    <row r="220" spans="1:5" ht="18" x14ac:dyDescent="0.35">
      <c r="A220" s="21"/>
      <c r="B220" s="3" t="s">
        <v>662</v>
      </c>
      <c r="C220" s="3">
        <v>57.75</v>
      </c>
      <c r="D220" s="3">
        <f t="shared" si="5"/>
        <v>57.75</v>
      </c>
      <c r="E220" s="3" t="s">
        <v>1385</v>
      </c>
    </row>
    <row r="221" spans="1:5" ht="18" x14ac:dyDescent="0.35">
      <c r="A221" s="21"/>
      <c r="B221" s="3" t="s">
        <v>663</v>
      </c>
      <c r="C221" s="3">
        <v>100.75</v>
      </c>
      <c r="D221" s="3">
        <f t="shared" si="5"/>
        <v>100.75</v>
      </c>
      <c r="E221" s="3" t="s">
        <v>1385</v>
      </c>
    </row>
    <row r="222" spans="1:5" ht="18" x14ac:dyDescent="0.35">
      <c r="A222" s="21"/>
      <c r="B222" s="3" t="s">
        <v>664</v>
      </c>
      <c r="C222" s="3">
        <v>155.25</v>
      </c>
      <c r="D222" s="3">
        <f t="shared" si="5"/>
        <v>155.25</v>
      </c>
      <c r="E222" s="3" t="s">
        <v>1385</v>
      </c>
    </row>
    <row r="223" spans="1:5" ht="18" x14ac:dyDescent="0.35">
      <c r="A223" s="21"/>
      <c r="B223" s="3" t="s">
        <v>665</v>
      </c>
      <c r="C223" s="3">
        <v>26</v>
      </c>
      <c r="D223" s="3">
        <f t="shared" si="5"/>
        <v>26</v>
      </c>
      <c r="E223" s="3" t="s">
        <v>1385</v>
      </c>
    </row>
    <row r="224" spans="1:5" ht="18" x14ac:dyDescent="0.35">
      <c r="A224" s="21"/>
      <c r="B224" s="3" t="s">
        <v>666</v>
      </c>
      <c r="C224" s="3">
        <v>36</v>
      </c>
      <c r="D224" s="3">
        <f t="shared" si="5"/>
        <v>36</v>
      </c>
      <c r="E224" s="3" t="s">
        <v>1385</v>
      </c>
    </row>
    <row r="225" spans="1:5" ht="18" x14ac:dyDescent="0.35">
      <c r="A225" s="21"/>
      <c r="B225" s="3" t="s">
        <v>667</v>
      </c>
      <c r="C225" s="3">
        <v>59.75</v>
      </c>
      <c r="D225" s="3">
        <f t="shared" si="5"/>
        <v>59.75</v>
      </c>
      <c r="E225" s="3" t="s">
        <v>1385</v>
      </c>
    </row>
    <row r="226" spans="1:5" ht="18" x14ac:dyDescent="0.35">
      <c r="A226" s="21"/>
      <c r="B226" s="3" t="s">
        <v>668</v>
      </c>
      <c r="C226" s="3">
        <v>109</v>
      </c>
      <c r="D226" s="3">
        <f t="shared" si="5"/>
        <v>109</v>
      </c>
      <c r="E226" s="3" t="s">
        <v>1385</v>
      </c>
    </row>
    <row r="227" spans="1:5" ht="18" x14ac:dyDescent="0.35">
      <c r="A227" s="21"/>
      <c r="B227" s="3" t="s">
        <v>669</v>
      </c>
      <c r="C227" s="3">
        <v>162</v>
      </c>
      <c r="D227" s="3">
        <f t="shared" si="5"/>
        <v>162</v>
      </c>
      <c r="E227" s="3" t="s">
        <v>1385</v>
      </c>
    </row>
    <row r="228" spans="1:5" ht="18" x14ac:dyDescent="0.35">
      <c r="A228" s="21"/>
      <c r="B228" s="3" t="s">
        <v>670</v>
      </c>
      <c r="C228" s="3">
        <v>36</v>
      </c>
      <c r="D228" s="3">
        <f t="shared" si="5"/>
        <v>36</v>
      </c>
      <c r="E228" s="3" t="s">
        <v>1385</v>
      </c>
    </row>
    <row r="229" spans="1:5" ht="18" x14ac:dyDescent="0.35">
      <c r="A229" s="21"/>
      <c r="B229" s="3" t="s">
        <v>671</v>
      </c>
      <c r="C229" s="3">
        <v>50.25</v>
      </c>
      <c r="D229" s="3">
        <f t="shared" si="5"/>
        <v>50.25</v>
      </c>
      <c r="E229" s="3" t="s">
        <v>1385</v>
      </c>
    </row>
    <row r="230" spans="1:5" ht="18" x14ac:dyDescent="0.35">
      <c r="A230" s="21"/>
      <c r="B230" s="3" t="s">
        <v>678</v>
      </c>
      <c r="C230" s="3">
        <v>1032.75</v>
      </c>
      <c r="D230" s="3">
        <f t="shared" si="5"/>
        <v>1032.75</v>
      </c>
      <c r="E230" s="3" t="s">
        <v>1385</v>
      </c>
    </row>
    <row r="231" spans="1:5" ht="18" x14ac:dyDescent="0.35">
      <c r="A231" s="21"/>
      <c r="B231" s="3" t="s">
        <v>679</v>
      </c>
      <c r="C231" s="3">
        <v>1264.75</v>
      </c>
      <c r="D231" s="3">
        <f t="shared" si="5"/>
        <v>1264.75</v>
      </c>
      <c r="E231" s="3" t="s">
        <v>1385</v>
      </c>
    </row>
    <row r="232" spans="1:5" ht="18" x14ac:dyDescent="0.35">
      <c r="A232" s="21"/>
      <c r="B232" s="3" t="s">
        <v>680</v>
      </c>
      <c r="C232" s="3">
        <v>1120.75</v>
      </c>
      <c r="D232" s="3">
        <f t="shared" si="5"/>
        <v>1120.75</v>
      </c>
      <c r="E232" s="3" t="s">
        <v>1385</v>
      </c>
    </row>
    <row r="233" spans="1:5" ht="18" x14ac:dyDescent="0.35">
      <c r="A233" s="21"/>
      <c r="B233" s="3" t="s">
        <v>681</v>
      </c>
      <c r="C233" s="3">
        <v>1387.5</v>
      </c>
      <c r="D233" s="3">
        <f t="shared" si="5"/>
        <v>1387.5</v>
      </c>
      <c r="E233" s="3" t="s">
        <v>1385</v>
      </c>
    </row>
    <row r="234" spans="1:5" ht="18" x14ac:dyDescent="0.35">
      <c r="A234" s="21"/>
      <c r="B234" s="3" t="s">
        <v>682</v>
      </c>
      <c r="C234" s="3">
        <v>1161.5</v>
      </c>
      <c r="D234" s="3">
        <f t="shared" si="5"/>
        <v>1161.5</v>
      </c>
      <c r="E234" s="3" t="s">
        <v>1385</v>
      </c>
    </row>
    <row r="235" spans="1:5" ht="18" x14ac:dyDescent="0.35">
      <c r="A235" s="21"/>
      <c r="B235" s="3" t="s">
        <v>683</v>
      </c>
      <c r="C235" s="3">
        <v>1447.5</v>
      </c>
      <c r="D235" s="3">
        <f t="shared" si="5"/>
        <v>1447.5</v>
      </c>
      <c r="E235" s="3" t="s">
        <v>1385</v>
      </c>
    </row>
    <row r="236" spans="1:5" ht="18" x14ac:dyDescent="0.35">
      <c r="A236" s="21"/>
      <c r="B236" s="3" t="s">
        <v>684</v>
      </c>
      <c r="C236" s="3">
        <v>1271.5</v>
      </c>
      <c r="D236" s="3">
        <f t="shared" si="5"/>
        <v>1271.5</v>
      </c>
      <c r="E236" s="3" t="s">
        <v>1385</v>
      </c>
    </row>
    <row r="237" spans="1:5" ht="18" x14ac:dyDescent="0.35">
      <c r="A237" s="21"/>
      <c r="B237" s="3" t="s">
        <v>685</v>
      </c>
      <c r="C237" s="3">
        <v>1560</v>
      </c>
      <c r="D237" s="3">
        <f t="shared" si="5"/>
        <v>1560</v>
      </c>
      <c r="E237" s="3" t="s">
        <v>1385</v>
      </c>
    </row>
    <row r="238" spans="1:5" ht="18" x14ac:dyDescent="0.35">
      <c r="A238" s="21"/>
      <c r="B238" s="3" t="s">
        <v>686</v>
      </c>
      <c r="C238" s="3">
        <v>337</v>
      </c>
      <c r="D238" s="3">
        <f t="shared" si="5"/>
        <v>337</v>
      </c>
      <c r="E238" s="3" t="s">
        <v>1385</v>
      </c>
    </row>
    <row r="239" spans="1:5" ht="18" x14ac:dyDescent="0.35">
      <c r="A239" s="21"/>
      <c r="B239" s="3" t="s">
        <v>687</v>
      </c>
      <c r="C239" s="3">
        <v>836.75</v>
      </c>
      <c r="D239" s="3">
        <f t="shared" si="5"/>
        <v>836.75</v>
      </c>
      <c r="E239" s="3" t="s">
        <v>1385</v>
      </c>
    </row>
    <row r="240" spans="1:5" ht="18" x14ac:dyDescent="0.35">
      <c r="A240" s="21"/>
      <c r="B240" s="3" t="s">
        <v>688</v>
      </c>
      <c r="C240" s="3">
        <v>909</v>
      </c>
      <c r="D240" s="3">
        <f t="shared" si="5"/>
        <v>909</v>
      </c>
      <c r="E240" s="3" t="s">
        <v>1385</v>
      </c>
    </row>
    <row r="241" spans="1:5" ht="18" x14ac:dyDescent="0.35">
      <c r="A241" s="21"/>
      <c r="B241" s="3" t="s">
        <v>689</v>
      </c>
      <c r="C241" s="3">
        <v>981.75</v>
      </c>
      <c r="D241" s="3">
        <f t="shared" si="5"/>
        <v>981.75</v>
      </c>
      <c r="E241" s="3" t="s">
        <v>1385</v>
      </c>
    </row>
    <row r="242" spans="1:5" ht="18" x14ac:dyDescent="0.35">
      <c r="A242" s="21"/>
      <c r="B242" s="3" t="s">
        <v>690</v>
      </c>
      <c r="C242" s="3">
        <v>1057.25</v>
      </c>
      <c r="D242" s="3">
        <f t="shared" si="5"/>
        <v>1057.25</v>
      </c>
      <c r="E242" s="3" t="s">
        <v>1385</v>
      </c>
    </row>
    <row r="243" spans="1:5" ht="18" x14ac:dyDescent="0.35">
      <c r="A243" s="21"/>
      <c r="B243" s="3" t="s">
        <v>691</v>
      </c>
      <c r="C243" s="3">
        <v>956.75</v>
      </c>
      <c r="D243" s="3">
        <f t="shared" si="5"/>
        <v>956.75</v>
      </c>
      <c r="E243" s="3" t="s">
        <v>1385</v>
      </c>
    </row>
    <row r="244" spans="1:5" ht="18" x14ac:dyDescent="0.35">
      <c r="A244" s="21"/>
      <c r="B244" s="3" t="s">
        <v>692</v>
      </c>
      <c r="C244" s="3">
        <v>1028.25</v>
      </c>
      <c r="D244" s="3">
        <f t="shared" si="5"/>
        <v>1028.25</v>
      </c>
      <c r="E244" s="3" t="s">
        <v>1385</v>
      </c>
    </row>
    <row r="245" spans="1:5" ht="18" x14ac:dyDescent="0.35">
      <c r="A245" s="21"/>
      <c r="B245" s="3" t="s">
        <v>693</v>
      </c>
      <c r="C245" s="3">
        <v>1182.75</v>
      </c>
      <c r="D245" s="3">
        <f t="shared" si="5"/>
        <v>1182.75</v>
      </c>
      <c r="E245" s="3" t="s">
        <v>1385</v>
      </c>
    </row>
    <row r="246" spans="1:5" ht="18" x14ac:dyDescent="0.35">
      <c r="A246" s="21"/>
      <c r="B246" s="3" t="s">
        <v>694</v>
      </c>
      <c r="C246" s="3">
        <v>1107.25</v>
      </c>
      <c r="D246" s="3">
        <f t="shared" si="5"/>
        <v>1107.25</v>
      </c>
      <c r="E246" s="3" t="s">
        <v>1385</v>
      </c>
    </row>
    <row r="247" spans="1:5" ht="18" x14ac:dyDescent="0.35">
      <c r="A247" s="21"/>
      <c r="B247" s="3" t="s">
        <v>695</v>
      </c>
      <c r="C247" s="3">
        <v>252</v>
      </c>
      <c r="D247" s="3">
        <f t="shared" si="5"/>
        <v>252</v>
      </c>
      <c r="E247" s="3" t="s">
        <v>1385</v>
      </c>
    </row>
    <row r="248" spans="1:5" ht="18" x14ac:dyDescent="0.35">
      <c r="A248" s="21"/>
      <c r="B248" s="3" t="s">
        <v>696</v>
      </c>
      <c r="C248" s="3">
        <v>300.25</v>
      </c>
      <c r="D248" s="3">
        <f t="shared" si="5"/>
        <v>300.25</v>
      </c>
      <c r="E248" s="3" t="s">
        <v>1385</v>
      </c>
    </row>
    <row r="249" spans="1:5" ht="18" x14ac:dyDescent="0.35">
      <c r="A249" s="21"/>
      <c r="B249" s="3" t="s">
        <v>697</v>
      </c>
      <c r="C249" s="3">
        <v>162.75</v>
      </c>
      <c r="D249" s="3">
        <f t="shared" si="5"/>
        <v>162.75</v>
      </c>
      <c r="E249" s="3" t="s">
        <v>1385</v>
      </c>
    </row>
    <row r="250" spans="1:5" ht="18" x14ac:dyDescent="0.35">
      <c r="A250" s="21"/>
      <c r="B250" s="3" t="s">
        <v>698</v>
      </c>
      <c r="C250" s="3">
        <v>169.5</v>
      </c>
      <c r="D250" s="3">
        <f t="shared" si="5"/>
        <v>169.5</v>
      </c>
      <c r="E250" s="3" t="s">
        <v>1385</v>
      </c>
    </row>
    <row r="251" spans="1:5" ht="18" x14ac:dyDescent="0.35">
      <c r="A251" s="21"/>
      <c r="B251" s="3" t="s">
        <v>699</v>
      </c>
      <c r="C251" s="3">
        <v>182.5</v>
      </c>
      <c r="D251" s="3">
        <f t="shared" si="5"/>
        <v>182.5</v>
      </c>
      <c r="E251" s="3" t="s">
        <v>1385</v>
      </c>
    </row>
    <row r="252" spans="1:5" ht="18" x14ac:dyDescent="0.35">
      <c r="A252" s="21"/>
      <c r="B252" s="3" t="s">
        <v>700</v>
      </c>
      <c r="C252" s="3">
        <v>400.75</v>
      </c>
      <c r="D252" s="3">
        <f t="shared" si="5"/>
        <v>400.75</v>
      </c>
      <c r="E252" s="3" t="s">
        <v>1385</v>
      </c>
    </row>
    <row r="253" spans="1:5" ht="18" x14ac:dyDescent="0.35">
      <c r="A253" s="21"/>
      <c r="B253" s="3" t="s">
        <v>701</v>
      </c>
      <c r="C253" s="3">
        <v>98.25</v>
      </c>
      <c r="D253" s="3">
        <f t="shared" si="5"/>
        <v>98.25</v>
      </c>
      <c r="E253" s="3" t="s">
        <v>1385</v>
      </c>
    </row>
    <row r="254" spans="1:5" ht="18" x14ac:dyDescent="0.35">
      <c r="A254" s="21"/>
      <c r="B254" s="3" t="s">
        <v>702</v>
      </c>
      <c r="C254" s="27">
        <v>113.25</v>
      </c>
      <c r="D254" s="3">
        <f t="shared" si="5"/>
        <v>113.25</v>
      </c>
      <c r="E254" s="3" t="s">
        <v>1385</v>
      </c>
    </row>
    <row r="255" spans="1:5" ht="18" x14ac:dyDescent="0.35">
      <c r="A255" s="21"/>
      <c r="B255" s="3" t="s">
        <v>703</v>
      </c>
      <c r="C255" s="27">
        <v>166.75</v>
      </c>
      <c r="D255" s="3">
        <f t="shared" si="5"/>
        <v>166.75</v>
      </c>
      <c r="E255" s="3" t="s">
        <v>1385</v>
      </c>
    </row>
    <row r="256" spans="1:5" ht="18" x14ac:dyDescent="0.35">
      <c r="A256" s="21"/>
      <c r="B256" s="3" t="s">
        <v>704</v>
      </c>
      <c r="C256" s="27">
        <v>204.75</v>
      </c>
      <c r="D256" s="3">
        <f t="shared" si="5"/>
        <v>204.75</v>
      </c>
      <c r="E256" s="3" t="s">
        <v>1385</v>
      </c>
    </row>
    <row r="257" spans="1:5" ht="18" x14ac:dyDescent="0.35">
      <c r="A257" s="21"/>
      <c r="B257" s="3" t="s">
        <v>705</v>
      </c>
      <c r="C257" s="27">
        <v>349</v>
      </c>
      <c r="D257" s="3">
        <f t="shared" si="5"/>
        <v>349</v>
      </c>
      <c r="E257" s="3" t="s">
        <v>1385</v>
      </c>
    </row>
    <row r="258" spans="1:5" ht="18" x14ac:dyDescent="0.35">
      <c r="A258" s="21"/>
      <c r="B258" s="3" t="s">
        <v>706</v>
      </c>
      <c r="C258" s="27">
        <v>252.25</v>
      </c>
      <c r="D258" s="3">
        <f t="shared" ref="D258:D321" si="6">C258</f>
        <v>252.25</v>
      </c>
      <c r="E258" s="3" t="s">
        <v>1385</v>
      </c>
    </row>
    <row r="259" spans="1:5" ht="18" x14ac:dyDescent="0.35">
      <c r="A259" s="21"/>
      <c r="B259" s="3" t="s">
        <v>707</v>
      </c>
      <c r="C259" s="3">
        <v>212.5</v>
      </c>
      <c r="D259" s="3">
        <f t="shared" si="6"/>
        <v>212.5</v>
      </c>
      <c r="E259" s="3" t="s">
        <v>1385</v>
      </c>
    </row>
    <row r="260" spans="1:5" ht="18" x14ac:dyDescent="0.35">
      <c r="A260" s="21"/>
      <c r="B260" s="27" t="s">
        <v>709</v>
      </c>
      <c r="C260" s="3">
        <v>113.75</v>
      </c>
      <c r="D260" s="3">
        <f t="shared" si="6"/>
        <v>113.75</v>
      </c>
      <c r="E260" s="3" t="s">
        <v>1385</v>
      </c>
    </row>
    <row r="261" spans="1:5" ht="18" x14ac:dyDescent="0.35">
      <c r="A261" s="21"/>
      <c r="B261" s="27" t="s">
        <v>710</v>
      </c>
      <c r="C261" s="3">
        <v>150.5</v>
      </c>
      <c r="D261" s="3">
        <f t="shared" si="6"/>
        <v>150.5</v>
      </c>
      <c r="E261" s="3" t="s">
        <v>1385</v>
      </c>
    </row>
    <row r="262" spans="1:5" ht="18" x14ac:dyDescent="0.35">
      <c r="A262" s="21"/>
      <c r="B262" s="27" t="s">
        <v>711</v>
      </c>
      <c r="C262" s="3">
        <v>216.5</v>
      </c>
      <c r="D262" s="3">
        <f t="shared" si="6"/>
        <v>216.5</v>
      </c>
      <c r="E262" s="3" t="s">
        <v>1385</v>
      </c>
    </row>
    <row r="263" spans="1:5" ht="18" x14ac:dyDescent="0.35">
      <c r="A263" s="21"/>
      <c r="B263" s="27" t="s">
        <v>712</v>
      </c>
      <c r="C263" s="3">
        <v>284</v>
      </c>
      <c r="D263" s="3">
        <f t="shared" si="6"/>
        <v>284</v>
      </c>
      <c r="E263" s="3" t="s">
        <v>1385</v>
      </c>
    </row>
    <row r="264" spans="1:5" ht="18" x14ac:dyDescent="0.35">
      <c r="A264" s="21"/>
      <c r="B264" s="27" t="s">
        <v>713</v>
      </c>
      <c r="C264" s="3">
        <v>402</v>
      </c>
      <c r="D264" s="3">
        <f t="shared" si="6"/>
        <v>402</v>
      </c>
      <c r="E264" s="3" t="s">
        <v>1385</v>
      </c>
    </row>
    <row r="265" spans="1:5" ht="18" x14ac:dyDescent="0.35">
      <c r="A265" s="21"/>
      <c r="B265" s="27" t="s">
        <v>714</v>
      </c>
      <c r="C265" s="3">
        <v>301.5</v>
      </c>
      <c r="D265" s="3">
        <f t="shared" si="6"/>
        <v>301.5</v>
      </c>
      <c r="E265" s="3" t="s">
        <v>1385</v>
      </c>
    </row>
    <row r="266" spans="1:5" ht="18" x14ac:dyDescent="0.35">
      <c r="A266" s="21"/>
      <c r="B266" s="27" t="s">
        <v>715</v>
      </c>
      <c r="C266" s="3">
        <v>430.75</v>
      </c>
      <c r="D266" s="3">
        <f t="shared" si="6"/>
        <v>430.75</v>
      </c>
      <c r="E266" s="3" t="s">
        <v>1385</v>
      </c>
    </row>
    <row r="267" spans="1:5" ht="18" x14ac:dyDescent="0.35">
      <c r="A267" s="21"/>
      <c r="B267" s="27" t="s">
        <v>716</v>
      </c>
      <c r="C267" s="3">
        <v>258.25</v>
      </c>
      <c r="D267" s="3">
        <f t="shared" si="6"/>
        <v>258.25</v>
      </c>
      <c r="E267" s="3" t="s">
        <v>1385</v>
      </c>
    </row>
    <row r="268" spans="1:5" ht="18" x14ac:dyDescent="0.35">
      <c r="A268" s="21"/>
      <c r="B268" s="27" t="s">
        <v>717</v>
      </c>
      <c r="C268" s="3">
        <v>140</v>
      </c>
      <c r="D268" s="3">
        <f t="shared" si="6"/>
        <v>140</v>
      </c>
      <c r="E268" s="3" t="s">
        <v>1385</v>
      </c>
    </row>
    <row r="269" spans="1:5" ht="18" x14ac:dyDescent="0.35">
      <c r="A269" s="21"/>
      <c r="B269" s="27" t="s">
        <v>718</v>
      </c>
      <c r="C269" s="3">
        <v>232</v>
      </c>
      <c r="D269" s="3">
        <f t="shared" si="6"/>
        <v>232</v>
      </c>
      <c r="E269" s="3" t="s">
        <v>1385</v>
      </c>
    </row>
    <row r="270" spans="1:5" ht="18" x14ac:dyDescent="0.35">
      <c r="A270" s="21"/>
      <c r="B270" s="27" t="s">
        <v>719</v>
      </c>
      <c r="C270" s="3">
        <v>289</v>
      </c>
      <c r="D270" s="3">
        <f t="shared" si="6"/>
        <v>289</v>
      </c>
      <c r="E270" s="3" t="s">
        <v>1385</v>
      </c>
    </row>
    <row r="271" spans="1:5" ht="18" x14ac:dyDescent="0.35">
      <c r="A271" s="21"/>
      <c r="B271" s="27" t="s">
        <v>720</v>
      </c>
      <c r="C271" s="3">
        <v>110.75</v>
      </c>
      <c r="D271" s="3">
        <f t="shared" si="6"/>
        <v>110.75</v>
      </c>
      <c r="E271" s="3" t="s">
        <v>1385</v>
      </c>
    </row>
    <row r="272" spans="1:5" ht="18" x14ac:dyDescent="0.35">
      <c r="A272" s="21"/>
      <c r="B272" s="27" t="s">
        <v>721</v>
      </c>
      <c r="C272" s="3">
        <v>152</v>
      </c>
      <c r="D272" s="3">
        <f t="shared" si="6"/>
        <v>152</v>
      </c>
      <c r="E272" s="3" t="s">
        <v>1385</v>
      </c>
    </row>
    <row r="273" spans="1:5" ht="18" x14ac:dyDescent="0.35">
      <c r="A273" s="21"/>
      <c r="B273" s="27" t="s">
        <v>722</v>
      </c>
      <c r="C273" s="27">
        <v>185.5</v>
      </c>
      <c r="D273" s="3">
        <f t="shared" si="6"/>
        <v>185.5</v>
      </c>
      <c r="E273" s="3" t="s">
        <v>1385</v>
      </c>
    </row>
    <row r="274" spans="1:5" ht="18" x14ac:dyDescent="0.35">
      <c r="A274" s="21"/>
      <c r="B274" s="27" t="s">
        <v>723</v>
      </c>
      <c r="C274" s="27">
        <v>239.5</v>
      </c>
      <c r="D274" s="3">
        <f t="shared" si="6"/>
        <v>239.5</v>
      </c>
      <c r="E274" s="3" t="s">
        <v>1385</v>
      </c>
    </row>
    <row r="275" spans="1:5" ht="18" x14ac:dyDescent="0.35">
      <c r="A275" s="21"/>
      <c r="B275" s="27" t="s">
        <v>724</v>
      </c>
      <c r="C275" s="27">
        <v>350</v>
      </c>
      <c r="D275" s="3">
        <f t="shared" si="6"/>
        <v>350</v>
      </c>
      <c r="E275" s="3" t="s">
        <v>1385</v>
      </c>
    </row>
    <row r="276" spans="1:5" ht="18" x14ac:dyDescent="0.35">
      <c r="A276" s="21"/>
      <c r="B276" s="27" t="s">
        <v>725</v>
      </c>
      <c r="C276" s="27">
        <v>493.25</v>
      </c>
      <c r="D276" s="3">
        <f t="shared" si="6"/>
        <v>493.25</v>
      </c>
      <c r="E276" s="3" t="s">
        <v>1385</v>
      </c>
    </row>
    <row r="277" spans="1:5" ht="18" x14ac:dyDescent="0.35">
      <c r="A277" s="21"/>
      <c r="B277" s="27" t="s">
        <v>726</v>
      </c>
      <c r="C277" s="27">
        <v>622.25</v>
      </c>
      <c r="D277" s="3">
        <f t="shared" si="6"/>
        <v>622.25</v>
      </c>
      <c r="E277" s="3" t="s">
        <v>1385</v>
      </c>
    </row>
    <row r="278" spans="1:5" ht="18" x14ac:dyDescent="0.35">
      <c r="A278" s="21"/>
      <c r="B278" s="27" t="s">
        <v>727</v>
      </c>
      <c r="C278" s="27">
        <v>978.7</v>
      </c>
      <c r="D278" s="3">
        <f t="shared" si="6"/>
        <v>978.7</v>
      </c>
      <c r="E278" s="3" t="s">
        <v>1385</v>
      </c>
    </row>
    <row r="279" spans="1:5" ht="18" x14ac:dyDescent="0.35">
      <c r="A279" s="21"/>
      <c r="B279" s="27" t="s">
        <v>728</v>
      </c>
      <c r="C279" s="27">
        <v>1374.5</v>
      </c>
      <c r="D279" s="3">
        <f t="shared" si="6"/>
        <v>1374.5</v>
      </c>
      <c r="E279" s="3" t="s">
        <v>1385</v>
      </c>
    </row>
    <row r="280" spans="1:5" ht="18" x14ac:dyDescent="0.35">
      <c r="A280" s="21"/>
      <c r="B280" s="27" t="s">
        <v>729</v>
      </c>
      <c r="C280" s="27">
        <v>2235</v>
      </c>
      <c r="D280" s="3">
        <f t="shared" si="6"/>
        <v>2235</v>
      </c>
      <c r="E280" s="3" t="s">
        <v>1385</v>
      </c>
    </row>
    <row r="281" spans="1:5" ht="18" x14ac:dyDescent="0.35">
      <c r="A281" s="21"/>
      <c r="B281" s="27" t="s">
        <v>730</v>
      </c>
      <c r="C281" s="27">
        <v>4430.5</v>
      </c>
      <c r="D281" s="3">
        <f t="shared" si="6"/>
        <v>4430.5</v>
      </c>
      <c r="E281" s="3" t="s">
        <v>1385</v>
      </c>
    </row>
    <row r="282" spans="1:5" ht="18" x14ac:dyDescent="0.35">
      <c r="A282" s="21"/>
      <c r="B282" s="27" t="s">
        <v>731</v>
      </c>
      <c r="C282" s="27">
        <v>104</v>
      </c>
      <c r="D282" s="3">
        <f t="shared" si="6"/>
        <v>104</v>
      </c>
      <c r="E282" s="3" t="s">
        <v>1385</v>
      </c>
    </row>
    <row r="283" spans="1:5" ht="18" x14ac:dyDescent="0.35">
      <c r="A283" s="21"/>
      <c r="B283" s="27" t="s">
        <v>732</v>
      </c>
      <c r="C283" s="27">
        <v>137</v>
      </c>
      <c r="D283" s="3">
        <f t="shared" si="6"/>
        <v>137</v>
      </c>
      <c r="E283" s="3" t="s">
        <v>1385</v>
      </c>
    </row>
    <row r="284" spans="1:5" ht="18" x14ac:dyDescent="0.35">
      <c r="A284" s="21"/>
      <c r="B284" s="27" t="s">
        <v>733</v>
      </c>
      <c r="C284" s="27">
        <v>147.5</v>
      </c>
      <c r="D284" s="3">
        <f t="shared" si="6"/>
        <v>147.5</v>
      </c>
      <c r="E284" s="3" t="s">
        <v>1385</v>
      </c>
    </row>
    <row r="285" spans="1:5" ht="18" x14ac:dyDescent="0.35">
      <c r="A285" s="21"/>
      <c r="B285" s="27" t="s">
        <v>734</v>
      </c>
      <c r="C285" s="27">
        <v>227</v>
      </c>
      <c r="D285" s="3">
        <f t="shared" si="6"/>
        <v>227</v>
      </c>
      <c r="E285" s="3" t="s">
        <v>1385</v>
      </c>
    </row>
    <row r="286" spans="1:5" ht="18" x14ac:dyDescent="0.35">
      <c r="A286" s="21"/>
      <c r="B286" s="27" t="s">
        <v>735</v>
      </c>
      <c r="C286" s="27">
        <v>312</v>
      </c>
      <c r="D286" s="3">
        <f t="shared" si="6"/>
        <v>312</v>
      </c>
      <c r="E286" s="3" t="s">
        <v>1385</v>
      </c>
    </row>
    <row r="287" spans="1:5" ht="18" x14ac:dyDescent="0.35">
      <c r="A287" s="21"/>
      <c r="B287" s="27" t="s">
        <v>736</v>
      </c>
      <c r="C287" s="27">
        <v>474.5</v>
      </c>
      <c r="D287" s="3">
        <f t="shared" si="6"/>
        <v>474.5</v>
      </c>
      <c r="E287" s="3" t="s">
        <v>1385</v>
      </c>
    </row>
    <row r="288" spans="1:5" ht="18" x14ac:dyDescent="0.35">
      <c r="A288" s="21"/>
      <c r="B288" s="27" t="s">
        <v>737</v>
      </c>
      <c r="C288" s="27">
        <v>622.75</v>
      </c>
      <c r="D288" s="3">
        <f t="shared" si="6"/>
        <v>622.75</v>
      </c>
      <c r="E288" s="3" t="s">
        <v>1385</v>
      </c>
    </row>
    <row r="289" spans="1:5" ht="18" x14ac:dyDescent="0.35">
      <c r="A289" s="21"/>
      <c r="B289" s="27" t="s">
        <v>738</v>
      </c>
      <c r="C289" s="27">
        <v>1008.25</v>
      </c>
      <c r="D289" s="3">
        <f t="shared" si="6"/>
        <v>1008.25</v>
      </c>
      <c r="E289" s="3" t="s">
        <v>1385</v>
      </c>
    </row>
    <row r="290" spans="1:5" ht="18" x14ac:dyDescent="0.35">
      <c r="A290" s="21"/>
      <c r="B290" s="27" t="s">
        <v>739</v>
      </c>
      <c r="C290" s="27">
        <v>1335.75</v>
      </c>
      <c r="D290" s="3">
        <f t="shared" si="6"/>
        <v>1335.75</v>
      </c>
      <c r="E290" s="3" t="s">
        <v>1385</v>
      </c>
    </row>
    <row r="291" spans="1:5" ht="18" x14ac:dyDescent="0.35">
      <c r="A291" s="21"/>
      <c r="B291" s="27" t="s">
        <v>740</v>
      </c>
      <c r="C291" s="27">
        <v>2220</v>
      </c>
      <c r="D291" s="3">
        <f t="shared" si="6"/>
        <v>2220</v>
      </c>
      <c r="E291" s="3" t="s">
        <v>1385</v>
      </c>
    </row>
    <row r="292" spans="1:5" ht="18" x14ac:dyDescent="0.35">
      <c r="A292" s="21"/>
      <c r="B292" s="27" t="s">
        <v>741</v>
      </c>
      <c r="C292" s="27">
        <v>4086.25</v>
      </c>
      <c r="D292" s="3">
        <f t="shared" si="6"/>
        <v>4086.25</v>
      </c>
      <c r="E292" s="3" t="s">
        <v>1385</v>
      </c>
    </row>
    <row r="293" spans="1:5" ht="18" x14ac:dyDescent="0.35">
      <c r="A293" s="21"/>
      <c r="B293" s="27" t="s">
        <v>742</v>
      </c>
      <c r="C293" s="27">
        <v>359.25</v>
      </c>
      <c r="D293" s="3">
        <f t="shared" si="6"/>
        <v>359.25</v>
      </c>
      <c r="E293" s="3" t="s">
        <v>1385</v>
      </c>
    </row>
    <row r="294" spans="1:5" ht="18" x14ac:dyDescent="0.35">
      <c r="A294" s="21"/>
      <c r="B294" s="27" t="s">
        <v>743</v>
      </c>
      <c r="C294" s="27">
        <v>402.75</v>
      </c>
      <c r="D294" s="3">
        <f t="shared" si="6"/>
        <v>402.75</v>
      </c>
      <c r="E294" s="3" t="s">
        <v>1385</v>
      </c>
    </row>
    <row r="295" spans="1:5" ht="18" x14ac:dyDescent="0.35">
      <c r="A295" s="21"/>
      <c r="B295" s="27" t="s">
        <v>744</v>
      </c>
      <c r="C295" s="27">
        <v>578</v>
      </c>
      <c r="D295" s="3">
        <f t="shared" si="6"/>
        <v>578</v>
      </c>
      <c r="E295" s="3" t="s">
        <v>1385</v>
      </c>
    </row>
    <row r="296" spans="1:5" ht="18" x14ac:dyDescent="0.35">
      <c r="A296" s="21"/>
      <c r="B296" s="27" t="s">
        <v>745</v>
      </c>
      <c r="C296" s="27">
        <v>766.5</v>
      </c>
      <c r="D296" s="3">
        <f t="shared" si="6"/>
        <v>766.5</v>
      </c>
      <c r="E296" s="3" t="s">
        <v>1385</v>
      </c>
    </row>
    <row r="297" spans="1:5" ht="18" x14ac:dyDescent="0.35">
      <c r="A297" s="21"/>
      <c r="B297" s="27" t="s">
        <v>746</v>
      </c>
      <c r="C297" s="27">
        <v>1164.5</v>
      </c>
      <c r="D297" s="3">
        <f t="shared" si="6"/>
        <v>1164.5</v>
      </c>
      <c r="E297" s="3" t="s">
        <v>1385</v>
      </c>
    </row>
    <row r="298" spans="1:5" ht="18" x14ac:dyDescent="0.35">
      <c r="A298" s="28"/>
      <c r="B298" s="27" t="s">
        <v>747</v>
      </c>
      <c r="C298" s="27">
        <v>331.25</v>
      </c>
      <c r="D298" s="3">
        <f t="shared" si="6"/>
        <v>331.25</v>
      </c>
      <c r="E298" s="3" t="s">
        <v>1385</v>
      </c>
    </row>
    <row r="299" spans="1:5" ht="18" x14ac:dyDescent="0.35">
      <c r="A299" s="28"/>
      <c r="B299" s="27" t="s">
        <v>748</v>
      </c>
      <c r="C299" s="27">
        <v>354.25</v>
      </c>
      <c r="D299" s="3">
        <f t="shared" si="6"/>
        <v>354.25</v>
      </c>
      <c r="E299" s="3" t="s">
        <v>1385</v>
      </c>
    </row>
    <row r="300" spans="1:5" ht="18" x14ac:dyDescent="0.35">
      <c r="A300" s="28"/>
      <c r="B300" s="27" t="s">
        <v>749</v>
      </c>
      <c r="C300" s="27">
        <v>508</v>
      </c>
      <c r="D300" s="3">
        <f t="shared" si="6"/>
        <v>508</v>
      </c>
      <c r="E300" s="3" t="s">
        <v>1385</v>
      </c>
    </row>
    <row r="301" spans="1:5" ht="18" x14ac:dyDescent="0.35">
      <c r="A301" s="28"/>
      <c r="B301" s="27" t="s">
        <v>750</v>
      </c>
      <c r="C301" s="27">
        <v>674</v>
      </c>
      <c r="D301" s="3">
        <f t="shared" si="6"/>
        <v>674</v>
      </c>
      <c r="E301" s="3" t="s">
        <v>1385</v>
      </c>
    </row>
    <row r="302" spans="1:5" ht="18" x14ac:dyDescent="0.35">
      <c r="A302" s="28"/>
      <c r="B302" s="27" t="s">
        <v>751</v>
      </c>
      <c r="C302" s="27">
        <v>1080.25</v>
      </c>
      <c r="D302" s="3">
        <f t="shared" si="6"/>
        <v>1080.25</v>
      </c>
      <c r="E302" s="3" t="s">
        <v>1385</v>
      </c>
    </row>
    <row r="303" spans="1:5" ht="18" x14ac:dyDescent="0.35">
      <c r="A303" s="28"/>
      <c r="B303" s="27" t="s">
        <v>752</v>
      </c>
      <c r="C303" s="27">
        <v>132.5</v>
      </c>
      <c r="D303" s="3">
        <f t="shared" si="6"/>
        <v>132.5</v>
      </c>
      <c r="E303" s="3" t="s">
        <v>1385</v>
      </c>
    </row>
    <row r="304" spans="1:5" ht="18" x14ac:dyDescent="0.35">
      <c r="A304" s="28"/>
      <c r="B304" s="27" t="s">
        <v>753</v>
      </c>
      <c r="C304" s="27">
        <v>163.25</v>
      </c>
      <c r="D304" s="3">
        <f t="shared" si="6"/>
        <v>163.25</v>
      </c>
      <c r="E304" s="3" t="s">
        <v>1385</v>
      </c>
    </row>
    <row r="305" spans="1:5" ht="18" x14ac:dyDescent="0.35">
      <c r="A305" s="28"/>
      <c r="B305" s="27" t="s">
        <v>754</v>
      </c>
      <c r="C305" s="27">
        <v>212.5</v>
      </c>
      <c r="D305" s="3">
        <f t="shared" si="6"/>
        <v>212.5</v>
      </c>
      <c r="E305" s="3" t="s">
        <v>1385</v>
      </c>
    </row>
    <row r="306" spans="1:5" ht="18" x14ac:dyDescent="0.35">
      <c r="A306" s="28"/>
      <c r="B306" s="27" t="s">
        <v>755</v>
      </c>
      <c r="C306" s="27">
        <v>142.75</v>
      </c>
      <c r="D306" s="3">
        <f t="shared" si="6"/>
        <v>142.75</v>
      </c>
      <c r="E306" s="3" t="s">
        <v>1385</v>
      </c>
    </row>
    <row r="307" spans="1:5" ht="18" x14ac:dyDescent="0.35">
      <c r="A307" s="28"/>
      <c r="B307" s="27" t="s">
        <v>756</v>
      </c>
      <c r="C307" s="27">
        <v>191.5</v>
      </c>
      <c r="D307" s="3">
        <f t="shared" si="6"/>
        <v>191.5</v>
      </c>
      <c r="E307" s="3" t="s">
        <v>1385</v>
      </c>
    </row>
    <row r="308" spans="1:5" ht="18" x14ac:dyDescent="0.35">
      <c r="A308" s="28"/>
      <c r="B308" s="27" t="s">
        <v>757</v>
      </c>
      <c r="C308" s="27">
        <v>288.75</v>
      </c>
      <c r="D308" s="3">
        <f t="shared" si="6"/>
        <v>288.75</v>
      </c>
      <c r="E308" s="3" t="s">
        <v>1385</v>
      </c>
    </row>
    <row r="309" spans="1:5" ht="18" x14ac:dyDescent="0.35">
      <c r="A309" s="28"/>
      <c r="B309" s="27" t="s">
        <v>758</v>
      </c>
      <c r="C309" s="27">
        <v>476.75</v>
      </c>
      <c r="D309" s="3">
        <f t="shared" si="6"/>
        <v>476.75</v>
      </c>
      <c r="E309" s="3" t="s">
        <v>1385</v>
      </c>
    </row>
    <row r="310" spans="1:5" ht="18" x14ac:dyDescent="0.35">
      <c r="A310" s="28"/>
      <c r="B310" s="27" t="s">
        <v>759</v>
      </c>
      <c r="C310" s="27">
        <v>837.75</v>
      </c>
      <c r="D310" s="3">
        <f t="shared" si="6"/>
        <v>837.75</v>
      </c>
      <c r="E310" s="3" t="s">
        <v>1385</v>
      </c>
    </row>
    <row r="311" spans="1:5" ht="18" x14ac:dyDescent="0.35">
      <c r="A311" s="28"/>
      <c r="B311" s="27" t="s">
        <v>760</v>
      </c>
      <c r="C311" s="27">
        <v>167</v>
      </c>
      <c r="D311" s="3">
        <f t="shared" si="6"/>
        <v>167</v>
      </c>
      <c r="E311" s="3" t="s">
        <v>1385</v>
      </c>
    </row>
    <row r="312" spans="1:5" ht="18" x14ac:dyDescent="0.35">
      <c r="A312" s="28"/>
      <c r="B312" s="27" t="s">
        <v>761</v>
      </c>
      <c r="C312" s="27">
        <v>227.25</v>
      </c>
      <c r="D312" s="3">
        <f t="shared" si="6"/>
        <v>227.25</v>
      </c>
      <c r="E312" s="3" t="s">
        <v>1385</v>
      </c>
    </row>
    <row r="313" spans="1:5" ht="18" x14ac:dyDescent="0.35">
      <c r="A313" s="28"/>
      <c r="B313" s="27" t="s">
        <v>762</v>
      </c>
      <c r="C313" s="27">
        <v>310</v>
      </c>
      <c r="D313" s="3">
        <f t="shared" si="6"/>
        <v>310</v>
      </c>
      <c r="E313" s="3" t="s">
        <v>1385</v>
      </c>
    </row>
    <row r="314" spans="1:5" ht="18" x14ac:dyDescent="0.35">
      <c r="A314" s="28"/>
      <c r="B314" s="27" t="s">
        <v>763</v>
      </c>
      <c r="C314" s="27">
        <v>872.25</v>
      </c>
      <c r="D314" s="3">
        <f t="shared" si="6"/>
        <v>872.25</v>
      </c>
      <c r="E314" s="3" t="s">
        <v>1385</v>
      </c>
    </row>
    <row r="315" spans="1:5" ht="18" x14ac:dyDescent="0.35">
      <c r="A315" s="28"/>
      <c r="B315" s="27" t="s">
        <v>764</v>
      </c>
      <c r="C315" s="27">
        <v>314</v>
      </c>
      <c r="D315" s="3">
        <f t="shared" si="6"/>
        <v>314</v>
      </c>
      <c r="E315" s="3" t="s">
        <v>1385</v>
      </c>
    </row>
    <row r="316" spans="1:5" ht="18" x14ac:dyDescent="0.35">
      <c r="A316" s="28"/>
      <c r="B316" s="27" t="s">
        <v>765</v>
      </c>
      <c r="C316" s="27">
        <v>919.25</v>
      </c>
      <c r="D316" s="3">
        <f t="shared" si="6"/>
        <v>919.25</v>
      </c>
      <c r="E316" s="3" t="s">
        <v>1385</v>
      </c>
    </row>
    <row r="317" spans="1:5" ht="18" x14ac:dyDescent="0.35">
      <c r="A317" s="28"/>
      <c r="B317" s="27" t="s">
        <v>766</v>
      </c>
      <c r="C317" s="27">
        <v>340.5</v>
      </c>
      <c r="D317" s="3">
        <f t="shared" si="6"/>
        <v>340.5</v>
      </c>
      <c r="E317" s="3" t="s">
        <v>1385</v>
      </c>
    </row>
    <row r="318" spans="1:5" ht="18" x14ac:dyDescent="0.35">
      <c r="A318" s="28"/>
      <c r="B318" s="27" t="s">
        <v>767</v>
      </c>
      <c r="C318" s="27">
        <v>974.5</v>
      </c>
      <c r="D318" s="3">
        <f t="shared" si="6"/>
        <v>974.5</v>
      </c>
      <c r="E318" s="3" t="s">
        <v>1385</v>
      </c>
    </row>
    <row r="319" spans="1:5" ht="18" x14ac:dyDescent="0.35">
      <c r="A319" s="28"/>
      <c r="B319" s="27" t="s">
        <v>768</v>
      </c>
      <c r="C319" s="27">
        <v>393</v>
      </c>
      <c r="D319" s="3">
        <f t="shared" si="6"/>
        <v>393</v>
      </c>
      <c r="E319" s="3" t="s">
        <v>1385</v>
      </c>
    </row>
    <row r="320" spans="1:5" ht="18" x14ac:dyDescent="0.35">
      <c r="A320" s="28"/>
      <c r="B320" s="27" t="s">
        <v>769</v>
      </c>
      <c r="C320" s="27">
        <v>490.25</v>
      </c>
      <c r="D320" s="3">
        <f t="shared" si="6"/>
        <v>490.25</v>
      </c>
      <c r="E320" s="3" t="s">
        <v>1385</v>
      </c>
    </row>
    <row r="321" spans="1:5" ht="18" x14ac:dyDescent="0.35">
      <c r="A321" s="28"/>
      <c r="B321" s="27" t="s">
        <v>770</v>
      </c>
      <c r="C321" s="27">
        <v>581.5</v>
      </c>
      <c r="D321" s="3">
        <f t="shared" si="6"/>
        <v>581.5</v>
      </c>
      <c r="E321" s="3" t="s">
        <v>1385</v>
      </c>
    </row>
    <row r="322" spans="1:5" ht="18" x14ac:dyDescent="0.35">
      <c r="A322" s="28"/>
      <c r="B322" s="27" t="s">
        <v>771</v>
      </c>
      <c r="C322" s="27">
        <v>1187</v>
      </c>
      <c r="D322" s="3">
        <f t="shared" ref="D322:D385" si="7">C322</f>
        <v>1187</v>
      </c>
      <c r="E322" s="3" t="s">
        <v>1385</v>
      </c>
    </row>
    <row r="323" spans="1:5" ht="18" x14ac:dyDescent="0.35">
      <c r="A323" s="28"/>
      <c r="B323" s="27" t="s">
        <v>772</v>
      </c>
      <c r="C323" s="27">
        <v>644.5</v>
      </c>
      <c r="D323" s="3">
        <f t="shared" si="7"/>
        <v>644.5</v>
      </c>
      <c r="E323" s="3" t="s">
        <v>1385</v>
      </c>
    </row>
    <row r="324" spans="1:5" ht="18" x14ac:dyDescent="0.35">
      <c r="A324" s="28"/>
      <c r="B324" s="27" t="s">
        <v>773</v>
      </c>
      <c r="C324" s="27">
        <v>703.5</v>
      </c>
      <c r="D324" s="3">
        <f t="shared" si="7"/>
        <v>703.5</v>
      </c>
      <c r="E324" s="3" t="s">
        <v>1385</v>
      </c>
    </row>
    <row r="325" spans="1:5" ht="18" x14ac:dyDescent="0.35">
      <c r="A325" s="28"/>
      <c r="B325" s="27" t="s">
        <v>774</v>
      </c>
      <c r="C325" s="27">
        <v>765.5</v>
      </c>
      <c r="D325" s="3">
        <f t="shared" si="7"/>
        <v>765.5</v>
      </c>
      <c r="E325" s="3" t="s">
        <v>1385</v>
      </c>
    </row>
    <row r="326" spans="1:5" ht="18" x14ac:dyDescent="0.35">
      <c r="A326" s="28"/>
      <c r="B326" s="27" t="s">
        <v>775</v>
      </c>
      <c r="C326" s="27">
        <v>791</v>
      </c>
      <c r="D326" s="3">
        <f t="shared" si="7"/>
        <v>791</v>
      </c>
      <c r="E326" s="3" t="s">
        <v>1385</v>
      </c>
    </row>
    <row r="327" spans="1:5" ht="18" x14ac:dyDescent="0.35">
      <c r="A327" s="28"/>
      <c r="B327" s="27" t="s">
        <v>776</v>
      </c>
      <c r="C327" s="27">
        <v>1617.25</v>
      </c>
      <c r="D327" s="3">
        <f t="shared" si="7"/>
        <v>1617.25</v>
      </c>
      <c r="E327" s="3" t="s">
        <v>1385</v>
      </c>
    </row>
    <row r="328" spans="1:5" ht="18" x14ac:dyDescent="0.35">
      <c r="A328" s="28"/>
      <c r="B328" s="27" t="s">
        <v>777</v>
      </c>
      <c r="C328" s="27">
        <v>1684.5</v>
      </c>
      <c r="D328" s="3">
        <f t="shared" si="7"/>
        <v>1684.5</v>
      </c>
      <c r="E328" s="3" t="s">
        <v>1385</v>
      </c>
    </row>
    <row r="329" spans="1:5" ht="18" x14ac:dyDescent="0.35">
      <c r="A329" s="28"/>
      <c r="B329" s="27" t="s">
        <v>778</v>
      </c>
      <c r="C329" s="27">
        <v>518</v>
      </c>
      <c r="D329" s="3">
        <f t="shared" si="7"/>
        <v>518</v>
      </c>
      <c r="E329" s="3" t="s">
        <v>1385</v>
      </c>
    </row>
    <row r="330" spans="1:5" ht="18" x14ac:dyDescent="0.35">
      <c r="A330" s="28"/>
      <c r="B330" s="27" t="s">
        <v>779</v>
      </c>
      <c r="C330" s="27">
        <v>639.5</v>
      </c>
      <c r="D330" s="3">
        <f t="shared" si="7"/>
        <v>639.5</v>
      </c>
      <c r="E330" s="3" t="s">
        <v>1385</v>
      </c>
    </row>
    <row r="331" spans="1:5" ht="18" x14ac:dyDescent="0.35">
      <c r="A331" s="28"/>
      <c r="B331" s="27" t="s">
        <v>780</v>
      </c>
      <c r="C331" s="27">
        <v>1241.75</v>
      </c>
      <c r="D331" s="3">
        <f t="shared" si="7"/>
        <v>1241.75</v>
      </c>
      <c r="E331" s="3" t="s">
        <v>1385</v>
      </c>
    </row>
    <row r="332" spans="1:5" ht="18" x14ac:dyDescent="0.35">
      <c r="A332" s="28"/>
      <c r="B332" s="27" t="s">
        <v>781</v>
      </c>
      <c r="C332" s="27">
        <v>678.75</v>
      </c>
      <c r="D332" s="3">
        <f t="shared" si="7"/>
        <v>678.75</v>
      </c>
      <c r="E332" s="3" t="s">
        <v>1385</v>
      </c>
    </row>
    <row r="333" spans="1:5" ht="18" x14ac:dyDescent="0.35">
      <c r="A333" s="28"/>
      <c r="B333" s="27" t="s">
        <v>782</v>
      </c>
      <c r="C333" s="27">
        <v>737.75</v>
      </c>
      <c r="D333" s="3">
        <f t="shared" si="7"/>
        <v>737.75</v>
      </c>
      <c r="E333" s="3" t="s">
        <v>1385</v>
      </c>
    </row>
    <row r="334" spans="1:5" ht="18" x14ac:dyDescent="0.35">
      <c r="A334" s="28"/>
      <c r="B334" s="27" t="s">
        <v>783</v>
      </c>
      <c r="C334" s="27">
        <v>124.5</v>
      </c>
      <c r="D334" s="3">
        <f t="shared" si="7"/>
        <v>124.5</v>
      </c>
      <c r="E334" s="3" t="s">
        <v>1385</v>
      </c>
    </row>
    <row r="335" spans="1:5" ht="18" x14ac:dyDescent="0.35">
      <c r="A335" s="28"/>
      <c r="B335" s="27" t="s">
        <v>784</v>
      </c>
      <c r="C335" s="27">
        <v>310.75</v>
      </c>
      <c r="D335" s="3">
        <f t="shared" si="7"/>
        <v>310.75</v>
      </c>
      <c r="E335" s="3" t="s">
        <v>1385</v>
      </c>
    </row>
    <row r="336" spans="1:5" ht="18" x14ac:dyDescent="0.35">
      <c r="A336" s="28"/>
      <c r="B336" s="27" t="s">
        <v>785</v>
      </c>
      <c r="C336" s="27">
        <v>560.25</v>
      </c>
      <c r="D336" s="3">
        <f t="shared" si="7"/>
        <v>560.25</v>
      </c>
      <c r="E336" s="3" t="s">
        <v>1385</v>
      </c>
    </row>
    <row r="337" spans="1:5" ht="18" x14ac:dyDescent="0.35">
      <c r="A337" s="28"/>
      <c r="B337" s="27" t="s">
        <v>786</v>
      </c>
      <c r="C337" s="27">
        <v>576.75</v>
      </c>
      <c r="D337" s="3">
        <f t="shared" si="7"/>
        <v>576.75</v>
      </c>
      <c r="E337" s="3" t="s">
        <v>1385</v>
      </c>
    </row>
    <row r="338" spans="1:5" ht="18" x14ac:dyDescent="0.35">
      <c r="A338" s="28"/>
      <c r="B338" s="27" t="s">
        <v>787</v>
      </c>
      <c r="C338" s="27">
        <v>740.75</v>
      </c>
      <c r="D338" s="3">
        <f t="shared" si="7"/>
        <v>740.75</v>
      </c>
      <c r="E338" s="3" t="s">
        <v>1385</v>
      </c>
    </row>
    <row r="339" spans="1:5" ht="18" x14ac:dyDescent="0.35">
      <c r="A339" s="28"/>
      <c r="B339" s="27" t="s">
        <v>788</v>
      </c>
      <c r="C339" s="27">
        <v>660.75</v>
      </c>
      <c r="D339" s="3">
        <f t="shared" si="7"/>
        <v>660.75</v>
      </c>
      <c r="E339" s="3" t="s">
        <v>1385</v>
      </c>
    </row>
    <row r="340" spans="1:5" ht="18" x14ac:dyDescent="0.35">
      <c r="A340" s="28"/>
      <c r="B340" s="27" t="s">
        <v>789</v>
      </c>
      <c r="C340" s="27">
        <v>677.25</v>
      </c>
      <c r="D340" s="3">
        <f t="shared" si="7"/>
        <v>677.25</v>
      </c>
      <c r="E340" s="3" t="s">
        <v>1385</v>
      </c>
    </row>
    <row r="341" spans="1:5" ht="18" x14ac:dyDescent="0.35">
      <c r="A341" s="28"/>
      <c r="B341" s="27" t="s">
        <v>790</v>
      </c>
      <c r="C341" s="27">
        <v>841.25</v>
      </c>
      <c r="D341" s="3">
        <f t="shared" si="7"/>
        <v>841.25</v>
      </c>
      <c r="E341" s="3" t="s">
        <v>1385</v>
      </c>
    </row>
    <row r="342" spans="1:5" ht="18" x14ac:dyDescent="0.35">
      <c r="A342" s="28"/>
      <c r="B342" s="27" t="s">
        <v>791</v>
      </c>
      <c r="C342" s="27">
        <v>395.25</v>
      </c>
      <c r="D342" s="3">
        <f t="shared" si="7"/>
        <v>395.25</v>
      </c>
      <c r="E342" s="3" t="s">
        <v>1385</v>
      </c>
    </row>
    <row r="343" spans="1:5" ht="18" x14ac:dyDescent="0.35">
      <c r="A343" s="28"/>
      <c r="B343" s="27" t="s">
        <v>792</v>
      </c>
      <c r="C343" s="27">
        <v>542</v>
      </c>
      <c r="D343" s="3">
        <f t="shared" si="7"/>
        <v>542</v>
      </c>
      <c r="E343" s="3" t="s">
        <v>1385</v>
      </c>
    </row>
    <row r="344" spans="1:5" ht="18" x14ac:dyDescent="0.35">
      <c r="A344" s="28"/>
      <c r="B344" s="27" t="s">
        <v>793</v>
      </c>
      <c r="C344" s="27">
        <v>737.5</v>
      </c>
      <c r="D344" s="3">
        <f t="shared" si="7"/>
        <v>737.5</v>
      </c>
      <c r="E344" s="3" t="s">
        <v>1385</v>
      </c>
    </row>
    <row r="345" spans="1:5" ht="18" x14ac:dyDescent="0.35">
      <c r="A345" s="28"/>
      <c r="B345" s="27" t="s">
        <v>794</v>
      </c>
      <c r="C345" s="27">
        <v>1233.5</v>
      </c>
      <c r="D345" s="3">
        <f t="shared" si="7"/>
        <v>1233.5</v>
      </c>
      <c r="E345" s="3" t="s">
        <v>1385</v>
      </c>
    </row>
    <row r="346" spans="1:5" ht="18" x14ac:dyDescent="0.35">
      <c r="A346" s="28"/>
      <c r="B346" s="27" t="s">
        <v>795</v>
      </c>
      <c r="C346" s="27" t="s">
        <v>708</v>
      </c>
      <c r="D346" s="3" t="str">
        <f t="shared" si="7"/>
        <v>1831 75</v>
      </c>
      <c r="E346" s="3" t="s">
        <v>1385</v>
      </c>
    </row>
    <row r="347" spans="1:5" ht="18" x14ac:dyDescent="0.35">
      <c r="A347" s="28"/>
      <c r="B347" s="27" t="s">
        <v>796</v>
      </c>
      <c r="C347" s="27">
        <v>3058</v>
      </c>
      <c r="D347" s="3">
        <f t="shared" si="7"/>
        <v>3058</v>
      </c>
      <c r="E347" s="3" t="s">
        <v>1385</v>
      </c>
    </row>
    <row r="348" spans="1:5" ht="18" x14ac:dyDescent="0.35">
      <c r="A348" s="28"/>
      <c r="B348" s="27" t="s">
        <v>797</v>
      </c>
      <c r="C348" s="27">
        <v>5038.5</v>
      </c>
      <c r="D348" s="3">
        <f t="shared" si="7"/>
        <v>5038.5</v>
      </c>
      <c r="E348" s="3" t="s">
        <v>1385</v>
      </c>
    </row>
    <row r="349" spans="1:5" ht="18" x14ac:dyDescent="0.35">
      <c r="A349" s="28"/>
      <c r="B349" s="27" t="s">
        <v>798</v>
      </c>
      <c r="C349" s="27">
        <v>7641.5</v>
      </c>
      <c r="D349" s="3">
        <f t="shared" si="7"/>
        <v>7641.5</v>
      </c>
      <c r="E349" s="3" t="s">
        <v>1385</v>
      </c>
    </row>
    <row r="350" spans="1:5" ht="18" x14ac:dyDescent="0.35">
      <c r="A350" s="28"/>
      <c r="B350" s="27" t="s">
        <v>799</v>
      </c>
      <c r="C350" s="27">
        <v>11621.5</v>
      </c>
      <c r="D350" s="3">
        <f t="shared" si="7"/>
        <v>11621.5</v>
      </c>
      <c r="E350" s="3" t="s">
        <v>1385</v>
      </c>
    </row>
    <row r="351" spans="1:5" ht="18" x14ac:dyDescent="0.35">
      <c r="A351" s="28"/>
      <c r="B351" s="27" t="s">
        <v>800</v>
      </c>
      <c r="C351" s="27">
        <v>772.5</v>
      </c>
      <c r="D351" s="3">
        <f t="shared" si="7"/>
        <v>772.5</v>
      </c>
      <c r="E351" s="3" t="s">
        <v>1385</v>
      </c>
    </row>
    <row r="352" spans="1:5" ht="18" x14ac:dyDescent="0.35">
      <c r="A352" s="28"/>
      <c r="B352" s="27" t="s">
        <v>801</v>
      </c>
      <c r="C352" s="27">
        <v>1279</v>
      </c>
      <c r="D352" s="3">
        <f t="shared" si="7"/>
        <v>1279</v>
      </c>
      <c r="E352" s="3" t="s">
        <v>1385</v>
      </c>
    </row>
    <row r="353" spans="1:8" ht="18" x14ac:dyDescent="0.35">
      <c r="A353" s="28"/>
      <c r="B353" s="27" t="s">
        <v>802</v>
      </c>
      <c r="C353" s="27">
        <v>1925</v>
      </c>
      <c r="D353" s="3">
        <f t="shared" si="7"/>
        <v>1925</v>
      </c>
      <c r="E353" s="3" t="s">
        <v>1385</v>
      </c>
    </row>
    <row r="354" spans="1:8" ht="18" x14ac:dyDescent="0.35">
      <c r="A354" s="28"/>
      <c r="B354" s="27" t="s">
        <v>803</v>
      </c>
      <c r="C354" s="27">
        <v>3231</v>
      </c>
      <c r="D354" s="3">
        <f t="shared" si="7"/>
        <v>3231</v>
      </c>
      <c r="E354" s="3" t="s">
        <v>1385</v>
      </c>
    </row>
    <row r="355" spans="1:8" ht="18" x14ac:dyDescent="0.35">
      <c r="A355" s="28"/>
      <c r="B355" s="27" t="s">
        <v>804</v>
      </c>
      <c r="C355" s="27">
        <v>443</v>
      </c>
      <c r="D355" s="3">
        <f t="shared" si="7"/>
        <v>443</v>
      </c>
      <c r="E355" s="3" t="s">
        <v>1385</v>
      </c>
    </row>
    <row r="356" spans="1:8" ht="18" x14ac:dyDescent="0.35">
      <c r="A356" s="28"/>
      <c r="B356" s="27" t="s">
        <v>805</v>
      </c>
      <c r="C356" s="27">
        <v>513.5</v>
      </c>
      <c r="D356" s="3">
        <f t="shared" si="7"/>
        <v>513.5</v>
      </c>
      <c r="E356" s="3" t="s">
        <v>1385</v>
      </c>
    </row>
    <row r="357" spans="1:8" ht="18" x14ac:dyDescent="0.35">
      <c r="A357" s="28"/>
      <c r="B357" s="27" t="s">
        <v>806</v>
      </c>
      <c r="C357" s="27">
        <v>683.75</v>
      </c>
      <c r="D357" s="3">
        <f t="shared" si="7"/>
        <v>683.75</v>
      </c>
      <c r="E357" s="3" t="s">
        <v>1385</v>
      </c>
      <c r="H357" s="35"/>
    </row>
    <row r="358" spans="1:8" ht="18" x14ac:dyDescent="0.35">
      <c r="A358" s="28"/>
      <c r="B358" s="3" t="s">
        <v>818</v>
      </c>
      <c r="C358" s="27">
        <v>52</v>
      </c>
      <c r="D358" s="3">
        <f t="shared" si="7"/>
        <v>52</v>
      </c>
      <c r="E358" s="3" t="s">
        <v>1387</v>
      </c>
      <c r="H358" s="35"/>
    </row>
    <row r="359" spans="1:8" ht="18" x14ac:dyDescent="0.35">
      <c r="A359" s="28"/>
      <c r="B359" s="27" t="s">
        <v>819</v>
      </c>
      <c r="C359" s="27">
        <v>66.25</v>
      </c>
      <c r="D359" s="3">
        <f t="shared" si="7"/>
        <v>66.25</v>
      </c>
      <c r="E359" s="3" t="s">
        <v>1387</v>
      </c>
    </row>
    <row r="360" spans="1:8" ht="18" x14ac:dyDescent="0.35">
      <c r="A360" s="28"/>
      <c r="B360" s="27" t="s">
        <v>820</v>
      </c>
      <c r="C360" s="27">
        <v>93.5</v>
      </c>
      <c r="D360" s="3">
        <f t="shared" si="7"/>
        <v>93.5</v>
      </c>
      <c r="E360" s="3" t="s">
        <v>1387</v>
      </c>
    </row>
    <row r="361" spans="1:8" ht="18" x14ac:dyDescent="0.35">
      <c r="A361" s="28"/>
      <c r="B361" s="27" t="s">
        <v>821</v>
      </c>
      <c r="C361" s="27">
        <v>181.75</v>
      </c>
      <c r="D361" s="3">
        <f t="shared" si="7"/>
        <v>181.75</v>
      </c>
      <c r="E361" s="3" t="s">
        <v>1387</v>
      </c>
    </row>
    <row r="362" spans="1:8" ht="18" x14ac:dyDescent="0.35">
      <c r="A362" s="28"/>
      <c r="B362" s="27" t="s">
        <v>822</v>
      </c>
      <c r="C362" s="27">
        <v>372.5</v>
      </c>
      <c r="D362" s="3">
        <f t="shared" si="7"/>
        <v>372.5</v>
      </c>
      <c r="E362" s="3" t="s">
        <v>1387</v>
      </c>
    </row>
    <row r="363" spans="1:8" ht="18" x14ac:dyDescent="0.35">
      <c r="A363" s="28"/>
      <c r="B363" s="27" t="s">
        <v>823</v>
      </c>
      <c r="C363" s="27">
        <v>75.5</v>
      </c>
      <c r="D363" s="3">
        <f t="shared" si="7"/>
        <v>75.5</v>
      </c>
      <c r="E363" s="3" t="s">
        <v>1387</v>
      </c>
    </row>
    <row r="364" spans="1:8" ht="18" x14ac:dyDescent="0.35">
      <c r="A364" s="28"/>
      <c r="B364" s="27" t="s">
        <v>824</v>
      </c>
      <c r="C364" s="27">
        <v>79.75</v>
      </c>
      <c r="D364" s="3">
        <f t="shared" si="7"/>
        <v>79.75</v>
      </c>
      <c r="E364" s="3" t="s">
        <v>1387</v>
      </c>
    </row>
    <row r="365" spans="1:8" ht="18" x14ac:dyDescent="0.35">
      <c r="A365" s="28"/>
      <c r="B365" s="27" t="s">
        <v>825</v>
      </c>
      <c r="C365" s="27">
        <v>101</v>
      </c>
      <c r="D365" s="3">
        <f t="shared" si="7"/>
        <v>101</v>
      </c>
      <c r="E365" s="3" t="s">
        <v>1387</v>
      </c>
    </row>
    <row r="366" spans="1:8" ht="18" x14ac:dyDescent="0.35">
      <c r="A366" s="28"/>
      <c r="B366" s="27" t="s">
        <v>826</v>
      </c>
      <c r="C366" s="27">
        <v>202.25</v>
      </c>
      <c r="D366" s="3">
        <f t="shared" si="7"/>
        <v>202.25</v>
      </c>
      <c r="E366" s="3" t="s">
        <v>1387</v>
      </c>
    </row>
    <row r="367" spans="1:8" ht="18" x14ac:dyDescent="0.35">
      <c r="A367" s="28"/>
      <c r="B367" s="27" t="s">
        <v>827</v>
      </c>
      <c r="C367" s="27">
        <v>60</v>
      </c>
      <c r="D367" s="3">
        <f t="shared" si="7"/>
        <v>60</v>
      </c>
      <c r="E367" s="3" t="s">
        <v>1387</v>
      </c>
    </row>
    <row r="368" spans="1:8" ht="18" x14ac:dyDescent="0.35">
      <c r="A368" s="28"/>
      <c r="B368" s="27" t="s">
        <v>828</v>
      </c>
      <c r="C368" s="27">
        <v>44</v>
      </c>
      <c r="D368" s="3">
        <f t="shared" si="7"/>
        <v>44</v>
      </c>
      <c r="E368" s="3" t="s">
        <v>1387</v>
      </c>
    </row>
    <row r="369" spans="1:5" ht="18" x14ac:dyDescent="0.35">
      <c r="A369" s="28"/>
      <c r="B369" s="27" t="s">
        <v>829</v>
      </c>
      <c r="C369" s="27">
        <v>85</v>
      </c>
      <c r="D369" s="3">
        <f t="shared" si="7"/>
        <v>85</v>
      </c>
      <c r="E369" s="3" t="s">
        <v>1387</v>
      </c>
    </row>
    <row r="370" spans="1:5" ht="18" x14ac:dyDescent="0.35">
      <c r="A370" s="28"/>
      <c r="B370" s="27" t="s">
        <v>830</v>
      </c>
      <c r="C370" s="27">
        <v>97</v>
      </c>
      <c r="D370" s="3">
        <f t="shared" si="7"/>
        <v>97</v>
      </c>
      <c r="E370" s="3" t="s">
        <v>1387</v>
      </c>
    </row>
    <row r="371" spans="1:5" ht="18" x14ac:dyDescent="0.35">
      <c r="A371" s="28"/>
      <c r="B371" s="27" t="s">
        <v>831</v>
      </c>
      <c r="C371" s="27">
        <v>197.75</v>
      </c>
      <c r="D371" s="3">
        <f t="shared" si="7"/>
        <v>197.75</v>
      </c>
      <c r="E371" s="3" t="s">
        <v>1387</v>
      </c>
    </row>
    <row r="372" spans="1:5" ht="18" x14ac:dyDescent="0.35">
      <c r="A372" s="28"/>
      <c r="B372" s="27" t="s">
        <v>832</v>
      </c>
      <c r="C372" s="27">
        <v>104</v>
      </c>
      <c r="D372" s="3">
        <f t="shared" si="7"/>
        <v>104</v>
      </c>
      <c r="E372" s="3" t="s">
        <v>1387</v>
      </c>
    </row>
    <row r="373" spans="1:5" ht="18" x14ac:dyDescent="0.35">
      <c r="A373" s="28"/>
      <c r="B373" s="27" t="s">
        <v>833</v>
      </c>
      <c r="C373" s="27">
        <v>50</v>
      </c>
      <c r="D373" s="3">
        <f t="shared" si="7"/>
        <v>50</v>
      </c>
      <c r="E373" s="3" t="s">
        <v>1387</v>
      </c>
    </row>
    <row r="374" spans="1:5" ht="18" x14ac:dyDescent="0.35">
      <c r="A374" s="28"/>
      <c r="B374" s="27" t="s">
        <v>834</v>
      </c>
      <c r="C374" s="27">
        <v>100</v>
      </c>
      <c r="D374" s="3">
        <f t="shared" si="7"/>
        <v>100</v>
      </c>
      <c r="E374" s="3" t="s">
        <v>1387</v>
      </c>
    </row>
    <row r="375" spans="1:5" ht="18" x14ac:dyDescent="0.35">
      <c r="A375" s="28"/>
      <c r="B375" s="27" t="s">
        <v>835</v>
      </c>
      <c r="C375" s="27">
        <v>23</v>
      </c>
      <c r="D375" s="3">
        <f t="shared" si="7"/>
        <v>23</v>
      </c>
      <c r="E375" s="3" t="s">
        <v>1387</v>
      </c>
    </row>
    <row r="376" spans="1:5" ht="18" x14ac:dyDescent="0.35">
      <c r="A376" s="28"/>
      <c r="B376" s="27" t="s">
        <v>836</v>
      </c>
      <c r="C376" s="27">
        <v>31</v>
      </c>
      <c r="D376" s="3">
        <f t="shared" si="7"/>
        <v>31</v>
      </c>
      <c r="E376" s="3" t="s">
        <v>1387</v>
      </c>
    </row>
    <row r="377" spans="1:5" ht="18" x14ac:dyDescent="0.35">
      <c r="A377" s="28"/>
      <c r="B377" s="27" t="s">
        <v>837</v>
      </c>
      <c r="C377" s="27">
        <v>43.75</v>
      </c>
      <c r="D377" s="3">
        <f t="shared" si="7"/>
        <v>43.75</v>
      </c>
      <c r="E377" s="3" t="s">
        <v>1387</v>
      </c>
    </row>
    <row r="378" spans="1:5" ht="18" x14ac:dyDescent="0.35">
      <c r="A378" s="28"/>
      <c r="B378" s="27" t="s">
        <v>838</v>
      </c>
      <c r="C378" s="27">
        <v>48</v>
      </c>
      <c r="D378" s="3">
        <f t="shared" si="7"/>
        <v>48</v>
      </c>
      <c r="E378" s="3" t="s">
        <v>1387</v>
      </c>
    </row>
    <row r="379" spans="1:5" ht="18" x14ac:dyDescent="0.35">
      <c r="A379" s="28"/>
      <c r="B379" s="27" t="s">
        <v>839</v>
      </c>
      <c r="C379" s="27">
        <v>75.25</v>
      </c>
      <c r="D379" s="3">
        <f t="shared" si="7"/>
        <v>75.25</v>
      </c>
      <c r="E379" s="3" t="s">
        <v>1387</v>
      </c>
    </row>
    <row r="380" spans="1:5" ht="18" x14ac:dyDescent="0.35">
      <c r="A380" s="28"/>
      <c r="B380" s="27" t="s">
        <v>840</v>
      </c>
      <c r="C380" s="27">
        <v>166</v>
      </c>
      <c r="D380" s="3">
        <f t="shared" si="7"/>
        <v>166</v>
      </c>
      <c r="E380" s="3" t="s">
        <v>1387</v>
      </c>
    </row>
    <row r="381" spans="1:5" ht="18" x14ac:dyDescent="0.35">
      <c r="A381" s="28"/>
      <c r="B381" s="27" t="s">
        <v>841</v>
      </c>
      <c r="C381" s="27">
        <v>21.25</v>
      </c>
      <c r="D381" s="3">
        <f t="shared" si="7"/>
        <v>21.25</v>
      </c>
      <c r="E381" s="3" t="s">
        <v>1387</v>
      </c>
    </row>
    <row r="382" spans="1:5" ht="18" x14ac:dyDescent="0.35">
      <c r="A382" s="28"/>
      <c r="B382" s="27" t="s">
        <v>842</v>
      </c>
      <c r="C382" s="27">
        <v>30</v>
      </c>
      <c r="D382" s="3">
        <f t="shared" si="7"/>
        <v>30</v>
      </c>
      <c r="E382" s="3" t="s">
        <v>1387</v>
      </c>
    </row>
    <row r="383" spans="1:5" ht="18" x14ac:dyDescent="0.35">
      <c r="A383" s="28"/>
      <c r="B383" s="27" t="s">
        <v>843</v>
      </c>
      <c r="C383" s="27">
        <v>46.5</v>
      </c>
      <c r="D383" s="3">
        <f t="shared" si="7"/>
        <v>46.5</v>
      </c>
      <c r="E383" s="3" t="s">
        <v>1387</v>
      </c>
    </row>
    <row r="384" spans="1:5" ht="18" x14ac:dyDescent="0.35">
      <c r="A384" s="28"/>
      <c r="B384" s="27" t="s">
        <v>844</v>
      </c>
      <c r="C384" s="27">
        <v>61</v>
      </c>
      <c r="D384" s="3">
        <f t="shared" si="7"/>
        <v>61</v>
      </c>
      <c r="E384" s="3" t="s">
        <v>1387</v>
      </c>
    </row>
    <row r="385" spans="1:5" ht="18" x14ac:dyDescent="0.35">
      <c r="A385" s="28"/>
      <c r="B385" s="27" t="s">
        <v>845</v>
      </c>
      <c r="C385" s="27">
        <v>74.75</v>
      </c>
      <c r="D385" s="3">
        <f t="shared" si="7"/>
        <v>74.75</v>
      </c>
      <c r="E385" s="3" t="s">
        <v>1387</v>
      </c>
    </row>
    <row r="386" spans="1:5" ht="18" x14ac:dyDescent="0.35">
      <c r="A386" s="28"/>
      <c r="B386" s="27" t="s">
        <v>846</v>
      </c>
      <c r="C386" s="27">
        <v>177</v>
      </c>
      <c r="D386" s="3">
        <f t="shared" ref="D386:D449" si="8">C386</f>
        <v>177</v>
      </c>
      <c r="E386" s="3" t="s">
        <v>1387</v>
      </c>
    </row>
    <row r="387" spans="1:5" ht="18" x14ac:dyDescent="0.35">
      <c r="A387" s="28"/>
      <c r="B387" s="27" t="s">
        <v>847</v>
      </c>
      <c r="C387" s="27">
        <v>69.75</v>
      </c>
      <c r="D387" s="3">
        <f t="shared" si="8"/>
        <v>69.75</v>
      </c>
      <c r="E387" s="3" t="s">
        <v>1387</v>
      </c>
    </row>
    <row r="388" spans="1:5" ht="18" x14ac:dyDescent="0.35">
      <c r="A388" s="28"/>
      <c r="B388" s="27" t="s">
        <v>848</v>
      </c>
      <c r="C388" s="27">
        <v>109.25</v>
      </c>
      <c r="D388" s="3">
        <f t="shared" si="8"/>
        <v>109.25</v>
      </c>
      <c r="E388" s="3" t="s">
        <v>1387</v>
      </c>
    </row>
    <row r="389" spans="1:5" ht="18" x14ac:dyDescent="0.35">
      <c r="A389" s="28"/>
      <c r="B389" s="3" t="s">
        <v>849</v>
      </c>
      <c r="C389" s="27">
        <v>229.5</v>
      </c>
      <c r="D389" s="3">
        <f t="shared" si="8"/>
        <v>229.5</v>
      </c>
      <c r="E389" s="3" t="s">
        <v>1387</v>
      </c>
    </row>
    <row r="390" spans="1:5" ht="18" x14ac:dyDescent="0.35">
      <c r="A390" s="28"/>
      <c r="B390" s="27" t="s">
        <v>850</v>
      </c>
      <c r="C390" s="27">
        <v>30.5</v>
      </c>
      <c r="D390" s="3">
        <f t="shared" si="8"/>
        <v>30.5</v>
      </c>
      <c r="E390" s="3" t="s">
        <v>1387</v>
      </c>
    </row>
    <row r="391" spans="1:5" ht="18" x14ac:dyDescent="0.35">
      <c r="A391" s="28"/>
      <c r="B391" s="27" t="s">
        <v>851</v>
      </c>
      <c r="C391" s="27">
        <v>47.75</v>
      </c>
      <c r="D391" s="3">
        <f t="shared" si="8"/>
        <v>47.75</v>
      </c>
      <c r="E391" s="3" t="s">
        <v>1387</v>
      </c>
    </row>
    <row r="392" spans="1:5" ht="18" x14ac:dyDescent="0.35">
      <c r="A392" s="28"/>
      <c r="B392" s="27" t="s">
        <v>852</v>
      </c>
      <c r="C392" s="27">
        <v>64</v>
      </c>
      <c r="D392" s="3">
        <f t="shared" si="8"/>
        <v>64</v>
      </c>
      <c r="E392" s="3" t="s">
        <v>1387</v>
      </c>
    </row>
    <row r="393" spans="1:5" ht="18" x14ac:dyDescent="0.35">
      <c r="A393" s="28"/>
      <c r="B393" s="27" t="s">
        <v>853</v>
      </c>
      <c r="C393" s="27">
        <v>77.5</v>
      </c>
      <c r="D393" s="3">
        <f t="shared" si="8"/>
        <v>77.5</v>
      </c>
      <c r="E393" s="3" t="s">
        <v>1387</v>
      </c>
    </row>
    <row r="394" spans="1:5" ht="18" x14ac:dyDescent="0.35">
      <c r="A394" s="28"/>
      <c r="B394" s="27" t="s">
        <v>854</v>
      </c>
      <c r="C394" s="27">
        <v>77.25</v>
      </c>
      <c r="D394" s="3">
        <f t="shared" si="8"/>
        <v>77.25</v>
      </c>
      <c r="E394" s="3" t="s">
        <v>1387</v>
      </c>
    </row>
    <row r="395" spans="1:5" ht="18" x14ac:dyDescent="0.35">
      <c r="A395" s="28"/>
      <c r="B395" s="27" t="s">
        <v>855</v>
      </c>
      <c r="C395" s="27">
        <v>86</v>
      </c>
      <c r="D395" s="3">
        <f t="shared" si="8"/>
        <v>86</v>
      </c>
      <c r="E395" s="3" t="s">
        <v>1387</v>
      </c>
    </row>
    <row r="396" spans="1:5" ht="18" x14ac:dyDescent="0.35">
      <c r="A396" s="28"/>
      <c r="B396" s="27" t="s">
        <v>856</v>
      </c>
      <c r="C396" s="27">
        <v>112.5</v>
      </c>
      <c r="D396" s="3">
        <f t="shared" si="8"/>
        <v>112.5</v>
      </c>
      <c r="E396" s="3" t="s">
        <v>1387</v>
      </c>
    </row>
    <row r="397" spans="1:5" ht="18" x14ac:dyDescent="0.35">
      <c r="A397" s="28"/>
      <c r="B397" s="27" t="s">
        <v>857</v>
      </c>
      <c r="C397" s="27">
        <v>126.75</v>
      </c>
      <c r="D397" s="3">
        <f t="shared" si="8"/>
        <v>126.75</v>
      </c>
      <c r="E397" s="3" t="s">
        <v>1387</v>
      </c>
    </row>
    <row r="398" spans="1:5" ht="18" x14ac:dyDescent="0.35">
      <c r="A398" s="28"/>
      <c r="B398" s="27" t="s">
        <v>858</v>
      </c>
      <c r="C398" s="27">
        <v>132.75</v>
      </c>
      <c r="D398" s="3">
        <f t="shared" si="8"/>
        <v>132.75</v>
      </c>
      <c r="E398" s="3" t="s">
        <v>1387</v>
      </c>
    </row>
    <row r="399" spans="1:5" ht="18" x14ac:dyDescent="0.35">
      <c r="A399" s="28"/>
      <c r="B399" s="27" t="s">
        <v>859</v>
      </c>
      <c r="C399" s="27">
        <v>294.75</v>
      </c>
      <c r="D399" s="3">
        <f t="shared" si="8"/>
        <v>294.75</v>
      </c>
      <c r="E399" s="3" t="s">
        <v>1387</v>
      </c>
    </row>
    <row r="400" spans="1:5" ht="18" x14ac:dyDescent="0.35">
      <c r="A400" s="28"/>
      <c r="B400" s="27" t="s">
        <v>860</v>
      </c>
      <c r="C400" s="27">
        <v>382.25</v>
      </c>
      <c r="D400" s="3">
        <f t="shared" si="8"/>
        <v>382.25</v>
      </c>
      <c r="E400" s="3" t="s">
        <v>1387</v>
      </c>
    </row>
    <row r="401" spans="1:5" ht="18" x14ac:dyDescent="0.35">
      <c r="A401" s="28"/>
      <c r="B401" s="27" t="s">
        <v>861</v>
      </c>
      <c r="C401" s="27">
        <v>46</v>
      </c>
      <c r="D401" s="3">
        <f t="shared" si="8"/>
        <v>46</v>
      </c>
      <c r="E401" s="3" t="s">
        <v>1387</v>
      </c>
    </row>
    <row r="402" spans="1:5" ht="18" x14ac:dyDescent="0.35">
      <c r="A402" s="28"/>
      <c r="B402" s="27" t="s">
        <v>862</v>
      </c>
      <c r="C402" s="27">
        <v>62</v>
      </c>
      <c r="D402" s="3">
        <f t="shared" si="8"/>
        <v>62</v>
      </c>
      <c r="E402" s="3" t="s">
        <v>1387</v>
      </c>
    </row>
    <row r="403" spans="1:5" ht="18" x14ac:dyDescent="0.35">
      <c r="A403" s="28"/>
      <c r="B403" s="27" t="s">
        <v>863</v>
      </c>
      <c r="C403" s="27">
        <v>78</v>
      </c>
      <c r="D403" s="3">
        <f t="shared" si="8"/>
        <v>78</v>
      </c>
      <c r="E403" s="3" t="s">
        <v>1387</v>
      </c>
    </row>
    <row r="404" spans="1:5" ht="18" x14ac:dyDescent="0.35">
      <c r="A404" s="28"/>
      <c r="B404" s="27" t="s">
        <v>864</v>
      </c>
      <c r="C404" s="27">
        <v>74.25</v>
      </c>
      <c r="D404" s="3">
        <f t="shared" si="8"/>
        <v>74.25</v>
      </c>
      <c r="E404" s="3" t="s">
        <v>1387</v>
      </c>
    </row>
    <row r="405" spans="1:5" ht="18" x14ac:dyDescent="0.35">
      <c r="A405" s="28"/>
      <c r="B405" s="27" t="s">
        <v>865</v>
      </c>
      <c r="C405" s="27">
        <v>79.75</v>
      </c>
      <c r="D405" s="3">
        <f t="shared" si="8"/>
        <v>79.75</v>
      </c>
      <c r="E405" s="3" t="s">
        <v>1387</v>
      </c>
    </row>
    <row r="406" spans="1:5" ht="18" x14ac:dyDescent="0.35">
      <c r="A406" s="28"/>
      <c r="B406" s="27" t="s">
        <v>866</v>
      </c>
      <c r="C406" s="27">
        <v>84</v>
      </c>
      <c r="D406" s="3">
        <f t="shared" si="8"/>
        <v>84</v>
      </c>
      <c r="E406" s="3" t="s">
        <v>1387</v>
      </c>
    </row>
    <row r="407" spans="1:5" ht="18" x14ac:dyDescent="0.35">
      <c r="A407" s="28"/>
      <c r="B407" s="27" t="s">
        <v>867</v>
      </c>
      <c r="C407" s="27">
        <v>112.5</v>
      </c>
      <c r="D407" s="3">
        <f t="shared" si="8"/>
        <v>112.5</v>
      </c>
      <c r="E407" s="3" t="s">
        <v>1387</v>
      </c>
    </row>
    <row r="408" spans="1:5" ht="18" x14ac:dyDescent="0.35">
      <c r="A408" s="28"/>
      <c r="B408" s="27" t="s">
        <v>868</v>
      </c>
      <c r="C408" s="27">
        <v>119.5</v>
      </c>
      <c r="D408" s="3">
        <f t="shared" si="8"/>
        <v>119.5</v>
      </c>
      <c r="E408" s="3" t="s">
        <v>1387</v>
      </c>
    </row>
    <row r="409" spans="1:5" ht="18" x14ac:dyDescent="0.35">
      <c r="A409" s="28"/>
      <c r="B409" s="27" t="s">
        <v>869</v>
      </c>
      <c r="C409" s="27">
        <v>126.25</v>
      </c>
      <c r="D409" s="3">
        <f t="shared" si="8"/>
        <v>126.25</v>
      </c>
      <c r="E409" s="3" t="s">
        <v>1387</v>
      </c>
    </row>
    <row r="410" spans="1:5" ht="18" x14ac:dyDescent="0.35">
      <c r="A410" s="28"/>
      <c r="B410" s="27" t="s">
        <v>870</v>
      </c>
      <c r="C410" s="27">
        <v>131.5</v>
      </c>
      <c r="D410" s="3">
        <f t="shared" si="8"/>
        <v>131.5</v>
      </c>
      <c r="E410" s="3" t="s">
        <v>1387</v>
      </c>
    </row>
    <row r="411" spans="1:5" ht="18" x14ac:dyDescent="0.35">
      <c r="A411" s="28"/>
      <c r="B411" s="27" t="s">
        <v>871</v>
      </c>
      <c r="C411" s="27">
        <v>294.75</v>
      </c>
      <c r="D411" s="3">
        <f t="shared" si="8"/>
        <v>294.75</v>
      </c>
      <c r="E411" s="3" t="s">
        <v>1387</v>
      </c>
    </row>
    <row r="412" spans="1:5" ht="18" x14ac:dyDescent="0.35">
      <c r="A412" s="28"/>
      <c r="B412" s="27" t="s">
        <v>872</v>
      </c>
      <c r="C412" s="27">
        <v>374</v>
      </c>
      <c r="D412" s="3">
        <f t="shared" si="8"/>
        <v>374</v>
      </c>
      <c r="E412" s="3" t="s">
        <v>1387</v>
      </c>
    </row>
    <row r="413" spans="1:5" ht="18" x14ac:dyDescent="0.35">
      <c r="A413" s="28"/>
      <c r="B413" s="27" t="s">
        <v>873</v>
      </c>
      <c r="C413" s="27">
        <v>134.75</v>
      </c>
      <c r="D413" s="3">
        <f t="shared" si="8"/>
        <v>134.75</v>
      </c>
      <c r="E413" s="3" t="s">
        <v>1387</v>
      </c>
    </row>
    <row r="414" spans="1:5" ht="18" x14ac:dyDescent="0.35">
      <c r="A414" s="28"/>
      <c r="B414" s="27" t="s">
        <v>874</v>
      </c>
      <c r="C414" s="27">
        <v>153.25</v>
      </c>
      <c r="D414" s="3">
        <f t="shared" si="8"/>
        <v>153.25</v>
      </c>
      <c r="E414" s="3" t="s">
        <v>1387</v>
      </c>
    </row>
    <row r="415" spans="1:5" ht="18" x14ac:dyDescent="0.35">
      <c r="A415" s="28"/>
      <c r="B415" s="27" t="s">
        <v>875</v>
      </c>
      <c r="C415" s="27">
        <v>139.75</v>
      </c>
      <c r="D415" s="3">
        <f t="shared" si="8"/>
        <v>139.75</v>
      </c>
      <c r="E415" s="3" t="s">
        <v>1387</v>
      </c>
    </row>
    <row r="416" spans="1:5" ht="18" x14ac:dyDescent="0.35">
      <c r="A416" s="28"/>
      <c r="B416" s="27" t="s">
        <v>876</v>
      </c>
      <c r="C416" s="27">
        <v>178.5</v>
      </c>
      <c r="D416" s="3">
        <f t="shared" si="8"/>
        <v>178.5</v>
      </c>
      <c r="E416" s="3" t="s">
        <v>1387</v>
      </c>
    </row>
    <row r="417" spans="1:5" ht="18" x14ac:dyDescent="0.35">
      <c r="A417" s="28"/>
      <c r="B417" s="27" t="s">
        <v>877</v>
      </c>
      <c r="C417" s="27">
        <v>324.5</v>
      </c>
      <c r="D417" s="3">
        <f t="shared" si="8"/>
        <v>324.5</v>
      </c>
      <c r="E417" s="3" t="s">
        <v>1387</v>
      </c>
    </row>
    <row r="418" spans="1:5" ht="18" x14ac:dyDescent="0.35">
      <c r="A418" s="28"/>
      <c r="B418" s="27" t="s">
        <v>878</v>
      </c>
      <c r="C418" s="27">
        <v>419.5</v>
      </c>
      <c r="D418" s="3">
        <f t="shared" si="8"/>
        <v>419.5</v>
      </c>
      <c r="E418" s="3" t="s">
        <v>1387</v>
      </c>
    </row>
    <row r="419" spans="1:5" ht="18" x14ac:dyDescent="0.35">
      <c r="A419" s="28"/>
      <c r="B419" s="27" t="s">
        <v>879</v>
      </c>
      <c r="C419" s="27">
        <v>289</v>
      </c>
      <c r="D419" s="3">
        <f t="shared" si="8"/>
        <v>289</v>
      </c>
      <c r="E419" s="3" t="s">
        <v>1387</v>
      </c>
    </row>
    <row r="420" spans="1:5" ht="18" x14ac:dyDescent="0.35">
      <c r="A420" s="28"/>
      <c r="B420" s="27" t="s">
        <v>880</v>
      </c>
      <c r="C420" s="27">
        <v>316.75</v>
      </c>
      <c r="D420" s="3">
        <f t="shared" si="8"/>
        <v>316.75</v>
      </c>
      <c r="E420" s="3" t="s">
        <v>1387</v>
      </c>
    </row>
    <row r="421" spans="1:5" ht="18" x14ac:dyDescent="0.35">
      <c r="A421" s="28"/>
      <c r="B421" s="27" t="s">
        <v>881</v>
      </c>
      <c r="C421" s="27">
        <v>337.25</v>
      </c>
      <c r="D421" s="3">
        <f t="shared" si="8"/>
        <v>337.25</v>
      </c>
      <c r="E421" s="3" t="s">
        <v>1387</v>
      </c>
    </row>
    <row r="422" spans="1:5" ht="18" x14ac:dyDescent="0.35">
      <c r="A422" s="28"/>
      <c r="B422" s="27" t="s">
        <v>882</v>
      </c>
      <c r="C422" s="27">
        <v>272.75</v>
      </c>
      <c r="D422" s="3">
        <f t="shared" si="8"/>
        <v>272.75</v>
      </c>
      <c r="E422" s="3" t="s">
        <v>1387</v>
      </c>
    </row>
    <row r="423" spans="1:5" ht="18" x14ac:dyDescent="0.35">
      <c r="A423" s="28"/>
      <c r="B423" s="27" t="s">
        <v>883</v>
      </c>
      <c r="C423" s="27">
        <v>313.75</v>
      </c>
      <c r="D423" s="3">
        <f t="shared" si="8"/>
        <v>313.75</v>
      </c>
      <c r="E423" s="3" t="s">
        <v>1387</v>
      </c>
    </row>
    <row r="424" spans="1:5" ht="18" x14ac:dyDescent="0.35">
      <c r="A424" s="28"/>
      <c r="B424" s="27" t="s">
        <v>884</v>
      </c>
      <c r="C424" s="27">
        <v>323.5</v>
      </c>
      <c r="D424" s="3">
        <f t="shared" si="8"/>
        <v>323.5</v>
      </c>
      <c r="E424" s="3" t="s">
        <v>1387</v>
      </c>
    </row>
    <row r="425" spans="1:5" ht="18" x14ac:dyDescent="0.35">
      <c r="A425" s="28"/>
      <c r="B425" s="27" t="s">
        <v>885</v>
      </c>
      <c r="C425" s="27">
        <v>27.5</v>
      </c>
      <c r="D425" s="3">
        <f t="shared" si="8"/>
        <v>27.5</v>
      </c>
      <c r="E425" s="3" t="s">
        <v>1387</v>
      </c>
    </row>
    <row r="426" spans="1:5" ht="18" x14ac:dyDescent="0.35">
      <c r="A426" s="28"/>
      <c r="B426" s="27" t="s">
        <v>886</v>
      </c>
      <c r="C426" s="27">
        <v>36.5</v>
      </c>
      <c r="D426" s="3">
        <f t="shared" si="8"/>
        <v>36.5</v>
      </c>
      <c r="E426" s="3" t="s">
        <v>1387</v>
      </c>
    </row>
    <row r="427" spans="1:5" ht="18" x14ac:dyDescent="0.35">
      <c r="A427" s="28"/>
      <c r="B427" s="27" t="s">
        <v>887</v>
      </c>
      <c r="C427" s="27">
        <v>55</v>
      </c>
      <c r="D427" s="3">
        <f t="shared" si="8"/>
        <v>55</v>
      </c>
      <c r="E427" s="3" t="s">
        <v>1387</v>
      </c>
    </row>
    <row r="428" spans="1:5" ht="18" x14ac:dyDescent="0.35">
      <c r="A428" s="28"/>
      <c r="B428" s="27" t="s">
        <v>888</v>
      </c>
      <c r="C428" s="27">
        <v>61</v>
      </c>
      <c r="D428" s="3">
        <f t="shared" si="8"/>
        <v>61</v>
      </c>
      <c r="E428" s="3" t="s">
        <v>1387</v>
      </c>
    </row>
    <row r="429" spans="1:5" ht="18" x14ac:dyDescent="0.35">
      <c r="A429" s="28"/>
      <c r="B429" s="27" t="s">
        <v>889</v>
      </c>
      <c r="C429" s="27">
        <v>75</v>
      </c>
      <c r="D429" s="3">
        <f t="shared" si="8"/>
        <v>75</v>
      </c>
      <c r="E429" s="3" t="s">
        <v>1387</v>
      </c>
    </row>
    <row r="430" spans="1:5" ht="18" x14ac:dyDescent="0.35">
      <c r="A430" s="28"/>
      <c r="B430" s="27" t="s">
        <v>890</v>
      </c>
      <c r="C430" s="27">
        <v>178.5</v>
      </c>
      <c r="D430" s="3">
        <f t="shared" si="8"/>
        <v>178.5</v>
      </c>
      <c r="E430" s="3" t="s">
        <v>1387</v>
      </c>
    </row>
    <row r="431" spans="1:5" ht="18" x14ac:dyDescent="0.35">
      <c r="A431" s="28"/>
      <c r="B431" s="27" t="s">
        <v>891</v>
      </c>
      <c r="C431" s="27">
        <v>28</v>
      </c>
      <c r="D431" s="3">
        <f t="shared" si="8"/>
        <v>28</v>
      </c>
      <c r="E431" s="3" t="s">
        <v>1387</v>
      </c>
    </row>
    <row r="432" spans="1:5" ht="18" x14ac:dyDescent="0.35">
      <c r="A432" s="28"/>
      <c r="B432" s="27" t="s">
        <v>892</v>
      </c>
      <c r="C432" s="27">
        <v>41.75</v>
      </c>
      <c r="D432" s="3">
        <f t="shared" si="8"/>
        <v>41.75</v>
      </c>
      <c r="E432" s="3" t="s">
        <v>1387</v>
      </c>
    </row>
    <row r="433" spans="1:5" ht="18" x14ac:dyDescent="0.35">
      <c r="A433" s="28"/>
      <c r="B433" s="27" t="s">
        <v>893</v>
      </c>
      <c r="C433" s="27">
        <v>64.5</v>
      </c>
      <c r="D433" s="3">
        <f t="shared" si="8"/>
        <v>64.5</v>
      </c>
      <c r="E433" s="3" t="s">
        <v>1387</v>
      </c>
    </row>
    <row r="434" spans="1:5" ht="18" x14ac:dyDescent="0.35">
      <c r="A434" s="28"/>
      <c r="B434" s="27" t="s">
        <v>894</v>
      </c>
      <c r="C434" s="27">
        <v>71.25</v>
      </c>
      <c r="D434" s="3">
        <f t="shared" si="8"/>
        <v>71.25</v>
      </c>
      <c r="E434" s="3" t="s">
        <v>1387</v>
      </c>
    </row>
    <row r="435" spans="1:5" ht="18" x14ac:dyDescent="0.35">
      <c r="A435" s="28"/>
      <c r="B435" s="27" t="s">
        <v>895</v>
      </c>
      <c r="C435" s="27">
        <v>119.25</v>
      </c>
      <c r="D435" s="3">
        <f t="shared" si="8"/>
        <v>119.25</v>
      </c>
      <c r="E435" s="3" t="s">
        <v>1387</v>
      </c>
    </row>
    <row r="436" spans="1:5" ht="18" x14ac:dyDescent="0.35">
      <c r="A436" s="28"/>
      <c r="B436" s="27" t="s">
        <v>896</v>
      </c>
      <c r="C436" s="27">
        <v>211.25</v>
      </c>
      <c r="D436" s="3">
        <f t="shared" si="8"/>
        <v>211.25</v>
      </c>
      <c r="E436" s="3" t="s">
        <v>1387</v>
      </c>
    </row>
    <row r="437" spans="1:5" ht="18" x14ac:dyDescent="0.35">
      <c r="A437" s="28"/>
      <c r="B437" s="27" t="s">
        <v>897</v>
      </c>
      <c r="C437" s="27">
        <v>194</v>
      </c>
      <c r="D437" s="3">
        <f t="shared" si="8"/>
        <v>194</v>
      </c>
      <c r="E437" s="3" t="s">
        <v>1387</v>
      </c>
    </row>
    <row r="438" spans="1:5" ht="18" x14ac:dyDescent="0.35">
      <c r="A438" s="28"/>
      <c r="B438" s="27" t="s">
        <v>898</v>
      </c>
      <c r="C438" s="27">
        <v>11.5</v>
      </c>
      <c r="D438" s="3">
        <f t="shared" si="8"/>
        <v>11.5</v>
      </c>
      <c r="E438" s="3" t="s">
        <v>1387</v>
      </c>
    </row>
    <row r="439" spans="1:5" ht="18" x14ac:dyDescent="0.35">
      <c r="A439" s="28"/>
      <c r="B439" s="27" t="s">
        <v>899</v>
      </c>
      <c r="C439" s="27">
        <v>31.5</v>
      </c>
      <c r="D439" s="3">
        <f t="shared" si="8"/>
        <v>31.5</v>
      </c>
      <c r="E439" s="3" t="s">
        <v>1387</v>
      </c>
    </row>
    <row r="440" spans="1:5" ht="18" x14ac:dyDescent="0.35">
      <c r="A440" s="28"/>
      <c r="B440" s="27" t="s">
        <v>900</v>
      </c>
      <c r="C440" s="27">
        <v>36</v>
      </c>
      <c r="D440" s="3">
        <f t="shared" si="8"/>
        <v>36</v>
      </c>
      <c r="E440" s="3" t="s">
        <v>1387</v>
      </c>
    </row>
    <row r="441" spans="1:5" ht="18" x14ac:dyDescent="0.35">
      <c r="A441" s="28"/>
      <c r="B441" s="27" t="s">
        <v>901</v>
      </c>
      <c r="C441" s="27">
        <v>41.5</v>
      </c>
      <c r="D441" s="3">
        <f t="shared" si="8"/>
        <v>41.5</v>
      </c>
      <c r="E441" s="3" t="s">
        <v>1387</v>
      </c>
    </row>
    <row r="442" spans="1:5" ht="18" x14ac:dyDescent="0.35">
      <c r="A442" s="28"/>
      <c r="B442" s="27" t="s">
        <v>902</v>
      </c>
      <c r="C442" s="27">
        <v>61.5</v>
      </c>
      <c r="D442" s="3">
        <f t="shared" si="8"/>
        <v>61.5</v>
      </c>
      <c r="E442" s="3" t="s">
        <v>1387</v>
      </c>
    </row>
    <row r="443" spans="1:5" ht="18" x14ac:dyDescent="0.35">
      <c r="A443" s="28"/>
      <c r="B443" s="27" t="s">
        <v>903</v>
      </c>
      <c r="C443" s="27">
        <v>113.75</v>
      </c>
      <c r="D443" s="3">
        <f t="shared" si="8"/>
        <v>113.75</v>
      </c>
      <c r="E443" s="3" t="s">
        <v>1387</v>
      </c>
    </row>
    <row r="444" spans="1:5" ht="18" x14ac:dyDescent="0.35">
      <c r="A444" s="28"/>
      <c r="B444" s="27" t="s">
        <v>904</v>
      </c>
      <c r="C444" s="27">
        <v>13.75</v>
      </c>
      <c r="D444" s="3">
        <f t="shared" si="8"/>
        <v>13.75</v>
      </c>
      <c r="E444" s="3" t="s">
        <v>1387</v>
      </c>
    </row>
    <row r="445" spans="1:5" ht="18" x14ac:dyDescent="0.35">
      <c r="A445" s="28"/>
      <c r="B445" s="27" t="s">
        <v>905</v>
      </c>
      <c r="C445" s="27">
        <v>27.75</v>
      </c>
      <c r="D445" s="3">
        <f t="shared" si="8"/>
        <v>27.75</v>
      </c>
      <c r="E445" s="3" t="s">
        <v>1387</v>
      </c>
    </row>
    <row r="446" spans="1:5" ht="18" x14ac:dyDescent="0.35">
      <c r="A446" s="28"/>
      <c r="B446" s="27" t="s">
        <v>906</v>
      </c>
      <c r="C446" s="27">
        <v>32.5</v>
      </c>
      <c r="D446" s="3">
        <f t="shared" si="8"/>
        <v>32.5</v>
      </c>
      <c r="E446" s="3" t="s">
        <v>1387</v>
      </c>
    </row>
    <row r="447" spans="1:5" ht="18" x14ac:dyDescent="0.35">
      <c r="A447" s="28"/>
      <c r="B447" s="27" t="s">
        <v>907</v>
      </c>
      <c r="C447" s="27">
        <v>37.75</v>
      </c>
      <c r="D447" s="3">
        <f t="shared" si="8"/>
        <v>37.75</v>
      </c>
      <c r="E447" s="3" t="s">
        <v>1387</v>
      </c>
    </row>
    <row r="448" spans="1:5" ht="18" x14ac:dyDescent="0.35">
      <c r="A448" s="28"/>
      <c r="B448" s="27" t="s">
        <v>908</v>
      </c>
      <c r="C448" s="27">
        <v>54.25</v>
      </c>
      <c r="D448" s="3">
        <f t="shared" si="8"/>
        <v>54.25</v>
      </c>
      <c r="E448" s="3" t="s">
        <v>1387</v>
      </c>
    </row>
    <row r="449" spans="1:5" ht="18" x14ac:dyDescent="0.35">
      <c r="A449" s="28"/>
      <c r="B449" s="27" t="s">
        <v>909</v>
      </c>
      <c r="C449" s="27">
        <v>102.25</v>
      </c>
      <c r="D449" s="3">
        <f t="shared" si="8"/>
        <v>102.25</v>
      </c>
      <c r="E449" s="3" t="s">
        <v>1387</v>
      </c>
    </row>
    <row r="450" spans="1:5" ht="18" x14ac:dyDescent="0.35">
      <c r="A450" s="28"/>
      <c r="B450" s="27" t="s">
        <v>910</v>
      </c>
      <c r="C450" s="27">
        <v>30.5</v>
      </c>
      <c r="D450" s="3">
        <f t="shared" ref="D450:D513" si="9">C450</f>
        <v>30.5</v>
      </c>
      <c r="E450" s="3" t="s">
        <v>1387</v>
      </c>
    </row>
    <row r="451" spans="1:5" ht="18" x14ac:dyDescent="0.35">
      <c r="A451" s="28"/>
      <c r="B451" s="27" t="s">
        <v>911</v>
      </c>
      <c r="C451" s="27">
        <v>30.5</v>
      </c>
      <c r="D451" s="3">
        <f t="shared" si="9"/>
        <v>30.5</v>
      </c>
      <c r="E451" s="3" t="s">
        <v>1387</v>
      </c>
    </row>
    <row r="452" spans="1:5" ht="18" x14ac:dyDescent="0.35">
      <c r="A452" s="28"/>
      <c r="B452" s="27" t="s">
        <v>912</v>
      </c>
      <c r="C452" s="27">
        <v>32.75</v>
      </c>
      <c r="D452" s="3">
        <f t="shared" si="9"/>
        <v>32.75</v>
      </c>
      <c r="E452" s="3" t="s">
        <v>1387</v>
      </c>
    </row>
    <row r="453" spans="1:5" ht="18" x14ac:dyDescent="0.35">
      <c r="A453" s="28"/>
      <c r="B453" s="27" t="s">
        <v>913</v>
      </c>
      <c r="C453" s="27">
        <v>46.5</v>
      </c>
      <c r="D453" s="3">
        <f t="shared" si="9"/>
        <v>46.5</v>
      </c>
      <c r="E453" s="3" t="s">
        <v>1387</v>
      </c>
    </row>
    <row r="454" spans="1:5" ht="18" x14ac:dyDescent="0.35">
      <c r="A454" s="28"/>
      <c r="B454" s="27" t="s">
        <v>914</v>
      </c>
      <c r="C454" s="27">
        <v>54.5</v>
      </c>
      <c r="D454" s="3">
        <f t="shared" si="9"/>
        <v>54.5</v>
      </c>
      <c r="E454" s="3" t="s">
        <v>1387</v>
      </c>
    </row>
    <row r="455" spans="1:5" ht="18" x14ac:dyDescent="0.35">
      <c r="A455" s="28"/>
      <c r="B455" s="27" t="s">
        <v>915</v>
      </c>
      <c r="C455" s="27">
        <v>49.75</v>
      </c>
      <c r="D455" s="3">
        <f t="shared" si="9"/>
        <v>49.75</v>
      </c>
      <c r="E455" s="3" t="s">
        <v>1387</v>
      </c>
    </row>
    <row r="456" spans="1:5" ht="18" x14ac:dyDescent="0.35">
      <c r="A456" s="28"/>
      <c r="B456" s="27" t="s">
        <v>916</v>
      </c>
      <c r="C456" s="27">
        <v>71</v>
      </c>
      <c r="D456" s="3">
        <f t="shared" si="9"/>
        <v>71</v>
      </c>
      <c r="E456" s="3" t="s">
        <v>1387</v>
      </c>
    </row>
    <row r="457" spans="1:5" ht="18" x14ac:dyDescent="0.35">
      <c r="A457" s="28"/>
      <c r="B457" s="27" t="s">
        <v>917</v>
      </c>
      <c r="C457" s="27">
        <v>80.75</v>
      </c>
      <c r="D457" s="3">
        <f t="shared" si="9"/>
        <v>80.75</v>
      </c>
      <c r="E457" s="3" t="s">
        <v>1387</v>
      </c>
    </row>
    <row r="458" spans="1:5" ht="18" x14ac:dyDescent="0.35">
      <c r="A458" s="28"/>
      <c r="B458" s="27" t="s">
        <v>918</v>
      </c>
      <c r="C458" s="27">
        <v>134</v>
      </c>
      <c r="D458" s="3">
        <f t="shared" si="9"/>
        <v>134</v>
      </c>
      <c r="E458" s="3" t="s">
        <v>1387</v>
      </c>
    </row>
    <row r="459" spans="1:5" ht="18" x14ac:dyDescent="0.35">
      <c r="A459" s="28"/>
      <c r="B459" s="27" t="s">
        <v>919</v>
      </c>
      <c r="C459" s="27">
        <v>31.5</v>
      </c>
      <c r="D459" s="3">
        <f t="shared" si="9"/>
        <v>31.5</v>
      </c>
      <c r="E459" s="3" t="s">
        <v>1387</v>
      </c>
    </row>
    <row r="460" spans="1:5" ht="18" x14ac:dyDescent="0.35">
      <c r="A460" s="28"/>
      <c r="B460" s="27" t="s">
        <v>920</v>
      </c>
      <c r="C460" s="27">
        <v>39</v>
      </c>
      <c r="D460" s="3">
        <f t="shared" si="9"/>
        <v>39</v>
      </c>
      <c r="E460" s="3" t="s">
        <v>1387</v>
      </c>
    </row>
    <row r="461" spans="1:5" ht="18" x14ac:dyDescent="0.35">
      <c r="A461" s="28"/>
      <c r="B461" s="27" t="s">
        <v>921</v>
      </c>
      <c r="C461" s="27">
        <v>57</v>
      </c>
      <c r="D461" s="3">
        <f t="shared" si="9"/>
        <v>57</v>
      </c>
      <c r="E461" s="3" t="s">
        <v>1387</v>
      </c>
    </row>
    <row r="462" spans="1:5" ht="18" x14ac:dyDescent="0.35">
      <c r="A462" s="28"/>
      <c r="B462" s="27" t="s">
        <v>922</v>
      </c>
      <c r="C462" s="27">
        <v>59</v>
      </c>
      <c r="D462" s="3">
        <f t="shared" si="9"/>
        <v>59</v>
      </c>
      <c r="E462" s="3" t="s">
        <v>1387</v>
      </c>
    </row>
    <row r="463" spans="1:5" ht="18" x14ac:dyDescent="0.35">
      <c r="A463" s="28"/>
      <c r="B463" s="27" t="s">
        <v>923</v>
      </c>
      <c r="C463" s="27">
        <v>87.5</v>
      </c>
      <c r="D463" s="3">
        <f t="shared" si="9"/>
        <v>87.5</v>
      </c>
      <c r="E463" s="3" t="s">
        <v>1387</v>
      </c>
    </row>
    <row r="464" spans="1:5" ht="18" x14ac:dyDescent="0.35">
      <c r="A464" s="28"/>
      <c r="B464" s="27" t="s">
        <v>924</v>
      </c>
      <c r="C464" s="27">
        <v>131.25</v>
      </c>
      <c r="D464" s="3">
        <f t="shared" si="9"/>
        <v>131.25</v>
      </c>
      <c r="E464" s="3" t="s">
        <v>1387</v>
      </c>
    </row>
    <row r="465" spans="1:5" ht="18" x14ac:dyDescent="0.35">
      <c r="A465" s="28"/>
      <c r="B465" s="27" t="s">
        <v>925</v>
      </c>
      <c r="C465" s="27">
        <v>221.5</v>
      </c>
      <c r="D465" s="3">
        <f t="shared" si="9"/>
        <v>221.5</v>
      </c>
      <c r="E465" s="3" t="s">
        <v>1387</v>
      </c>
    </row>
    <row r="466" spans="1:5" ht="18" x14ac:dyDescent="0.35">
      <c r="A466" s="28"/>
      <c r="B466" s="27" t="s">
        <v>926</v>
      </c>
      <c r="C466" s="27">
        <v>1695.75</v>
      </c>
      <c r="D466" s="3">
        <f t="shared" si="9"/>
        <v>1695.75</v>
      </c>
      <c r="E466" s="3" t="s">
        <v>1387</v>
      </c>
    </row>
    <row r="467" spans="1:5" ht="18" x14ac:dyDescent="0.35">
      <c r="A467" s="28"/>
      <c r="B467" s="27" t="s">
        <v>927</v>
      </c>
      <c r="C467" s="27">
        <v>2067.75</v>
      </c>
      <c r="D467" s="3">
        <f t="shared" si="9"/>
        <v>2067.75</v>
      </c>
      <c r="E467" s="3" t="s">
        <v>1387</v>
      </c>
    </row>
    <row r="468" spans="1:5" ht="18" x14ac:dyDescent="0.35">
      <c r="A468" s="28"/>
      <c r="B468" s="27" t="s">
        <v>928</v>
      </c>
      <c r="C468" s="27">
        <v>1041.5</v>
      </c>
      <c r="D468" s="3">
        <f t="shared" si="9"/>
        <v>1041.5</v>
      </c>
      <c r="E468" s="3" t="s">
        <v>1387</v>
      </c>
    </row>
    <row r="469" spans="1:5" ht="18" x14ac:dyDescent="0.35">
      <c r="A469" s="28"/>
      <c r="B469" s="27" t="s">
        <v>929</v>
      </c>
      <c r="C469" s="27">
        <v>1219.5</v>
      </c>
      <c r="D469" s="3">
        <f t="shared" si="9"/>
        <v>1219.5</v>
      </c>
      <c r="E469" s="3" t="s">
        <v>1387</v>
      </c>
    </row>
    <row r="470" spans="1:5" ht="18" x14ac:dyDescent="0.35">
      <c r="A470" s="28"/>
      <c r="B470" s="27" t="s">
        <v>930</v>
      </c>
      <c r="C470" s="27">
        <v>1041.5</v>
      </c>
      <c r="D470" s="3">
        <f t="shared" si="9"/>
        <v>1041.5</v>
      </c>
      <c r="E470" s="3" t="s">
        <v>1387</v>
      </c>
    </row>
    <row r="471" spans="1:5" ht="18" x14ac:dyDescent="0.35">
      <c r="A471" s="28"/>
      <c r="B471" s="27" t="s">
        <v>931</v>
      </c>
      <c r="C471" s="27">
        <v>1219.5</v>
      </c>
      <c r="D471" s="3">
        <f t="shared" si="9"/>
        <v>1219.5</v>
      </c>
      <c r="E471" s="3" t="s">
        <v>1387</v>
      </c>
    </row>
    <row r="472" spans="1:5" ht="18" x14ac:dyDescent="0.35">
      <c r="A472" s="28"/>
      <c r="B472" s="27" t="s">
        <v>932</v>
      </c>
      <c r="C472" s="27">
        <v>1071</v>
      </c>
      <c r="D472" s="3">
        <f t="shared" si="9"/>
        <v>1071</v>
      </c>
      <c r="E472" s="3" t="s">
        <v>1387</v>
      </c>
    </row>
    <row r="473" spans="1:5" ht="18" x14ac:dyDescent="0.35">
      <c r="A473" s="28"/>
      <c r="B473" s="27" t="s">
        <v>933</v>
      </c>
      <c r="C473" s="27">
        <v>1023.75</v>
      </c>
      <c r="D473" s="3">
        <f t="shared" si="9"/>
        <v>1023.75</v>
      </c>
      <c r="E473" s="3" t="s">
        <v>1387</v>
      </c>
    </row>
    <row r="474" spans="1:5" ht="18" x14ac:dyDescent="0.35">
      <c r="A474" s="28"/>
      <c r="B474" s="27" t="s">
        <v>934</v>
      </c>
      <c r="C474" s="27">
        <v>1214.5</v>
      </c>
      <c r="D474" s="3">
        <f t="shared" si="9"/>
        <v>1214.5</v>
      </c>
      <c r="E474" s="3" t="s">
        <v>1387</v>
      </c>
    </row>
    <row r="475" spans="1:5" ht="18" x14ac:dyDescent="0.35">
      <c r="A475" s="28"/>
      <c r="B475" s="27" t="s">
        <v>935</v>
      </c>
      <c r="C475" s="27">
        <v>1095.5</v>
      </c>
      <c r="D475" s="3">
        <f t="shared" si="9"/>
        <v>1095.5</v>
      </c>
      <c r="E475" s="3" t="s">
        <v>1387</v>
      </c>
    </row>
    <row r="476" spans="1:5" ht="18" x14ac:dyDescent="0.35">
      <c r="A476" s="28"/>
      <c r="B476" s="27" t="s">
        <v>936</v>
      </c>
      <c r="C476" s="27">
        <v>1310</v>
      </c>
      <c r="D476" s="3">
        <f t="shared" si="9"/>
        <v>1310</v>
      </c>
      <c r="E476" s="3" t="s">
        <v>1387</v>
      </c>
    </row>
    <row r="477" spans="1:5" ht="18" x14ac:dyDescent="0.35">
      <c r="A477" s="28"/>
      <c r="B477" s="27" t="s">
        <v>937</v>
      </c>
      <c r="C477" s="27">
        <v>1047.5</v>
      </c>
      <c r="D477" s="3">
        <f t="shared" si="9"/>
        <v>1047.5</v>
      </c>
      <c r="E477" s="3" t="s">
        <v>1387</v>
      </c>
    </row>
    <row r="478" spans="1:5" ht="18" x14ac:dyDescent="0.35">
      <c r="A478" s="28"/>
      <c r="B478" s="27" t="s">
        <v>938</v>
      </c>
      <c r="C478" s="27">
        <v>1238.25</v>
      </c>
      <c r="D478" s="3">
        <f t="shared" si="9"/>
        <v>1238.25</v>
      </c>
      <c r="E478" s="3" t="s">
        <v>1387</v>
      </c>
    </row>
    <row r="479" spans="1:5" ht="18" x14ac:dyDescent="0.35">
      <c r="A479" s="28"/>
      <c r="B479" s="27" t="s">
        <v>939</v>
      </c>
      <c r="C479" s="27">
        <v>1119.25</v>
      </c>
      <c r="D479" s="3">
        <f t="shared" si="9"/>
        <v>1119.25</v>
      </c>
      <c r="E479" s="3" t="s">
        <v>1387</v>
      </c>
    </row>
    <row r="480" spans="1:5" ht="18" x14ac:dyDescent="0.35">
      <c r="A480" s="28"/>
      <c r="B480" s="27" t="s">
        <v>940</v>
      </c>
      <c r="C480" s="27">
        <v>1345.25</v>
      </c>
      <c r="D480" s="3">
        <f t="shared" si="9"/>
        <v>1345.25</v>
      </c>
      <c r="E480" s="3" t="s">
        <v>1387</v>
      </c>
    </row>
    <row r="481" spans="1:5" ht="18" x14ac:dyDescent="0.35">
      <c r="A481" s="28"/>
      <c r="B481" s="27" t="s">
        <v>941</v>
      </c>
      <c r="C481" s="27">
        <v>1041.5</v>
      </c>
      <c r="D481" s="3">
        <f t="shared" si="9"/>
        <v>1041.5</v>
      </c>
      <c r="E481" s="3" t="s">
        <v>1387</v>
      </c>
    </row>
    <row r="482" spans="1:5" ht="18" x14ac:dyDescent="0.35">
      <c r="A482" s="28"/>
      <c r="B482" s="27" t="s">
        <v>942</v>
      </c>
      <c r="C482" s="27">
        <v>1041.5</v>
      </c>
      <c r="D482" s="3">
        <f t="shared" si="9"/>
        <v>1041.5</v>
      </c>
      <c r="E482" s="3" t="s">
        <v>1387</v>
      </c>
    </row>
    <row r="483" spans="1:5" ht="18" x14ac:dyDescent="0.35">
      <c r="A483" s="28"/>
      <c r="B483" s="27" t="s">
        <v>943</v>
      </c>
      <c r="C483" s="27">
        <v>1041.5</v>
      </c>
      <c r="D483" s="3">
        <f t="shared" si="9"/>
        <v>1041.5</v>
      </c>
      <c r="E483" s="3" t="s">
        <v>1387</v>
      </c>
    </row>
    <row r="484" spans="1:5" ht="18" x14ac:dyDescent="0.35">
      <c r="A484" s="28"/>
      <c r="B484" s="27" t="s">
        <v>944</v>
      </c>
      <c r="C484" s="27">
        <v>1041.5</v>
      </c>
      <c r="D484" s="3">
        <f t="shared" si="9"/>
        <v>1041.5</v>
      </c>
      <c r="E484" s="3" t="s">
        <v>1387</v>
      </c>
    </row>
    <row r="485" spans="1:5" ht="18" x14ac:dyDescent="0.35">
      <c r="A485" s="28"/>
      <c r="B485" s="27" t="s">
        <v>945</v>
      </c>
      <c r="C485" s="27">
        <v>1041.5</v>
      </c>
      <c r="D485" s="3">
        <f t="shared" si="9"/>
        <v>1041.5</v>
      </c>
      <c r="E485" s="3" t="s">
        <v>1387</v>
      </c>
    </row>
    <row r="486" spans="1:5" ht="18" x14ac:dyDescent="0.35">
      <c r="A486" s="28"/>
      <c r="B486" s="27" t="s">
        <v>946</v>
      </c>
      <c r="C486" s="27">
        <v>1219.5</v>
      </c>
      <c r="D486" s="3">
        <f t="shared" si="9"/>
        <v>1219.5</v>
      </c>
      <c r="E486" s="3" t="s">
        <v>1387</v>
      </c>
    </row>
    <row r="487" spans="1:5" ht="18" x14ac:dyDescent="0.35">
      <c r="A487" s="28"/>
      <c r="B487" s="27" t="s">
        <v>947</v>
      </c>
      <c r="C487" s="27">
        <v>1219.5</v>
      </c>
      <c r="D487" s="3">
        <f t="shared" si="9"/>
        <v>1219.5</v>
      </c>
      <c r="E487" s="3" t="s">
        <v>1387</v>
      </c>
    </row>
    <row r="488" spans="1:5" ht="18" x14ac:dyDescent="0.35">
      <c r="A488" s="28"/>
      <c r="B488" s="27" t="s">
        <v>948</v>
      </c>
      <c r="C488" s="27">
        <v>1219.5</v>
      </c>
      <c r="D488" s="3">
        <f t="shared" si="9"/>
        <v>1219.5</v>
      </c>
      <c r="E488" s="3" t="s">
        <v>1387</v>
      </c>
    </row>
    <row r="489" spans="1:5" ht="18" x14ac:dyDescent="0.35">
      <c r="A489" s="28"/>
      <c r="B489" s="27" t="s">
        <v>949</v>
      </c>
      <c r="C489" s="27">
        <v>1219.5</v>
      </c>
      <c r="D489" s="3">
        <f t="shared" si="9"/>
        <v>1219.5</v>
      </c>
      <c r="E489" s="3" t="s">
        <v>1387</v>
      </c>
    </row>
    <row r="490" spans="1:5" ht="18" x14ac:dyDescent="0.35">
      <c r="A490" s="28"/>
      <c r="B490" s="27" t="s">
        <v>950</v>
      </c>
      <c r="C490" s="27">
        <v>1219.5</v>
      </c>
      <c r="D490" s="3">
        <f t="shared" si="9"/>
        <v>1219.5</v>
      </c>
      <c r="E490" s="3" t="s">
        <v>1387</v>
      </c>
    </row>
    <row r="491" spans="1:5" ht="18" x14ac:dyDescent="0.35">
      <c r="A491" s="28"/>
      <c r="B491" s="27" t="s">
        <v>951</v>
      </c>
      <c r="C491" s="27">
        <v>1011</v>
      </c>
      <c r="D491" s="3">
        <f t="shared" si="9"/>
        <v>1011</v>
      </c>
      <c r="E491" s="3" t="s">
        <v>1387</v>
      </c>
    </row>
    <row r="492" spans="1:5" ht="18" x14ac:dyDescent="0.35">
      <c r="A492" s="28"/>
      <c r="B492" s="27" t="s">
        <v>952</v>
      </c>
      <c r="C492" s="27">
        <v>1960.75</v>
      </c>
      <c r="D492" s="3">
        <f t="shared" si="9"/>
        <v>1960.75</v>
      </c>
      <c r="E492" s="3" t="s">
        <v>1387</v>
      </c>
    </row>
    <row r="493" spans="1:5" ht="18" x14ac:dyDescent="0.35">
      <c r="A493" s="28"/>
      <c r="B493" s="27" t="s">
        <v>953</v>
      </c>
      <c r="C493" s="27">
        <v>1616.25</v>
      </c>
      <c r="D493" s="3">
        <f t="shared" si="9"/>
        <v>1616.25</v>
      </c>
      <c r="E493" s="3" t="s">
        <v>1387</v>
      </c>
    </row>
    <row r="494" spans="1:5" ht="18" x14ac:dyDescent="0.35">
      <c r="A494" s="28"/>
      <c r="B494" s="27" t="s">
        <v>954</v>
      </c>
      <c r="C494" s="27">
        <v>176</v>
      </c>
      <c r="D494" s="3">
        <f t="shared" si="9"/>
        <v>176</v>
      </c>
      <c r="E494" s="3" t="s">
        <v>1387</v>
      </c>
    </row>
    <row r="495" spans="1:5" ht="18" x14ac:dyDescent="0.35">
      <c r="A495" s="28"/>
      <c r="B495" s="27" t="s">
        <v>955</v>
      </c>
      <c r="C495" s="27">
        <v>495.25</v>
      </c>
      <c r="D495" s="3">
        <f t="shared" si="9"/>
        <v>495.25</v>
      </c>
      <c r="E495" s="3" t="s">
        <v>1387</v>
      </c>
    </row>
    <row r="496" spans="1:5" ht="18" x14ac:dyDescent="0.35">
      <c r="A496" s="28"/>
      <c r="B496" s="27" t="s">
        <v>956</v>
      </c>
      <c r="C496" s="27">
        <v>495.25</v>
      </c>
      <c r="D496" s="3">
        <f t="shared" si="9"/>
        <v>495.25</v>
      </c>
      <c r="E496" s="3" t="s">
        <v>1387</v>
      </c>
    </row>
    <row r="497" spans="1:5" ht="18" x14ac:dyDescent="0.35">
      <c r="A497" s="28"/>
      <c r="B497" s="27" t="s">
        <v>957</v>
      </c>
      <c r="C497" s="27">
        <v>495.25</v>
      </c>
      <c r="D497" s="3">
        <f t="shared" si="9"/>
        <v>495.25</v>
      </c>
      <c r="E497" s="3" t="s">
        <v>1387</v>
      </c>
    </row>
    <row r="498" spans="1:5" ht="18" x14ac:dyDescent="0.35">
      <c r="A498" s="28"/>
      <c r="B498" s="27" t="s">
        <v>958</v>
      </c>
      <c r="C498" s="27">
        <v>495.25</v>
      </c>
      <c r="D498" s="3">
        <f t="shared" si="9"/>
        <v>495.25</v>
      </c>
      <c r="E498" s="3" t="s">
        <v>1387</v>
      </c>
    </row>
    <row r="499" spans="1:5" ht="18" x14ac:dyDescent="0.35">
      <c r="A499" s="28"/>
      <c r="B499" s="27" t="s">
        <v>959</v>
      </c>
      <c r="C499" s="27">
        <v>495.25</v>
      </c>
      <c r="D499" s="3">
        <f t="shared" si="9"/>
        <v>495.25</v>
      </c>
      <c r="E499" s="3" t="s">
        <v>1387</v>
      </c>
    </row>
    <row r="500" spans="1:5" ht="18" x14ac:dyDescent="0.35">
      <c r="A500" s="28"/>
      <c r="B500" s="27" t="s">
        <v>960</v>
      </c>
      <c r="C500" s="27">
        <v>495.25</v>
      </c>
      <c r="D500" s="3">
        <f t="shared" si="9"/>
        <v>495.25</v>
      </c>
      <c r="E500" s="3" t="s">
        <v>1387</v>
      </c>
    </row>
    <row r="501" spans="1:5" ht="18" x14ac:dyDescent="0.35">
      <c r="A501" s="28"/>
      <c r="B501" s="27" t="s">
        <v>961</v>
      </c>
      <c r="C501" s="27">
        <v>495.25</v>
      </c>
      <c r="D501" s="3">
        <f t="shared" si="9"/>
        <v>495.25</v>
      </c>
      <c r="E501" s="3" t="s">
        <v>1387</v>
      </c>
    </row>
    <row r="502" spans="1:5" ht="18" x14ac:dyDescent="0.35">
      <c r="A502" s="28"/>
      <c r="B502" s="27" t="s">
        <v>962</v>
      </c>
      <c r="C502" s="27">
        <v>217.5</v>
      </c>
      <c r="D502" s="3">
        <f t="shared" si="9"/>
        <v>217.5</v>
      </c>
      <c r="E502" s="3" t="s">
        <v>1387</v>
      </c>
    </row>
    <row r="503" spans="1:5" ht="18" x14ac:dyDescent="0.35">
      <c r="A503" s="28"/>
      <c r="B503" s="27" t="s">
        <v>963</v>
      </c>
      <c r="C503" s="27">
        <v>594.25</v>
      </c>
      <c r="D503" s="3">
        <f t="shared" si="9"/>
        <v>594.25</v>
      </c>
      <c r="E503" s="3" t="s">
        <v>1387</v>
      </c>
    </row>
    <row r="504" spans="1:5" ht="18" x14ac:dyDescent="0.35">
      <c r="A504" s="28"/>
      <c r="B504" s="27" t="s">
        <v>964</v>
      </c>
      <c r="C504" s="27">
        <v>594.25</v>
      </c>
      <c r="D504" s="3">
        <f t="shared" si="9"/>
        <v>594.25</v>
      </c>
      <c r="E504" s="3" t="s">
        <v>1387</v>
      </c>
    </row>
    <row r="505" spans="1:5" ht="18" x14ac:dyDescent="0.35">
      <c r="A505" s="28"/>
      <c r="B505" s="27" t="s">
        <v>965</v>
      </c>
      <c r="C505" s="27">
        <v>594.25</v>
      </c>
      <c r="D505" s="3">
        <f t="shared" si="9"/>
        <v>594.25</v>
      </c>
      <c r="E505" s="3" t="s">
        <v>1387</v>
      </c>
    </row>
    <row r="506" spans="1:5" ht="18" x14ac:dyDescent="0.35">
      <c r="A506" s="28"/>
      <c r="B506" s="27" t="s">
        <v>966</v>
      </c>
      <c r="C506" s="27">
        <v>594.25</v>
      </c>
      <c r="D506" s="3">
        <f t="shared" si="9"/>
        <v>594.25</v>
      </c>
      <c r="E506" s="3" t="s">
        <v>1387</v>
      </c>
    </row>
    <row r="507" spans="1:5" ht="18" x14ac:dyDescent="0.35">
      <c r="A507" s="28"/>
      <c r="B507" s="27" t="s">
        <v>967</v>
      </c>
      <c r="C507" s="27">
        <v>594.25</v>
      </c>
      <c r="D507" s="3">
        <f t="shared" si="9"/>
        <v>594.25</v>
      </c>
      <c r="E507" s="3" t="s">
        <v>1387</v>
      </c>
    </row>
    <row r="508" spans="1:5" ht="18" x14ac:dyDescent="0.35">
      <c r="A508" s="28"/>
      <c r="B508" s="27" t="s">
        <v>968</v>
      </c>
      <c r="C508" s="27">
        <v>594.25</v>
      </c>
      <c r="D508" s="3">
        <f t="shared" si="9"/>
        <v>594.25</v>
      </c>
      <c r="E508" s="3" t="s">
        <v>1387</v>
      </c>
    </row>
    <row r="509" spans="1:5" ht="18" x14ac:dyDescent="0.35">
      <c r="A509" s="28"/>
      <c r="B509" s="27" t="s">
        <v>969</v>
      </c>
      <c r="C509" s="27">
        <v>594.25</v>
      </c>
      <c r="D509" s="3">
        <f t="shared" si="9"/>
        <v>594.25</v>
      </c>
      <c r="E509" s="3" t="s">
        <v>1387</v>
      </c>
    </row>
    <row r="510" spans="1:5" ht="18" x14ac:dyDescent="0.35">
      <c r="A510" s="28"/>
      <c r="B510" s="27" t="s">
        <v>970</v>
      </c>
      <c r="C510" s="27">
        <v>265.25</v>
      </c>
      <c r="D510" s="3">
        <f t="shared" si="9"/>
        <v>265.25</v>
      </c>
      <c r="E510" s="3" t="s">
        <v>1387</v>
      </c>
    </row>
    <row r="511" spans="1:5" ht="18" x14ac:dyDescent="0.35">
      <c r="A511" s="28"/>
      <c r="B511" s="27" t="s">
        <v>971</v>
      </c>
      <c r="C511" s="27">
        <v>302.75</v>
      </c>
      <c r="D511" s="3">
        <f t="shared" si="9"/>
        <v>302.75</v>
      </c>
      <c r="E511" s="3" t="s">
        <v>1387</v>
      </c>
    </row>
    <row r="512" spans="1:5" ht="18" x14ac:dyDescent="0.35">
      <c r="A512" s="28"/>
      <c r="B512" s="27" t="s">
        <v>972</v>
      </c>
      <c r="C512" s="27">
        <v>546</v>
      </c>
      <c r="D512" s="3">
        <f t="shared" si="9"/>
        <v>546</v>
      </c>
      <c r="E512" s="3" t="s">
        <v>1387</v>
      </c>
    </row>
    <row r="513" spans="1:5" ht="18" x14ac:dyDescent="0.35">
      <c r="A513" s="28"/>
      <c r="B513" s="27" t="s">
        <v>973</v>
      </c>
      <c r="C513" s="27">
        <v>204.5</v>
      </c>
      <c r="D513" s="3">
        <f t="shared" si="9"/>
        <v>204.5</v>
      </c>
      <c r="E513" s="3" t="s">
        <v>1387</v>
      </c>
    </row>
    <row r="514" spans="1:5" ht="18" x14ac:dyDescent="0.35">
      <c r="A514" s="28"/>
      <c r="B514" s="27" t="s">
        <v>974</v>
      </c>
      <c r="C514" s="27">
        <v>202.75</v>
      </c>
      <c r="D514" s="3">
        <f t="shared" ref="D514:D577" si="10">C514</f>
        <v>202.75</v>
      </c>
      <c r="E514" s="3" t="s">
        <v>1387</v>
      </c>
    </row>
    <row r="515" spans="1:5" ht="18" x14ac:dyDescent="0.35">
      <c r="A515" s="28"/>
      <c r="B515" s="27" t="s">
        <v>975</v>
      </c>
      <c r="C515" s="27">
        <v>263.5</v>
      </c>
      <c r="D515" s="3">
        <f t="shared" si="10"/>
        <v>263.5</v>
      </c>
      <c r="E515" s="3" t="s">
        <v>1387</v>
      </c>
    </row>
    <row r="516" spans="1:5" ht="18" x14ac:dyDescent="0.35">
      <c r="A516" s="28"/>
      <c r="B516" s="27" t="s">
        <v>976</v>
      </c>
      <c r="C516" s="27">
        <v>261.25</v>
      </c>
      <c r="D516" s="3">
        <f t="shared" si="10"/>
        <v>261.25</v>
      </c>
      <c r="E516" s="3" t="s">
        <v>1387</v>
      </c>
    </row>
    <row r="517" spans="1:5" ht="18" x14ac:dyDescent="0.35">
      <c r="A517" s="28"/>
      <c r="B517" s="27" t="s">
        <v>977</v>
      </c>
      <c r="C517" s="27">
        <v>476.5</v>
      </c>
      <c r="D517" s="3">
        <f t="shared" si="10"/>
        <v>476.5</v>
      </c>
      <c r="E517" s="3" t="s">
        <v>1387</v>
      </c>
    </row>
    <row r="518" spans="1:5" ht="18" x14ac:dyDescent="0.35">
      <c r="A518" s="28"/>
      <c r="B518" s="27" t="s">
        <v>978</v>
      </c>
      <c r="C518" s="27">
        <v>250.5</v>
      </c>
      <c r="D518" s="3">
        <f t="shared" si="10"/>
        <v>250.5</v>
      </c>
      <c r="E518" s="3" t="s">
        <v>1387</v>
      </c>
    </row>
    <row r="519" spans="1:5" ht="18" x14ac:dyDescent="0.35">
      <c r="A519" s="28"/>
      <c r="B519" s="27" t="s">
        <v>979</v>
      </c>
      <c r="C519" s="27">
        <v>415.75</v>
      </c>
      <c r="D519" s="3">
        <f t="shared" si="10"/>
        <v>415.75</v>
      </c>
      <c r="E519" s="3" t="s">
        <v>1387</v>
      </c>
    </row>
    <row r="520" spans="1:5" ht="18" x14ac:dyDescent="0.35">
      <c r="A520" s="28"/>
      <c r="B520" s="27" t="s">
        <v>980</v>
      </c>
      <c r="C520" s="27">
        <v>513.5</v>
      </c>
      <c r="D520" s="3">
        <f t="shared" si="10"/>
        <v>513.5</v>
      </c>
      <c r="E520" s="3" t="s">
        <v>1387</v>
      </c>
    </row>
    <row r="521" spans="1:5" ht="18" x14ac:dyDescent="0.35">
      <c r="A521" s="28"/>
      <c r="B521" s="27" t="s">
        <v>981</v>
      </c>
      <c r="C521" s="27">
        <v>513.5</v>
      </c>
      <c r="D521" s="3">
        <f t="shared" si="10"/>
        <v>513.5</v>
      </c>
      <c r="E521" s="3" t="s">
        <v>1387</v>
      </c>
    </row>
    <row r="522" spans="1:5" ht="18" x14ac:dyDescent="0.35">
      <c r="A522" s="28"/>
      <c r="B522" s="27" t="s">
        <v>982</v>
      </c>
      <c r="C522" s="27">
        <v>101.25</v>
      </c>
      <c r="D522" s="3">
        <f t="shared" si="10"/>
        <v>101.25</v>
      </c>
      <c r="E522" s="3" t="s">
        <v>1387</v>
      </c>
    </row>
    <row r="523" spans="1:5" ht="18" x14ac:dyDescent="0.35">
      <c r="A523" s="28"/>
      <c r="B523" s="27" t="s">
        <v>983</v>
      </c>
      <c r="C523" s="27">
        <v>201.25</v>
      </c>
      <c r="D523" s="3">
        <f t="shared" si="10"/>
        <v>201.25</v>
      </c>
      <c r="E523" s="3" t="s">
        <v>1387</v>
      </c>
    </row>
    <row r="524" spans="1:5" ht="18" x14ac:dyDescent="0.35">
      <c r="A524" s="28"/>
      <c r="B524" s="27" t="s">
        <v>984</v>
      </c>
      <c r="C524" s="27">
        <v>307</v>
      </c>
      <c r="D524" s="3">
        <f t="shared" si="10"/>
        <v>307</v>
      </c>
      <c r="E524" s="3" t="s">
        <v>1387</v>
      </c>
    </row>
    <row r="525" spans="1:5" ht="18" x14ac:dyDescent="0.35">
      <c r="A525" s="28"/>
      <c r="B525" s="27" t="s">
        <v>985</v>
      </c>
      <c r="C525" s="27">
        <v>101.25</v>
      </c>
      <c r="D525" s="3">
        <f t="shared" si="10"/>
        <v>101.25</v>
      </c>
      <c r="E525" s="3" t="s">
        <v>1387</v>
      </c>
    </row>
    <row r="526" spans="1:5" ht="18" x14ac:dyDescent="0.35">
      <c r="A526" s="28"/>
      <c r="B526" s="27" t="s">
        <v>986</v>
      </c>
      <c r="C526" s="27">
        <v>222</v>
      </c>
      <c r="D526" s="3">
        <f t="shared" si="10"/>
        <v>222</v>
      </c>
      <c r="E526" s="3" t="s">
        <v>1387</v>
      </c>
    </row>
    <row r="527" spans="1:5" ht="18" x14ac:dyDescent="0.35">
      <c r="A527" s="28"/>
      <c r="B527" s="27" t="s">
        <v>987</v>
      </c>
      <c r="C527" s="27">
        <v>351</v>
      </c>
      <c r="D527" s="3">
        <f t="shared" si="10"/>
        <v>351</v>
      </c>
      <c r="E527" s="3" t="s">
        <v>1387</v>
      </c>
    </row>
    <row r="528" spans="1:5" ht="18" x14ac:dyDescent="0.35">
      <c r="A528" s="28"/>
      <c r="B528" s="27" t="s">
        <v>988</v>
      </c>
      <c r="C528" s="27">
        <v>167.25</v>
      </c>
      <c r="D528" s="3">
        <f t="shared" si="10"/>
        <v>167.25</v>
      </c>
      <c r="E528" s="3" t="s">
        <v>1387</v>
      </c>
    </row>
    <row r="529" spans="1:5" ht="18" x14ac:dyDescent="0.35">
      <c r="A529" s="28"/>
      <c r="B529" s="27" t="s">
        <v>989</v>
      </c>
      <c r="C529" s="27">
        <v>174.75</v>
      </c>
      <c r="D529" s="3">
        <f t="shared" si="10"/>
        <v>174.75</v>
      </c>
      <c r="E529" s="3" t="s">
        <v>1387</v>
      </c>
    </row>
    <row r="530" spans="1:5" ht="18" x14ac:dyDescent="0.35">
      <c r="A530" s="28"/>
      <c r="B530" s="27" t="s">
        <v>990</v>
      </c>
      <c r="C530" s="27">
        <v>314.5</v>
      </c>
      <c r="D530" s="3">
        <f t="shared" si="10"/>
        <v>314.5</v>
      </c>
      <c r="E530" s="3" t="s">
        <v>1387</v>
      </c>
    </row>
    <row r="531" spans="1:5" ht="18" x14ac:dyDescent="0.35">
      <c r="A531" s="28"/>
      <c r="B531" s="27" t="s">
        <v>991</v>
      </c>
      <c r="C531" s="27">
        <v>389.25</v>
      </c>
      <c r="D531" s="3">
        <f t="shared" si="10"/>
        <v>389.25</v>
      </c>
      <c r="E531" s="3" t="s">
        <v>1387</v>
      </c>
    </row>
    <row r="532" spans="1:5" ht="18" x14ac:dyDescent="0.35">
      <c r="A532" s="28"/>
      <c r="B532" s="27" t="s">
        <v>992</v>
      </c>
      <c r="C532" s="27">
        <v>472</v>
      </c>
      <c r="D532" s="3">
        <f t="shared" si="10"/>
        <v>472</v>
      </c>
      <c r="E532" s="3" t="s">
        <v>1387</v>
      </c>
    </row>
    <row r="533" spans="1:5" ht="18" x14ac:dyDescent="0.35">
      <c r="A533" s="28"/>
      <c r="B533" s="27" t="s">
        <v>993</v>
      </c>
      <c r="C533" s="27">
        <v>556</v>
      </c>
      <c r="D533" s="3">
        <f t="shared" si="10"/>
        <v>556</v>
      </c>
      <c r="E533" s="3" t="s">
        <v>1387</v>
      </c>
    </row>
    <row r="534" spans="1:5" ht="18" x14ac:dyDescent="0.35">
      <c r="A534" s="28"/>
      <c r="B534" s="27" t="s">
        <v>994</v>
      </c>
      <c r="C534" s="27">
        <v>156</v>
      </c>
      <c r="D534" s="3">
        <f t="shared" si="10"/>
        <v>156</v>
      </c>
      <c r="E534" s="3" t="s">
        <v>1387</v>
      </c>
    </row>
    <row r="535" spans="1:5" ht="18" x14ac:dyDescent="0.35">
      <c r="A535" s="28"/>
      <c r="B535" s="27" t="s">
        <v>995</v>
      </c>
      <c r="C535" s="27">
        <v>165.5</v>
      </c>
      <c r="D535" s="3">
        <f t="shared" si="10"/>
        <v>165.5</v>
      </c>
      <c r="E535" s="3" t="s">
        <v>1387</v>
      </c>
    </row>
    <row r="536" spans="1:5" ht="18" x14ac:dyDescent="0.35">
      <c r="A536" s="28"/>
      <c r="B536" s="27" t="s">
        <v>996</v>
      </c>
      <c r="C536" s="27">
        <v>325.25</v>
      </c>
      <c r="D536" s="3">
        <f t="shared" si="10"/>
        <v>325.25</v>
      </c>
      <c r="E536" s="3" t="s">
        <v>1387</v>
      </c>
    </row>
    <row r="537" spans="1:5" ht="18" x14ac:dyDescent="0.35">
      <c r="A537" s="28"/>
      <c r="B537" s="27" t="s">
        <v>997</v>
      </c>
      <c r="C537" s="27">
        <v>380.25</v>
      </c>
      <c r="D537" s="3">
        <f t="shared" si="10"/>
        <v>380.25</v>
      </c>
      <c r="E537" s="3" t="s">
        <v>1387</v>
      </c>
    </row>
    <row r="538" spans="1:5" ht="18" x14ac:dyDescent="0.35">
      <c r="A538" s="28"/>
      <c r="B538" s="27" t="s">
        <v>998</v>
      </c>
      <c r="C538" s="27">
        <v>417.25</v>
      </c>
      <c r="D538" s="3">
        <f t="shared" si="10"/>
        <v>417.25</v>
      </c>
      <c r="E538" s="3" t="s">
        <v>1387</v>
      </c>
    </row>
    <row r="539" spans="1:5" ht="18" x14ac:dyDescent="0.35">
      <c r="A539" s="28"/>
      <c r="B539" s="27" t="s">
        <v>999</v>
      </c>
      <c r="C539" s="27">
        <v>491</v>
      </c>
      <c r="D539" s="3">
        <f t="shared" si="10"/>
        <v>491</v>
      </c>
      <c r="E539" s="3" t="s">
        <v>1387</v>
      </c>
    </row>
    <row r="540" spans="1:5" ht="18" x14ac:dyDescent="0.35">
      <c r="A540" s="28"/>
      <c r="B540" s="27" t="s">
        <v>1000</v>
      </c>
      <c r="C540" s="27">
        <v>396</v>
      </c>
      <c r="D540" s="3">
        <f t="shared" si="10"/>
        <v>396</v>
      </c>
      <c r="E540" s="3" t="s">
        <v>1387</v>
      </c>
    </row>
    <row r="541" spans="1:5" ht="18" x14ac:dyDescent="0.35">
      <c r="A541" s="28"/>
      <c r="B541" s="27" t="s">
        <v>1001</v>
      </c>
      <c r="C541" s="27">
        <v>396</v>
      </c>
      <c r="D541" s="3">
        <f t="shared" si="10"/>
        <v>396</v>
      </c>
      <c r="E541" s="3" t="s">
        <v>1387</v>
      </c>
    </row>
    <row r="542" spans="1:5" ht="18" x14ac:dyDescent="0.35">
      <c r="A542" s="28"/>
      <c r="B542" s="27" t="s">
        <v>1002</v>
      </c>
      <c r="C542" s="27">
        <v>223.5</v>
      </c>
      <c r="D542" s="3">
        <f t="shared" si="10"/>
        <v>223.5</v>
      </c>
      <c r="E542" s="3" t="s">
        <v>1387</v>
      </c>
    </row>
    <row r="543" spans="1:5" ht="18" x14ac:dyDescent="0.35">
      <c r="A543" s="28"/>
      <c r="B543" s="27" t="s">
        <v>1003</v>
      </c>
      <c r="C543" s="27">
        <v>191</v>
      </c>
      <c r="D543" s="3">
        <f t="shared" si="10"/>
        <v>191</v>
      </c>
      <c r="E543" s="3" t="s">
        <v>1387</v>
      </c>
    </row>
    <row r="544" spans="1:5" ht="18" x14ac:dyDescent="0.35">
      <c r="A544" s="28"/>
      <c r="B544" s="27" t="s">
        <v>1004</v>
      </c>
      <c r="C544" s="27">
        <v>97.75</v>
      </c>
      <c r="D544" s="3">
        <f t="shared" si="10"/>
        <v>97.75</v>
      </c>
      <c r="E544" s="3" t="s">
        <v>1387</v>
      </c>
    </row>
    <row r="545" spans="1:8" ht="18" x14ac:dyDescent="0.35">
      <c r="A545" s="28"/>
      <c r="B545" s="27" t="s">
        <v>1005</v>
      </c>
      <c r="C545" s="27">
        <v>190.75</v>
      </c>
      <c r="D545" s="3">
        <f t="shared" si="10"/>
        <v>190.75</v>
      </c>
      <c r="E545" s="3" t="s">
        <v>1387</v>
      </c>
    </row>
    <row r="546" spans="1:8" ht="18" x14ac:dyDescent="0.35">
      <c r="A546" s="28"/>
      <c r="B546" s="27" t="s">
        <v>1006</v>
      </c>
      <c r="C546" s="27">
        <v>303</v>
      </c>
      <c r="D546" s="3">
        <f t="shared" si="10"/>
        <v>303</v>
      </c>
      <c r="E546" s="3" t="s">
        <v>1387</v>
      </c>
    </row>
    <row r="547" spans="1:8" ht="18" x14ac:dyDescent="0.35">
      <c r="A547" s="28"/>
      <c r="B547" s="27" t="s">
        <v>1007</v>
      </c>
      <c r="C547" s="27">
        <v>175.75</v>
      </c>
      <c r="D547" s="3">
        <f t="shared" si="10"/>
        <v>175.75</v>
      </c>
      <c r="E547" s="3" t="s">
        <v>1387</v>
      </c>
    </row>
    <row r="548" spans="1:8" ht="18" x14ac:dyDescent="0.35">
      <c r="A548" s="28"/>
      <c r="B548" s="27" t="s">
        <v>1008</v>
      </c>
      <c r="C548" s="27">
        <v>221.5</v>
      </c>
      <c r="D548" s="3">
        <f t="shared" si="10"/>
        <v>221.5</v>
      </c>
      <c r="E548" s="3" t="s">
        <v>1387</v>
      </c>
    </row>
    <row r="549" spans="1:8" ht="18" x14ac:dyDescent="0.35">
      <c r="A549" s="28"/>
      <c r="B549" s="27" t="s">
        <v>1009</v>
      </c>
      <c r="C549" s="27">
        <v>185</v>
      </c>
      <c r="D549" s="3">
        <f t="shared" si="10"/>
        <v>185</v>
      </c>
      <c r="E549" s="3" t="s">
        <v>1387</v>
      </c>
    </row>
    <row r="550" spans="1:8" ht="18" x14ac:dyDescent="0.35">
      <c r="A550" s="28"/>
      <c r="B550" s="27" t="s">
        <v>1010</v>
      </c>
      <c r="C550" s="27">
        <v>247</v>
      </c>
      <c r="D550" s="3">
        <f t="shared" si="10"/>
        <v>247</v>
      </c>
      <c r="E550" s="3" t="s">
        <v>1387</v>
      </c>
    </row>
    <row r="551" spans="1:8" ht="18" x14ac:dyDescent="0.35">
      <c r="A551" s="28"/>
      <c r="B551" s="27" t="s">
        <v>1011</v>
      </c>
      <c r="C551" s="27">
        <v>168.5</v>
      </c>
      <c r="D551" s="3">
        <f t="shared" si="10"/>
        <v>168.5</v>
      </c>
      <c r="E551" s="3" t="s">
        <v>1387</v>
      </c>
    </row>
    <row r="552" spans="1:8" ht="18" x14ac:dyDescent="0.35">
      <c r="A552" s="28"/>
      <c r="B552" s="27" t="s">
        <v>1012</v>
      </c>
      <c r="C552" s="27">
        <v>224.75</v>
      </c>
      <c r="D552" s="3">
        <f t="shared" si="10"/>
        <v>224.75</v>
      </c>
      <c r="E552" s="3" t="s">
        <v>1387</v>
      </c>
      <c r="H552" s="35"/>
    </row>
    <row r="553" spans="1:8" ht="18" x14ac:dyDescent="0.35">
      <c r="A553" s="28"/>
      <c r="B553" s="27" t="s">
        <v>1017</v>
      </c>
      <c r="C553" s="27">
        <v>51</v>
      </c>
      <c r="D553" s="3">
        <f t="shared" si="10"/>
        <v>51</v>
      </c>
      <c r="E553" s="3" t="s">
        <v>1386</v>
      </c>
      <c r="H553" s="35"/>
    </row>
    <row r="554" spans="1:8" ht="18" x14ac:dyDescent="0.35">
      <c r="A554" s="28"/>
      <c r="B554" s="27" t="s">
        <v>1018</v>
      </c>
      <c r="C554" s="27">
        <v>35.25</v>
      </c>
      <c r="D554" s="3">
        <f t="shared" si="10"/>
        <v>35.25</v>
      </c>
      <c r="E554" s="3" t="s">
        <v>1386</v>
      </c>
    </row>
    <row r="555" spans="1:8" ht="18" x14ac:dyDescent="0.35">
      <c r="A555" s="28"/>
      <c r="B555" s="27" t="s">
        <v>1019</v>
      </c>
      <c r="C555" s="27">
        <v>57.75</v>
      </c>
      <c r="D555" s="3">
        <f t="shared" si="10"/>
        <v>57.75</v>
      </c>
      <c r="E555" s="3" t="s">
        <v>1386</v>
      </c>
    </row>
    <row r="556" spans="1:8" ht="18" x14ac:dyDescent="0.35">
      <c r="A556" s="28"/>
      <c r="B556" s="27" t="s">
        <v>1020</v>
      </c>
      <c r="C556" s="27">
        <v>62.5</v>
      </c>
      <c r="D556" s="3">
        <f t="shared" si="10"/>
        <v>62.5</v>
      </c>
      <c r="E556" s="3" t="s">
        <v>1386</v>
      </c>
    </row>
    <row r="557" spans="1:8" ht="18" x14ac:dyDescent="0.35">
      <c r="A557" s="28"/>
      <c r="B557" s="27" t="s">
        <v>1021</v>
      </c>
      <c r="C557" s="27" t="s">
        <v>1013</v>
      </c>
      <c r="D557" s="3" t="str">
        <f t="shared" si="10"/>
        <v>32 25</v>
      </c>
      <c r="E557" s="3" t="s">
        <v>1386</v>
      </c>
    </row>
    <row r="558" spans="1:8" ht="18" x14ac:dyDescent="0.35">
      <c r="A558" s="28"/>
      <c r="B558" s="27" t="s">
        <v>1022</v>
      </c>
      <c r="C558" s="27">
        <v>57.25</v>
      </c>
      <c r="D558" s="3">
        <f t="shared" si="10"/>
        <v>57.25</v>
      </c>
      <c r="E558" s="3" t="s">
        <v>1386</v>
      </c>
    </row>
    <row r="559" spans="1:8" ht="18" x14ac:dyDescent="0.35">
      <c r="A559" s="28"/>
      <c r="B559" s="27" t="s">
        <v>1023</v>
      </c>
      <c r="C559" s="27">
        <v>71</v>
      </c>
      <c r="D559" s="3">
        <f t="shared" si="10"/>
        <v>71</v>
      </c>
      <c r="E559" s="3" t="s">
        <v>1386</v>
      </c>
    </row>
    <row r="560" spans="1:8" ht="18" x14ac:dyDescent="0.35">
      <c r="A560" s="28"/>
      <c r="B560" s="27" t="s">
        <v>1024</v>
      </c>
      <c r="C560" s="27">
        <v>87</v>
      </c>
      <c r="D560" s="3">
        <f t="shared" si="10"/>
        <v>87</v>
      </c>
      <c r="E560" s="3" t="s">
        <v>1386</v>
      </c>
    </row>
    <row r="561" spans="1:5" ht="18" x14ac:dyDescent="0.35">
      <c r="A561" s="28"/>
      <c r="B561" s="27" t="s">
        <v>1025</v>
      </c>
      <c r="C561" s="27">
        <v>98.25</v>
      </c>
      <c r="D561" s="3">
        <f t="shared" si="10"/>
        <v>98.25</v>
      </c>
      <c r="E561" s="3" t="s">
        <v>1386</v>
      </c>
    </row>
    <row r="562" spans="1:5" ht="18" x14ac:dyDescent="0.35">
      <c r="A562" s="28"/>
      <c r="B562" s="27" t="s">
        <v>1026</v>
      </c>
      <c r="C562" s="27">
        <v>118.5</v>
      </c>
      <c r="D562" s="3">
        <f t="shared" si="10"/>
        <v>118.5</v>
      </c>
      <c r="E562" s="3" t="s">
        <v>1386</v>
      </c>
    </row>
    <row r="563" spans="1:5" ht="18" x14ac:dyDescent="0.35">
      <c r="A563" s="28"/>
      <c r="B563" s="27" t="s">
        <v>1027</v>
      </c>
      <c r="C563" s="27">
        <v>98</v>
      </c>
      <c r="D563" s="3">
        <f t="shared" si="10"/>
        <v>98</v>
      </c>
      <c r="E563" s="3" t="s">
        <v>1386</v>
      </c>
    </row>
    <row r="564" spans="1:5" ht="18" x14ac:dyDescent="0.35">
      <c r="A564" s="28"/>
      <c r="B564" s="27" t="s">
        <v>1028</v>
      </c>
      <c r="C564" s="27">
        <v>131</v>
      </c>
      <c r="D564" s="3">
        <f t="shared" si="10"/>
        <v>131</v>
      </c>
      <c r="E564" s="3" t="s">
        <v>1386</v>
      </c>
    </row>
    <row r="565" spans="1:5" ht="18" x14ac:dyDescent="0.35">
      <c r="A565" s="28"/>
      <c r="B565" s="27" t="s">
        <v>1029</v>
      </c>
      <c r="C565" s="27">
        <v>154</v>
      </c>
      <c r="D565" s="3">
        <f t="shared" si="10"/>
        <v>154</v>
      </c>
      <c r="E565" s="3" t="s">
        <v>1386</v>
      </c>
    </row>
    <row r="566" spans="1:5" ht="18" x14ac:dyDescent="0.35">
      <c r="A566" s="28"/>
      <c r="B566" s="27" t="s">
        <v>1030</v>
      </c>
      <c r="C566" s="27">
        <v>193</v>
      </c>
      <c r="D566" s="3">
        <f t="shared" si="10"/>
        <v>193</v>
      </c>
      <c r="E566" s="3" t="s">
        <v>1386</v>
      </c>
    </row>
    <row r="567" spans="1:5" ht="18" x14ac:dyDescent="0.35">
      <c r="A567" s="28"/>
      <c r="B567" s="27" t="s">
        <v>1031</v>
      </c>
      <c r="C567" s="27">
        <v>139.5</v>
      </c>
      <c r="D567" s="3">
        <f t="shared" si="10"/>
        <v>139.5</v>
      </c>
      <c r="E567" s="3" t="s">
        <v>1386</v>
      </c>
    </row>
    <row r="568" spans="1:5" ht="18" x14ac:dyDescent="0.35">
      <c r="A568" s="28"/>
      <c r="B568" s="27" t="s">
        <v>1032</v>
      </c>
      <c r="C568" s="27" t="s">
        <v>1014</v>
      </c>
      <c r="D568" s="3" t="str">
        <f t="shared" si="10"/>
        <v>187 25</v>
      </c>
      <c r="E568" s="3" t="s">
        <v>1386</v>
      </c>
    </row>
    <row r="569" spans="1:5" ht="18" x14ac:dyDescent="0.35">
      <c r="A569" s="28"/>
      <c r="B569" s="27" t="s">
        <v>1033</v>
      </c>
      <c r="C569" s="27" t="s">
        <v>1015</v>
      </c>
      <c r="D569" s="3" t="str">
        <f t="shared" si="10"/>
        <v>241 75</v>
      </c>
      <c r="E569" s="3" t="s">
        <v>1386</v>
      </c>
    </row>
    <row r="570" spans="1:5" ht="18" x14ac:dyDescent="0.35">
      <c r="A570" s="28"/>
      <c r="B570" s="27" t="s">
        <v>1034</v>
      </c>
      <c r="C570" s="27">
        <v>288.5</v>
      </c>
      <c r="D570" s="3">
        <f t="shared" si="10"/>
        <v>288.5</v>
      </c>
      <c r="E570" s="3" t="s">
        <v>1386</v>
      </c>
    </row>
    <row r="571" spans="1:5" ht="18" x14ac:dyDescent="0.35">
      <c r="A571" s="28"/>
      <c r="B571" s="27" t="s">
        <v>1035</v>
      </c>
      <c r="C571" s="27">
        <v>329.25</v>
      </c>
      <c r="D571" s="3">
        <f t="shared" si="10"/>
        <v>329.25</v>
      </c>
      <c r="E571" s="3" t="s">
        <v>1386</v>
      </c>
    </row>
    <row r="572" spans="1:5" ht="18" x14ac:dyDescent="0.35">
      <c r="A572" s="28"/>
      <c r="B572" s="27" t="s">
        <v>1036</v>
      </c>
      <c r="C572" s="27">
        <v>420.5</v>
      </c>
      <c r="D572" s="3">
        <f t="shared" si="10"/>
        <v>420.5</v>
      </c>
      <c r="E572" s="3" t="s">
        <v>1386</v>
      </c>
    </row>
    <row r="573" spans="1:5" ht="18" x14ac:dyDescent="0.35">
      <c r="A573" s="28"/>
      <c r="B573" s="27" t="s">
        <v>1037</v>
      </c>
      <c r="C573" s="27" t="s">
        <v>1016</v>
      </c>
      <c r="D573" s="3" t="str">
        <f t="shared" si="10"/>
        <v>153 25</v>
      </c>
      <c r="E573" s="3" t="s">
        <v>1386</v>
      </c>
    </row>
    <row r="574" spans="1:5" ht="18" x14ac:dyDescent="0.35">
      <c r="A574" s="28"/>
      <c r="B574" s="27" t="s">
        <v>1038</v>
      </c>
      <c r="C574" s="27">
        <v>180.25</v>
      </c>
      <c r="D574" s="3">
        <f t="shared" si="10"/>
        <v>180.25</v>
      </c>
      <c r="E574" s="3" t="s">
        <v>1386</v>
      </c>
    </row>
    <row r="575" spans="1:5" ht="18" x14ac:dyDescent="0.35">
      <c r="A575" s="28"/>
      <c r="B575" s="27" t="s">
        <v>1039</v>
      </c>
      <c r="C575" s="27">
        <v>267.5</v>
      </c>
      <c r="D575" s="3">
        <f t="shared" si="10"/>
        <v>267.5</v>
      </c>
      <c r="E575" s="3" t="s">
        <v>1386</v>
      </c>
    </row>
    <row r="576" spans="1:5" ht="18" x14ac:dyDescent="0.35">
      <c r="A576" s="28"/>
      <c r="B576" s="27" t="s">
        <v>1040</v>
      </c>
      <c r="C576" s="27">
        <v>318.75</v>
      </c>
      <c r="D576" s="3">
        <f t="shared" si="10"/>
        <v>318.75</v>
      </c>
      <c r="E576" s="3" t="s">
        <v>1386</v>
      </c>
    </row>
    <row r="577" spans="1:5" ht="18" x14ac:dyDescent="0.35">
      <c r="A577" s="28"/>
      <c r="B577" s="27" t="s">
        <v>1041</v>
      </c>
      <c r="C577" s="27">
        <v>374.75</v>
      </c>
      <c r="D577" s="3">
        <f t="shared" si="10"/>
        <v>374.75</v>
      </c>
      <c r="E577" s="3" t="s">
        <v>1386</v>
      </c>
    </row>
    <row r="578" spans="1:5" ht="18" x14ac:dyDescent="0.35">
      <c r="A578" s="28"/>
      <c r="B578" s="27" t="s">
        <v>1042</v>
      </c>
      <c r="C578" s="27">
        <v>473.25</v>
      </c>
      <c r="D578" s="3">
        <f t="shared" ref="D578:D641" si="11">C578</f>
        <v>473.25</v>
      </c>
      <c r="E578" s="3" t="s">
        <v>1386</v>
      </c>
    </row>
    <row r="579" spans="1:5" ht="18" x14ac:dyDescent="0.35">
      <c r="A579" s="28"/>
      <c r="B579" s="27" t="s">
        <v>1043</v>
      </c>
      <c r="C579" s="27">
        <v>14.25</v>
      </c>
      <c r="D579" s="3">
        <f t="shared" si="11"/>
        <v>14.25</v>
      </c>
      <c r="E579" s="3" t="s">
        <v>1386</v>
      </c>
    </row>
    <row r="580" spans="1:5" ht="18" x14ac:dyDescent="0.35">
      <c r="A580" s="28"/>
      <c r="B580" s="27" t="s">
        <v>1044</v>
      </c>
      <c r="C580" s="27">
        <v>17</v>
      </c>
      <c r="D580" s="3">
        <f t="shared" si="11"/>
        <v>17</v>
      </c>
      <c r="E580" s="3" t="s">
        <v>1386</v>
      </c>
    </row>
    <row r="581" spans="1:5" ht="18" x14ac:dyDescent="0.35">
      <c r="A581" s="28"/>
      <c r="B581" s="27" t="s">
        <v>1045</v>
      </c>
      <c r="C581" s="27">
        <v>16.5</v>
      </c>
      <c r="D581" s="3">
        <f t="shared" si="11"/>
        <v>16.5</v>
      </c>
      <c r="E581" s="3" t="s">
        <v>1386</v>
      </c>
    </row>
    <row r="582" spans="1:5" ht="18" x14ac:dyDescent="0.35">
      <c r="A582" s="28"/>
      <c r="B582" s="27" t="s">
        <v>1046</v>
      </c>
      <c r="C582" s="27">
        <v>30.75</v>
      </c>
      <c r="D582" s="3">
        <f t="shared" si="11"/>
        <v>30.75</v>
      </c>
      <c r="E582" s="3" t="s">
        <v>1386</v>
      </c>
    </row>
    <row r="583" spans="1:5" ht="18" x14ac:dyDescent="0.35">
      <c r="A583" s="28"/>
      <c r="B583" s="27" t="s">
        <v>1047</v>
      </c>
      <c r="C583" s="27">
        <v>46.25</v>
      </c>
      <c r="D583" s="3">
        <f t="shared" si="11"/>
        <v>46.25</v>
      </c>
      <c r="E583" s="3" t="s">
        <v>1386</v>
      </c>
    </row>
    <row r="584" spans="1:5" ht="18" x14ac:dyDescent="0.35">
      <c r="A584" s="28"/>
      <c r="B584" s="27" t="s">
        <v>1048</v>
      </c>
      <c r="C584" s="27">
        <v>47.25</v>
      </c>
      <c r="D584" s="3">
        <f t="shared" si="11"/>
        <v>47.25</v>
      </c>
      <c r="E584" s="3" t="s">
        <v>1386</v>
      </c>
    </row>
    <row r="585" spans="1:5" ht="18" x14ac:dyDescent="0.35">
      <c r="A585" s="28"/>
      <c r="B585" s="27" t="s">
        <v>1049</v>
      </c>
      <c r="C585" s="27">
        <v>68</v>
      </c>
      <c r="D585" s="3">
        <f t="shared" si="11"/>
        <v>68</v>
      </c>
      <c r="E585" s="3" t="s">
        <v>1386</v>
      </c>
    </row>
    <row r="586" spans="1:5" ht="18" x14ac:dyDescent="0.35">
      <c r="A586" s="28"/>
      <c r="B586" s="27" t="s">
        <v>1050</v>
      </c>
      <c r="C586" s="27">
        <v>93.75</v>
      </c>
      <c r="D586" s="3">
        <f t="shared" si="11"/>
        <v>93.75</v>
      </c>
      <c r="E586" s="3" t="s">
        <v>1386</v>
      </c>
    </row>
    <row r="587" spans="1:5" ht="18" x14ac:dyDescent="0.35">
      <c r="A587" s="28"/>
      <c r="B587" s="27" t="s">
        <v>1051</v>
      </c>
      <c r="C587" s="27">
        <v>116.25</v>
      </c>
      <c r="D587" s="3">
        <f t="shared" si="11"/>
        <v>116.25</v>
      </c>
      <c r="E587" s="3" t="s">
        <v>1386</v>
      </c>
    </row>
    <row r="588" spans="1:5" ht="18" x14ac:dyDescent="0.35">
      <c r="A588" s="28"/>
      <c r="B588" s="27" t="s">
        <v>1052</v>
      </c>
      <c r="C588" s="27">
        <v>280</v>
      </c>
      <c r="D588" s="3">
        <f t="shared" si="11"/>
        <v>280</v>
      </c>
      <c r="E588" s="3" t="s">
        <v>1386</v>
      </c>
    </row>
    <row r="589" spans="1:5" ht="18" x14ac:dyDescent="0.35">
      <c r="A589" s="28"/>
      <c r="B589" s="27" t="s">
        <v>1053</v>
      </c>
      <c r="C589" s="27">
        <v>13.75</v>
      </c>
      <c r="D589" s="3">
        <f t="shared" si="11"/>
        <v>13.75</v>
      </c>
      <c r="E589" s="3" t="s">
        <v>1386</v>
      </c>
    </row>
    <row r="590" spans="1:5" ht="18" x14ac:dyDescent="0.35">
      <c r="A590" s="28"/>
      <c r="B590" s="27" t="s">
        <v>1054</v>
      </c>
      <c r="C590" s="27">
        <v>16.5</v>
      </c>
      <c r="D590" s="3">
        <f t="shared" si="11"/>
        <v>16.5</v>
      </c>
      <c r="E590" s="3" t="s">
        <v>1386</v>
      </c>
    </row>
    <row r="591" spans="1:5" ht="18" x14ac:dyDescent="0.35">
      <c r="A591" s="28"/>
      <c r="B591" s="27" t="s">
        <v>1055</v>
      </c>
      <c r="C591" s="27">
        <v>17</v>
      </c>
      <c r="D591" s="3">
        <f t="shared" si="11"/>
        <v>17</v>
      </c>
      <c r="E591" s="3" t="s">
        <v>1386</v>
      </c>
    </row>
    <row r="592" spans="1:5" ht="18" x14ac:dyDescent="0.35">
      <c r="A592" s="28"/>
      <c r="B592" s="27" t="s">
        <v>1056</v>
      </c>
      <c r="C592" s="27">
        <v>25.75</v>
      </c>
      <c r="D592" s="3">
        <f t="shared" si="11"/>
        <v>25.75</v>
      </c>
      <c r="E592" s="3" t="s">
        <v>1386</v>
      </c>
    </row>
    <row r="593" spans="1:5" ht="18" x14ac:dyDescent="0.35">
      <c r="A593" s="28"/>
      <c r="B593" s="27" t="s">
        <v>1057</v>
      </c>
      <c r="C593" s="27">
        <v>41.25</v>
      </c>
      <c r="D593" s="3">
        <f t="shared" si="11"/>
        <v>41.25</v>
      </c>
      <c r="E593" s="3" t="s">
        <v>1386</v>
      </c>
    </row>
    <row r="594" spans="1:5" ht="18" x14ac:dyDescent="0.35">
      <c r="A594" s="28"/>
      <c r="B594" s="27" t="s">
        <v>1058</v>
      </c>
      <c r="C594" s="27">
        <v>71.75</v>
      </c>
      <c r="D594" s="3">
        <f t="shared" si="11"/>
        <v>71.75</v>
      </c>
      <c r="E594" s="3" t="s">
        <v>1386</v>
      </c>
    </row>
    <row r="595" spans="1:5" ht="18" x14ac:dyDescent="0.35">
      <c r="A595" s="28"/>
      <c r="B595" s="27" t="s">
        <v>1059</v>
      </c>
      <c r="C595" s="27">
        <v>135.5</v>
      </c>
      <c r="D595" s="3">
        <f t="shared" si="11"/>
        <v>135.5</v>
      </c>
      <c r="E595" s="3" t="s">
        <v>1386</v>
      </c>
    </row>
    <row r="596" spans="1:5" ht="18" x14ac:dyDescent="0.35">
      <c r="A596" s="28"/>
      <c r="B596" s="27" t="s">
        <v>1060</v>
      </c>
      <c r="C596" s="27">
        <v>340.25</v>
      </c>
      <c r="D596" s="3">
        <f t="shared" si="11"/>
        <v>340.25</v>
      </c>
      <c r="E596" s="3" t="s">
        <v>1386</v>
      </c>
    </row>
    <row r="597" spans="1:5" ht="18" x14ac:dyDescent="0.35">
      <c r="A597" s="28"/>
      <c r="B597" s="27" t="s">
        <v>1061</v>
      </c>
      <c r="C597" s="27">
        <v>76.25</v>
      </c>
      <c r="D597" s="3">
        <f t="shared" si="11"/>
        <v>76.25</v>
      </c>
      <c r="E597" s="3" t="s">
        <v>1386</v>
      </c>
    </row>
    <row r="598" spans="1:5" ht="18" x14ac:dyDescent="0.35">
      <c r="A598" s="28"/>
      <c r="B598" s="27" t="s">
        <v>1062</v>
      </c>
      <c r="C598" s="27">
        <v>108.25</v>
      </c>
      <c r="D598" s="3">
        <f t="shared" si="11"/>
        <v>108.25</v>
      </c>
      <c r="E598" s="3" t="s">
        <v>1386</v>
      </c>
    </row>
    <row r="599" spans="1:5" ht="18" x14ac:dyDescent="0.35">
      <c r="A599" s="28"/>
      <c r="B599" s="27" t="s">
        <v>1063</v>
      </c>
      <c r="C599" s="27">
        <v>200.75</v>
      </c>
      <c r="D599" s="3">
        <f t="shared" si="11"/>
        <v>200.75</v>
      </c>
      <c r="E599" s="3" t="s">
        <v>1386</v>
      </c>
    </row>
    <row r="600" spans="1:5" ht="18" x14ac:dyDescent="0.35">
      <c r="A600" s="28"/>
      <c r="B600" s="27" t="s">
        <v>1064</v>
      </c>
      <c r="C600" s="27">
        <v>389</v>
      </c>
      <c r="D600" s="3">
        <f t="shared" si="11"/>
        <v>389</v>
      </c>
      <c r="E600" s="3" t="s">
        <v>1386</v>
      </c>
    </row>
    <row r="601" spans="1:5" ht="18" x14ac:dyDescent="0.35">
      <c r="A601" s="28"/>
      <c r="B601" s="27" t="s">
        <v>1065</v>
      </c>
      <c r="C601" s="27">
        <v>24.5</v>
      </c>
      <c r="D601" s="3">
        <f t="shared" si="11"/>
        <v>24.5</v>
      </c>
      <c r="E601" s="3" t="s">
        <v>1386</v>
      </c>
    </row>
    <row r="602" spans="1:5" ht="18" x14ac:dyDescent="0.35">
      <c r="A602" s="28"/>
      <c r="B602" s="27" t="s">
        <v>1066</v>
      </c>
      <c r="C602" s="27">
        <v>39.75</v>
      </c>
      <c r="D602" s="3">
        <f t="shared" si="11"/>
        <v>39.75</v>
      </c>
      <c r="E602" s="3" t="s">
        <v>1386</v>
      </c>
    </row>
    <row r="603" spans="1:5" ht="18" x14ac:dyDescent="0.35">
      <c r="A603" s="28"/>
      <c r="B603" s="27" t="s">
        <v>1067</v>
      </c>
      <c r="C603" s="27">
        <v>43.75</v>
      </c>
      <c r="D603" s="3">
        <f t="shared" si="11"/>
        <v>43.75</v>
      </c>
      <c r="E603" s="3" t="s">
        <v>1386</v>
      </c>
    </row>
    <row r="604" spans="1:5" ht="18" x14ac:dyDescent="0.35">
      <c r="A604" s="28"/>
      <c r="B604" s="27" t="s">
        <v>1068</v>
      </c>
      <c r="C604" s="27">
        <v>71.25</v>
      </c>
      <c r="D604" s="3">
        <f t="shared" si="11"/>
        <v>71.25</v>
      </c>
      <c r="E604" s="3" t="s">
        <v>1386</v>
      </c>
    </row>
    <row r="605" spans="1:5" ht="18" x14ac:dyDescent="0.35">
      <c r="A605" s="28"/>
      <c r="B605" s="27" t="s">
        <v>1069</v>
      </c>
      <c r="C605" s="27">
        <v>109</v>
      </c>
      <c r="D605" s="3">
        <f t="shared" si="11"/>
        <v>109</v>
      </c>
      <c r="E605" s="3" t="s">
        <v>1386</v>
      </c>
    </row>
    <row r="606" spans="1:5" ht="18" x14ac:dyDescent="0.35">
      <c r="A606" s="28"/>
      <c r="B606" s="27" t="s">
        <v>1070</v>
      </c>
      <c r="C606" s="27">
        <v>132</v>
      </c>
      <c r="D606" s="3">
        <f t="shared" si="11"/>
        <v>132</v>
      </c>
      <c r="E606" s="3" t="s">
        <v>1386</v>
      </c>
    </row>
    <row r="607" spans="1:5" ht="18" x14ac:dyDescent="0.35">
      <c r="A607" s="28"/>
      <c r="B607" s="27" t="s">
        <v>1071</v>
      </c>
      <c r="C607" s="27">
        <v>236.25</v>
      </c>
      <c r="D607" s="3">
        <f t="shared" si="11"/>
        <v>236.25</v>
      </c>
      <c r="E607" s="3" t="s">
        <v>1386</v>
      </c>
    </row>
    <row r="608" spans="1:5" ht="18" x14ac:dyDescent="0.35">
      <c r="A608" s="28"/>
      <c r="B608" s="27" t="s">
        <v>1072</v>
      </c>
      <c r="C608" s="27">
        <v>155.75</v>
      </c>
      <c r="D608" s="3">
        <f t="shared" si="11"/>
        <v>155.75</v>
      </c>
      <c r="E608" s="3" t="s">
        <v>1386</v>
      </c>
    </row>
    <row r="609" spans="1:5" ht="18" x14ac:dyDescent="0.35">
      <c r="A609" s="28"/>
      <c r="B609" s="27" t="s">
        <v>1073</v>
      </c>
      <c r="C609" s="27">
        <v>171</v>
      </c>
      <c r="D609" s="3">
        <f t="shared" si="11"/>
        <v>171</v>
      </c>
      <c r="E609" s="3" t="s">
        <v>1386</v>
      </c>
    </row>
    <row r="610" spans="1:5" ht="18" x14ac:dyDescent="0.35">
      <c r="A610" s="28"/>
      <c r="B610" s="27" t="s">
        <v>1074</v>
      </c>
      <c r="C610" s="27">
        <v>168.5</v>
      </c>
      <c r="D610" s="3">
        <f t="shared" si="11"/>
        <v>168.5</v>
      </c>
      <c r="E610" s="3" t="s">
        <v>1386</v>
      </c>
    </row>
    <row r="611" spans="1:5" ht="18" x14ac:dyDescent="0.35">
      <c r="A611" s="28"/>
      <c r="B611" s="27" t="s">
        <v>1075</v>
      </c>
      <c r="C611" s="27">
        <v>35.25</v>
      </c>
      <c r="D611" s="3">
        <f t="shared" si="11"/>
        <v>35.25</v>
      </c>
      <c r="E611" s="3" t="s">
        <v>1386</v>
      </c>
    </row>
    <row r="612" spans="1:5" ht="18" x14ac:dyDescent="0.35">
      <c r="A612" s="28"/>
      <c r="B612" s="27" t="s">
        <v>1076</v>
      </c>
      <c r="C612" s="27">
        <v>375</v>
      </c>
      <c r="D612" s="3">
        <f t="shared" si="11"/>
        <v>375</v>
      </c>
      <c r="E612" s="3" t="s">
        <v>1386</v>
      </c>
    </row>
    <row r="613" spans="1:5" ht="18" x14ac:dyDescent="0.35">
      <c r="A613" s="28"/>
      <c r="B613" s="27" t="s">
        <v>1077</v>
      </c>
      <c r="C613" s="27">
        <v>418.25</v>
      </c>
      <c r="D613" s="3">
        <f t="shared" si="11"/>
        <v>418.25</v>
      </c>
      <c r="E613" s="3" t="s">
        <v>1386</v>
      </c>
    </row>
    <row r="614" spans="1:5" ht="18" x14ac:dyDescent="0.35">
      <c r="A614" s="28"/>
      <c r="B614" s="27" t="s">
        <v>1078</v>
      </c>
      <c r="C614" s="27">
        <v>475.75</v>
      </c>
      <c r="D614" s="3">
        <f t="shared" si="11"/>
        <v>475.75</v>
      </c>
      <c r="E614" s="3" t="s">
        <v>1386</v>
      </c>
    </row>
    <row r="615" spans="1:5" ht="18" x14ac:dyDescent="0.35">
      <c r="A615" s="28"/>
      <c r="B615" s="27" t="s">
        <v>1079</v>
      </c>
      <c r="C615" s="27">
        <v>239.75</v>
      </c>
      <c r="D615" s="3">
        <f t="shared" si="11"/>
        <v>239.75</v>
      </c>
      <c r="E615" s="3" t="s">
        <v>1386</v>
      </c>
    </row>
    <row r="616" spans="1:5" ht="18" x14ac:dyDescent="0.35">
      <c r="A616" s="28"/>
      <c r="B616" s="27" t="s">
        <v>1080</v>
      </c>
      <c r="C616" s="27">
        <v>429.5</v>
      </c>
      <c r="D616" s="3">
        <f t="shared" si="11"/>
        <v>429.5</v>
      </c>
      <c r="E616" s="3" t="s">
        <v>1386</v>
      </c>
    </row>
    <row r="617" spans="1:5" ht="18" x14ac:dyDescent="0.35">
      <c r="A617" s="28"/>
      <c r="B617" s="27" t="s">
        <v>1081</v>
      </c>
      <c r="C617" s="27">
        <v>359.75</v>
      </c>
      <c r="D617" s="3">
        <f t="shared" si="11"/>
        <v>359.75</v>
      </c>
      <c r="E617" s="3" t="s">
        <v>1386</v>
      </c>
    </row>
    <row r="618" spans="1:5" ht="18" x14ac:dyDescent="0.35">
      <c r="A618" s="28"/>
      <c r="B618" s="27" t="s">
        <v>1082</v>
      </c>
      <c r="C618" s="27">
        <v>396.75</v>
      </c>
      <c r="D618" s="3">
        <f t="shared" si="11"/>
        <v>396.75</v>
      </c>
      <c r="E618" s="3" t="s">
        <v>1386</v>
      </c>
    </row>
    <row r="619" spans="1:5" ht="18" x14ac:dyDescent="0.35">
      <c r="A619" s="28"/>
      <c r="B619" s="27" t="s">
        <v>1083</v>
      </c>
      <c r="C619" s="27">
        <v>340.75</v>
      </c>
      <c r="D619" s="3">
        <f t="shared" si="11"/>
        <v>340.75</v>
      </c>
      <c r="E619" s="3" t="s">
        <v>1386</v>
      </c>
    </row>
    <row r="620" spans="1:5" ht="18" x14ac:dyDescent="0.35">
      <c r="A620" s="28"/>
      <c r="B620" s="27" t="s">
        <v>1084</v>
      </c>
      <c r="C620" s="27">
        <v>22.25</v>
      </c>
      <c r="D620" s="3">
        <f t="shared" si="11"/>
        <v>22.25</v>
      </c>
      <c r="E620" s="3" t="s">
        <v>1386</v>
      </c>
    </row>
    <row r="621" spans="1:5" ht="18" x14ac:dyDescent="0.35">
      <c r="A621" s="28"/>
      <c r="B621" s="27" t="s">
        <v>1085</v>
      </c>
      <c r="C621" s="27">
        <v>28</v>
      </c>
      <c r="D621" s="3">
        <f t="shared" si="11"/>
        <v>28</v>
      </c>
      <c r="E621" s="3" t="s">
        <v>1386</v>
      </c>
    </row>
    <row r="622" spans="1:5" ht="18" x14ac:dyDescent="0.35">
      <c r="A622" s="28"/>
      <c r="B622" s="27" t="s">
        <v>1086</v>
      </c>
      <c r="C622" s="27">
        <v>27.25</v>
      </c>
      <c r="D622" s="3">
        <f t="shared" si="11"/>
        <v>27.25</v>
      </c>
      <c r="E622" s="3" t="s">
        <v>1386</v>
      </c>
    </row>
    <row r="623" spans="1:5" ht="18" x14ac:dyDescent="0.35">
      <c r="A623" s="28"/>
      <c r="B623" s="27" t="s">
        <v>1087</v>
      </c>
      <c r="C623" s="27">
        <v>62.25</v>
      </c>
      <c r="D623" s="3">
        <f t="shared" si="11"/>
        <v>62.25</v>
      </c>
      <c r="E623" s="3" t="s">
        <v>1386</v>
      </c>
    </row>
    <row r="624" spans="1:5" ht="18" x14ac:dyDescent="0.35">
      <c r="A624" s="28"/>
      <c r="B624" s="27" t="s">
        <v>1088</v>
      </c>
      <c r="C624" s="27">
        <v>78.25</v>
      </c>
      <c r="D624" s="3">
        <f t="shared" si="11"/>
        <v>78.25</v>
      </c>
      <c r="E624" s="3" t="s">
        <v>1386</v>
      </c>
    </row>
    <row r="625" spans="1:5" ht="18" x14ac:dyDescent="0.35">
      <c r="A625" s="28"/>
      <c r="B625" s="27" t="s">
        <v>1089</v>
      </c>
      <c r="C625" s="27">
        <v>84.25</v>
      </c>
      <c r="D625" s="3">
        <f t="shared" si="11"/>
        <v>84.25</v>
      </c>
      <c r="E625" s="3" t="s">
        <v>1386</v>
      </c>
    </row>
    <row r="626" spans="1:5" ht="18" x14ac:dyDescent="0.35">
      <c r="A626" s="28"/>
      <c r="B626" s="27" t="s">
        <v>1090</v>
      </c>
      <c r="C626" s="27">
        <v>139.25</v>
      </c>
      <c r="D626" s="3">
        <f t="shared" si="11"/>
        <v>139.25</v>
      </c>
      <c r="E626" s="3" t="s">
        <v>1386</v>
      </c>
    </row>
    <row r="627" spans="1:5" ht="18" x14ac:dyDescent="0.35">
      <c r="A627" s="28"/>
      <c r="B627" s="27" t="s">
        <v>1091</v>
      </c>
      <c r="C627" s="27">
        <v>158.25</v>
      </c>
      <c r="D627" s="3">
        <f t="shared" si="11"/>
        <v>158.25</v>
      </c>
      <c r="E627" s="3" t="s">
        <v>1386</v>
      </c>
    </row>
    <row r="628" spans="1:5" ht="18" x14ac:dyDescent="0.35">
      <c r="A628" s="28"/>
      <c r="B628" s="27" t="s">
        <v>1092</v>
      </c>
      <c r="C628" s="27">
        <v>242</v>
      </c>
      <c r="D628" s="3">
        <f t="shared" si="11"/>
        <v>242</v>
      </c>
      <c r="E628" s="3" t="s">
        <v>1386</v>
      </c>
    </row>
    <row r="629" spans="1:5" ht="18" x14ac:dyDescent="0.35">
      <c r="A629" s="28"/>
      <c r="B629" s="27" t="s">
        <v>1093</v>
      </c>
      <c r="C629" s="27">
        <v>732.25</v>
      </c>
      <c r="D629" s="3">
        <f t="shared" si="11"/>
        <v>732.25</v>
      </c>
      <c r="E629" s="3" t="s">
        <v>1386</v>
      </c>
    </row>
    <row r="630" spans="1:5" ht="18" x14ac:dyDescent="0.35">
      <c r="A630" s="28"/>
      <c r="B630" s="27" t="s">
        <v>1094</v>
      </c>
      <c r="C630" s="27">
        <v>19</v>
      </c>
      <c r="D630" s="3">
        <f t="shared" si="11"/>
        <v>19</v>
      </c>
      <c r="E630" s="3" t="s">
        <v>1386</v>
      </c>
    </row>
    <row r="631" spans="1:5" ht="18" x14ac:dyDescent="0.35">
      <c r="A631" s="28"/>
      <c r="B631" s="27" t="s">
        <v>1095</v>
      </c>
      <c r="C631" s="27">
        <v>25</v>
      </c>
      <c r="D631" s="3">
        <f t="shared" si="11"/>
        <v>25</v>
      </c>
      <c r="E631" s="3" t="s">
        <v>1386</v>
      </c>
    </row>
    <row r="632" spans="1:5" ht="18" x14ac:dyDescent="0.35">
      <c r="A632" s="28"/>
      <c r="B632" s="27" t="s">
        <v>1096</v>
      </c>
      <c r="C632" s="27">
        <v>23.5</v>
      </c>
      <c r="D632" s="3">
        <f t="shared" si="11"/>
        <v>23.5</v>
      </c>
      <c r="E632" s="3" t="s">
        <v>1386</v>
      </c>
    </row>
    <row r="633" spans="1:5" ht="18" x14ac:dyDescent="0.35">
      <c r="A633" s="28"/>
      <c r="B633" s="27" t="s">
        <v>1097</v>
      </c>
      <c r="C633" s="27">
        <v>41.5</v>
      </c>
      <c r="D633" s="3">
        <f t="shared" si="11"/>
        <v>41.5</v>
      </c>
      <c r="E633" s="3" t="s">
        <v>1386</v>
      </c>
    </row>
    <row r="634" spans="1:5" ht="18" x14ac:dyDescent="0.35">
      <c r="A634" s="28"/>
      <c r="B634" s="27" t="s">
        <v>1098</v>
      </c>
      <c r="C634" s="27">
        <v>52.75</v>
      </c>
      <c r="D634" s="3">
        <f t="shared" si="11"/>
        <v>52.75</v>
      </c>
      <c r="E634" s="3" t="s">
        <v>1386</v>
      </c>
    </row>
    <row r="635" spans="1:5" ht="18" x14ac:dyDescent="0.35">
      <c r="A635" s="28"/>
      <c r="B635" s="27" t="s">
        <v>1099</v>
      </c>
      <c r="C635" s="27">
        <v>59.5</v>
      </c>
      <c r="D635" s="3">
        <f t="shared" si="11"/>
        <v>59.5</v>
      </c>
      <c r="E635" s="3" t="s">
        <v>1386</v>
      </c>
    </row>
    <row r="636" spans="1:5" ht="18" x14ac:dyDescent="0.35">
      <c r="A636" s="28"/>
      <c r="B636" s="27" t="s">
        <v>1100</v>
      </c>
      <c r="C636" s="27">
        <v>121</v>
      </c>
      <c r="D636" s="3">
        <f t="shared" si="11"/>
        <v>121</v>
      </c>
      <c r="E636" s="3" t="s">
        <v>1386</v>
      </c>
    </row>
    <row r="637" spans="1:5" ht="18" x14ac:dyDescent="0.35">
      <c r="A637" s="28"/>
      <c r="B637" s="27" t="s">
        <v>1101</v>
      </c>
      <c r="C637" s="27">
        <v>158.25</v>
      </c>
      <c r="D637" s="3">
        <f t="shared" si="11"/>
        <v>158.25</v>
      </c>
      <c r="E637" s="3" t="s">
        <v>1386</v>
      </c>
    </row>
    <row r="638" spans="1:5" ht="18" x14ac:dyDescent="0.35">
      <c r="A638" s="28"/>
      <c r="B638" s="27" t="s">
        <v>1102</v>
      </c>
      <c r="C638" s="27">
        <v>197.5</v>
      </c>
      <c r="D638" s="3">
        <f t="shared" si="11"/>
        <v>197.5</v>
      </c>
      <c r="E638" s="3" t="s">
        <v>1386</v>
      </c>
    </row>
    <row r="639" spans="1:5" ht="18" x14ac:dyDescent="0.35">
      <c r="A639" s="28"/>
      <c r="B639" s="27" t="s">
        <v>1103</v>
      </c>
      <c r="C639" s="27">
        <v>505.25</v>
      </c>
      <c r="D639" s="3">
        <f t="shared" si="11"/>
        <v>505.25</v>
      </c>
      <c r="E639" s="3" t="s">
        <v>1386</v>
      </c>
    </row>
    <row r="640" spans="1:5" ht="18" x14ac:dyDescent="0.35">
      <c r="A640" s="28"/>
      <c r="B640" s="27" t="s">
        <v>1104</v>
      </c>
      <c r="C640" s="27">
        <v>268</v>
      </c>
      <c r="D640" s="3">
        <f t="shared" si="11"/>
        <v>268</v>
      </c>
      <c r="E640" s="3" t="s">
        <v>1386</v>
      </c>
    </row>
    <row r="641" spans="1:5" ht="18" x14ac:dyDescent="0.35">
      <c r="A641" s="28"/>
      <c r="B641" s="27" t="s">
        <v>1105</v>
      </c>
      <c r="C641" s="27">
        <v>284</v>
      </c>
      <c r="D641" s="3">
        <f t="shared" si="11"/>
        <v>284</v>
      </c>
      <c r="E641" s="3" t="s">
        <v>1386</v>
      </c>
    </row>
    <row r="642" spans="1:5" ht="18" x14ac:dyDescent="0.35">
      <c r="A642" s="28"/>
      <c r="B642" s="27" t="s">
        <v>1106</v>
      </c>
      <c r="C642" s="27">
        <v>717.5</v>
      </c>
      <c r="D642" s="3">
        <f t="shared" ref="D642:D705" si="12">C642</f>
        <v>717.5</v>
      </c>
      <c r="E642" s="3" t="s">
        <v>1386</v>
      </c>
    </row>
    <row r="643" spans="1:5" ht="18" x14ac:dyDescent="0.35">
      <c r="A643" s="28"/>
      <c r="B643" s="27" t="s">
        <v>1107</v>
      </c>
      <c r="C643" s="27">
        <v>178.25</v>
      </c>
      <c r="D643" s="3">
        <f t="shared" si="12"/>
        <v>178.25</v>
      </c>
      <c r="E643" s="3" t="s">
        <v>1386</v>
      </c>
    </row>
    <row r="644" spans="1:5" ht="18" x14ac:dyDescent="0.35">
      <c r="A644" s="28"/>
      <c r="B644" s="27" t="s">
        <v>1108</v>
      </c>
      <c r="C644" s="27">
        <v>260.25</v>
      </c>
      <c r="D644" s="3">
        <f t="shared" si="12"/>
        <v>260.25</v>
      </c>
      <c r="E644" s="3" t="s">
        <v>1386</v>
      </c>
    </row>
    <row r="645" spans="1:5" ht="18" x14ac:dyDescent="0.35">
      <c r="A645" s="28"/>
      <c r="B645" s="27" t="s">
        <v>1109</v>
      </c>
      <c r="C645" s="27">
        <v>261.75</v>
      </c>
      <c r="D645" s="3">
        <f t="shared" si="12"/>
        <v>261.75</v>
      </c>
      <c r="E645" s="3" t="s">
        <v>1386</v>
      </c>
    </row>
    <row r="646" spans="1:5" ht="18" x14ac:dyDescent="0.35">
      <c r="A646" s="28"/>
      <c r="B646" s="27" t="s">
        <v>1110</v>
      </c>
      <c r="C646" s="27">
        <v>551</v>
      </c>
      <c r="D646" s="3">
        <f t="shared" si="12"/>
        <v>551</v>
      </c>
      <c r="E646" s="3" t="s">
        <v>1386</v>
      </c>
    </row>
    <row r="647" spans="1:5" ht="18" x14ac:dyDescent="0.35">
      <c r="A647" s="28"/>
      <c r="B647" s="27" t="s">
        <v>1111</v>
      </c>
      <c r="C647" s="27">
        <v>91.5</v>
      </c>
      <c r="D647" s="3">
        <f t="shared" si="12"/>
        <v>91.5</v>
      </c>
      <c r="E647" s="3" t="s">
        <v>1386</v>
      </c>
    </row>
    <row r="648" spans="1:5" ht="18" x14ac:dyDescent="0.35">
      <c r="A648" s="28"/>
      <c r="B648" s="27" t="s">
        <v>1112</v>
      </c>
      <c r="C648" s="27">
        <v>135</v>
      </c>
      <c r="D648" s="3">
        <f t="shared" si="12"/>
        <v>135</v>
      </c>
      <c r="E648" s="3" t="s">
        <v>1386</v>
      </c>
    </row>
    <row r="649" spans="1:5" ht="18" x14ac:dyDescent="0.35">
      <c r="A649" s="28"/>
      <c r="B649" s="27" t="s">
        <v>1113</v>
      </c>
      <c r="C649" s="27">
        <v>228.25</v>
      </c>
      <c r="D649" s="3">
        <f t="shared" si="12"/>
        <v>228.25</v>
      </c>
      <c r="E649" s="3" t="s">
        <v>1386</v>
      </c>
    </row>
    <row r="650" spans="1:5" ht="18" x14ac:dyDescent="0.35">
      <c r="A650" s="28"/>
      <c r="B650" s="27" t="s">
        <v>1114</v>
      </c>
      <c r="C650" s="27">
        <v>652.5</v>
      </c>
      <c r="D650" s="3">
        <f t="shared" si="12"/>
        <v>652.5</v>
      </c>
      <c r="E650" s="3" t="s">
        <v>1386</v>
      </c>
    </row>
    <row r="651" spans="1:5" ht="18" x14ac:dyDescent="0.35">
      <c r="A651" s="28"/>
      <c r="B651" s="27" t="s">
        <v>1115</v>
      </c>
      <c r="C651" s="27">
        <v>190.25</v>
      </c>
      <c r="D651" s="3">
        <f t="shared" si="12"/>
        <v>190.25</v>
      </c>
      <c r="E651" s="3" t="s">
        <v>1386</v>
      </c>
    </row>
    <row r="652" spans="1:5" ht="18" x14ac:dyDescent="0.35">
      <c r="A652" s="28"/>
      <c r="B652" s="27" t="s">
        <v>1116</v>
      </c>
      <c r="C652" s="27">
        <v>275</v>
      </c>
      <c r="D652" s="3">
        <f t="shared" si="12"/>
        <v>275</v>
      </c>
      <c r="E652" s="3" t="s">
        <v>1386</v>
      </c>
    </row>
    <row r="653" spans="1:5" ht="18" x14ac:dyDescent="0.35">
      <c r="A653" s="28"/>
      <c r="B653" s="27" t="s">
        <v>1117</v>
      </c>
      <c r="C653" s="27">
        <v>275.5</v>
      </c>
      <c r="D653" s="3">
        <f t="shared" si="12"/>
        <v>275.5</v>
      </c>
      <c r="E653" s="3" t="s">
        <v>1386</v>
      </c>
    </row>
    <row r="654" spans="1:5" ht="18" x14ac:dyDescent="0.35">
      <c r="A654" s="28"/>
      <c r="B654" s="27" t="s">
        <v>1118</v>
      </c>
      <c r="C654" s="27">
        <v>673.5</v>
      </c>
      <c r="D654" s="3">
        <f t="shared" si="12"/>
        <v>673.5</v>
      </c>
      <c r="E654" s="3" t="s">
        <v>1386</v>
      </c>
    </row>
    <row r="655" spans="1:5" ht="18" x14ac:dyDescent="0.35">
      <c r="A655" s="28"/>
      <c r="B655" s="27" t="s">
        <v>1119</v>
      </c>
      <c r="C655" s="27">
        <v>199.25</v>
      </c>
      <c r="D655" s="3">
        <f t="shared" si="12"/>
        <v>199.25</v>
      </c>
      <c r="E655" s="3" t="s">
        <v>1386</v>
      </c>
    </row>
    <row r="656" spans="1:5" ht="18" x14ac:dyDescent="0.35">
      <c r="A656" s="28"/>
      <c r="B656" s="27" t="s">
        <v>1120</v>
      </c>
      <c r="C656" s="27">
        <v>251.25</v>
      </c>
      <c r="D656" s="3">
        <f t="shared" si="12"/>
        <v>251.25</v>
      </c>
      <c r="E656" s="3" t="s">
        <v>1386</v>
      </c>
    </row>
    <row r="657" spans="1:5" ht="18" x14ac:dyDescent="0.35">
      <c r="A657" s="28"/>
      <c r="B657" s="27" t="s">
        <v>1121</v>
      </c>
      <c r="C657" s="27">
        <v>260.5</v>
      </c>
      <c r="D657" s="3">
        <f t="shared" si="12"/>
        <v>260.5</v>
      </c>
      <c r="E657" s="3" t="s">
        <v>1386</v>
      </c>
    </row>
    <row r="658" spans="1:5" ht="18" x14ac:dyDescent="0.35">
      <c r="A658" s="28"/>
      <c r="B658" s="27" t="s">
        <v>1122</v>
      </c>
      <c r="C658" s="27">
        <v>214.5</v>
      </c>
      <c r="D658" s="3">
        <f t="shared" si="12"/>
        <v>214.5</v>
      </c>
      <c r="E658" s="3" t="s">
        <v>1386</v>
      </c>
    </row>
    <row r="659" spans="1:5" ht="18" x14ac:dyDescent="0.35">
      <c r="A659" s="28"/>
      <c r="B659" s="27" t="s">
        <v>1123</v>
      </c>
      <c r="C659" s="27">
        <v>224.5</v>
      </c>
      <c r="D659" s="3">
        <f t="shared" si="12"/>
        <v>224.5</v>
      </c>
      <c r="E659" s="3" t="s">
        <v>1386</v>
      </c>
    </row>
    <row r="660" spans="1:5" ht="18" x14ac:dyDescent="0.35">
      <c r="A660" s="28"/>
      <c r="B660" s="27" t="s">
        <v>1124</v>
      </c>
      <c r="C660" s="27">
        <v>272</v>
      </c>
      <c r="D660" s="3">
        <f t="shared" si="12"/>
        <v>272</v>
      </c>
      <c r="E660" s="3" t="s">
        <v>1386</v>
      </c>
    </row>
    <row r="661" spans="1:5" ht="18" x14ac:dyDescent="0.35">
      <c r="A661" s="28"/>
      <c r="B661" s="27" t="s">
        <v>1125</v>
      </c>
      <c r="C661" s="27">
        <v>29.75</v>
      </c>
      <c r="D661" s="3">
        <f t="shared" si="12"/>
        <v>29.75</v>
      </c>
      <c r="E661" s="3" t="s">
        <v>1386</v>
      </c>
    </row>
    <row r="662" spans="1:5" ht="18" x14ac:dyDescent="0.35">
      <c r="A662" s="28"/>
      <c r="B662" s="27" t="s">
        <v>1126</v>
      </c>
      <c r="C662" s="27">
        <v>54.5</v>
      </c>
      <c r="D662" s="3">
        <f t="shared" si="12"/>
        <v>54.5</v>
      </c>
      <c r="E662" s="3" t="s">
        <v>1386</v>
      </c>
    </row>
    <row r="663" spans="1:5" ht="18" x14ac:dyDescent="0.3">
      <c r="A663" s="3"/>
      <c r="B663" s="3" t="s">
        <v>1127</v>
      </c>
      <c r="C663" s="3">
        <v>143</v>
      </c>
      <c r="D663" s="3">
        <f t="shared" si="12"/>
        <v>143</v>
      </c>
      <c r="E663" s="3" t="s">
        <v>1386</v>
      </c>
    </row>
    <row r="664" spans="1:5" ht="18" x14ac:dyDescent="0.3">
      <c r="A664" s="3"/>
      <c r="B664" s="3" t="s">
        <v>1128</v>
      </c>
      <c r="C664" s="3">
        <v>222.5</v>
      </c>
      <c r="D664" s="3">
        <f t="shared" si="12"/>
        <v>222.5</v>
      </c>
      <c r="E664" s="3" t="s">
        <v>1386</v>
      </c>
    </row>
    <row r="665" spans="1:5" ht="18" x14ac:dyDescent="0.3">
      <c r="A665" s="3"/>
      <c r="B665" s="3" t="s">
        <v>1129</v>
      </c>
      <c r="C665" s="3">
        <v>397.25</v>
      </c>
      <c r="D665" s="3">
        <f t="shared" si="12"/>
        <v>397.25</v>
      </c>
      <c r="E665" s="3" t="s">
        <v>1386</v>
      </c>
    </row>
    <row r="666" spans="1:5" ht="18" x14ac:dyDescent="0.3">
      <c r="A666" s="3"/>
      <c r="B666" s="3" t="s">
        <v>1130</v>
      </c>
      <c r="C666" s="3">
        <v>146.75</v>
      </c>
      <c r="D666" s="3">
        <f t="shared" si="12"/>
        <v>146.75</v>
      </c>
      <c r="E666" s="3" t="s">
        <v>1386</v>
      </c>
    </row>
    <row r="667" spans="1:5" ht="18" x14ac:dyDescent="0.3">
      <c r="A667" s="3"/>
      <c r="B667" s="3" t="s">
        <v>1131</v>
      </c>
      <c r="C667" s="3">
        <v>202.75</v>
      </c>
      <c r="D667" s="3">
        <f t="shared" si="12"/>
        <v>202.75</v>
      </c>
      <c r="E667" s="3" t="s">
        <v>1386</v>
      </c>
    </row>
    <row r="668" spans="1:5" ht="18" x14ac:dyDescent="0.3">
      <c r="A668" s="3"/>
      <c r="B668" s="3" t="s">
        <v>1132</v>
      </c>
      <c r="C668" s="3">
        <v>360.25</v>
      </c>
      <c r="D668" s="3">
        <f t="shared" si="12"/>
        <v>360.25</v>
      </c>
      <c r="E668" s="3" t="s">
        <v>1386</v>
      </c>
    </row>
    <row r="669" spans="1:5" ht="18" x14ac:dyDescent="0.3">
      <c r="A669" s="3"/>
      <c r="B669" s="3" t="s">
        <v>1133</v>
      </c>
      <c r="C669" s="3">
        <v>168.75</v>
      </c>
      <c r="D669" s="3">
        <f t="shared" si="12"/>
        <v>168.75</v>
      </c>
      <c r="E669" s="3" t="s">
        <v>1386</v>
      </c>
    </row>
    <row r="670" spans="1:5" ht="18" x14ac:dyDescent="0.3">
      <c r="A670" s="3"/>
      <c r="B670" s="3" t="s">
        <v>1134</v>
      </c>
      <c r="C670" s="3">
        <v>267.75</v>
      </c>
      <c r="D670" s="3">
        <f t="shared" si="12"/>
        <v>267.75</v>
      </c>
      <c r="E670" s="3" t="s">
        <v>1386</v>
      </c>
    </row>
    <row r="671" spans="1:5" ht="18" x14ac:dyDescent="0.3">
      <c r="A671" s="3"/>
      <c r="B671" s="3" t="s">
        <v>1135</v>
      </c>
      <c r="C671" s="3">
        <v>465</v>
      </c>
      <c r="D671" s="3">
        <f t="shared" si="12"/>
        <v>465</v>
      </c>
      <c r="E671" s="3" t="s">
        <v>1386</v>
      </c>
    </row>
    <row r="672" spans="1:5" ht="18" x14ac:dyDescent="0.3">
      <c r="A672" s="3"/>
      <c r="B672" s="3" t="s">
        <v>1136</v>
      </c>
      <c r="C672" s="3">
        <v>2592.25</v>
      </c>
      <c r="D672" s="3">
        <f t="shared" si="12"/>
        <v>2592.25</v>
      </c>
      <c r="E672" s="3" t="s">
        <v>1386</v>
      </c>
    </row>
    <row r="673" spans="1:5" ht="18" x14ac:dyDescent="0.3">
      <c r="A673" s="3"/>
      <c r="B673" s="3" t="s">
        <v>1137</v>
      </c>
      <c r="C673" s="3">
        <v>2930.25</v>
      </c>
      <c r="D673" s="3">
        <f t="shared" si="12"/>
        <v>2930.25</v>
      </c>
      <c r="E673" s="3" t="s">
        <v>1386</v>
      </c>
    </row>
    <row r="674" spans="1:5" ht="18" x14ac:dyDescent="0.3">
      <c r="A674" s="3"/>
      <c r="B674" s="3" t="s">
        <v>1138</v>
      </c>
      <c r="C674" s="3">
        <v>2701</v>
      </c>
      <c r="D674" s="3">
        <f t="shared" si="12"/>
        <v>2701</v>
      </c>
      <c r="E674" s="3" t="s">
        <v>1386</v>
      </c>
    </row>
    <row r="675" spans="1:5" ht="18" x14ac:dyDescent="0.3">
      <c r="A675" s="3"/>
      <c r="B675" s="3" t="s">
        <v>1139</v>
      </c>
      <c r="C675" s="3">
        <v>3040</v>
      </c>
      <c r="D675" s="3">
        <f t="shared" si="12"/>
        <v>3040</v>
      </c>
      <c r="E675" s="3" t="s">
        <v>1386</v>
      </c>
    </row>
    <row r="676" spans="1:5" ht="18" x14ac:dyDescent="0.3">
      <c r="A676" s="3"/>
      <c r="B676" s="3" t="s">
        <v>1140</v>
      </c>
      <c r="C676" s="3">
        <v>2965.75</v>
      </c>
      <c r="D676" s="3">
        <f t="shared" si="12"/>
        <v>2965.75</v>
      </c>
      <c r="E676" s="3" t="s">
        <v>1386</v>
      </c>
    </row>
    <row r="677" spans="1:5" ht="18" x14ac:dyDescent="0.3">
      <c r="A677" s="3"/>
      <c r="B677" s="3" t="s">
        <v>1141</v>
      </c>
      <c r="C677" s="3">
        <v>3357.75</v>
      </c>
      <c r="D677" s="3">
        <f t="shared" si="12"/>
        <v>3357.75</v>
      </c>
      <c r="E677" s="3" t="s">
        <v>1386</v>
      </c>
    </row>
    <row r="678" spans="1:5" ht="18" x14ac:dyDescent="0.3">
      <c r="A678" s="3"/>
      <c r="B678" s="3" t="s">
        <v>1142</v>
      </c>
      <c r="C678" s="3">
        <v>3103.5</v>
      </c>
      <c r="D678" s="3">
        <f t="shared" si="12"/>
        <v>3103.5</v>
      </c>
      <c r="E678" s="3" t="s">
        <v>1386</v>
      </c>
    </row>
    <row r="679" spans="1:5" ht="18" x14ac:dyDescent="0.3">
      <c r="A679" s="3"/>
      <c r="B679" s="3" t="s">
        <v>1143</v>
      </c>
      <c r="C679" s="3">
        <v>3495.25</v>
      </c>
      <c r="D679" s="3">
        <f t="shared" si="12"/>
        <v>3495.25</v>
      </c>
      <c r="E679" s="3" t="s">
        <v>1386</v>
      </c>
    </row>
    <row r="680" spans="1:5" ht="18" x14ac:dyDescent="0.3">
      <c r="A680" s="3"/>
      <c r="B680" s="3" t="s">
        <v>1144</v>
      </c>
      <c r="C680" s="3">
        <v>620</v>
      </c>
      <c r="D680" s="3">
        <f t="shared" si="12"/>
        <v>620</v>
      </c>
      <c r="E680" s="3" t="s">
        <v>1386</v>
      </c>
    </row>
    <row r="681" spans="1:5" ht="18" x14ac:dyDescent="0.3">
      <c r="A681" s="3"/>
      <c r="B681" s="3" t="s">
        <v>1145</v>
      </c>
      <c r="C681" s="3">
        <v>1239.75</v>
      </c>
      <c r="D681" s="3">
        <f t="shared" si="12"/>
        <v>1239.75</v>
      </c>
      <c r="E681" s="3" t="s">
        <v>1386</v>
      </c>
    </row>
    <row r="682" spans="1:5" ht="18" x14ac:dyDescent="0.3">
      <c r="A682" s="3"/>
      <c r="B682" s="3" t="s">
        <v>1146</v>
      </c>
      <c r="C682" s="3">
        <v>656.75</v>
      </c>
      <c r="D682" s="3">
        <f t="shared" si="12"/>
        <v>656.75</v>
      </c>
      <c r="E682" s="3" t="s">
        <v>1386</v>
      </c>
    </row>
    <row r="683" spans="1:5" ht="18" x14ac:dyDescent="0.3">
      <c r="A683" s="3"/>
      <c r="B683" s="3" t="s">
        <v>1147</v>
      </c>
      <c r="C683" s="3">
        <v>1419.25</v>
      </c>
      <c r="D683" s="3">
        <f t="shared" si="12"/>
        <v>1419.25</v>
      </c>
      <c r="E683" s="3" t="s">
        <v>1386</v>
      </c>
    </row>
    <row r="684" spans="1:5" ht="18" x14ac:dyDescent="0.3">
      <c r="A684" s="3"/>
      <c r="B684" s="3" t="s">
        <v>1545</v>
      </c>
      <c r="C684" s="3">
        <v>129.25</v>
      </c>
      <c r="D684" s="3">
        <f t="shared" si="12"/>
        <v>129.25</v>
      </c>
      <c r="E684" s="3" t="s">
        <v>1386</v>
      </c>
    </row>
    <row r="685" spans="1:5" ht="18" x14ac:dyDescent="0.3">
      <c r="A685" s="3"/>
      <c r="B685" s="3" t="s">
        <v>1546</v>
      </c>
      <c r="C685" s="3">
        <v>142.25</v>
      </c>
      <c r="D685" s="3">
        <f t="shared" si="12"/>
        <v>142.25</v>
      </c>
      <c r="E685" s="3" t="s">
        <v>1386</v>
      </c>
    </row>
    <row r="686" spans="1:5" ht="18" x14ac:dyDescent="0.3">
      <c r="A686" s="3"/>
      <c r="B686" s="3" t="s">
        <v>1148</v>
      </c>
      <c r="C686" s="3">
        <v>103.5</v>
      </c>
      <c r="D686" s="3">
        <f t="shared" si="12"/>
        <v>103.5</v>
      </c>
      <c r="E686" s="3" t="s">
        <v>1386</v>
      </c>
    </row>
    <row r="687" spans="1:5" ht="18" x14ac:dyDescent="0.3">
      <c r="A687" s="3"/>
      <c r="B687" s="3" t="s">
        <v>1149</v>
      </c>
      <c r="C687" s="3">
        <v>142.25</v>
      </c>
      <c r="D687" s="3">
        <f t="shared" si="12"/>
        <v>142.25</v>
      </c>
      <c r="E687" s="3" t="s">
        <v>1386</v>
      </c>
    </row>
    <row r="688" spans="1:5" ht="18" x14ac:dyDescent="0.3">
      <c r="A688" s="3"/>
      <c r="B688" s="3" t="s">
        <v>1150</v>
      </c>
      <c r="C688" s="3">
        <v>155</v>
      </c>
      <c r="D688" s="3">
        <f t="shared" si="12"/>
        <v>155</v>
      </c>
      <c r="E688" s="3" t="s">
        <v>1386</v>
      </c>
    </row>
    <row r="689" spans="1:5" ht="18" x14ac:dyDescent="0.3">
      <c r="A689" s="3"/>
      <c r="B689" s="3" t="s">
        <v>1151</v>
      </c>
      <c r="C689" s="3">
        <v>75</v>
      </c>
      <c r="D689" s="3">
        <f t="shared" si="12"/>
        <v>75</v>
      </c>
      <c r="E689" s="3" t="s">
        <v>1386</v>
      </c>
    </row>
    <row r="690" spans="1:5" ht="18" x14ac:dyDescent="0.3">
      <c r="A690" s="3"/>
      <c r="B690" s="3" t="s">
        <v>1152</v>
      </c>
      <c r="C690" s="3">
        <v>75</v>
      </c>
      <c r="D690" s="3">
        <f t="shared" si="12"/>
        <v>75</v>
      </c>
      <c r="E690" s="3" t="s">
        <v>1386</v>
      </c>
    </row>
    <row r="691" spans="1:5" ht="18" x14ac:dyDescent="0.3">
      <c r="A691" s="3"/>
      <c r="B691" s="3" t="s">
        <v>1153</v>
      </c>
      <c r="C691" s="3">
        <v>75</v>
      </c>
      <c r="D691" s="3">
        <f t="shared" si="12"/>
        <v>75</v>
      </c>
      <c r="E691" s="3" t="s">
        <v>1386</v>
      </c>
    </row>
    <row r="692" spans="1:5" ht="18" x14ac:dyDescent="0.3">
      <c r="A692" s="3"/>
      <c r="B692" s="3" t="s">
        <v>1154</v>
      </c>
      <c r="C692" s="3">
        <v>90</v>
      </c>
      <c r="D692" s="3">
        <f t="shared" si="12"/>
        <v>90</v>
      </c>
      <c r="E692" s="3" t="s">
        <v>1386</v>
      </c>
    </row>
    <row r="693" spans="1:5" ht="18" x14ac:dyDescent="0.3">
      <c r="A693" s="3"/>
      <c r="B693" s="3" t="s">
        <v>1155</v>
      </c>
      <c r="C693" s="3">
        <v>120</v>
      </c>
      <c r="D693" s="3">
        <f t="shared" si="12"/>
        <v>120</v>
      </c>
      <c r="E693" s="3" t="s">
        <v>1386</v>
      </c>
    </row>
    <row r="694" spans="1:5" ht="18" x14ac:dyDescent="0.3">
      <c r="A694" s="3"/>
      <c r="B694" s="3" t="s">
        <v>1156</v>
      </c>
      <c r="C694" s="3">
        <v>120</v>
      </c>
      <c r="D694" s="3">
        <f t="shared" si="12"/>
        <v>120</v>
      </c>
      <c r="E694" s="3" t="s">
        <v>1386</v>
      </c>
    </row>
    <row r="695" spans="1:5" ht="18" x14ac:dyDescent="0.3">
      <c r="A695" s="3"/>
      <c r="B695" s="3" t="s">
        <v>1390</v>
      </c>
      <c r="C695" s="3">
        <v>75</v>
      </c>
      <c r="D695" s="3">
        <f t="shared" si="12"/>
        <v>75</v>
      </c>
      <c r="E695" s="3" t="s">
        <v>1386</v>
      </c>
    </row>
    <row r="696" spans="1:5" ht="18" x14ac:dyDescent="0.3">
      <c r="A696" s="3"/>
      <c r="B696" s="3" t="s">
        <v>1391</v>
      </c>
      <c r="C696" s="3">
        <v>75</v>
      </c>
      <c r="D696" s="3">
        <f t="shared" si="12"/>
        <v>75</v>
      </c>
      <c r="E696" s="3" t="s">
        <v>1386</v>
      </c>
    </row>
    <row r="697" spans="1:5" ht="18" x14ac:dyDescent="0.3">
      <c r="A697" s="3"/>
      <c r="B697" s="3" t="s">
        <v>1392</v>
      </c>
      <c r="C697" s="3">
        <v>90</v>
      </c>
      <c r="D697" s="3">
        <f t="shared" si="12"/>
        <v>90</v>
      </c>
      <c r="E697" s="3" t="s">
        <v>1386</v>
      </c>
    </row>
    <row r="698" spans="1:5" ht="18" x14ac:dyDescent="0.3">
      <c r="A698" s="3"/>
      <c r="B698" s="3" t="s">
        <v>1396</v>
      </c>
      <c r="C698" s="3">
        <v>119</v>
      </c>
      <c r="D698" s="3">
        <f t="shared" si="12"/>
        <v>119</v>
      </c>
      <c r="E698" s="3" t="s">
        <v>1386</v>
      </c>
    </row>
    <row r="699" spans="1:5" ht="18" x14ac:dyDescent="0.3">
      <c r="A699" s="3"/>
      <c r="B699" s="3" t="s">
        <v>1397</v>
      </c>
      <c r="C699" s="3">
        <v>129.25</v>
      </c>
      <c r="D699" s="3">
        <f t="shared" si="12"/>
        <v>129.25</v>
      </c>
      <c r="E699" s="3" t="s">
        <v>1386</v>
      </c>
    </row>
    <row r="700" spans="1:5" ht="18" x14ac:dyDescent="0.3">
      <c r="A700" s="3"/>
      <c r="B700" s="3" t="s">
        <v>1157</v>
      </c>
      <c r="C700" s="3">
        <v>135.75</v>
      </c>
      <c r="D700" s="3">
        <f t="shared" si="12"/>
        <v>135.75</v>
      </c>
      <c r="E700" s="3" t="s">
        <v>1386</v>
      </c>
    </row>
    <row r="701" spans="1:5" ht="18" x14ac:dyDescent="0.3">
      <c r="A701" s="3"/>
      <c r="B701" s="3" t="s">
        <v>1158</v>
      </c>
      <c r="C701" s="3">
        <v>10.75</v>
      </c>
      <c r="D701" s="3">
        <f t="shared" si="12"/>
        <v>10.75</v>
      </c>
      <c r="E701" s="3" t="s">
        <v>1386</v>
      </c>
    </row>
    <row r="702" spans="1:5" ht="18" x14ac:dyDescent="0.3">
      <c r="A702" s="3"/>
      <c r="B702" s="3" t="s">
        <v>1159</v>
      </c>
      <c r="C702" s="3">
        <v>15.5</v>
      </c>
      <c r="D702" s="3">
        <f t="shared" si="12"/>
        <v>15.5</v>
      </c>
      <c r="E702" s="3" t="s">
        <v>1386</v>
      </c>
    </row>
    <row r="703" spans="1:5" ht="18" x14ac:dyDescent="0.3">
      <c r="A703" s="3"/>
      <c r="B703" s="3" t="s">
        <v>1160</v>
      </c>
      <c r="C703" s="3">
        <v>14.5</v>
      </c>
      <c r="D703" s="3">
        <f t="shared" si="12"/>
        <v>14.5</v>
      </c>
      <c r="E703" s="3" t="s">
        <v>1386</v>
      </c>
    </row>
    <row r="704" spans="1:5" ht="18" x14ac:dyDescent="0.3">
      <c r="A704" s="3"/>
      <c r="B704" s="3" t="s">
        <v>1161</v>
      </c>
      <c r="C704" s="3">
        <v>25.75</v>
      </c>
      <c r="D704" s="3">
        <f t="shared" si="12"/>
        <v>25.75</v>
      </c>
      <c r="E704" s="3" t="s">
        <v>1386</v>
      </c>
    </row>
    <row r="705" spans="1:5" ht="18" x14ac:dyDescent="0.3">
      <c r="A705" s="3"/>
      <c r="B705" s="3" t="s">
        <v>1162</v>
      </c>
      <c r="C705" s="3">
        <v>32.5</v>
      </c>
      <c r="D705" s="3">
        <f t="shared" si="12"/>
        <v>32.5</v>
      </c>
      <c r="E705" s="3" t="s">
        <v>1386</v>
      </c>
    </row>
    <row r="706" spans="1:5" ht="18" x14ac:dyDescent="0.3">
      <c r="A706" s="3"/>
      <c r="B706" s="3" t="s">
        <v>1163</v>
      </c>
      <c r="C706" s="3">
        <v>33.5</v>
      </c>
      <c r="D706" s="3">
        <f t="shared" ref="D706:D769" si="13">C706</f>
        <v>33.5</v>
      </c>
      <c r="E706" s="3" t="s">
        <v>1386</v>
      </c>
    </row>
    <row r="707" spans="1:5" ht="18" x14ac:dyDescent="0.3">
      <c r="A707" s="3"/>
      <c r="B707" s="3" t="s">
        <v>1164</v>
      </c>
      <c r="C707" s="3">
        <v>70.25</v>
      </c>
      <c r="D707" s="3">
        <f t="shared" si="13"/>
        <v>70.25</v>
      </c>
      <c r="E707" s="3" t="s">
        <v>1386</v>
      </c>
    </row>
    <row r="708" spans="1:5" ht="18" x14ac:dyDescent="0.3">
      <c r="A708" s="3"/>
      <c r="B708" s="3" t="s">
        <v>1165</v>
      </c>
      <c r="C708" s="3">
        <v>57.5</v>
      </c>
      <c r="D708" s="3">
        <f t="shared" si="13"/>
        <v>57.5</v>
      </c>
      <c r="E708" s="3" t="s">
        <v>1386</v>
      </c>
    </row>
    <row r="709" spans="1:5" ht="18" x14ac:dyDescent="0.3">
      <c r="A709" s="3"/>
      <c r="B709" s="3" t="s">
        <v>1166</v>
      </c>
      <c r="C709" s="3">
        <v>90</v>
      </c>
      <c r="D709" s="3">
        <f t="shared" si="13"/>
        <v>90</v>
      </c>
      <c r="E709" s="3" t="s">
        <v>1386</v>
      </c>
    </row>
    <row r="710" spans="1:5" ht="18" x14ac:dyDescent="0.3">
      <c r="A710" s="3"/>
      <c r="B710" s="3" t="s">
        <v>1167</v>
      </c>
      <c r="C710" s="3">
        <v>227</v>
      </c>
      <c r="D710" s="3">
        <f t="shared" si="13"/>
        <v>227</v>
      </c>
      <c r="E710" s="3" t="s">
        <v>1386</v>
      </c>
    </row>
    <row r="711" spans="1:5" ht="18" x14ac:dyDescent="0.3">
      <c r="A711" s="3"/>
      <c r="B711" s="3" t="s">
        <v>1168</v>
      </c>
      <c r="C711" s="3">
        <v>80</v>
      </c>
      <c r="D711" s="3">
        <f t="shared" si="13"/>
        <v>80</v>
      </c>
      <c r="E711" s="3" t="s">
        <v>1386</v>
      </c>
    </row>
    <row r="712" spans="1:5" ht="18" x14ac:dyDescent="0.3">
      <c r="A712" s="3"/>
      <c r="B712" s="3" t="s">
        <v>1169</v>
      </c>
      <c r="C712" s="3">
        <v>84.75</v>
      </c>
      <c r="D712" s="3">
        <f t="shared" si="13"/>
        <v>84.75</v>
      </c>
      <c r="E712" s="3" t="s">
        <v>1386</v>
      </c>
    </row>
    <row r="713" spans="1:5" ht="18" x14ac:dyDescent="0.3">
      <c r="A713" s="3"/>
      <c r="B713" s="3" t="s">
        <v>1170</v>
      </c>
      <c r="C713" s="3">
        <v>89.75</v>
      </c>
      <c r="D713" s="3">
        <f t="shared" si="13"/>
        <v>89.75</v>
      </c>
      <c r="E713" s="3" t="s">
        <v>1386</v>
      </c>
    </row>
    <row r="714" spans="1:5" ht="18" x14ac:dyDescent="0.3">
      <c r="A714" s="3"/>
      <c r="B714" s="3" t="s">
        <v>1171</v>
      </c>
      <c r="C714" s="3">
        <v>97</v>
      </c>
      <c r="D714" s="3">
        <f t="shared" si="13"/>
        <v>97</v>
      </c>
      <c r="E714" s="3" t="s">
        <v>1386</v>
      </c>
    </row>
    <row r="715" spans="1:5" ht="18" x14ac:dyDescent="0.3">
      <c r="A715" s="3"/>
      <c r="B715" s="3" t="s">
        <v>1172</v>
      </c>
      <c r="C715" s="3">
        <v>97</v>
      </c>
      <c r="D715" s="3">
        <f t="shared" si="13"/>
        <v>97</v>
      </c>
      <c r="E715" s="3" t="s">
        <v>1386</v>
      </c>
    </row>
    <row r="716" spans="1:5" ht="18" x14ac:dyDescent="0.3">
      <c r="A716" s="3"/>
      <c r="B716" s="3" t="s">
        <v>1173</v>
      </c>
      <c r="C716" s="3">
        <v>98.25</v>
      </c>
      <c r="D716" s="3">
        <f t="shared" si="13"/>
        <v>98.25</v>
      </c>
      <c r="E716" s="3" t="s">
        <v>1386</v>
      </c>
    </row>
    <row r="717" spans="1:5" ht="18" x14ac:dyDescent="0.3">
      <c r="A717" s="3"/>
      <c r="B717" s="3" t="s">
        <v>1174</v>
      </c>
      <c r="C717" s="3">
        <v>102.5</v>
      </c>
      <c r="D717" s="3">
        <f t="shared" si="13"/>
        <v>102.5</v>
      </c>
      <c r="E717" s="3" t="s">
        <v>1386</v>
      </c>
    </row>
    <row r="718" spans="1:5" ht="18" x14ac:dyDescent="0.3">
      <c r="A718" s="3"/>
      <c r="B718" s="3" t="s">
        <v>1175</v>
      </c>
      <c r="C718" s="3">
        <v>100.5</v>
      </c>
      <c r="D718" s="3">
        <f t="shared" si="13"/>
        <v>100.5</v>
      </c>
      <c r="E718" s="3" t="s">
        <v>1386</v>
      </c>
    </row>
    <row r="719" spans="1:5" ht="18" x14ac:dyDescent="0.3">
      <c r="A719" s="3"/>
      <c r="B719" s="3" t="s">
        <v>1176</v>
      </c>
      <c r="C719" s="3">
        <v>160.75</v>
      </c>
      <c r="D719" s="3">
        <f t="shared" si="13"/>
        <v>160.75</v>
      </c>
      <c r="E719" s="3" t="s">
        <v>1386</v>
      </c>
    </row>
    <row r="720" spans="1:5" ht="18" x14ac:dyDescent="0.3">
      <c r="A720" s="3"/>
      <c r="B720" s="3" t="s">
        <v>1177</v>
      </c>
      <c r="C720" s="3">
        <v>78.5</v>
      </c>
      <c r="D720" s="3">
        <f t="shared" si="13"/>
        <v>78.5</v>
      </c>
      <c r="E720" s="3" t="s">
        <v>1386</v>
      </c>
    </row>
    <row r="721" spans="1:5" ht="18" x14ac:dyDescent="0.3">
      <c r="A721" s="3"/>
      <c r="B721" s="3" t="s">
        <v>1178</v>
      </c>
      <c r="C721" s="3">
        <v>78.5</v>
      </c>
      <c r="D721" s="3">
        <f t="shared" si="13"/>
        <v>78.5</v>
      </c>
      <c r="E721" s="3" t="s">
        <v>1386</v>
      </c>
    </row>
    <row r="722" spans="1:5" ht="18" x14ac:dyDescent="0.3">
      <c r="A722" s="3"/>
      <c r="B722" s="3" t="s">
        <v>1179</v>
      </c>
      <c r="C722" s="3">
        <v>82.75</v>
      </c>
      <c r="D722" s="3">
        <f t="shared" si="13"/>
        <v>82.75</v>
      </c>
      <c r="E722" s="3" t="s">
        <v>1386</v>
      </c>
    </row>
    <row r="723" spans="1:5" ht="18" x14ac:dyDescent="0.3">
      <c r="A723" s="3"/>
      <c r="B723" s="3" t="s">
        <v>1180</v>
      </c>
      <c r="C723" s="3">
        <v>207.5</v>
      </c>
      <c r="D723" s="3">
        <f t="shared" si="13"/>
        <v>207.5</v>
      </c>
      <c r="E723" s="3" t="s">
        <v>1386</v>
      </c>
    </row>
    <row r="724" spans="1:5" ht="18" x14ac:dyDescent="0.3">
      <c r="A724" s="3"/>
      <c r="B724" s="3" t="s">
        <v>1181</v>
      </c>
      <c r="C724" s="3">
        <v>213</v>
      </c>
      <c r="D724" s="3">
        <f t="shared" si="13"/>
        <v>213</v>
      </c>
      <c r="E724" s="3" t="s">
        <v>1386</v>
      </c>
    </row>
    <row r="725" spans="1:5" ht="18" x14ac:dyDescent="0.3">
      <c r="A725" s="3"/>
      <c r="B725" s="3" t="s">
        <v>1182</v>
      </c>
      <c r="C725" s="3">
        <v>304.25</v>
      </c>
      <c r="D725" s="3">
        <f t="shared" si="13"/>
        <v>304.25</v>
      </c>
      <c r="E725" s="3" t="s">
        <v>1386</v>
      </c>
    </row>
    <row r="726" spans="1:5" ht="18" x14ac:dyDescent="0.3">
      <c r="A726" s="3"/>
      <c r="B726" s="3" t="s">
        <v>1183</v>
      </c>
      <c r="C726" s="3">
        <v>332.5</v>
      </c>
      <c r="D726" s="3">
        <f t="shared" si="13"/>
        <v>332.5</v>
      </c>
      <c r="E726" s="3" t="s">
        <v>1386</v>
      </c>
    </row>
    <row r="727" spans="1:5" ht="18" x14ac:dyDescent="0.3">
      <c r="A727" s="3"/>
      <c r="B727" s="3" t="s">
        <v>1184</v>
      </c>
      <c r="C727" s="3">
        <v>393.5</v>
      </c>
      <c r="D727" s="3">
        <f t="shared" si="13"/>
        <v>393.5</v>
      </c>
      <c r="E727" s="3" t="s">
        <v>1386</v>
      </c>
    </row>
    <row r="728" spans="1:5" ht="18" x14ac:dyDescent="0.3">
      <c r="A728" s="3"/>
      <c r="B728" s="3" t="s">
        <v>1185</v>
      </c>
      <c r="C728" s="3">
        <v>673.25</v>
      </c>
      <c r="D728" s="3">
        <f t="shared" si="13"/>
        <v>673.25</v>
      </c>
      <c r="E728" s="3" t="s">
        <v>1386</v>
      </c>
    </row>
    <row r="729" spans="1:5" ht="18" x14ac:dyDescent="0.3">
      <c r="A729" s="3"/>
      <c r="B729" s="3" t="s">
        <v>1186</v>
      </c>
      <c r="C729" s="3">
        <v>272</v>
      </c>
      <c r="D729" s="3">
        <f t="shared" si="13"/>
        <v>272</v>
      </c>
      <c r="E729" s="3" t="s">
        <v>1386</v>
      </c>
    </row>
    <row r="730" spans="1:5" ht="18" x14ac:dyDescent="0.3">
      <c r="A730" s="3"/>
      <c r="B730" s="3" t="s">
        <v>1187</v>
      </c>
      <c r="C730" s="3">
        <v>357.75</v>
      </c>
      <c r="D730" s="3">
        <f t="shared" si="13"/>
        <v>357.75</v>
      </c>
      <c r="E730" s="3" t="s">
        <v>1386</v>
      </c>
    </row>
    <row r="731" spans="1:5" ht="18" x14ac:dyDescent="0.3">
      <c r="A731" s="3"/>
      <c r="B731" s="3" t="s">
        <v>1188</v>
      </c>
      <c r="C731" s="3">
        <v>357.75</v>
      </c>
      <c r="D731" s="3">
        <f t="shared" si="13"/>
        <v>357.75</v>
      </c>
      <c r="E731" s="3" t="s">
        <v>1386</v>
      </c>
    </row>
    <row r="732" spans="1:5" ht="18" x14ac:dyDescent="0.3">
      <c r="A732" s="3"/>
      <c r="B732" s="3" t="s">
        <v>1189</v>
      </c>
      <c r="C732" s="3">
        <v>422.75</v>
      </c>
      <c r="D732" s="3">
        <f t="shared" si="13"/>
        <v>422.75</v>
      </c>
      <c r="E732" s="3" t="s">
        <v>1386</v>
      </c>
    </row>
    <row r="733" spans="1:5" ht="18" x14ac:dyDescent="0.3">
      <c r="A733" s="3"/>
      <c r="B733" s="3" t="s">
        <v>1190</v>
      </c>
      <c r="C733" s="3">
        <v>432.25</v>
      </c>
      <c r="D733" s="3">
        <f t="shared" si="13"/>
        <v>432.25</v>
      </c>
      <c r="E733" s="3" t="s">
        <v>1386</v>
      </c>
    </row>
    <row r="734" spans="1:5" ht="18" x14ac:dyDescent="0.3">
      <c r="A734" s="3"/>
      <c r="B734" s="3" t="s">
        <v>1191</v>
      </c>
      <c r="C734" s="3">
        <v>177</v>
      </c>
      <c r="D734" s="3">
        <f t="shared" si="13"/>
        <v>177</v>
      </c>
      <c r="E734" s="3" t="s">
        <v>1386</v>
      </c>
    </row>
    <row r="735" spans="1:5" ht="18" x14ac:dyDescent="0.3">
      <c r="A735" s="3"/>
      <c r="B735" s="3" t="s">
        <v>1192</v>
      </c>
      <c r="C735" s="3">
        <v>237.75</v>
      </c>
      <c r="D735" s="3">
        <f t="shared" si="13"/>
        <v>237.75</v>
      </c>
      <c r="E735" s="3" t="s">
        <v>1386</v>
      </c>
    </row>
    <row r="736" spans="1:5" ht="18" x14ac:dyDescent="0.3">
      <c r="A736" s="3"/>
      <c r="B736" s="3" t="s">
        <v>1193</v>
      </c>
      <c r="C736" s="3">
        <v>237.75</v>
      </c>
      <c r="D736" s="3">
        <f t="shared" si="13"/>
        <v>237.75</v>
      </c>
      <c r="E736" s="3" t="s">
        <v>1386</v>
      </c>
    </row>
    <row r="737" spans="1:5" ht="18" x14ac:dyDescent="0.3">
      <c r="A737" s="3"/>
      <c r="B737" s="3" t="s">
        <v>1194</v>
      </c>
      <c r="C737" s="3">
        <v>244.5</v>
      </c>
      <c r="D737" s="3">
        <f t="shared" si="13"/>
        <v>244.5</v>
      </c>
      <c r="E737" s="3" t="s">
        <v>1386</v>
      </c>
    </row>
    <row r="738" spans="1:5" ht="18" x14ac:dyDescent="0.3">
      <c r="A738" s="3"/>
      <c r="B738" s="3" t="s">
        <v>1195</v>
      </c>
      <c r="C738" s="3">
        <v>354.5</v>
      </c>
      <c r="D738" s="3">
        <f t="shared" si="13"/>
        <v>354.5</v>
      </c>
      <c r="E738" s="3" t="s">
        <v>1386</v>
      </c>
    </row>
    <row r="739" spans="1:5" ht="18" x14ac:dyDescent="0.3">
      <c r="A739" s="3"/>
      <c r="B739" s="3" t="s">
        <v>1196</v>
      </c>
      <c r="C739" s="3">
        <v>250.75</v>
      </c>
      <c r="D739" s="3">
        <f t="shared" si="13"/>
        <v>250.75</v>
      </c>
      <c r="E739" s="3" t="s">
        <v>1386</v>
      </c>
    </row>
    <row r="740" spans="1:5" ht="18" x14ac:dyDescent="0.3">
      <c r="A740" s="3"/>
      <c r="B740" s="3" t="s">
        <v>1197</v>
      </c>
      <c r="C740" s="3">
        <v>64.25</v>
      </c>
      <c r="D740" s="3">
        <f t="shared" si="13"/>
        <v>64.25</v>
      </c>
      <c r="E740" s="3" t="s">
        <v>1386</v>
      </c>
    </row>
    <row r="741" spans="1:5" ht="18" x14ac:dyDescent="0.3">
      <c r="A741" s="3"/>
      <c r="B741" s="3" t="s">
        <v>1198</v>
      </c>
      <c r="C741" s="3">
        <v>70.25</v>
      </c>
      <c r="D741" s="3">
        <f t="shared" si="13"/>
        <v>70.25</v>
      </c>
      <c r="E741" s="3" t="s">
        <v>1386</v>
      </c>
    </row>
    <row r="742" spans="1:5" ht="18" x14ac:dyDescent="0.3">
      <c r="A742" s="3"/>
      <c r="B742" s="3" t="s">
        <v>1199</v>
      </c>
      <c r="C742" s="3">
        <v>114.5</v>
      </c>
      <c r="D742" s="3">
        <f t="shared" si="13"/>
        <v>114.5</v>
      </c>
      <c r="E742" s="3" t="s">
        <v>1386</v>
      </c>
    </row>
    <row r="743" spans="1:5" ht="18" x14ac:dyDescent="0.3">
      <c r="A743" s="3"/>
      <c r="B743" s="3" t="s">
        <v>1200</v>
      </c>
      <c r="C743" s="3">
        <v>119.5</v>
      </c>
      <c r="D743" s="3">
        <f t="shared" si="13"/>
        <v>119.5</v>
      </c>
      <c r="E743" s="3" t="s">
        <v>1386</v>
      </c>
    </row>
    <row r="744" spans="1:5" ht="18" x14ac:dyDescent="0.3">
      <c r="A744" s="3"/>
      <c r="B744" s="3" t="s">
        <v>1201</v>
      </c>
      <c r="C744" s="3">
        <v>135.5</v>
      </c>
      <c r="D744" s="3">
        <f t="shared" si="13"/>
        <v>135.5</v>
      </c>
      <c r="E744" s="3" t="s">
        <v>1386</v>
      </c>
    </row>
    <row r="745" spans="1:5" ht="18" x14ac:dyDescent="0.3">
      <c r="A745" s="3"/>
      <c r="B745" s="3" t="s">
        <v>1202</v>
      </c>
      <c r="C745" s="3">
        <v>214.5</v>
      </c>
      <c r="D745" s="3">
        <f t="shared" si="13"/>
        <v>214.5</v>
      </c>
      <c r="E745" s="3" t="s">
        <v>1386</v>
      </c>
    </row>
    <row r="746" spans="1:5" ht="18" x14ac:dyDescent="0.3">
      <c r="A746" s="3"/>
      <c r="B746" s="3" t="s">
        <v>1203</v>
      </c>
      <c r="C746" s="3">
        <v>20</v>
      </c>
      <c r="D746" s="3">
        <f t="shared" si="13"/>
        <v>20</v>
      </c>
      <c r="E746" s="3" t="s">
        <v>1386</v>
      </c>
    </row>
    <row r="747" spans="1:5" ht="18" x14ac:dyDescent="0.3">
      <c r="A747" s="3"/>
      <c r="B747" s="3" t="s">
        <v>1204</v>
      </c>
      <c r="C747" s="3">
        <v>45</v>
      </c>
      <c r="D747" s="3">
        <f t="shared" si="13"/>
        <v>45</v>
      </c>
      <c r="E747" s="3" t="s">
        <v>1386</v>
      </c>
    </row>
    <row r="748" spans="1:5" ht="18" x14ac:dyDescent="0.3">
      <c r="A748" s="3"/>
      <c r="B748" s="3" t="s">
        <v>1205</v>
      </c>
      <c r="C748" s="3">
        <v>45</v>
      </c>
      <c r="D748" s="3">
        <f t="shared" si="13"/>
        <v>45</v>
      </c>
      <c r="E748" s="3" t="s">
        <v>1386</v>
      </c>
    </row>
    <row r="749" spans="1:5" ht="18" x14ac:dyDescent="0.3">
      <c r="A749" s="3"/>
      <c r="B749" s="3" t="s">
        <v>1206</v>
      </c>
      <c r="C749" s="3">
        <v>71.25</v>
      </c>
      <c r="D749" s="3">
        <f t="shared" si="13"/>
        <v>71.25</v>
      </c>
      <c r="E749" s="3" t="s">
        <v>1386</v>
      </c>
    </row>
    <row r="750" spans="1:5" ht="18" x14ac:dyDescent="0.3">
      <c r="A750" s="3"/>
      <c r="B750" s="3" t="s">
        <v>1207</v>
      </c>
      <c r="C750" s="3">
        <v>160.75</v>
      </c>
      <c r="D750" s="3">
        <f t="shared" si="13"/>
        <v>160.75</v>
      </c>
      <c r="E750" s="3" t="s">
        <v>1386</v>
      </c>
    </row>
    <row r="751" spans="1:5" ht="18" x14ac:dyDescent="0.3">
      <c r="A751" s="3"/>
      <c r="B751" s="3" t="s">
        <v>1208</v>
      </c>
      <c r="C751" s="3">
        <v>12</v>
      </c>
      <c r="D751" s="3">
        <f t="shared" si="13"/>
        <v>12</v>
      </c>
      <c r="E751" s="3" t="s">
        <v>1386</v>
      </c>
    </row>
    <row r="752" spans="1:5" ht="18" x14ac:dyDescent="0.3">
      <c r="A752" s="3"/>
      <c r="B752" s="3" t="s">
        <v>1209</v>
      </c>
      <c r="C752" s="3">
        <v>15.25</v>
      </c>
      <c r="D752" s="3">
        <f t="shared" si="13"/>
        <v>15.25</v>
      </c>
      <c r="E752" s="3" t="s">
        <v>1386</v>
      </c>
    </row>
    <row r="753" spans="1:5" ht="18" x14ac:dyDescent="0.3">
      <c r="A753" s="3"/>
      <c r="B753" s="3" t="s">
        <v>1210</v>
      </c>
      <c r="C753" s="3">
        <v>15.25</v>
      </c>
      <c r="D753" s="3">
        <f t="shared" si="13"/>
        <v>15.25</v>
      </c>
      <c r="E753" s="3" t="s">
        <v>1386</v>
      </c>
    </row>
    <row r="754" spans="1:5" ht="18" x14ac:dyDescent="0.3">
      <c r="A754" s="3"/>
      <c r="B754" s="3" t="s">
        <v>1211</v>
      </c>
      <c r="C754" s="3">
        <v>46</v>
      </c>
      <c r="D754" s="3">
        <f t="shared" si="13"/>
        <v>46</v>
      </c>
      <c r="E754" s="3" t="s">
        <v>1386</v>
      </c>
    </row>
    <row r="755" spans="1:5" ht="18" x14ac:dyDescent="0.3">
      <c r="A755" s="3"/>
      <c r="B755" s="3" t="s">
        <v>1212</v>
      </c>
      <c r="C755" s="3">
        <v>55.25</v>
      </c>
      <c r="D755" s="3">
        <f t="shared" si="13"/>
        <v>55.25</v>
      </c>
      <c r="E755" s="3" t="s">
        <v>1386</v>
      </c>
    </row>
    <row r="756" spans="1:5" ht="18" x14ac:dyDescent="0.3">
      <c r="A756" s="3"/>
      <c r="B756" s="3" t="s">
        <v>1213</v>
      </c>
      <c r="C756" s="3">
        <v>68.25</v>
      </c>
      <c r="D756" s="3">
        <f t="shared" si="13"/>
        <v>68.25</v>
      </c>
      <c r="E756" s="3" t="s">
        <v>1386</v>
      </c>
    </row>
    <row r="757" spans="1:5" ht="18" x14ac:dyDescent="0.3">
      <c r="A757" s="3"/>
      <c r="B757" s="3" t="s">
        <v>1214</v>
      </c>
      <c r="C757" s="3">
        <v>106.75</v>
      </c>
      <c r="D757" s="3">
        <f t="shared" si="13"/>
        <v>106.75</v>
      </c>
      <c r="E757" s="3" t="s">
        <v>1386</v>
      </c>
    </row>
    <row r="758" spans="1:5" ht="18" x14ac:dyDescent="0.3">
      <c r="A758" s="3"/>
      <c r="B758" s="3" t="s">
        <v>1215</v>
      </c>
      <c r="C758" s="3">
        <v>121</v>
      </c>
      <c r="D758" s="3">
        <f t="shared" si="13"/>
        <v>121</v>
      </c>
      <c r="E758" s="3" t="s">
        <v>1386</v>
      </c>
    </row>
    <row r="759" spans="1:5" ht="18" x14ac:dyDescent="0.3">
      <c r="A759" s="3"/>
      <c r="B759" s="3" t="s">
        <v>1216</v>
      </c>
      <c r="C759" s="3">
        <v>170</v>
      </c>
      <c r="D759" s="3">
        <f t="shared" si="13"/>
        <v>170</v>
      </c>
      <c r="E759" s="3" t="s">
        <v>1386</v>
      </c>
    </row>
    <row r="760" spans="1:5" ht="18" x14ac:dyDescent="0.3">
      <c r="A760" s="3"/>
      <c r="B760" s="3" t="s">
        <v>1217</v>
      </c>
      <c r="C760" s="3">
        <v>1332.25</v>
      </c>
      <c r="D760" s="3">
        <f t="shared" si="13"/>
        <v>1332.25</v>
      </c>
      <c r="E760" s="3" t="s">
        <v>1386</v>
      </c>
    </row>
    <row r="761" spans="1:5" ht="18" x14ac:dyDescent="0.3">
      <c r="A761" s="3"/>
      <c r="B761" s="3" t="s">
        <v>1218</v>
      </c>
      <c r="C761" s="3">
        <v>1332.25</v>
      </c>
      <c r="D761" s="3">
        <f t="shared" si="13"/>
        <v>1332.25</v>
      </c>
      <c r="E761" s="3" t="s">
        <v>1386</v>
      </c>
    </row>
    <row r="762" spans="1:5" ht="18" x14ac:dyDescent="0.3">
      <c r="A762" s="3"/>
      <c r="B762" s="3" t="s">
        <v>1219</v>
      </c>
      <c r="C762" s="3">
        <v>871</v>
      </c>
      <c r="D762" s="3">
        <f t="shared" si="13"/>
        <v>871</v>
      </c>
      <c r="E762" s="3" t="s">
        <v>1386</v>
      </c>
    </row>
    <row r="763" spans="1:5" ht="18" x14ac:dyDescent="0.3">
      <c r="A763" s="3"/>
      <c r="B763" s="3" t="s">
        <v>1220</v>
      </c>
      <c r="C763" s="3">
        <v>899.25</v>
      </c>
      <c r="D763" s="3">
        <f t="shared" si="13"/>
        <v>899.25</v>
      </c>
      <c r="E763" s="3" t="s">
        <v>1386</v>
      </c>
    </row>
    <row r="764" spans="1:5" ht="18" x14ac:dyDescent="0.3">
      <c r="A764" s="3"/>
      <c r="B764" s="3" t="s">
        <v>1221</v>
      </c>
      <c r="C764" s="3">
        <v>205.25</v>
      </c>
      <c r="D764" s="3">
        <f t="shared" si="13"/>
        <v>205.25</v>
      </c>
      <c r="E764" s="3" t="s">
        <v>1386</v>
      </c>
    </row>
    <row r="765" spans="1:5" ht="18" x14ac:dyDescent="0.3">
      <c r="A765" s="3"/>
      <c r="B765" s="3" t="s">
        <v>1222</v>
      </c>
      <c r="C765" s="3">
        <v>41.75</v>
      </c>
      <c r="D765" s="3">
        <f t="shared" si="13"/>
        <v>41.75</v>
      </c>
      <c r="E765" s="3" t="s">
        <v>1386</v>
      </c>
    </row>
    <row r="766" spans="1:5" ht="18" x14ac:dyDescent="0.3">
      <c r="A766" s="3"/>
      <c r="B766" s="3" t="s">
        <v>1223</v>
      </c>
      <c r="C766" s="3">
        <v>59.25</v>
      </c>
      <c r="D766" s="3">
        <f t="shared" si="13"/>
        <v>59.25</v>
      </c>
      <c r="E766" s="3" t="s">
        <v>1386</v>
      </c>
    </row>
    <row r="767" spans="1:5" ht="18" x14ac:dyDescent="0.3">
      <c r="A767" s="3"/>
      <c r="B767" s="3" t="s">
        <v>1224</v>
      </c>
      <c r="C767" s="3">
        <v>71.5</v>
      </c>
      <c r="D767" s="3">
        <f t="shared" si="13"/>
        <v>71.5</v>
      </c>
      <c r="E767" s="3" t="s">
        <v>1386</v>
      </c>
    </row>
    <row r="768" spans="1:5" ht="18" x14ac:dyDescent="0.3">
      <c r="A768" s="3"/>
      <c r="B768" s="3" t="s">
        <v>1225</v>
      </c>
      <c r="C768" s="3">
        <v>75</v>
      </c>
      <c r="D768" s="3">
        <f t="shared" si="13"/>
        <v>75</v>
      </c>
      <c r="E768" s="3" t="s">
        <v>1386</v>
      </c>
    </row>
    <row r="769" spans="1:5" ht="18" x14ac:dyDescent="0.3">
      <c r="A769" s="3"/>
      <c r="B769" s="3" t="s">
        <v>1226</v>
      </c>
      <c r="C769" s="3">
        <v>37</v>
      </c>
      <c r="D769" s="3">
        <f t="shared" si="13"/>
        <v>37</v>
      </c>
      <c r="E769" s="3" t="s">
        <v>1386</v>
      </c>
    </row>
    <row r="770" spans="1:5" ht="18" x14ac:dyDescent="0.3">
      <c r="A770" s="3"/>
      <c r="B770" s="3" t="s">
        <v>1227</v>
      </c>
      <c r="C770" s="3">
        <v>28</v>
      </c>
      <c r="D770" s="3">
        <f t="shared" ref="D770:D833" si="14">C770</f>
        <v>28</v>
      </c>
      <c r="E770" s="3" t="s">
        <v>1386</v>
      </c>
    </row>
    <row r="771" spans="1:5" ht="18" x14ac:dyDescent="0.3">
      <c r="A771" s="3"/>
      <c r="B771" s="3" t="s">
        <v>1228</v>
      </c>
      <c r="C771" s="3">
        <v>23.75</v>
      </c>
      <c r="D771" s="3">
        <f t="shared" si="14"/>
        <v>23.75</v>
      </c>
      <c r="E771" s="3" t="s">
        <v>1386</v>
      </c>
    </row>
    <row r="772" spans="1:5" ht="18" x14ac:dyDescent="0.3">
      <c r="A772" s="3"/>
      <c r="B772" s="3" t="s">
        <v>1229</v>
      </c>
      <c r="C772" s="3">
        <v>153.5</v>
      </c>
      <c r="D772" s="3">
        <f t="shared" si="14"/>
        <v>153.5</v>
      </c>
      <c r="E772" s="3" t="s">
        <v>1386</v>
      </c>
    </row>
    <row r="773" spans="1:5" ht="18" x14ac:dyDescent="0.3">
      <c r="A773" s="3"/>
      <c r="B773" s="3" t="s">
        <v>1230</v>
      </c>
      <c r="C773" s="3">
        <v>189.75</v>
      </c>
      <c r="D773" s="3">
        <f t="shared" si="14"/>
        <v>189.75</v>
      </c>
      <c r="E773" s="3" t="s">
        <v>1386</v>
      </c>
    </row>
    <row r="774" spans="1:5" ht="18" x14ac:dyDescent="0.3">
      <c r="A774" s="3"/>
      <c r="B774" s="3" t="s">
        <v>1231</v>
      </c>
      <c r="C774" s="3">
        <v>239.75</v>
      </c>
      <c r="D774" s="3">
        <f t="shared" si="14"/>
        <v>239.75</v>
      </c>
      <c r="E774" s="3" t="s">
        <v>1386</v>
      </c>
    </row>
    <row r="775" spans="1:5" ht="18" x14ac:dyDescent="0.3">
      <c r="A775" s="3"/>
      <c r="B775" s="3" t="s">
        <v>1232</v>
      </c>
      <c r="C775" s="3">
        <v>260.25</v>
      </c>
      <c r="D775" s="3">
        <f t="shared" si="14"/>
        <v>260.25</v>
      </c>
      <c r="E775" s="3" t="s">
        <v>1386</v>
      </c>
    </row>
    <row r="776" spans="1:5" ht="18" x14ac:dyDescent="0.3">
      <c r="A776" s="3"/>
      <c r="B776" s="3" t="s">
        <v>1233</v>
      </c>
      <c r="C776" s="3">
        <v>212.75</v>
      </c>
      <c r="D776" s="3">
        <f t="shared" si="14"/>
        <v>212.75</v>
      </c>
      <c r="E776" s="3" t="s">
        <v>1386</v>
      </c>
    </row>
    <row r="777" spans="1:5" ht="18" x14ac:dyDescent="0.3">
      <c r="A777" s="3"/>
      <c r="B777" s="3" t="s">
        <v>1234</v>
      </c>
      <c r="C777" s="3">
        <v>295.25</v>
      </c>
      <c r="D777" s="3">
        <f t="shared" si="14"/>
        <v>295.25</v>
      </c>
      <c r="E777" s="3" t="s">
        <v>1386</v>
      </c>
    </row>
    <row r="778" spans="1:5" ht="18" x14ac:dyDescent="0.3">
      <c r="A778" s="3"/>
      <c r="B778" s="3" t="s">
        <v>1235</v>
      </c>
      <c r="C778" s="3">
        <v>41.5</v>
      </c>
      <c r="D778" s="3">
        <f t="shared" si="14"/>
        <v>41.5</v>
      </c>
      <c r="E778" s="3" t="s">
        <v>1386</v>
      </c>
    </row>
    <row r="779" spans="1:5" ht="18" x14ac:dyDescent="0.3">
      <c r="A779" s="3"/>
      <c r="B779" s="3" t="s">
        <v>1236</v>
      </c>
      <c r="C779" s="3">
        <v>53</v>
      </c>
      <c r="D779" s="3">
        <f t="shared" si="14"/>
        <v>53</v>
      </c>
      <c r="E779" s="3" t="s">
        <v>1386</v>
      </c>
    </row>
    <row r="780" spans="1:5" ht="18" x14ac:dyDescent="0.3">
      <c r="A780" s="3"/>
      <c r="B780" s="3" t="s">
        <v>1237</v>
      </c>
      <c r="C780" s="3">
        <v>71</v>
      </c>
      <c r="D780" s="3">
        <f t="shared" si="14"/>
        <v>71</v>
      </c>
      <c r="E780" s="3" t="s">
        <v>1386</v>
      </c>
    </row>
    <row r="781" spans="1:5" ht="18" x14ac:dyDescent="0.3">
      <c r="A781" s="3"/>
      <c r="B781" s="3" t="s">
        <v>1238</v>
      </c>
      <c r="C781" s="3">
        <v>64.25</v>
      </c>
      <c r="D781" s="3">
        <f t="shared" si="14"/>
        <v>64.25</v>
      </c>
      <c r="E781" s="3" t="s">
        <v>1386</v>
      </c>
    </row>
    <row r="782" spans="1:5" ht="18" x14ac:dyDescent="0.3">
      <c r="A782" s="3"/>
      <c r="B782" s="3" t="s">
        <v>1198</v>
      </c>
      <c r="C782" s="3">
        <v>70.25</v>
      </c>
      <c r="D782" s="3">
        <f t="shared" si="14"/>
        <v>70.25</v>
      </c>
      <c r="E782" s="3" t="s">
        <v>1386</v>
      </c>
    </row>
    <row r="783" spans="1:5" ht="18" x14ac:dyDescent="0.3">
      <c r="A783" s="3"/>
      <c r="B783" s="3" t="s">
        <v>1239</v>
      </c>
      <c r="C783" s="3">
        <v>114.5</v>
      </c>
      <c r="D783" s="3">
        <f t="shared" si="14"/>
        <v>114.5</v>
      </c>
      <c r="E783" s="3" t="s">
        <v>1386</v>
      </c>
    </row>
    <row r="784" spans="1:5" ht="18" x14ac:dyDescent="0.3">
      <c r="A784" s="3"/>
      <c r="B784" s="3" t="s">
        <v>1200</v>
      </c>
      <c r="C784" s="3">
        <v>119.5</v>
      </c>
      <c r="D784" s="3">
        <f t="shared" si="14"/>
        <v>119.5</v>
      </c>
      <c r="E784" s="3" t="s">
        <v>1386</v>
      </c>
    </row>
    <row r="785" spans="1:5" ht="18" x14ac:dyDescent="0.3">
      <c r="A785" s="3"/>
      <c r="B785" s="3" t="s">
        <v>1240</v>
      </c>
      <c r="C785" s="3">
        <v>135.5</v>
      </c>
      <c r="D785" s="3">
        <f t="shared" si="14"/>
        <v>135.5</v>
      </c>
      <c r="E785" s="3" t="s">
        <v>1386</v>
      </c>
    </row>
    <row r="786" spans="1:5" ht="18" x14ac:dyDescent="0.3">
      <c r="A786" s="3"/>
      <c r="B786" s="3" t="s">
        <v>1241</v>
      </c>
      <c r="C786" s="3">
        <v>214.5</v>
      </c>
      <c r="D786" s="3">
        <f t="shared" si="14"/>
        <v>214.5</v>
      </c>
      <c r="E786" s="3" t="s">
        <v>1386</v>
      </c>
    </row>
    <row r="787" spans="1:5" ht="18" x14ac:dyDescent="0.3">
      <c r="A787" s="3"/>
      <c r="B787" s="3" t="s">
        <v>1242</v>
      </c>
      <c r="C787" s="3">
        <v>20</v>
      </c>
      <c r="D787" s="3">
        <f t="shared" si="14"/>
        <v>20</v>
      </c>
      <c r="E787" s="3" t="s">
        <v>1386</v>
      </c>
    </row>
    <row r="788" spans="1:5" ht="18" x14ac:dyDescent="0.3">
      <c r="A788" s="3"/>
      <c r="B788" s="3" t="s">
        <v>1243</v>
      </c>
      <c r="C788" s="3">
        <v>45</v>
      </c>
      <c r="D788" s="3">
        <f t="shared" si="14"/>
        <v>45</v>
      </c>
      <c r="E788" s="3" t="s">
        <v>1386</v>
      </c>
    </row>
    <row r="789" spans="1:5" ht="18" x14ac:dyDescent="0.3">
      <c r="A789" s="3"/>
      <c r="B789" s="3" t="s">
        <v>1244</v>
      </c>
      <c r="C789" s="3">
        <v>45</v>
      </c>
      <c r="D789" s="3">
        <f t="shared" si="14"/>
        <v>45</v>
      </c>
      <c r="E789" s="3" t="s">
        <v>1386</v>
      </c>
    </row>
    <row r="790" spans="1:5" ht="18" x14ac:dyDescent="0.3">
      <c r="A790" s="3"/>
      <c r="B790" s="3" t="s">
        <v>1245</v>
      </c>
      <c r="C790" s="3">
        <v>71.25</v>
      </c>
      <c r="D790" s="3">
        <f t="shared" si="14"/>
        <v>71.25</v>
      </c>
      <c r="E790" s="3" t="s">
        <v>1386</v>
      </c>
    </row>
    <row r="791" spans="1:5" ht="18" x14ac:dyDescent="0.3">
      <c r="A791" s="3"/>
      <c r="B791" s="3" t="s">
        <v>1246</v>
      </c>
      <c r="C791" s="3">
        <v>160.75</v>
      </c>
      <c r="D791" s="3">
        <f t="shared" si="14"/>
        <v>160.75</v>
      </c>
      <c r="E791" s="3" t="s">
        <v>1386</v>
      </c>
    </row>
    <row r="792" spans="1:5" ht="18" x14ac:dyDescent="0.3">
      <c r="A792" s="3"/>
      <c r="B792" s="3" t="s">
        <v>1247</v>
      </c>
      <c r="C792" s="3">
        <v>12</v>
      </c>
      <c r="D792" s="3">
        <f t="shared" si="14"/>
        <v>12</v>
      </c>
      <c r="E792" s="3" t="s">
        <v>1386</v>
      </c>
    </row>
    <row r="793" spans="1:5" ht="18" x14ac:dyDescent="0.3">
      <c r="A793" s="3"/>
      <c r="B793" s="3" t="s">
        <v>1248</v>
      </c>
      <c r="C793" s="3">
        <v>15.25</v>
      </c>
      <c r="D793" s="3">
        <f t="shared" si="14"/>
        <v>15.25</v>
      </c>
      <c r="E793" s="3" t="s">
        <v>1386</v>
      </c>
    </row>
    <row r="794" spans="1:5" ht="18" x14ac:dyDescent="0.3">
      <c r="A794" s="3"/>
      <c r="B794" s="3" t="s">
        <v>1249</v>
      </c>
      <c r="C794" s="3">
        <v>15.25</v>
      </c>
      <c r="D794" s="3">
        <f t="shared" si="14"/>
        <v>15.25</v>
      </c>
      <c r="E794" s="3" t="s">
        <v>1386</v>
      </c>
    </row>
    <row r="795" spans="1:5" ht="18" x14ac:dyDescent="0.3">
      <c r="A795" s="3"/>
      <c r="B795" s="3" t="s">
        <v>1211</v>
      </c>
      <c r="C795" s="3">
        <v>46</v>
      </c>
      <c r="D795" s="3">
        <f t="shared" si="14"/>
        <v>46</v>
      </c>
      <c r="E795" s="3" t="s">
        <v>1386</v>
      </c>
    </row>
    <row r="796" spans="1:5" ht="18" x14ac:dyDescent="0.3">
      <c r="A796" s="3"/>
      <c r="B796" s="3" t="s">
        <v>1212</v>
      </c>
      <c r="C796" s="3">
        <v>55.25</v>
      </c>
      <c r="D796" s="3">
        <f t="shared" si="14"/>
        <v>55.25</v>
      </c>
      <c r="E796" s="3" t="s">
        <v>1386</v>
      </c>
    </row>
    <row r="797" spans="1:5" ht="18" x14ac:dyDescent="0.3">
      <c r="A797" s="3"/>
      <c r="B797" s="3" t="s">
        <v>1250</v>
      </c>
      <c r="C797" s="3">
        <v>68.25</v>
      </c>
      <c r="D797" s="3">
        <f t="shared" si="14"/>
        <v>68.25</v>
      </c>
      <c r="E797" s="3" t="s">
        <v>1386</v>
      </c>
    </row>
    <row r="798" spans="1:5" ht="18" x14ac:dyDescent="0.3">
      <c r="A798" s="3"/>
      <c r="B798" s="3" t="s">
        <v>1251</v>
      </c>
      <c r="C798" s="3">
        <v>106.75</v>
      </c>
      <c r="D798" s="3">
        <f t="shared" si="14"/>
        <v>106.75</v>
      </c>
      <c r="E798" s="3" t="s">
        <v>1386</v>
      </c>
    </row>
    <row r="799" spans="1:5" ht="18" x14ac:dyDescent="0.3">
      <c r="A799" s="3"/>
      <c r="B799" s="3" t="s">
        <v>1215</v>
      </c>
      <c r="C799" s="3">
        <v>121</v>
      </c>
      <c r="D799" s="3">
        <f t="shared" si="14"/>
        <v>121</v>
      </c>
      <c r="E799" s="3" t="s">
        <v>1386</v>
      </c>
    </row>
    <row r="800" spans="1:5" ht="18" x14ac:dyDescent="0.3">
      <c r="A800" s="3"/>
      <c r="B800" s="3" t="s">
        <v>1252</v>
      </c>
      <c r="C800" s="3">
        <v>170</v>
      </c>
      <c r="D800" s="3">
        <f t="shared" si="14"/>
        <v>170</v>
      </c>
      <c r="E800" s="3" t="s">
        <v>1386</v>
      </c>
    </row>
    <row r="801" spans="1:5" ht="18" x14ac:dyDescent="0.3">
      <c r="A801" s="3"/>
      <c r="B801" s="3" t="s">
        <v>1253</v>
      </c>
      <c r="C801" s="3">
        <v>1332.25</v>
      </c>
      <c r="D801" s="3">
        <f t="shared" si="14"/>
        <v>1332.25</v>
      </c>
      <c r="E801" s="3" t="s">
        <v>1386</v>
      </c>
    </row>
    <row r="802" spans="1:5" ht="18" x14ac:dyDescent="0.3">
      <c r="A802" s="3"/>
      <c r="B802" s="3" t="s">
        <v>1254</v>
      </c>
      <c r="C802" s="3">
        <v>1332.25</v>
      </c>
      <c r="D802" s="3">
        <f t="shared" si="14"/>
        <v>1332.25</v>
      </c>
      <c r="E802" s="3" t="s">
        <v>1386</v>
      </c>
    </row>
    <row r="803" spans="1:5" ht="18" x14ac:dyDescent="0.3">
      <c r="A803" s="3"/>
      <c r="B803" s="3" t="s">
        <v>1255</v>
      </c>
      <c r="C803" s="3">
        <v>871</v>
      </c>
      <c r="D803" s="3">
        <f t="shared" si="14"/>
        <v>871</v>
      </c>
      <c r="E803" s="3" t="s">
        <v>1386</v>
      </c>
    </row>
    <row r="804" spans="1:5" ht="18" x14ac:dyDescent="0.3">
      <c r="A804" s="3"/>
      <c r="B804" s="3" t="s">
        <v>1256</v>
      </c>
      <c r="C804" s="3">
        <v>899.25</v>
      </c>
      <c r="D804" s="3">
        <f t="shared" si="14"/>
        <v>899.25</v>
      </c>
      <c r="E804" s="3" t="s">
        <v>1386</v>
      </c>
    </row>
    <row r="805" spans="1:5" ht="18" x14ac:dyDescent="0.3">
      <c r="A805" s="3"/>
      <c r="B805" s="3" t="s">
        <v>1257</v>
      </c>
      <c r="C805" s="3">
        <v>205.25</v>
      </c>
      <c r="D805" s="3">
        <f t="shared" si="14"/>
        <v>205.25</v>
      </c>
      <c r="E805" s="3" t="s">
        <v>1386</v>
      </c>
    </row>
    <row r="806" spans="1:5" ht="18" x14ac:dyDescent="0.3">
      <c r="A806" s="3"/>
      <c r="B806" s="3" t="s">
        <v>1258</v>
      </c>
      <c r="C806" s="3">
        <v>41.75</v>
      </c>
      <c r="D806" s="3">
        <f t="shared" si="14"/>
        <v>41.75</v>
      </c>
      <c r="E806" s="3" t="s">
        <v>1386</v>
      </c>
    </row>
    <row r="807" spans="1:5" ht="18" x14ac:dyDescent="0.3">
      <c r="A807" s="3"/>
      <c r="B807" s="3" t="s">
        <v>1259</v>
      </c>
      <c r="C807" s="3">
        <v>59.25</v>
      </c>
      <c r="D807" s="3">
        <f t="shared" si="14"/>
        <v>59.25</v>
      </c>
      <c r="E807" s="3" t="s">
        <v>1386</v>
      </c>
    </row>
    <row r="808" spans="1:5" ht="18" x14ac:dyDescent="0.3">
      <c r="A808" s="3"/>
      <c r="B808" s="3" t="s">
        <v>1260</v>
      </c>
      <c r="C808" s="3">
        <v>71.5</v>
      </c>
      <c r="D808" s="3">
        <f t="shared" si="14"/>
        <v>71.5</v>
      </c>
      <c r="E808" s="3" t="s">
        <v>1386</v>
      </c>
    </row>
    <row r="809" spans="1:5" ht="18" x14ac:dyDescent="0.3">
      <c r="A809" s="3"/>
      <c r="B809" s="3" t="s">
        <v>1261</v>
      </c>
      <c r="C809" s="3">
        <v>75</v>
      </c>
      <c r="D809" s="3">
        <f t="shared" si="14"/>
        <v>75</v>
      </c>
      <c r="E809" s="3" t="s">
        <v>1386</v>
      </c>
    </row>
    <row r="810" spans="1:5" ht="18" x14ac:dyDescent="0.3">
      <c r="A810" s="3"/>
      <c r="B810" s="3" t="s">
        <v>1262</v>
      </c>
      <c r="C810" s="3">
        <v>37</v>
      </c>
      <c r="D810" s="3">
        <f t="shared" si="14"/>
        <v>37</v>
      </c>
      <c r="E810" s="3" t="s">
        <v>1386</v>
      </c>
    </row>
    <row r="811" spans="1:5" ht="18" x14ac:dyDescent="0.3">
      <c r="A811" s="3"/>
      <c r="B811" s="3" t="s">
        <v>1263</v>
      </c>
      <c r="C811" s="3">
        <v>28</v>
      </c>
      <c r="D811" s="3">
        <f t="shared" si="14"/>
        <v>28</v>
      </c>
      <c r="E811" s="3" t="s">
        <v>1386</v>
      </c>
    </row>
    <row r="812" spans="1:5" ht="18" x14ac:dyDescent="0.3">
      <c r="A812" s="3"/>
      <c r="B812" s="3" t="s">
        <v>1228</v>
      </c>
      <c r="C812" s="3">
        <v>23.75</v>
      </c>
      <c r="D812" s="3">
        <f t="shared" si="14"/>
        <v>23.75</v>
      </c>
      <c r="E812" s="3" t="s">
        <v>1386</v>
      </c>
    </row>
    <row r="813" spans="1:5" ht="18" x14ac:dyDescent="0.3">
      <c r="A813" s="3"/>
      <c r="B813" s="3" t="s">
        <v>1229</v>
      </c>
      <c r="C813" s="3">
        <v>153.5</v>
      </c>
      <c r="D813" s="3">
        <f t="shared" si="14"/>
        <v>153.5</v>
      </c>
      <c r="E813" s="3" t="s">
        <v>1386</v>
      </c>
    </row>
    <row r="814" spans="1:5" ht="18" x14ac:dyDescent="0.3">
      <c r="A814" s="3"/>
      <c r="B814" s="3" t="s">
        <v>1264</v>
      </c>
      <c r="C814" s="3">
        <v>189.75</v>
      </c>
      <c r="D814" s="3">
        <f t="shared" si="14"/>
        <v>189.75</v>
      </c>
      <c r="E814" s="3" t="s">
        <v>1386</v>
      </c>
    </row>
    <row r="815" spans="1:5" ht="18" x14ac:dyDescent="0.3">
      <c r="A815" s="3"/>
      <c r="B815" s="3" t="s">
        <v>1231</v>
      </c>
      <c r="C815" s="3">
        <v>239.75</v>
      </c>
      <c r="D815" s="3">
        <f t="shared" si="14"/>
        <v>239.75</v>
      </c>
      <c r="E815" s="3" t="s">
        <v>1386</v>
      </c>
    </row>
    <row r="816" spans="1:5" ht="18" x14ac:dyDescent="0.3">
      <c r="A816" s="3"/>
      <c r="B816" s="3" t="s">
        <v>1265</v>
      </c>
      <c r="C816" s="3">
        <v>260.25</v>
      </c>
      <c r="D816" s="3">
        <f t="shared" si="14"/>
        <v>260.25</v>
      </c>
      <c r="E816" s="3" t="s">
        <v>1386</v>
      </c>
    </row>
    <row r="817" spans="1:5" ht="18" x14ac:dyDescent="0.3">
      <c r="A817" s="3"/>
      <c r="B817" s="3" t="s">
        <v>1266</v>
      </c>
      <c r="C817" s="3">
        <v>212.75</v>
      </c>
      <c r="D817" s="3">
        <f t="shared" si="14"/>
        <v>212.75</v>
      </c>
      <c r="E817" s="3" t="s">
        <v>1386</v>
      </c>
    </row>
    <row r="818" spans="1:5" ht="18" x14ac:dyDescent="0.3">
      <c r="A818" s="3"/>
      <c r="B818" s="3" t="s">
        <v>1267</v>
      </c>
      <c r="C818" s="3">
        <v>295.25</v>
      </c>
      <c r="D818" s="3">
        <f t="shared" si="14"/>
        <v>295.25</v>
      </c>
      <c r="E818" s="3" t="s">
        <v>1386</v>
      </c>
    </row>
    <row r="819" spans="1:5" ht="18" x14ac:dyDescent="0.3">
      <c r="A819" s="3"/>
      <c r="B819" s="3" t="s">
        <v>1235</v>
      </c>
      <c r="C819" s="3">
        <v>41.5</v>
      </c>
      <c r="D819" s="3">
        <f t="shared" si="14"/>
        <v>41.5</v>
      </c>
      <c r="E819" s="3" t="s">
        <v>1386</v>
      </c>
    </row>
    <row r="820" spans="1:5" ht="18" x14ac:dyDescent="0.3">
      <c r="A820" s="3"/>
      <c r="B820" s="3" t="s">
        <v>1236</v>
      </c>
      <c r="C820" s="3">
        <v>53</v>
      </c>
      <c r="D820" s="3">
        <f t="shared" si="14"/>
        <v>53</v>
      </c>
      <c r="E820" s="3" t="s">
        <v>1386</v>
      </c>
    </row>
    <row r="821" spans="1:5" ht="18" x14ac:dyDescent="0.3">
      <c r="A821" s="3"/>
      <c r="B821" s="3" t="s">
        <v>1237</v>
      </c>
      <c r="C821" s="3">
        <v>71</v>
      </c>
      <c r="D821" s="3">
        <f t="shared" si="14"/>
        <v>71</v>
      </c>
      <c r="E821" s="3" t="s">
        <v>1386</v>
      </c>
    </row>
    <row r="822" spans="1:5" ht="18" x14ac:dyDescent="0.3">
      <c r="A822" s="3"/>
      <c r="B822" s="3" t="s">
        <v>1268</v>
      </c>
      <c r="C822" s="3">
        <v>24.25</v>
      </c>
      <c r="D822" s="3">
        <f t="shared" si="14"/>
        <v>24.25</v>
      </c>
      <c r="E822" s="3" t="s">
        <v>1386</v>
      </c>
    </row>
    <row r="823" spans="1:5" ht="18" x14ac:dyDescent="0.3">
      <c r="A823" s="3"/>
      <c r="B823" s="3" t="s">
        <v>1269</v>
      </c>
      <c r="C823" s="3">
        <v>24.25</v>
      </c>
      <c r="D823" s="3">
        <f t="shared" si="14"/>
        <v>24.25</v>
      </c>
      <c r="E823" s="3" t="s">
        <v>1386</v>
      </c>
    </row>
    <row r="824" spans="1:5" ht="18" x14ac:dyDescent="0.3">
      <c r="A824" s="3"/>
      <c r="B824" s="3" t="s">
        <v>1270</v>
      </c>
      <c r="C824" s="3">
        <v>22.75</v>
      </c>
      <c r="D824" s="3">
        <f t="shared" si="14"/>
        <v>22.75</v>
      </c>
      <c r="E824" s="3" t="s">
        <v>1386</v>
      </c>
    </row>
    <row r="825" spans="1:5" ht="18" x14ac:dyDescent="0.3">
      <c r="A825" s="3"/>
      <c r="B825" s="3" t="s">
        <v>1271</v>
      </c>
      <c r="C825" s="27">
        <v>29.25</v>
      </c>
      <c r="D825" s="3">
        <f t="shared" si="14"/>
        <v>29.25</v>
      </c>
      <c r="E825" s="3" t="s">
        <v>1386</v>
      </c>
    </row>
    <row r="826" spans="1:5" ht="18" x14ac:dyDescent="0.3">
      <c r="A826" s="3"/>
      <c r="B826" s="3" t="s">
        <v>1272</v>
      </c>
      <c r="C826" s="27">
        <v>57.75</v>
      </c>
      <c r="D826" s="3">
        <f t="shared" si="14"/>
        <v>57.75</v>
      </c>
      <c r="E826" s="3" t="s">
        <v>1386</v>
      </c>
    </row>
    <row r="827" spans="1:5" ht="18" x14ac:dyDescent="0.3">
      <c r="A827" s="3"/>
      <c r="B827" s="3" t="s">
        <v>1273</v>
      </c>
      <c r="C827" s="27">
        <v>82.75</v>
      </c>
      <c r="D827" s="3">
        <f t="shared" si="14"/>
        <v>82.75</v>
      </c>
      <c r="E827" s="3" t="s">
        <v>1386</v>
      </c>
    </row>
    <row r="828" spans="1:5" ht="18" x14ac:dyDescent="0.3">
      <c r="A828" s="3"/>
      <c r="B828" s="3" t="s">
        <v>1274</v>
      </c>
      <c r="C828" s="27">
        <v>29.25</v>
      </c>
      <c r="D828" s="3">
        <f t="shared" si="14"/>
        <v>29.25</v>
      </c>
      <c r="E828" s="3" t="s">
        <v>1386</v>
      </c>
    </row>
    <row r="829" spans="1:5" ht="18" x14ac:dyDescent="0.3">
      <c r="A829" s="3"/>
      <c r="B829" s="3" t="s">
        <v>1275</v>
      </c>
      <c r="C829" s="27">
        <v>34</v>
      </c>
      <c r="D829" s="3">
        <f t="shared" si="14"/>
        <v>34</v>
      </c>
      <c r="E829" s="3" t="s">
        <v>1386</v>
      </c>
    </row>
    <row r="830" spans="1:5" ht="18" x14ac:dyDescent="0.3">
      <c r="A830" s="3"/>
      <c r="B830" s="3" t="s">
        <v>1276</v>
      </c>
      <c r="C830" s="27">
        <v>56.5</v>
      </c>
      <c r="D830" s="3">
        <f t="shared" si="14"/>
        <v>56.5</v>
      </c>
      <c r="E830" s="3" t="s">
        <v>1386</v>
      </c>
    </row>
    <row r="831" spans="1:5" ht="18" x14ac:dyDescent="0.3">
      <c r="A831" s="3"/>
      <c r="B831" s="3" t="s">
        <v>1277</v>
      </c>
      <c r="C831" s="27">
        <v>66.25</v>
      </c>
      <c r="D831" s="3">
        <f t="shared" si="14"/>
        <v>66.25</v>
      </c>
      <c r="E831" s="3" t="s">
        <v>1386</v>
      </c>
    </row>
    <row r="832" spans="1:5" ht="18" x14ac:dyDescent="0.3">
      <c r="A832" s="3"/>
      <c r="B832" s="3" t="s">
        <v>1278</v>
      </c>
      <c r="C832" s="27">
        <v>74.75</v>
      </c>
      <c r="D832" s="3">
        <f t="shared" si="14"/>
        <v>74.75</v>
      </c>
      <c r="E832" s="3" t="s">
        <v>1386</v>
      </c>
    </row>
    <row r="833" spans="1:5" ht="18" x14ac:dyDescent="0.3">
      <c r="A833" s="3"/>
      <c r="B833" s="3" t="s">
        <v>1279</v>
      </c>
      <c r="C833" s="27">
        <v>94.25</v>
      </c>
      <c r="D833" s="3">
        <f t="shared" si="14"/>
        <v>94.25</v>
      </c>
      <c r="E833" s="3" t="s">
        <v>1386</v>
      </c>
    </row>
    <row r="834" spans="1:5" ht="18" x14ac:dyDescent="0.3">
      <c r="A834" s="3"/>
      <c r="B834" s="3" t="s">
        <v>1280</v>
      </c>
      <c r="C834" s="27">
        <v>99</v>
      </c>
      <c r="D834" s="3">
        <f t="shared" ref="D834:D897" si="15">C834</f>
        <v>99</v>
      </c>
      <c r="E834" s="3" t="s">
        <v>1386</v>
      </c>
    </row>
    <row r="835" spans="1:5" ht="18" x14ac:dyDescent="0.3">
      <c r="A835" s="3"/>
      <c r="B835" s="3" t="s">
        <v>1281</v>
      </c>
      <c r="C835" s="27">
        <v>107.25</v>
      </c>
      <c r="D835" s="3">
        <f t="shared" si="15"/>
        <v>107.25</v>
      </c>
      <c r="E835" s="3" t="s">
        <v>1386</v>
      </c>
    </row>
    <row r="836" spans="1:5" ht="18" x14ac:dyDescent="0.3">
      <c r="A836" s="3"/>
      <c r="B836" s="3" t="s">
        <v>1282</v>
      </c>
      <c r="C836" s="27">
        <v>107.25</v>
      </c>
      <c r="D836" s="3">
        <f t="shared" si="15"/>
        <v>107.25</v>
      </c>
      <c r="E836" s="3" t="s">
        <v>1386</v>
      </c>
    </row>
    <row r="837" spans="1:5" ht="18" x14ac:dyDescent="0.3">
      <c r="A837" s="3"/>
      <c r="B837" s="3" t="s">
        <v>1283</v>
      </c>
      <c r="C837" s="27">
        <v>113</v>
      </c>
      <c r="D837" s="3">
        <f t="shared" si="15"/>
        <v>113</v>
      </c>
      <c r="E837" s="3" t="s">
        <v>1386</v>
      </c>
    </row>
    <row r="838" spans="1:5" ht="18" x14ac:dyDescent="0.3">
      <c r="A838" s="3"/>
      <c r="B838" s="3" t="s">
        <v>1284</v>
      </c>
      <c r="C838" s="27">
        <v>156.5</v>
      </c>
      <c r="D838" s="3">
        <f t="shared" si="15"/>
        <v>156.5</v>
      </c>
      <c r="E838" s="3" t="s">
        <v>1386</v>
      </c>
    </row>
    <row r="839" spans="1:5" ht="18" x14ac:dyDescent="0.3">
      <c r="A839" s="3"/>
      <c r="B839" s="3" t="s">
        <v>1285</v>
      </c>
      <c r="C839" s="27">
        <v>9</v>
      </c>
      <c r="D839" s="3">
        <f t="shared" si="15"/>
        <v>9</v>
      </c>
      <c r="E839" s="3" t="s">
        <v>1386</v>
      </c>
    </row>
    <row r="840" spans="1:5" ht="18" x14ac:dyDescent="0.3">
      <c r="A840" s="3"/>
      <c r="B840" s="3" t="s">
        <v>1286</v>
      </c>
      <c r="C840" s="27">
        <v>142.75</v>
      </c>
      <c r="D840" s="3">
        <f t="shared" si="15"/>
        <v>142.75</v>
      </c>
      <c r="E840" s="3" t="s">
        <v>1386</v>
      </c>
    </row>
    <row r="841" spans="1:5" ht="18" x14ac:dyDescent="0.3">
      <c r="A841" s="3"/>
      <c r="B841" s="3" t="s">
        <v>1287</v>
      </c>
      <c r="C841" s="27">
        <v>162.75</v>
      </c>
      <c r="D841" s="3">
        <f t="shared" si="15"/>
        <v>162.75</v>
      </c>
      <c r="E841" s="3" t="s">
        <v>1386</v>
      </c>
    </row>
    <row r="842" spans="1:5" ht="18" x14ac:dyDescent="0.3">
      <c r="A842" s="3"/>
      <c r="B842" s="3" t="s">
        <v>1288</v>
      </c>
      <c r="C842" s="27">
        <v>260.25</v>
      </c>
      <c r="D842" s="3">
        <f t="shared" si="15"/>
        <v>260.25</v>
      </c>
      <c r="E842" s="3" t="s">
        <v>1386</v>
      </c>
    </row>
    <row r="843" spans="1:5" ht="18" x14ac:dyDescent="0.3">
      <c r="A843" s="3"/>
      <c r="B843" s="3" t="s">
        <v>1289</v>
      </c>
      <c r="C843" s="27">
        <v>255.75</v>
      </c>
      <c r="D843" s="3">
        <f t="shared" si="15"/>
        <v>255.75</v>
      </c>
      <c r="E843" s="3" t="s">
        <v>1386</v>
      </c>
    </row>
    <row r="844" spans="1:5" ht="18" x14ac:dyDescent="0.3">
      <c r="A844" s="3"/>
      <c r="B844" s="3" t="s">
        <v>1290</v>
      </c>
      <c r="C844" s="27">
        <v>230.75</v>
      </c>
      <c r="D844" s="3">
        <f t="shared" si="15"/>
        <v>230.75</v>
      </c>
      <c r="E844" s="3" t="s">
        <v>1386</v>
      </c>
    </row>
    <row r="845" spans="1:5" ht="18" x14ac:dyDescent="0.3">
      <c r="A845" s="3"/>
      <c r="B845" s="3" t="s">
        <v>1393</v>
      </c>
      <c r="C845" s="27">
        <v>76.25</v>
      </c>
      <c r="D845" s="3">
        <f t="shared" si="15"/>
        <v>76.25</v>
      </c>
      <c r="E845" s="3" t="s">
        <v>1386</v>
      </c>
    </row>
    <row r="846" spans="1:5" ht="18" x14ac:dyDescent="0.3">
      <c r="A846" s="3"/>
      <c r="B846" s="3" t="s">
        <v>1394</v>
      </c>
      <c r="C846" s="27">
        <v>121.5</v>
      </c>
      <c r="D846" s="3">
        <f t="shared" si="15"/>
        <v>121.5</v>
      </c>
      <c r="E846" s="3" t="s">
        <v>1386</v>
      </c>
    </row>
    <row r="847" spans="1:5" ht="18" x14ac:dyDescent="0.3">
      <c r="A847" s="3"/>
      <c r="B847" s="3" t="s">
        <v>1395</v>
      </c>
      <c r="C847" s="27">
        <v>160.75</v>
      </c>
      <c r="D847" s="3">
        <f t="shared" si="15"/>
        <v>160.75</v>
      </c>
      <c r="E847" s="3" t="s">
        <v>1386</v>
      </c>
    </row>
    <row r="848" spans="1:5" ht="18" x14ac:dyDescent="0.3">
      <c r="A848" s="3"/>
      <c r="B848" s="3" t="s">
        <v>1291</v>
      </c>
      <c r="C848" s="27">
        <v>204</v>
      </c>
      <c r="D848" s="3">
        <f t="shared" si="15"/>
        <v>204</v>
      </c>
      <c r="E848" s="3" t="s">
        <v>1386</v>
      </c>
    </row>
    <row r="849" spans="1:5" ht="18" x14ac:dyDescent="0.3">
      <c r="A849" s="3"/>
      <c r="B849" s="3" t="s">
        <v>1292</v>
      </c>
      <c r="C849" s="27">
        <v>323.5</v>
      </c>
      <c r="D849" s="3">
        <f t="shared" si="15"/>
        <v>323.5</v>
      </c>
      <c r="E849" s="3" t="s">
        <v>1386</v>
      </c>
    </row>
    <row r="850" spans="1:5" ht="18" x14ac:dyDescent="0.3">
      <c r="A850" s="3"/>
      <c r="B850" s="3" t="s">
        <v>1293</v>
      </c>
      <c r="C850" s="27">
        <v>340.25</v>
      </c>
      <c r="D850" s="3">
        <f t="shared" si="15"/>
        <v>340.25</v>
      </c>
      <c r="E850" s="3" t="s">
        <v>1386</v>
      </c>
    </row>
    <row r="851" spans="1:5" ht="18" x14ac:dyDescent="0.3">
      <c r="A851" s="3"/>
      <c r="B851" s="3" t="s">
        <v>1294</v>
      </c>
      <c r="C851" s="27">
        <v>213.75</v>
      </c>
      <c r="D851" s="3">
        <f t="shared" si="15"/>
        <v>213.75</v>
      </c>
      <c r="E851" s="3" t="s">
        <v>1386</v>
      </c>
    </row>
    <row r="852" spans="1:5" ht="18" x14ac:dyDescent="0.3">
      <c r="A852" s="3"/>
      <c r="B852" s="3" t="s">
        <v>1295</v>
      </c>
      <c r="C852" s="27">
        <v>128.75</v>
      </c>
      <c r="D852" s="3">
        <f t="shared" si="15"/>
        <v>128.75</v>
      </c>
      <c r="E852" s="3" t="s">
        <v>1386</v>
      </c>
    </row>
    <row r="853" spans="1:5" ht="18" x14ac:dyDescent="0.3">
      <c r="A853" s="3"/>
      <c r="B853" s="3" t="s">
        <v>1296</v>
      </c>
      <c r="C853" s="27">
        <v>105.75</v>
      </c>
      <c r="D853" s="3">
        <f t="shared" si="15"/>
        <v>105.75</v>
      </c>
      <c r="E853" s="3" t="s">
        <v>1386</v>
      </c>
    </row>
    <row r="854" spans="1:5" ht="18" x14ac:dyDescent="0.3">
      <c r="A854" s="3"/>
      <c r="B854" s="3" t="s">
        <v>1297</v>
      </c>
      <c r="C854" s="27">
        <v>123.5</v>
      </c>
      <c r="D854" s="3">
        <f t="shared" si="15"/>
        <v>123.5</v>
      </c>
      <c r="E854" s="3" t="s">
        <v>1386</v>
      </c>
    </row>
    <row r="855" spans="1:5" ht="18" x14ac:dyDescent="0.3">
      <c r="A855" s="3"/>
      <c r="B855" s="3" t="s">
        <v>1298</v>
      </c>
      <c r="C855" s="27">
        <v>203.5</v>
      </c>
      <c r="D855" s="3">
        <f t="shared" si="15"/>
        <v>203.5</v>
      </c>
      <c r="E855" s="3" t="s">
        <v>1386</v>
      </c>
    </row>
    <row r="856" spans="1:5" ht="18" x14ac:dyDescent="0.3">
      <c r="A856" s="3"/>
      <c r="B856" s="3" t="s">
        <v>1299</v>
      </c>
      <c r="C856" s="27">
        <v>203.5</v>
      </c>
      <c r="D856" s="3">
        <f t="shared" si="15"/>
        <v>203.5</v>
      </c>
      <c r="E856" s="3" t="s">
        <v>1386</v>
      </c>
    </row>
    <row r="857" spans="1:5" ht="18" x14ac:dyDescent="0.3">
      <c r="A857" s="3"/>
      <c r="B857" s="3" t="s">
        <v>1300</v>
      </c>
      <c r="C857" s="27">
        <v>203.5</v>
      </c>
      <c r="D857" s="3">
        <f t="shared" si="15"/>
        <v>203.5</v>
      </c>
      <c r="E857" s="3" t="s">
        <v>1386</v>
      </c>
    </row>
    <row r="858" spans="1:5" ht="18" x14ac:dyDescent="0.3">
      <c r="A858" s="3"/>
      <c r="B858" s="3" t="s">
        <v>1301</v>
      </c>
      <c r="C858" s="27">
        <v>203.5</v>
      </c>
      <c r="D858" s="3">
        <f t="shared" si="15"/>
        <v>203.5</v>
      </c>
      <c r="E858" s="3" t="s">
        <v>1386</v>
      </c>
    </row>
    <row r="859" spans="1:5" ht="18" x14ac:dyDescent="0.3">
      <c r="A859" s="3"/>
      <c r="B859" s="3" t="s">
        <v>1302</v>
      </c>
      <c r="C859" s="3">
        <v>480</v>
      </c>
      <c r="D859" s="3">
        <f t="shared" si="15"/>
        <v>480</v>
      </c>
      <c r="E859" s="3" t="s">
        <v>1386</v>
      </c>
    </row>
    <row r="860" spans="1:5" ht="18" x14ac:dyDescent="0.3">
      <c r="A860" s="3"/>
      <c r="B860" s="3" t="s">
        <v>1303</v>
      </c>
      <c r="C860" s="27">
        <v>143.5</v>
      </c>
      <c r="D860" s="3">
        <f t="shared" si="15"/>
        <v>143.5</v>
      </c>
      <c r="E860" s="3" t="s">
        <v>1386</v>
      </c>
    </row>
    <row r="861" spans="1:5" ht="18" x14ac:dyDescent="0.3">
      <c r="A861" s="3"/>
      <c r="B861" s="3" t="s">
        <v>1304</v>
      </c>
      <c r="C861" s="27">
        <v>143.5</v>
      </c>
      <c r="D861" s="3">
        <f t="shared" si="15"/>
        <v>143.5</v>
      </c>
      <c r="E861" s="3" t="s">
        <v>1386</v>
      </c>
    </row>
    <row r="862" spans="1:5" ht="18" x14ac:dyDescent="0.3">
      <c r="A862" s="3"/>
      <c r="B862" s="3" t="s">
        <v>1305</v>
      </c>
      <c r="C862" s="27">
        <v>160</v>
      </c>
      <c r="D862" s="3">
        <f t="shared" si="15"/>
        <v>160</v>
      </c>
      <c r="E862" s="3" t="s">
        <v>1386</v>
      </c>
    </row>
    <row r="863" spans="1:5" ht="18" x14ac:dyDescent="0.3">
      <c r="A863" s="3"/>
      <c r="B863" s="3" t="s">
        <v>1306</v>
      </c>
      <c r="C863" s="27">
        <v>192.25</v>
      </c>
      <c r="D863" s="3">
        <f t="shared" si="15"/>
        <v>192.25</v>
      </c>
      <c r="E863" s="3" t="s">
        <v>1386</v>
      </c>
    </row>
    <row r="864" spans="1:5" ht="18" x14ac:dyDescent="0.3">
      <c r="A864" s="3"/>
      <c r="B864" s="3" t="s">
        <v>1307</v>
      </c>
      <c r="C864" s="27">
        <v>92</v>
      </c>
      <c r="D864" s="3">
        <f t="shared" si="15"/>
        <v>92</v>
      </c>
      <c r="E864" s="3" t="s">
        <v>1386</v>
      </c>
    </row>
    <row r="865" spans="1:5" ht="18" x14ac:dyDescent="0.3">
      <c r="A865" s="3"/>
      <c r="B865" s="3" t="s">
        <v>1308</v>
      </c>
      <c r="C865" s="27">
        <v>63.75</v>
      </c>
      <c r="D865" s="3">
        <f t="shared" si="15"/>
        <v>63.75</v>
      </c>
      <c r="E865" s="3" t="s">
        <v>1386</v>
      </c>
    </row>
    <row r="866" spans="1:5" ht="18" x14ac:dyDescent="0.3">
      <c r="A866" s="3"/>
      <c r="B866" s="3" t="s">
        <v>1309</v>
      </c>
      <c r="C866" s="27">
        <v>63.5</v>
      </c>
      <c r="D866" s="3">
        <f t="shared" si="15"/>
        <v>63.5</v>
      </c>
      <c r="E866" s="3" t="s">
        <v>1386</v>
      </c>
    </row>
    <row r="867" spans="1:5" ht="18" x14ac:dyDescent="0.3">
      <c r="A867" s="3"/>
      <c r="B867" s="3" t="s">
        <v>1310</v>
      </c>
      <c r="C867" s="27">
        <v>167.25</v>
      </c>
      <c r="D867" s="3">
        <f t="shared" si="15"/>
        <v>167.25</v>
      </c>
      <c r="E867" s="3" t="s">
        <v>1386</v>
      </c>
    </row>
    <row r="868" spans="1:5" ht="18" x14ac:dyDescent="0.3">
      <c r="A868" s="3"/>
      <c r="B868" s="3" t="s">
        <v>1311</v>
      </c>
      <c r="C868" s="27">
        <v>2660</v>
      </c>
      <c r="D868" s="3">
        <f t="shared" si="15"/>
        <v>2660</v>
      </c>
      <c r="E868" s="3" t="s">
        <v>1386</v>
      </c>
    </row>
    <row r="869" spans="1:5" ht="18" x14ac:dyDescent="0.3">
      <c r="A869" s="3"/>
      <c r="B869" s="3" t="s">
        <v>1312</v>
      </c>
      <c r="C869" s="27">
        <v>381</v>
      </c>
      <c r="D869" s="3">
        <f t="shared" si="15"/>
        <v>381</v>
      </c>
      <c r="E869" s="3" t="s">
        <v>1386</v>
      </c>
    </row>
    <row r="870" spans="1:5" ht="18" x14ac:dyDescent="0.3">
      <c r="A870" s="3"/>
      <c r="B870" s="3" t="s">
        <v>1313</v>
      </c>
      <c r="C870" s="27">
        <v>1409</v>
      </c>
      <c r="D870" s="3">
        <f t="shared" si="15"/>
        <v>1409</v>
      </c>
      <c r="E870" s="3" t="s">
        <v>1386</v>
      </c>
    </row>
    <row r="871" spans="1:5" ht="18" x14ac:dyDescent="0.3">
      <c r="A871" s="3"/>
      <c r="B871" s="3" t="s">
        <v>1314</v>
      </c>
      <c r="C871" s="27">
        <v>1096.5</v>
      </c>
      <c r="D871" s="3">
        <f t="shared" si="15"/>
        <v>1096.5</v>
      </c>
      <c r="E871" s="3" t="s">
        <v>1386</v>
      </c>
    </row>
    <row r="872" spans="1:5" ht="18" x14ac:dyDescent="0.3">
      <c r="A872" s="3"/>
      <c r="B872" s="3" t="s">
        <v>1315</v>
      </c>
      <c r="C872" s="27">
        <v>1166.75</v>
      </c>
      <c r="D872" s="3">
        <f t="shared" si="15"/>
        <v>1166.75</v>
      </c>
      <c r="E872" s="3" t="s">
        <v>1386</v>
      </c>
    </row>
    <row r="873" spans="1:5" ht="18" x14ac:dyDescent="0.3">
      <c r="A873" s="3"/>
      <c r="B873" s="3" t="s">
        <v>1316</v>
      </c>
      <c r="C873" s="27">
        <v>1233.5</v>
      </c>
      <c r="D873" s="3">
        <f t="shared" si="15"/>
        <v>1233.5</v>
      </c>
      <c r="E873" s="3" t="s">
        <v>1386</v>
      </c>
    </row>
    <row r="874" spans="1:5" ht="18" x14ac:dyDescent="0.3">
      <c r="A874" s="3"/>
      <c r="B874" s="3" t="s">
        <v>1317</v>
      </c>
      <c r="C874" s="27">
        <v>3733.75</v>
      </c>
      <c r="D874" s="3">
        <f t="shared" si="15"/>
        <v>3733.75</v>
      </c>
      <c r="E874" s="3" t="s">
        <v>1386</v>
      </c>
    </row>
    <row r="875" spans="1:5" ht="18" x14ac:dyDescent="0.3">
      <c r="A875" s="3"/>
      <c r="B875" s="3" t="s">
        <v>1318</v>
      </c>
      <c r="C875" s="27">
        <v>1273.5</v>
      </c>
      <c r="D875" s="3">
        <f t="shared" si="15"/>
        <v>1273.5</v>
      </c>
      <c r="E875" s="3" t="s">
        <v>1386</v>
      </c>
    </row>
    <row r="876" spans="1:5" ht="18" x14ac:dyDescent="0.3">
      <c r="A876" s="3"/>
      <c r="B876" s="3" t="s">
        <v>1319</v>
      </c>
      <c r="C876" s="27">
        <v>1064</v>
      </c>
      <c r="D876" s="3">
        <f t="shared" si="15"/>
        <v>1064</v>
      </c>
      <c r="E876" s="3" t="s">
        <v>1386</v>
      </c>
    </row>
    <row r="877" spans="1:5" ht="18" x14ac:dyDescent="0.3">
      <c r="A877" s="3"/>
      <c r="B877" s="3" t="s">
        <v>1320</v>
      </c>
      <c r="C877" s="27">
        <v>240</v>
      </c>
      <c r="D877" s="3">
        <f t="shared" si="15"/>
        <v>240</v>
      </c>
      <c r="E877" s="3" t="s">
        <v>1386</v>
      </c>
    </row>
    <row r="878" spans="1:5" ht="18" x14ac:dyDescent="0.3">
      <c r="A878" s="3"/>
      <c r="B878" s="3" t="s">
        <v>1321</v>
      </c>
      <c r="C878" s="27">
        <v>382.25</v>
      </c>
      <c r="D878" s="3">
        <f t="shared" si="15"/>
        <v>382.25</v>
      </c>
      <c r="E878" s="3" t="s">
        <v>1386</v>
      </c>
    </row>
    <row r="879" spans="1:5" ht="18" x14ac:dyDescent="0.35">
      <c r="A879" s="28"/>
      <c r="B879" s="27" t="s">
        <v>1322</v>
      </c>
      <c r="C879" s="27">
        <v>480</v>
      </c>
      <c r="D879" s="3">
        <f t="shared" si="15"/>
        <v>480</v>
      </c>
      <c r="E879" s="3" t="s">
        <v>1386</v>
      </c>
    </row>
    <row r="880" spans="1:5" ht="18" x14ac:dyDescent="0.35">
      <c r="A880" s="28"/>
      <c r="B880" s="27" t="s">
        <v>1323</v>
      </c>
      <c r="C880" s="27">
        <v>1225.5</v>
      </c>
      <c r="D880" s="3">
        <f t="shared" si="15"/>
        <v>1225.5</v>
      </c>
      <c r="E880" s="3" t="s">
        <v>1386</v>
      </c>
    </row>
    <row r="881" spans="1:5" ht="18" x14ac:dyDescent="0.35">
      <c r="A881" s="28"/>
      <c r="B881" s="27" t="s">
        <v>1324</v>
      </c>
      <c r="C881" s="27">
        <v>1612</v>
      </c>
      <c r="D881" s="3">
        <f t="shared" si="15"/>
        <v>1612</v>
      </c>
      <c r="E881" s="3" t="s">
        <v>1386</v>
      </c>
    </row>
    <row r="882" spans="1:5" ht="18" x14ac:dyDescent="0.35">
      <c r="A882" s="28"/>
      <c r="B882" s="27" t="s">
        <v>1325</v>
      </c>
      <c r="C882" s="27">
        <v>2434.25</v>
      </c>
      <c r="D882" s="3">
        <f t="shared" si="15"/>
        <v>2434.25</v>
      </c>
      <c r="E882" s="3" t="s">
        <v>1386</v>
      </c>
    </row>
    <row r="883" spans="1:5" ht="18" x14ac:dyDescent="0.35">
      <c r="A883" s="28"/>
      <c r="B883" s="27" t="s">
        <v>1326</v>
      </c>
      <c r="C883" s="27">
        <v>30396.5</v>
      </c>
      <c r="D883" s="3">
        <f t="shared" si="15"/>
        <v>30396.5</v>
      </c>
      <c r="E883" s="3" t="s">
        <v>1386</v>
      </c>
    </row>
    <row r="884" spans="1:5" ht="18" x14ac:dyDescent="0.35">
      <c r="A884" s="28"/>
      <c r="B884" s="27" t="s">
        <v>1327</v>
      </c>
      <c r="C884" s="27">
        <v>8279</v>
      </c>
      <c r="D884" s="3">
        <f t="shared" si="15"/>
        <v>8279</v>
      </c>
      <c r="E884" s="3" t="s">
        <v>1386</v>
      </c>
    </row>
    <row r="885" spans="1:5" ht="18" x14ac:dyDescent="0.35">
      <c r="A885" s="28"/>
      <c r="B885" s="27" t="s">
        <v>1328</v>
      </c>
      <c r="C885" s="27">
        <v>835.25</v>
      </c>
      <c r="D885" s="3">
        <f t="shared" si="15"/>
        <v>835.25</v>
      </c>
      <c r="E885" s="3" t="s">
        <v>1386</v>
      </c>
    </row>
    <row r="886" spans="1:5" ht="18" x14ac:dyDescent="0.35">
      <c r="A886" s="28"/>
      <c r="B886" s="27" t="s">
        <v>1329</v>
      </c>
      <c r="C886" s="27">
        <v>1113.5</v>
      </c>
      <c r="D886" s="3">
        <f t="shared" si="15"/>
        <v>1113.5</v>
      </c>
      <c r="E886" s="3" t="s">
        <v>1386</v>
      </c>
    </row>
    <row r="887" spans="1:5" ht="18" x14ac:dyDescent="0.35">
      <c r="A887" s="28"/>
      <c r="B887" s="27" t="s">
        <v>1330</v>
      </c>
      <c r="C887" s="27">
        <v>569.75</v>
      </c>
      <c r="D887" s="3">
        <f t="shared" si="15"/>
        <v>569.75</v>
      </c>
      <c r="E887" s="3" t="s">
        <v>1386</v>
      </c>
    </row>
    <row r="888" spans="1:5" ht="18" x14ac:dyDescent="0.35">
      <c r="A888" s="28"/>
      <c r="B888" s="27" t="s">
        <v>1331</v>
      </c>
      <c r="C888" s="27">
        <v>1025.25</v>
      </c>
      <c r="D888" s="3">
        <f t="shared" si="15"/>
        <v>1025.25</v>
      </c>
      <c r="E888" s="3" t="s">
        <v>1386</v>
      </c>
    </row>
    <row r="889" spans="1:5" ht="18" x14ac:dyDescent="0.35">
      <c r="A889" s="28"/>
      <c r="B889" s="27" t="s">
        <v>1332</v>
      </c>
      <c r="C889" s="27">
        <v>272.5</v>
      </c>
      <c r="D889" s="3">
        <f t="shared" si="15"/>
        <v>272.5</v>
      </c>
      <c r="E889" s="3" t="s">
        <v>1386</v>
      </c>
    </row>
    <row r="890" spans="1:5" ht="18" x14ac:dyDescent="0.35">
      <c r="A890" s="28"/>
      <c r="B890" s="27" t="s">
        <v>1333</v>
      </c>
      <c r="C890" s="27">
        <v>85</v>
      </c>
      <c r="D890" s="3">
        <f t="shared" si="15"/>
        <v>85</v>
      </c>
      <c r="E890" s="3" t="s">
        <v>1386</v>
      </c>
    </row>
    <row r="891" spans="1:5" ht="18" x14ac:dyDescent="0.35">
      <c r="A891" s="28"/>
      <c r="B891" s="27" t="s">
        <v>1334</v>
      </c>
      <c r="C891" s="27">
        <v>307.25</v>
      </c>
      <c r="D891" s="3">
        <f t="shared" si="15"/>
        <v>307.25</v>
      </c>
      <c r="E891" s="3" t="s">
        <v>1386</v>
      </c>
    </row>
    <row r="892" spans="1:5" ht="18" x14ac:dyDescent="0.35">
      <c r="A892" s="28"/>
      <c r="B892" s="27" t="s">
        <v>1335</v>
      </c>
      <c r="C892" s="27">
        <v>58</v>
      </c>
      <c r="D892" s="3">
        <f t="shared" si="15"/>
        <v>58</v>
      </c>
      <c r="E892" s="3" t="s">
        <v>1386</v>
      </c>
    </row>
    <row r="893" spans="1:5" ht="18" x14ac:dyDescent="0.35">
      <c r="A893" s="28"/>
      <c r="B893" s="27" t="s">
        <v>1336</v>
      </c>
      <c r="C893" s="27">
        <v>66</v>
      </c>
      <c r="D893" s="3">
        <f t="shared" si="15"/>
        <v>66</v>
      </c>
      <c r="E893" s="3" t="s">
        <v>1386</v>
      </c>
    </row>
    <row r="894" spans="1:5" ht="18" x14ac:dyDescent="0.35">
      <c r="A894" s="28"/>
      <c r="B894" s="27" t="s">
        <v>1337</v>
      </c>
      <c r="C894" s="27">
        <v>278.75</v>
      </c>
      <c r="D894" s="3">
        <f t="shared" si="15"/>
        <v>278.75</v>
      </c>
      <c r="E894" s="3" t="s">
        <v>1386</v>
      </c>
    </row>
    <row r="895" spans="1:5" ht="18" x14ac:dyDescent="0.35">
      <c r="A895" s="28"/>
      <c r="B895" s="27" t="s">
        <v>1338</v>
      </c>
      <c r="C895" s="27">
        <v>945.75</v>
      </c>
      <c r="D895" s="3">
        <f t="shared" si="15"/>
        <v>945.75</v>
      </c>
      <c r="E895" s="3" t="s">
        <v>1386</v>
      </c>
    </row>
    <row r="896" spans="1:5" ht="18" x14ac:dyDescent="0.35">
      <c r="A896" s="28"/>
      <c r="B896" s="27" t="s">
        <v>1339</v>
      </c>
      <c r="C896" s="27">
        <v>767</v>
      </c>
      <c r="D896" s="3">
        <f t="shared" si="15"/>
        <v>767</v>
      </c>
      <c r="E896" s="3" t="s">
        <v>1386</v>
      </c>
    </row>
    <row r="897" spans="1:5" ht="18" x14ac:dyDescent="0.35">
      <c r="A897" s="28"/>
      <c r="B897" s="27" t="s">
        <v>1340</v>
      </c>
      <c r="C897" s="27">
        <v>3228.25</v>
      </c>
      <c r="D897" s="3">
        <f t="shared" si="15"/>
        <v>3228.25</v>
      </c>
      <c r="E897" s="3" t="s">
        <v>1386</v>
      </c>
    </row>
    <row r="898" spans="1:5" ht="18" x14ac:dyDescent="0.35">
      <c r="A898" s="28"/>
      <c r="B898" s="27" t="s">
        <v>1341</v>
      </c>
      <c r="C898" s="27">
        <v>786</v>
      </c>
      <c r="D898" s="3">
        <f t="shared" ref="D898:D920" si="16">C898</f>
        <v>786</v>
      </c>
      <c r="E898" s="3" t="s">
        <v>1386</v>
      </c>
    </row>
    <row r="899" spans="1:5" ht="18" x14ac:dyDescent="0.35">
      <c r="A899" s="28"/>
      <c r="B899" s="27" t="s">
        <v>1342</v>
      </c>
      <c r="C899" s="27">
        <v>1549.25</v>
      </c>
      <c r="D899" s="3">
        <f t="shared" si="16"/>
        <v>1549.25</v>
      </c>
      <c r="E899" s="3" t="s">
        <v>1386</v>
      </c>
    </row>
    <row r="900" spans="1:5" ht="18" x14ac:dyDescent="0.35">
      <c r="A900" s="28"/>
      <c r="B900" s="27" t="s">
        <v>1343</v>
      </c>
      <c r="C900" s="27">
        <v>112.25</v>
      </c>
      <c r="D900" s="3">
        <f t="shared" si="16"/>
        <v>112.25</v>
      </c>
      <c r="E900" s="3" t="s">
        <v>1386</v>
      </c>
    </row>
    <row r="901" spans="1:5" ht="18" x14ac:dyDescent="0.35">
      <c r="A901" s="28"/>
      <c r="B901" s="27" t="s">
        <v>1344</v>
      </c>
      <c r="C901" s="27">
        <v>112.25</v>
      </c>
      <c r="D901" s="3">
        <f t="shared" si="16"/>
        <v>112.25</v>
      </c>
      <c r="E901" s="3" t="s">
        <v>1386</v>
      </c>
    </row>
    <row r="902" spans="1:5" ht="18" x14ac:dyDescent="0.35">
      <c r="A902" s="28"/>
      <c r="B902" s="27" t="s">
        <v>1345</v>
      </c>
      <c r="C902" s="27">
        <v>224.5</v>
      </c>
      <c r="D902" s="3">
        <f t="shared" si="16"/>
        <v>224.5</v>
      </c>
      <c r="E902" s="3" t="s">
        <v>1386</v>
      </c>
    </row>
    <row r="903" spans="1:5" ht="18" x14ac:dyDescent="0.35">
      <c r="A903" s="28"/>
      <c r="B903" s="27" t="s">
        <v>1346</v>
      </c>
      <c r="C903" s="27">
        <v>112.25</v>
      </c>
      <c r="D903" s="3">
        <f t="shared" si="16"/>
        <v>112.25</v>
      </c>
      <c r="E903" s="3" t="s">
        <v>1386</v>
      </c>
    </row>
    <row r="904" spans="1:5" ht="18" x14ac:dyDescent="0.35">
      <c r="A904" s="28"/>
      <c r="B904" s="27" t="s">
        <v>1347</v>
      </c>
      <c r="C904" s="27">
        <v>160.5</v>
      </c>
      <c r="D904" s="3">
        <f t="shared" si="16"/>
        <v>160.5</v>
      </c>
      <c r="E904" s="3" t="s">
        <v>1386</v>
      </c>
    </row>
    <row r="905" spans="1:5" ht="18" x14ac:dyDescent="0.35">
      <c r="A905" s="28"/>
      <c r="B905" s="27" t="s">
        <v>1348</v>
      </c>
      <c r="C905" s="27">
        <v>443.75</v>
      </c>
      <c r="D905" s="3">
        <f t="shared" si="16"/>
        <v>443.75</v>
      </c>
      <c r="E905" s="3" t="s">
        <v>1386</v>
      </c>
    </row>
    <row r="906" spans="1:5" ht="18" x14ac:dyDescent="0.35">
      <c r="A906" s="28"/>
      <c r="B906" s="27" t="s">
        <v>1349</v>
      </c>
      <c r="C906" s="27">
        <v>270.75</v>
      </c>
      <c r="D906" s="3">
        <f t="shared" si="16"/>
        <v>270.75</v>
      </c>
      <c r="E906" s="3" t="s">
        <v>1386</v>
      </c>
    </row>
    <row r="907" spans="1:5" ht="18" x14ac:dyDescent="0.35">
      <c r="A907" s="28"/>
      <c r="B907" s="27" t="s">
        <v>1350</v>
      </c>
      <c r="C907" s="27">
        <v>405.75</v>
      </c>
      <c r="D907" s="3">
        <f t="shared" si="16"/>
        <v>405.75</v>
      </c>
      <c r="E907" s="3" t="s">
        <v>1386</v>
      </c>
    </row>
    <row r="908" spans="1:5" ht="18" x14ac:dyDescent="0.35">
      <c r="A908" s="28"/>
      <c r="B908" s="27" t="s">
        <v>1351</v>
      </c>
      <c r="C908" s="27">
        <v>6076</v>
      </c>
      <c r="D908" s="3">
        <f t="shared" si="16"/>
        <v>6076</v>
      </c>
      <c r="E908" s="3" t="s">
        <v>1386</v>
      </c>
    </row>
    <row r="909" spans="1:5" ht="18" x14ac:dyDescent="0.35">
      <c r="A909" s="28"/>
      <c r="B909" s="27" t="s">
        <v>1352</v>
      </c>
      <c r="C909" s="27">
        <v>969.5</v>
      </c>
      <c r="D909" s="3">
        <f t="shared" si="16"/>
        <v>969.5</v>
      </c>
      <c r="E909" s="3" t="s">
        <v>1386</v>
      </c>
    </row>
    <row r="910" spans="1:5" ht="18" x14ac:dyDescent="0.35">
      <c r="A910" s="28"/>
      <c r="B910" s="27" t="s">
        <v>1353</v>
      </c>
      <c r="C910" s="27">
        <v>969.5</v>
      </c>
      <c r="D910" s="3">
        <f t="shared" si="16"/>
        <v>969.5</v>
      </c>
      <c r="E910" s="3" t="s">
        <v>1386</v>
      </c>
    </row>
    <row r="911" spans="1:5" ht="18" x14ac:dyDescent="0.35">
      <c r="A911" s="28"/>
      <c r="B911" s="27" t="s">
        <v>1354</v>
      </c>
      <c r="C911" s="27">
        <v>969.5</v>
      </c>
      <c r="D911" s="3">
        <f t="shared" si="16"/>
        <v>969.5</v>
      </c>
      <c r="E911" s="3" t="s">
        <v>1386</v>
      </c>
    </row>
    <row r="912" spans="1:5" ht="18" x14ac:dyDescent="0.35">
      <c r="A912" s="28"/>
      <c r="B912" s="27" t="s">
        <v>1355</v>
      </c>
      <c r="C912" s="27">
        <v>969.5</v>
      </c>
      <c r="D912" s="3">
        <f t="shared" si="16"/>
        <v>969.5</v>
      </c>
      <c r="E912" s="3" t="s">
        <v>1386</v>
      </c>
    </row>
    <row r="913" spans="1:8" ht="18" x14ac:dyDescent="0.35">
      <c r="A913" s="28"/>
      <c r="B913" s="27" t="s">
        <v>1356</v>
      </c>
      <c r="C913" s="27">
        <v>969.5</v>
      </c>
      <c r="D913" s="3">
        <f t="shared" si="16"/>
        <v>969.5</v>
      </c>
      <c r="E913" s="3" t="s">
        <v>1386</v>
      </c>
    </row>
    <row r="914" spans="1:8" ht="18" x14ac:dyDescent="0.35">
      <c r="A914" s="28"/>
      <c r="B914" s="27" t="s">
        <v>1357</v>
      </c>
      <c r="C914" s="27">
        <v>9176.5</v>
      </c>
      <c r="D914" s="3">
        <f t="shared" si="16"/>
        <v>9176.5</v>
      </c>
      <c r="E914" s="3" t="s">
        <v>1386</v>
      </c>
    </row>
    <row r="915" spans="1:8" ht="18" x14ac:dyDescent="0.35">
      <c r="A915" s="28"/>
      <c r="B915" s="27" t="s">
        <v>1358</v>
      </c>
      <c r="C915" s="27">
        <v>17062.75</v>
      </c>
      <c r="D915" s="3">
        <f t="shared" si="16"/>
        <v>17062.75</v>
      </c>
      <c r="E915" s="3" t="s">
        <v>1386</v>
      </c>
    </row>
    <row r="916" spans="1:8" ht="18" x14ac:dyDescent="0.35">
      <c r="A916" s="28"/>
      <c r="B916" s="27" t="s">
        <v>1359</v>
      </c>
      <c r="C916" s="27">
        <v>26480.25</v>
      </c>
      <c r="D916" s="3">
        <f t="shared" si="16"/>
        <v>26480.25</v>
      </c>
      <c r="E916" s="3" t="s">
        <v>1386</v>
      </c>
    </row>
    <row r="917" spans="1:8" ht="18" x14ac:dyDescent="0.35">
      <c r="A917" s="28"/>
      <c r="B917" s="27" t="s">
        <v>1360</v>
      </c>
      <c r="C917" s="27">
        <v>96</v>
      </c>
      <c r="D917" s="3">
        <f t="shared" si="16"/>
        <v>96</v>
      </c>
      <c r="E917" s="3" t="s">
        <v>1386</v>
      </c>
    </row>
    <row r="918" spans="1:8" ht="18" x14ac:dyDescent="0.35">
      <c r="A918" s="28"/>
      <c r="B918" s="27" t="s">
        <v>1361</v>
      </c>
      <c r="C918" s="27">
        <v>159.25</v>
      </c>
      <c r="D918" s="3">
        <f t="shared" si="16"/>
        <v>159.25</v>
      </c>
      <c r="E918" s="3" t="s">
        <v>1386</v>
      </c>
    </row>
    <row r="919" spans="1:8" ht="18" x14ac:dyDescent="0.35">
      <c r="A919" s="28"/>
      <c r="B919" s="27" t="s">
        <v>1362</v>
      </c>
      <c r="C919" s="27">
        <v>251</v>
      </c>
      <c r="D919" s="3">
        <f t="shared" si="16"/>
        <v>251</v>
      </c>
      <c r="E919" s="3" t="s">
        <v>1386</v>
      </c>
      <c r="H919" s="35"/>
    </row>
    <row r="920" spans="1:8" ht="18" x14ac:dyDescent="0.35">
      <c r="A920" s="28"/>
      <c r="B920" s="27"/>
      <c r="C920" s="27"/>
      <c r="D920" s="3">
        <f t="shared" si="16"/>
        <v>0</v>
      </c>
      <c r="E920" s="27"/>
    </row>
    <row r="921" spans="1:8" ht="18" x14ac:dyDescent="0.35">
      <c r="A921" s="28"/>
      <c r="B921" s="27" t="s">
        <v>1398</v>
      </c>
      <c r="C921" s="3">
        <v>65.11</v>
      </c>
      <c r="D921" s="3">
        <f>(Table5[[#This Row],[السعر]]*15/100) +Table5[[#This Row],[السعر]]</f>
        <v>74.876499999999993</v>
      </c>
      <c r="E921" s="3" t="s">
        <v>1595</v>
      </c>
      <c r="F921" s="40"/>
      <c r="G921" s="40"/>
      <c r="H921" s="40"/>
    </row>
    <row r="922" spans="1:8" ht="18" x14ac:dyDescent="0.35">
      <c r="A922" s="28"/>
      <c r="B922" s="27" t="s">
        <v>1399</v>
      </c>
      <c r="C922" s="3">
        <v>197.39</v>
      </c>
      <c r="D922" s="3">
        <f>(Table5[[#This Row],[السعر]]*15/100) +Table5[[#This Row],[السعر]]</f>
        <v>226.99849999999998</v>
      </c>
      <c r="E922" s="3" t="s">
        <v>1595</v>
      </c>
    </row>
    <row r="923" spans="1:8" ht="18" x14ac:dyDescent="0.35">
      <c r="A923" s="28"/>
      <c r="B923" s="27" t="s">
        <v>1400</v>
      </c>
      <c r="C923" s="3">
        <v>253.78</v>
      </c>
      <c r="D923" s="3">
        <f>(Table5[[#This Row],[السعر]]*15/100) +Table5[[#This Row],[السعر]]</f>
        <v>291.84699999999998</v>
      </c>
      <c r="E923" s="3" t="s">
        <v>1595</v>
      </c>
    </row>
    <row r="924" spans="1:8" ht="18" x14ac:dyDescent="0.35">
      <c r="A924" s="28"/>
      <c r="B924" s="27" t="s">
        <v>1401</v>
      </c>
      <c r="C924" s="3">
        <v>537.66999999999996</v>
      </c>
      <c r="D924" s="3">
        <f>(Table5[[#This Row],[السعر]]*15/100) +Table5[[#This Row],[السعر]]</f>
        <v>618.32049999999992</v>
      </c>
      <c r="E924" s="3" t="s">
        <v>1595</v>
      </c>
    </row>
    <row r="925" spans="1:8" ht="18" x14ac:dyDescent="0.35">
      <c r="A925" s="28"/>
      <c r="B925" s="27" t="s">
        <v>1402</v>
      </c>
      <c r="C925" s="3">
        <v>62.23</v>
      </c>
      <c r="D925" s="3">
        <f>(Table5[[#This Row],[السعر]]*15/100) +Table5[[#This Row],[السعر]]</f>
        <v>71.564499999999995</v>
      </c>
      <c r="E925" s="3" t="s">
        <v>1595</v>
      </c>
    </row>
    <row r="926" spans="1:8" ht="18" x14ac:dyDescent="0.35">
      <c r="A926" s="28"/>
      <c r="B926" s="3" t="s">
        <v>1417</v>
      </c>
      <c r="C926" s="3">
        <v>11.35</v>
      </c>
      <c r="D926" s="3">
        <f>(Table5[[#This Row],[السعر]]*15/100) +Table5[[#This Row],[السعر]]</f>
        <v>13.0525</v>
      </c>
      <c r="E926" s="3" t="s">
        <v>1595</v>
      </c>
    </row>
    <row r="927" spans="1:8" ht="18" x14ac:dyDescent="0.35">
      <c r="A927" s="28"/>
      <c r="B927" s="3" t="s">
        <v>1418</v>
      </c>
      <c r="C927" s="3">
        <v>23.47</v>
      </c>
      <c r="D927" s="3">
        <f>(Table5[[#This Row],[السعر]]*15/100) +Table5[[#This Row],[السعر]]</f>
        <v>26.990499999999997</v>
      </c>
      <c r="E927" s="3" t="s">
        <v>1595</v>
      </c>
    </row>
    <row r="928" spans="1:8" ht="18" x14ac:dyDescent="0.35">
      <c r="A928" s="28"/>
      <c r="B928" s="3" t="s">
        <v>1419</v>
      </c>
      <c r="C928" s="3">
        <v>12.66</v>
      </c>
      <c r="D928" s="3">
        <f>(Table5[[#This Row],[السعر]]*15/100) +Table5[[#This Row],[السعر]]</f>
        <v>14.559000000000001</v>
      </c>
      <c r="E928" s="3" t="s">
        <v>1595</v>
      </c>
    </row>
    <row r="929" spans="1:5" ht="18" x14ac:dyDescent="0.35">
      <c r="A929" s="28"/>
      <c r="B929" s="27" t="s">
        <v>1403</v>
      </c>
      <c r="C929" s="3">
        <v>40.08</v>
      </c>
      <c r="D929" s="3">
        <f>(Table5[[#This Row],[السعر]]*15/100) +Table5[[#This Row],[السعر]]</f>
        <v>46.091999999999999</v>
      </c>
      <c r="E929" s="3" t="s">
        <v>1595</v>
      </c>
    </row>
    <row r="930" spans="1:5" ht="18" x14ac:dyDescent="0.35">
      <c r="A930" s="28"/>
      <c r="B930" s="27" t="s">
        <v>1404</v>
      </c>
      <c r="C930" s="3">
        <v>166.96</v>
      </c>
      <c r="D930" s="3">
        <f>(Table5[[#This Row],[السعر]]*15/100) +Table5[[#This Row],[السعر]]</f>
        <v>192.00400000000002</v>
      </c>
      <c r="E930" s="3" t="s">
        <v>1595</v>
      </c>
    </row>
    <row r="931" spans="1:5" ht="18" x14ac:dyDescent="0.35">
      <c r="A931" s="28"/>
      <c r="B931" s="3" t="s">
        <v>1420</v>
      </c>
      <c r="C931" s="3">
        <v>50.3</v>
      </c>
      <c r="D931" s="3">
        <f>(Table5[[#This Row],[السعر]]*15/100) +Table5[[#This Row],[السعر]]</f>
        <v>57.844999999999999</v>
      </c>
      <c r="E931" s="3" t="s">
        <v>1595</v>
      </c>
    </row>
    <row r="932" spans="1:5" ht="18" x14ac:dyDescent="0.35">
      <c r="A932" s="28"/>
      <c r="B932" s="3" t="s">
        <v>1421</v>
      </c>
      <c r="C932" s="27">
        <v>143.54</v>
      </c>
      <c r="D932" s="3">
        <f>(Table5[[#This Row],[السعر]]*15/100) +Table5[[#This Row],[السعر]]</f>
        <v>165.071</v>
      </c>
      <c r="E932" s="3" t="s">
        <v>1595</v>
      </c>
    </row>
    <row r="933" spans="1:5" ht="18" x14ac:dyDescent="0.35">
      <c r="A933" s="28"/>
      <c r="B933" s="27" t="s">
        <v>1405</v>
      </c>
      <c r="C933" s="27">
        <v>19.29</v>
      </c>
      <c r="D933" s="3">
        <f>(Table5[[#This Row],[السعر]]*15/100) +Table5[[#This Row],[السعر]]</f>
        <v>22.183499999999999</v>
      </c>
      <c r="E933" s="3" t="s">
        <v>1595</v>
      </c>
    </row>
    <row r="934" spans="1:5" ht="18" x14ac:dyDescent="0.35">
      <c r="A934" s="28"/>
      <c r="B934" s="27" t="s">
        <v>1406</v>
      </c>
      <c r="C934" s="27">
        <v>19.29</v>
      </c>
      <c r="D934" s="3">
        <f>(Table5[[#This Row],[السعر]]*15/100) +Table5[[#This Row],[السعر]]</f>
        <v>22.183499999999999</v>
      </c>
      <c r="E934" s="3" t="s">
        <v>1595</v>
      </c>
    </row>
    <row r="935" spans="1:5" ht="18" x14ac:dyDescent="0.35">
      <c r="A935" s="28"/>
      <c r="B935" s="27" t="s">
        <v>1407</v>
      </c>
      <c r="C935" s="27">
        <v>77.180000000000007</v>
      </c>
      <c r="D935" s="3">
        <f>(Table5[[#This Row],[السعر]]*15/100) +Table5[[#This Row],[السعر]]</f>
        <v>88.757000000000005</v>
      </c>
      <c r="E935" s="3" t="s">
        <v>1595</v>
      </c>
    </row>
    <row r="936" spans="1:5" ht="18" x14ac:dyDescent="0.35">
      <c r="A936" s="28"/>
      <c r="B936" s="27" t="s">
        <v>1408</v>
      </c>
      <c r="C936" s="27">
        <v>96.17</v>
      </c>
      <c r="D936" s="3">
        <f>(Table5[[#This Row],[السعر]]*15/100) +Table5[[#This Row],[السعر]]</f>
        <v>110.5955</v>
      </c>
      <c r="E936" s="3" t="s">
        <v>1595</v>
      </c>
    </row>
    <row r="937" spans="1:5" ht="18" x14ac:dyDescent="0.35">
      <c r="A937" s="28"/>
      <c r="B937" s="27" t="s">
        <v>1409</v>
      </c>
      <c r="C937" s="27">
        <v>57.88</v>
      </c>
      <c r="D937" s="3">
        <f>(Table5[[#This Row],[السعر]]*15/100) +Table5[[#This Row],[السعر]]</f>
        <v>66.561999999999998</v>
      </c>
      <c r="E937" s="3" t="s">
        <v>1595</v>
      </c>
    </row>
    <row r="938" spans="1:5" ht="18" x14ac:dyDescent="0.35">
      <c r="A938" s="28"/>
      <c r="B938" s="27" t="s">
        <v>1410</v>
      </c>
      <c r="C938" s="27">
        <v>66.89</v>
      </c>
      <c r="D938" s="3">
        <f>(Table5[[#This Row],[السعر]]*15/100) +Table5[[#This Row],[السعر]]</f>
        <v>76.923500000000004</v>
      </c>
      <c r="E938" s="3" t="s">
        <v>1595</v>
      </c>
    </row>
    <row r="939" spans="1:5" ht="18" x14ac:dyDescent="0.35">
      <c r="A939" s="28"/>
      <c r="B939" s="27" t="s">
        <v>1411</v>
      </c>
      <c r="C939" s="27">
        <v>25.73</v>
      </c>
      <c r="D939" s="3">
        <f>(Table5[[#This Row],[السعر]]*15/100) +Table5[[#This Row],[السعر]]</f>
        <v>29.589500000000001</v>
      </c>
      <c r="E939" s="3" t="s">
        <v>1595</v>
      </c>
    </row>
    <row r="940" spans="1:5" ht="18" x14ac:dyDescent="0.35">
      <c r="A940" s="28"/>
      <c r="B940" s="27" t="s">
        <v>1412</v>
      </c>
      <c r="C940" s="27">
        <v>55.31</v>
      </c>
      <c r="D940" s="3">
        <f>(Table5[[#This Row],[السعر]]*15/100) +Table5[[#This Row],[السعر]]</f>
        <v>63.606500000000004</v>
      </c>
      <c r="E940" s="3" t="s">
        <v>1595</v>
      </c>
    </row>
    <row r="941" spans="1:5" ht="18" x14ac:dyDescent="0.35">
      <c r="A941" s="28"/>
      <c r="B941" s="27" t="s">
        <v>1413</v>
      </c>
      <c r="C941" s="27">
        <v>38.590000000000003</v>
      </c>
      <c r="D941" s="3">
        <f>(Table5[[#This Row],[السعر]]*15/100) +Table5[[#This Row],[السعر]]</f>
        <v>44.378500000000003</v>
      </c>
      <c r="E941" s="3" t="s">
        <v>1595</v>
      </c>
    </row>
    <row r="942" spans="1:5" ht="18" x14ac:dyDescent="0.35">
      <c r="A942" s="28"/>
      <c r="B942" s="27" t="s">
        <v>1414</v>
      </c>
      <c r="C942" s="27">
        <v>105.48</v>
      </c>
      <c r="D942" s="3">
        <f>(Table5[[#This Row],[السعر]]*15/100) +Table5[[#This Row],[السعر]]</f>
        <v>121.30200000000001</v>
      </c>
      <c r="E942" s="3" t="s">
        <v>1595</v>
      </c>
    </row>
    <row r="943" spans="1:5" ht="18" x14ac:dyDescent="0.35">
      <c r="A943" s="28"/>
      <c r="B943" s="3" t="s">
        <v>1422</v>
      </c>
      <c r="C943" s="27">
        <v>178.09</v>
      </c>
      <c r="D943" s="3">
        <f>(Table5[[#This Row],[السعر]]*15/100) +Table5[[#This Row],[السعر]]</f>
        <v>204.80350000000001</v>
      </c>
      <c r="E943" s="3" t="s">
        <v>1595</v>
      </c>
    </row>
    <row r="944" spans="1:5" ht="18" x14ac:dyDescent="0.35">
      <c r="A944" s="28"/>
      <c r="B944" s="27" t="s">
        <v>1415</v>
      </c>
      <c r="C944" s="27">
        <v>145.63999999999999</v>
      </c>
      <c r="D944" s="3">
        <f>(Table5[[#This Row],[السعر]]*15/100) +Table5[[#This Row],[السعر]]</f>
        <v>167.48599999999999</v>
      </c>
      <c r="E944" s="3" t="s">
        <v>1595</v>
      </c>
    </row>
    <row r="945" spans="1:5" ht="18" x14ac:dyDescent="0.35">
      <c r="A945" s="28"/>
      <c r="B945" s="27" t="s">
        <v>1416</v>
      </c>
      <c r="C945" s="27">
        <v>182.05</v>
      </c>
      <c r="D945" s="3">
        <f>(Table5[[#This Row],[السعر]]*15/100) +Table5[[#This Row],[السعر]]</f>
        <v>209.35750000000002</v>
      </c>
      <c r="E945" s="3" t="s">
        <v>1595</v>
      </c>
    </row>
    <row r="946" spans="1:5" ht="18" x14ac:dyDescent="0.35">
      <c r="A946" s="28"/>
      <c r="B946" s="27" t="s">
        <v>1423</v>
      </c>
      <c r="C946" s="27">
        <v>109.23</v>
      </c>
      <c r="D946" s="3">
        <f>(Table5[[#This Row],[السعر]]*15/100) +Table5[[#This Row],[السعر]]</f>
        <v>125.61450000000001</v>
      </c>
      <c r="E946" s="3" t="s">
        <v>1595</v>
      </c>
    </row>
    <row r="947" spans="1:5" ht="18" x14ac:dyDescent="0.35">
      <c r="A947" s="28"/>
      <c r="B947" s="27" t="s">
        <v>1424</v>
      </c>
      <c r="C947" s="27">
        <v>68.27</v>
      </c>
      <c r="D947" s="3">
        <f>(Table5[[#This Row],[السعر]]*15/100) +Table5[[#This Row],[السعر]]</f>
        <v>78.510499999999993</v>
      </c>
      <c r="E947" s="3" t="s">
        <v>1595</v>
      </c>
    </row>
    <row r="948" spans="1:5" ht="18" x14ac:dyDescent="0.35">
      <c r="A948" s="28"/>
      <c r="B948" s="27" t="s">
        <v>1425</v>
      </c>
      <c r="C948" s="27">
        <v>60.45</v>
      </c>
      <c r="D948" s="3">
        <f>(Table5[[#This Row],[السعر]]*15/100) +Table5[[#This Row],[السعر]]</f>
        <v>69.517499999999998</v>
      </c>
      <c r="E948" s="3" t="s">
        <v>1595</v>
      </c>
    </row>
    <row r="949" spans="1:5" ht="18" x14ac:dyDescent="0.35">
      <c r="A949" s="28"/>
      <c r="B949" s="3" t="s">
        <v>1441</v>
      </c>
      <c r="C949" s="27">
        <v>299.19</v>
      </c>
      <c r="D949" s="3">
        <f>(Table5[[#This Row],[السعر]]*15/100) +Table5[[#This Row],[السعر]]</f>
        <v>344.06849999999997</v>
      </c>
      <c r="E949" s="3" t="s">
        <v>1595</v>
      </c>
    </row>
    <row r="950" spans="1:5" ht="18" x14ac:dyDescent="0.35">
      <c r="A950" s="28"/>
      <c r="B950" s="3" t="s">
        <v>1442</v>
      </c>
      <c r="C950" s="27">
        <v>214.17</v>
      </c>
      <c r="D950" s="3">
        <f>(Table5[[#This Row],[السعر]]*15/100) +Table5[[#This Row],[السعر]]</f>
        <v>246.29549999999998</v>
      </c>
      <c r="E950" s="3" t="s">
        <v>1595</v>
      </c>
    </row>
    <row r="951" spans="1:5" ht="18" x14ac:dyDescent="0.35">
      <c r="A951" s="28"/>
      <c r="B951" s="27" t="s">
        <v>1426</v>
      </c>
      <c r="C951" s="27">
        <v>43.93</v>
      </c>
      <c r="D951" s="3">
        <f>(Table5[[#This Row],[السعر]]*15/100) +Table5[[#This Row],[السعر]]</f>
        <v>50.519500000000001</v>
      </c>
      <c r="E951" s="3" t="s">
        <v>1595</v>
      </c>
    </row>
    <row r="952" spans="1:5" ht="18" x14ac:dyDescent="0.35">
      <c r="A952" s="28"/>
      <c r="B952" s="27" t="s">
        <v>1427</v>
      </c>
      <c r="C952" s="27">
        <v>71.39</v>
      </c>
      <c r="D952" s="3">
        <f>(Table5[[#This Row],[السعر]]*15/100) +Table5[[#This Row],[السعر]]</f>
        <v>82.098500000000001</v>
      </c>
      <c r="E952" s="3" t="s">
        <v>1595</v>
      </c>
    </row>
    <row r="953" spans="1:5" ht="18" x14ac:dyDescent="0.35">
      <c r="A953" s="28"/>
      <c r="B953" s="27" t="s">
        <v>1428</v>
      </c>
      <c r="C953" s="27">
        <v>22.88</v>
      </c>
      <c r="D953" s="3">
        <f>(Table5[[#This Row],[السعر]]*15/100) +Table5[[#This Row],[السعر]]</f>
        <v>26.311999999999998</v>
      </c>
      <c r="E953" s="3" t="s">
        <v>1595</v>
      </c>
    </row>
    <row r="954" spans="1:5" ht="18" x14ac:dyDescent="0.35">
      <c r="A954" s="28"/>
      <c r="B954" s="27" t="s">
        <v>1429</v>
      </c>
      <c r="C954" s="27">
        <v>14.55</v>
      </c>
      <c r="D954" s="3">
        <f>(Table5[[#This Row],[السعر]]*15/100) +Table5[[#This Row],[السعر]]</f>
        <v>16.732500000000002</v>
      </c>
      <c r="E954" s="3" t="s">
        <v>1595</v>
      </c>
    </row>
    <row r="955" spans="1:5" ht="18" x14ac:dyDescent="0.35">
      <c r="A955" s="28"/>
      <c r="B955" s="3" t="s">
        <v>1443</v>
      </c>
      <c r="C955" s="27">
        <v>141.09</v>
      </c>
      <c r="D955" s="3">
        <f>(Table5[[#This Row],[السعر]]*15/100) +Table5[[#This Row],[السعر]]</f>
        <v>162.2535</v>
      </c>
      <c r="E955" s="3" t="s">
        <v>1595</v>
      </c>
    </row>
    <row r="956" spans="1:5" ht="18" x14ac:dyDescent="0.35">
      <c r="A956" s="28"/>
      <c r="B956" s="27" t="s">
        <v>1430</v>
      </c>
      <c r="C956" s="27">
        <v>213.71</v>
      </c>
      <c r="D956" s="3">
        <f>(Table5[[#This Row],[السعر]]*15/100) +Table5[[#This Row],[السعر]]</f>
        <v>245.76650000000001</v>
      </c>
      <c r="E956" s="3" t="s">
        <v>1595</v>
      </c>
    </row>
    <row r="957" spans="1:5" ht="18" x14ac:dyDescent="0.35">
      <c r="A957" s="28"/>
      <c r="B957" s="27" t="s">
        <v>1431</v>
      </c>
      <c r="C957" s="3">
        <v>195.9</v>
      </c>
      <c r="D957" s="3">
        <f>(Table5[[#This Row],[السعر]]*15/100) +Table5[[#This Row],[السعر]]</f>
        <v>225.285</v>
      </c>
      <c r="E957" s="3" t="s">
        <v>1595</v>
      </c>
    </row>
    <row r="958" spans="1:5" ht="18" x14ac:dyDescent="0.35">
      <c r="A958" s="28"/>
      <c r="B958" s="27" t="s">
        <v>1432</v>
      </c>
      <c r="C958" s="3">
        <v>201.84</v>
      </c>
      <c r="D958" s="3">
        <f>(Table5[[#This Row],[السعر]]*15/100) +Table5[[#This Row],[السعر]]</f>
        <v>232.11600000000001</v>
      </c>
      <c r="E958" s="3" t="s">
        <v>1595</v>
      </c>
    </row>
    <row r="959" spans="1:5" ht="18" x14ac:dyDescent="0.35">
      <c r="A959" s="28"/>
      <c r="B959" s="27" t="s">
        <v>1433</v>
      </c>
      <c r="C959" s="3">
        <v>133.52000000000001</v>
      </c>
      <c r="D959" s="3">
        <f>(Table5[[#This Row],[السعر]]*15/100) +Table5[[#This Row],[السعر]]</f>
        <v>153.548</v>
      </c>
      <c r="E959" s="3" t="s">
        <v>1595</v>
      </c>
    </row>
    <row r="960" spans="1:5" ht="18" x14ac:dyDescent="0.35">
      <c r="A960" s="28"/>
      <c r="B960" s="27" t="s">
        <v>1434</v>
      </c>
      <c r="C960" s="3">
        <v>19.39</v>
      </c>
      <c r="D960" s="3">
        <f>(Table5[[#This Row],[السعر]]*15/100) +Table5[[#This Row],[السعر]]</f>
        <v>22.298500000000001</v>
      </c>
      <c r="E960" s="3" t="s">
        <v>1595</v>
      </c>
    </row>
    <row r="961" spans="1:5" ht="18" x14ac:dyDescent="0.35">
      <c r="A961" s="28"/>
      <c r="B961" s="27" t="s">
        <v>1435</v>
      </c>
      <c r="C961" s="3">
        <v>19.39</v>
      </c>
      <c r="D961" s="3">
        <f>(Table5[[#This Row],[السعر]]*15/100) +Table5[[#This Row],[السعر]]</f>
        <v>22.298500000000001</v>
      </c>
      <c r="E961" s="3" t="s">
        <v>1595</v>
      </c>
    </row>
    <row r="962" spans="1:5" ht="18" x14ac:dyDescent="0.35">
      <c r="A962" s="28"/>
      <c r="B962" s="27" t="s">
        <v>1436</v>
      </c>
      <c r="C962" s="3">
        <v>10.39</v>
      </c>
      <c r="D962" s="3">
        <f>(Table5[[#This Row],[السعر]]*15/100) +Table5[[#This Row],[السعر]]</f>
        <v>11.948500000000001</v>
      </c>
      <c r="E962" s="3" t="s">
        <v>1595</v>
      </c>
    </row>
    <row r="963" spans="1:5" ht="18" x14ac:dyDescent="0.35">
      <c r="A963" s="28"/>
      <c r="B963" s="27" t="s">
        <v>1437</v>
      </c>
      <c r="C963" s="3">
        <v>18.010000000000002</v>
      </c>
      <c r="D963" s="3">
        <f>(Table5[[#This Row],[السعر]]*15/100) +Table5[[#This Row],[السعر]]</f>
        <v>20.711500000000001</v>
      </c>
      <c r="E963" s="3" t="s">
        <v>1595</v>
      </c>
    </row>
    <row r="964" spans="1:5" ht="18" x14ac:dyDescent="0.35">
      <c r="A964" s="28"/>
      <c r="B964" s="27" t="s">
        <v>1438</v>
      </c>
      <c r="C964" s="3">
        <v>54.14</v>
      </c>
      <c r="D964" s="3">
        <f>(Table5[[#This Row],[السعر]]*15/100) +Table5[[#This Row],[السعر]]</f>
        <v>62.261000000000003</v>
      </c>
      <c r="E964" s="3" t="s">
        <v>1595</v>
      </c>
    </row>
    <row r="965" spans="1:5" ht="18" x14ac:dyDescent="0.35">
      <c r="A965" s="28"/>
      <c r="B965" s="3" t="s">
        <v>1444</v>
      </c>
      <c r="C965" s="3">
        <v>162.07</v>
      </c>
      <c r="D965" s="3">
        <f>(Table5[[#This Row],[السعر]]*15/100) +Table5[[#This Row],[السعر]]</f>
        <v>186.38049999999998</v>
      </c>
      <c r="E965" s="3" t="s">
        <v>1595</v>
      </c>
    </row>
    <row r="966" spans="1:5" ht="18" x14ac:dyDescent="0.35">
      <c r="A966" s="28"/>
      <c r="B966" s="27" t="s">
        <v>1439</v>
      </c>
      <c r="C966" s="3">
        <v>159.97999999999999</v>
      </c>
      <c r="D966" s="3">
        <f>(Table5[[#This Row],[السعر]]*15/100) +Table5[[#This Row],[السعر]]</f>
        <v>183.97699999999998</v>
      </c>
      <c r="E966" s="3" t="s">
        <v>1595</v>
      </c>
    </row>
    <row r="967" spans="1:5" ht="18" x14ac:dyDescent="0.35">
      <c r="A967" s="28"/>
      <c r="B967" s="3" t="s">
        <v>1445</v>
      </c>
      <c r="C967" s="3">
        <v>7.57</v>
      </c>
      <c r="D967" s="3">
        <f>(Table5[[#This Row],[السعر]]*15/100) +Table5[[#This Row],[السعر]]</f>
        <v>8.7055000000000007</v>
      </c>
      <c r="E967" s="3" t="s">
        <v>1595</v>
      </c>
    </row>
    <row r="968" spans="1:5" ht="18" x14ac:dyDescent="0.35">
      <c r="A968" s="28"/>
      <c r="B968" s="3" t="s">
        <v>1446</v>
      </c>
      <c r="C968" s="3">
        <v>10.93</v>
      </c>
      <c r="D968" s="3">
        <f>(Table5[[#This Row],[السعر]]*15/100) +Table5[[#This Row],[السعر]]</f>
        <v>12.5695</v>
      </c>
      <c r="E968" s="3" t="s">
        <v>1595</v>
      </c>
    </row>
    <row r="969" spans="1:5" ht="18" x14ac:dyDescent="0.35">
      <c r="A969" s="28"/>
      <c r="B969" s="3" t="s">
        <v>1447</v>
      </c>
      <c r="C969" s="3">
        <v>10.93</v>
      </c>
      <c r="D969" s="3">
        <f>(Table5[[#This Row],[السعر]]*15/100) +Table5[[#This Row],[السعر]]</f>
        <v>12.5695</v>
      </c>
      <c r="E969" s="3" t="s">
        <v>1595</v>
      </c>
    </row>
    <row r="970" spans="1:5" ht="18" x14ac:dyDescent="0.35">
      <c r="A970" s="28"/>
      <c r="B970" s="27" t="s">
        <v>1440</v>
      </c>
      <c r="C970" s="3">
        <v>12.37</v>
      </c>
      <c r="D970" s="3">
        <f>(Table5[[#This Row],[السعر]]*15/100) +Table5[[#This Row],[السعر]]</f>
        <v>14.225499999999998</v>
      </c>
      <c r="E970" s="3" t="s">
        <v>1595</v>
      </c>
    </row>
    <row r="971" spans="1:5" ht="18" x14ac:dyDescent="0.35">
      <c r="A971" s="28"/>
      <c r="B971" s="27" t="s">
        <v>1448</v>
      </c>
      <c r="C971" s="3">
        <v>57.45</v>
      </c>
      <c r="D971" s="3">
        <f>(Table5[[#This Row],[السعر]]*15/100) +Table5[[#This Row],[السعر]]</f>
        <v>66.067499999999995</v>
      </c>
      <c r="E971" s="3" t="s">
        <v>1595</v>
      </c>
    </row>
    <row r="972" spans="1:5" ht="18" x14ac:dyDescent="0.35">
      <c r="A972" s="28"/>
      <c r="B972" s="27" t="s">
        <v>1449</v>
      </c>
      <c r="C972" s="3">
        <v>18.55</v>
      </c>
      <c r="D972" s="3">
        <f>(Table5[[#This Row],[السعر]]*15/100) +Table5[[#This Row],[السعر]]</f>
        <v>21.3325</v>
      </c>
      <c r="E972" s="3" t="s">
        <v>1595</v>
      </c>
    </row>
    <row r="973" spans="1:5" ht="18" x14ac:dyDescent="0.35">
      <c r="A973" s="28"/>
      <c r="B973" s="27" t="s">
        <v>1450</v>
      </c>
      <c r="C973" s="3">
        <v>8.9</v>
      </c>
      <c r="D973" s="3">
        <f>(Table5[[#This Row],[السعر]]*15/100) +Table5[[#This Row],[السعر]]</f>
        <v>10.234999999999999</v>
      </c>
      <c r="E973" s="3" t="s">
        <v>1595</v>
      </c>
    </row>
    <row r="974" spans="1:5" ht="18" x14ac:dyDescent="0.35">
      <c r="A974" s="28"/>
      <c r="B974" s="27" t="s">
        <v>1451</v>
      </c>
      <c r="C974" s="3">
        <v>25.73</v>
      </c>
      <c r="D974" s="3">
        <f>(Table5[[#This Row],[السعر]]*15/100) +Table5[[#This Row],[السعر]]</f>
        <v>29.589500000000001</v>
      </c>
      <c r="E974" s="3" t="s">
        <v>1595</v>
      </c>
    </row>
    <row r="975" spans="1:5" ht="18" x14ac:dyDescent="0.35">
      <c r="A975" s="28"/>
      <c r="B975" s="3" t="s">
        <v>1468</v>
      </c>
      <c r="C975" s="3">
        <v>24.73</v>
      </c>
      <c r="D975" s="3">
        <f>(Table5[[#This Row],[السعر]]*15/100) +Table5[[#This Row],[السعر]]</f>
        <v>28.439499999999999</v>
      </c>
      <c r="E975" s="3" t="s">
        <v>1595</v>
      </c>
    </row>
    <row r="976" spans="1:5" ht="18" x14ac:dyDescent="0.35">
      <c r="A976" s="28"/>
      <c r="B976" s="27" t="s">
        <v>1452</v>
      </c>
      <c r="C976" s="3">
        <v>111.3</v>
      </c>
      <c r="D976" s="3">
        <f>(Table5[[#This Row],[السعر]]*15/100) +Table5[[#This Row],[السعر]]</f>
        <v>127.995</v>
      </c>
      <c r="E976" s="3" t="s">
        <v>1595</v>
      </c>
    </row>
    <row r="977" spans="1:5" ht="18" x14ac:dyDescent="0.35">
      <c r="A977" s="21"/>
      <c r="B977" s="3" t="s">
        <v>1453</v>
      </c>
      <c r="C977" s="3">
        <v>80.39</v>
      </c>
      <c r="D977" s="3">
        <f>(Table5[[#This Row],[السعر]]*15/100) +Table5[[#This Row],[السعر]]</f>
        <v>92.448499999999996</v>
      </c>
      <c r="E977" s="3" t="s">
        <v>1595</v>
      </c>
    </row>
    <row r="978" spans="1:5" ht="18" x14ac:dyDescent="0.35">
      <c r="A978" s="21"/>
      <c r="B978" s="3" t="s">
        <v>1454</v>
      </c>
      <c r="C978" s="3">
        <v>193.93</v>
      </c>
      <c r="D978" s="3">
        <f>(Table5[[#This Row],[السعر]]*15/100) +Table5[[#This Row],[السعر]]</f>
        <v>223.01949999999999</v>
      </c>
      <c r="E978" s="3" t="s">
        <v>1595</v>
      </c>
    </row>
    <row r="979" spans="1:5" ht="18" x14ac:dyDescent="0.35">
      <c r="A979" s="21"/>
      <c r="B979" s="3" t="s">
        <v>1455</v>
      </c>
      <c r="C979" s="3">
        <v>21.64</v>
      </c>
      <c r="D979" s="3">
        <f>(Table5[[#This Row],[السعر]]*15/100) +Table5[[#This Row],[السعر]]</f>
        <v>24.886000000000003</v>
      </c>
      <c r="E979" s="3" t="s">
        <v>1595</v>
      </c>
    </row>
    <row r="980" spans="1:5" ht="18" x14ac:dyDescent="0.35">
      <c r="A980" s="21"/>
      <c r="B980" s="3" t="s">
        <v>1456</v>
      </c>
      <c r="C980" s="41">
        <v>1224.32</v>
      </c>
      <c r="D980" s="3">
        <f>(Table5[[#This Row],[السعر]]*15/100) +Table5[[#This Row],[السعر]]</f>
        <v>1407.9679999999998</v>
      </c>
      <c r="E980" s="3" t="s">
        <v>1595</v>
      </c>
    </row>
    <row r="981" spans="1:5" ht="18" x14ac:dyDescent="0.35">
      <c r="A981" s="21"/>
      <c r="B981" s="3" t="s">
        <v>1457</v>
      </c>
      <c r="C981" s="3">
        <v>55.31</v>
      </c>
      <c r="D981" s="3">
        <f>(Table5[[#This Row],[السعر]]*15/100) +Table5[[#This Row],[السعر]]</f>
        <v>63.606500000000004</v>
      </c>
      <c r="E981" s="3" t="s">
        <v>1595</v>
      </c>
    </row>
    <row r="982" spans="1:5" ht="18" x14ac:dyDescent="0.35">
      <c r="A982" s="21"/>
      <c r="B982" s="3" t="s">
        <v>1458</v>
      </c>
      <c r="C982" s="3">
        <v>55.31</v>
      </c>
      <c r="D982" s="3">
        <f>(Table5[[#This Row],[السعر]]*15/100) +Table5[[#This Row],[السعر]]</f>
        <v>63.606500000000004</v>
      </c>
      <c r="E982" s="3" t="s">
        <v>1595</v>
      </c>
    </row>
    <row r="983" spans="1:5" ht="18" x14ac:dyDescent="0.35">
      <c r="A983" s="21"/>
      <c r="B983" s="3" t="s">
        <v>1459</v>
      </c>
      <c r="C983" s="3">
        <v>15.83</v>
      </c>
      <c r="D983" s="3">
        <f>(Table5[[#This Row],[السعر]]*15/100) +Table5[[#This Row],[السعر]]</f>
        <v>18.204499999999999</v>
      </c>
      <c r="E983" s="3" t="s">
        <v>1595</v>
      </c>
    </row>
    <row r="984" spans="1:5" ht="18" x14ac:dyDescent="0.35">
      <c r="A984" s="21"/>
      <c r="B984" s="3" t="s">
        <v>1460</v>
      </c>
      <c r="C984" s="41">
        <v>6216.33</v>
      </c>
      <c r="D984" s="3">
        <f>(Table5[[#This Row],[السعر]]*15/100) +Table5[[#This Row],[السعر]]</f>
        <v>7148.7794999999996</v>
      </c>
      <c r="E984" s="3" t="s">
        <v>1595</v>
      </c>
    </row>
    <row r="985" spans="1:5" ht="18" x14ac:dyDescent="0.35">
      <c r="A985" s="21"/>
      <c r="B985" s="3" t="s">
        <v>1461</v>
      </c>
      <c r="C985" s="3">
        <v>385.87</v>
      </c>
      <c r="D985" s="3">
        <f>(Table5[[#This Row],[السعر]]*15/100) +Table5[[#This Row],[السعر]]</f>
        <v>443.75049999999999</v>
      </c>
      <c r="E985" s="3" t="s">
        <v>1595</v>
      </c>
    </row>
    <row r="986" spans="1:5" ht="18" x14ac:dyDescent="0.35">
      <c r="A986" s="21"/>
      <c r="B986" s="3" t="s">
        <v>1469</v>
      </c>
      <c r="C986" s="3">
        <v>65.88</v>
      </c>
      <c r="D986" s="3">
        <f>(Table5[[#This Row],[السعر]]*15/100) +Table5[[#This Row],[السعر]]</f>
        <v>75.762</v>
      </c>
      <c r="E986" s="3" t="s">
        <v>1595</v>
      </c>
    </row>
    <row r="987" spans="1:5" ht="18" x14ac:dyDescent="0.35">
      <c r="A987" s="21"/>
      <c r="B987" s="3" t="s">
        <v>1470</v>
      </c>
      <c r="C987" s="3">
        <v>451.17</v>
      </c>
      <c r="D987" s="3">
        <f>(Table5[[#This Row],[السعر]]*15/100) +Table5[[#This Row],[السعر]]</f>
        <v>518.84550000000002</v>
      </c>
      <c r="E987" s="3" t="s">
        <v>1595</v>
      </c>
    </row>
    <row r="988" spans="1:5" ht="18" x14ac:dyDescent="0.35">
      <c r="A988" s="21"/>
      <c r="B988" s="3" t="s">
        <v>1462</v>
      </c>
      <c r="C988" s="3">
        <v>100.17</v>
      </c>
      <c r="D988" s="3">
        <f>(Table5[[#This Row],[السعر]]*15/100) +Table5[[#This Row],[السعر]]</f>
        <v>115.1955</v>
      </c>
      <c r="E988" s="3" t="s">
        <v>1595</v>
      </c>
    </row>
    <row r="989" spans="1:5" ht="18" x14ac:dyDescent="0.35">
      <c r="A989" s="21"/>
      <c r="B989" s="3" t="s">
        <v>1463</v>
      </c>
      <c r="C989" s="3">
        <v>73.459999999999994</v>
      </c>
      <c r="D989" s="3">
        <f>(Table5[[#This Row],[السعر]]*15/100) +Table5[[#This Row],[السعر]]</f>
        <v>84.478999999999985</v>
      </c>
      <c r="E989" s="3" t="s">
        <v>1595</v>
      </c>
    </row>
    <row r="990" spans="1:5" ht="18" x14ac:dyDescent="0.35">
      <c r="A990" s="21"/>
      <c r="B990" s="3" t="s">
        <v>1464</v>
      </c>
      <c r="C990" s="3">
        <v>105.52</v>
      </c>
      <c r="D990" s="3">
        <f>(Table5[[#This Row],[السعر]]*15/100) +Table5[[#This Row],[السعر]]</f>
        <v>121.348</v>
      </c>
      <c r="E990" s="3" t="s">
        <v>1595</v>
      </c>
    </row>
    <row r="991" spans="1:5" ht="18" x14ac:dyDescent="0.35">
      <c r="A991" s="21"/>
      <c r="B991" s="3" t="s">
        <v>1471</v>
      </c>
      <c r="C991" s="3">
        <v>42.74</v>
      </c>
      <c r="D991" s="3">
        <f>(Table5[[#This Row],[السعر]]*15/100) +Table5[[#This Row],[السعر]]</f>
        <v>49.151000000000003</v>
      </c>
      <c r="E991" s="3" t="s">
        <v>1595</v>
      </c>
    </row>
    <row r="992" spans="1:5" ht="18" x14ac:dyDescent="0.35">
      <c r="A992" s="21"/>
      <c r="B992" s="3" t="s">
        <v>1472</v>
      </c>
      <c r="C992" s="3">
        <v>66.489999999999995</v>
      </c>
      <c r="D992" s="3">
        <f>(Table5[[#This Row],[السعر]]*15/100) +Table5[[#This Row],[السعر]]</f>
        <v>76.463499999999996</v>
      </c>
      <c r="E992" s="3" t="s">
        <v>1595</v>
      </c>
    </row>
    <row r="993" spans="1:5" ht="18" x14ac:dyDescent="0.35">
      <c r="A993" s="21"/>
      <c r="B993" s="3" t="s">
        <v>1465</v>
      </c>
      <c r="C993" s="3">
        <v>382.68</v>
      </c>
      <c r="D993" s="3">
        <f>(Table5[[#This Row],[السعر]]*15/100) +Table5[[#This Row],[السعر]]</f>
        <v>440.08199999999999</v>
      </c>
      <c r="E993" s="3" t="s">
        <v>1595</v>
      </c>
    </row>
    <row r="994" spans="1:5" ht="18" x14ac:dyDescent="0.35">
      <c r="A994" s="21"/>
      <c r="B994" s="3" t="s">
        <v>1466</v>
      </c>
      <c r="C994" s="3">
        <v>426.41</v>
      </c>
      <c r="D994" s="3">
        <f>(Table5[[#This Row],[السعر]]*15/100) +Table5[[#This Row],[السعر]]</f>
        <v>490.37150000000003</v>
      </c>
      <c r="E994" s="3" t="s">
        <v>1595</v>
      </c>
    </row>
    <row r="995" spans="1:5" ht="18" x14ac:dyDescent="0.35">
      <c r="A995" s="21"/>
      <c r="B995" s="3" t="s">
        <v>1467</v>
      </c>
      <c r="C995" s="3">
        <v>448.28</v>
      </c>
      <c r="D995" s="3">
        <f>(Table5[[#This Row],[السعر]]*15/100) +Table5[[#This Row],[السعر]]</f>
        <v>515.52199999999993</v>
      </c>
      <c r="E995" s="3" t="s">
        <v>1595</v>
      </c>
    </row>
    <row r="996" spans="1:5" ht="18" x14ac:dyDescent="0.35">
      <c r="A996" s="21"/>
      <c r="B996" s="3" t="s">
        <v>1473</v>
      </c>
      <c r="C996" s="3">
        <v>234.08</v>
      </c>
      <c r="D996" s="3">
        <f>(Table5[[#This Row],[السعر]]*15/100) +Table5[[#This Row],[السعر]]</f>
        <v>269.19200000000001</v>
      </c>
      <c r="E996" s="3" t="s">
        <v>1595</v>
      </c>
    </row>
    <row r="997" spans="1:5" ht="18" x14ac:dyDescent="0.35">
      <c r="A997" s="21"/>
      <c r="B997" s="3" t="s">
        <v>1474</v>
      </c>
      <c r="C997" s="3">
        <v>527.33000000000004</v>
      </c>
      <c r="D997" s="3">
        <f>(Table5[[#This Row],[السعر]]*15/100) +Table5[[#This Row],[السعر]]</f>
        <v>606.42950000000008</v>
      </c>
      <c r="E997" s="3" t="s">
        <v>1595</v>
      </c>
    </row>
    <row r="998" spans="1:5" ht="18" x14ac:dyDescent="0.35">
      <c r="A998" s="21"/>
      <c r="B998" s="3" t="s">
        <v>1475</v>
      </c>
      <c r="C998" s="3">
        <v>319.14999999999998</v>
      </c>
      <c r="D998" s="3">
        <f>(Table5[[#This Row],[السعر]]*15/100) +Table5[[#This Row],[السعر]]</f>
        <v>367.02249999999998</v>
      </c>
      <c r="E998" s="3" t="s">
        <v>1595</v>
      </c>
    </row>
    <row r="999" spans="1:5" ht="18" x14ac:dyDescent="0.35">
      <c r="A999" s="21"/>
      <c r="B999" s="3" t="s">
        <v>1476</v>
      </c>
      <c r="C999" s="3">
        <v>563.96</v>
      </c>
      <c r="D999" s="3">
        <f>(Table5[[#This Row],[السعر]]*15/100) +Table5[[#This Row],[السعر]]</f>
        <v>648.55400000000009</v>
      </c>
      <c r="E999" s="3" t="s">
        <v>1595</v>
      </c>
    </row>
    <row r="1000" spans="1:5" ht="18" x14ac:dyDescent="0.35">
      <c r="A1000" s="21"/>
      <c r="B1000" s="3" t="s">
        <v>1477</v>
      </c>
      <c r="C1000" s="3">
        <v>54.02</v>
      </c>
      <c r="D1000" s="3">
        <f>(Table5[[#This Row],[السعر]]*15/100) +Table5[[#This Row],[السعر]]</f>
        <v>62.123000000000005</v>
      </c>
      <c r="E1000" s="3" t="s">
        <v>1595</v>
      </c>
    </row>
    <row r="1001" spans="1:5" ht="18" x14ac:dyDescent="0.35">
      <c r="A1001" s="21"/>
      <c r="B1001" s="3" t="s">
        <v>1488</v>
      </c>
      <c r="C1001" s="3">
        <v>707.82</v>
      </c>
      <c r="D1001" s="3">
        <f>(Table5[[#This Row],[السعر]]*15/100) +Table5[[#This Row],[السعر]]</f>
        <v>813.99300000000005</v>
      </c>
      <c r="E1001" s="3" t="s">
        <v>1595</v>
      </c>
    </row>
    <row r="1002" spans="1:5" ht="18" x14ac:dyDescent="0.35">
      <c r="A1002" s="21"/>
      <c r="B1002" s="3" t="s">
        <v>1478</v>
      </c>
      <c r="C1002" s="3">
        <v>52.74</v>
      </c>
      <c r="D1002" s="3">
        <f>(Table5[[#This Row],[السعر]]*15/100) +Table5[[#This Row],[السعر]]</f>
        <v>60.651000000000003</v>
      </c>
      <c r="E1002" s="3" t="s">
        <v>1595</v>
      </c>
    </row>
    <row r="1003" spans="1:5" ht="18" x14ac:dyDescent="0.35">
      <c r="A1003" s="21"/>
      <c r="B1003" s="3" t="s">
        <v>1479</v>
      </c>
      <c r="C1003" s="3">
        <v>484.6</v>
      </c>
      <c r="D1003" s="3">
        <f>(Table5[[#This Row],[السعر]]*15/100) +Table5[[#This Row],[السعر]]</f>
        <v>557.29</v>
      </c>
      <c r="E1003" s="3" t="s">
        <v>1595</v>
      </c>
    </row>
    <row r="1004" spans="1:5" ht="18" x14ac:dyDescent="0.35">
      <c r="A1004" s="21"/>
      <c r="B1004" s="3" t="s">
        <v>1489</v>
      </c>
      <c r="C1004" s="3">
        <v>437.06</v>
      </c>
      <c r="D1004" s="3">
        <f>(Table5[[#This Row],[السعر]]*15/100) +Table5[[#This Row],[السعر]]</f>
        <v>502.61900000000003</v>
      </c>
      <c r="E1004" s="3" t="s">
        <v>1595</v>
      </c>
    </row>
    <row r="1005" spans="1:5" ht="18" x14ac:dyDescent="0.35">
      <c r="A1005" s="21"/>
      <c r="B1005" s="3" t="s">
        <v>1480</v>
      </c>
      <c r="C1005" s="3">
        <v>215.49</v>
      </c>
      <c r="D1005" s="3">
        <f>(Table5[[#This Row],[السعر]]*15/100) +Table5[[#This Row],[السعر]]</f>
        <v>247.8135</v>
      </c>
      <c r="E1005" s="3" t="s">
        <v>1595</v>
      </c>
    </row>
    <row r="1006" spans="1:5" ht="18" x14ac:dyDescent="0.35">
      <c r="A1006" s="21"/>
      <c r="B1006" s="3" t="s">
        <v>1481</v>
      </c>
      <c r="C1006" s="3">
        <v>215.49</v>
      </c>
      <c r="D1006" s="3">
        <f>(Table5[[#This Row],[السعر]]*15/100) +Table5[[#This Row],[السعر]]</f>
        <v>247.8135</v>
      </c>
      <c r="E1006" s="3" t="s">
        <v>1595</v>
      </c>
    </row>
    <row r="1007" spans="1:5" ht="18" x14ac:dyDescent="0.35">
      <c r="A1007" s="21"/>
      <c r="B1007" s="3" t="s">
        <v>1482</v>
      </c>
      <c r="C1007" s="3">
        <v>148.01</v>
      </c>
      <c r="D1007" s="3">
        <f>(Table5[[#This Row],[السعر]]*15/100) +Table5[[#This Row],[السعر]]</f>
        <v>170.2115</v>
      </c>
      <c r="E1007" s="3" t="s">
        <v>1595</v>
      </c>
    </row>
    <row r="1008" spans="1:5" ht="18" x14ac:dyDescent="0.35">
      <c r="A1008" s="21"/>
      <c r="B1008" s="3" t="s">
        <v>1483</v>
      </c>
      <c r="C1008" s="3">
        <v>174.92</v>
      </c>
      <c r="D1008" s="3">
        <f>(Table5[[#This Row],[السعر]]*15/100) +Table5[[#This Row],[السعر]]</f>
        <v>201.15799999999999</v>
      </c>
      <c r="E1008" s="3" t="s">
        <v>1595</v>
      </c>
    </row>
    <row r="1009" spans="1:5" ht="18" x14ac:dyDescent="0.35">
      <c r="A1009" s="21"/>
      <c r="B1009" s="3" t="s">
        <v>1490</v>
      </c>
      <c r="C1009" s="3">
        <v>212.24</v>
      </c>
      <c r="D1009" s="3">
        <f>(Table5[[#This Row],[السعر]]*15/100) +Table5[[#This Row],[السعر]]</f>
        <v>244.07600000000002</v>
      </c>
      <c r="E1009" s="3" t="s">
        <v>1595</v>
      </c>
    </row>
    <row r="1010" spans="1:5" ht="18" x14ac:dyDescent="0.35">
      <c r="A1010" s="21"/>
      <c r="B1010" s="3" t="s">
        <v>1491</v>
      </c>
      <c r="C1010" s="3">
        <v>398.75</v>
      </c>
      <c r="D1010" s="3">
        <f>(Table5[[#This Row],[السعر]]*15/100) +Table5[[#This Row],[السعر]]</f>
        <v>458.5625</v>
      </c>
      <c r="E1010" s="3" t="s">
        <v>1595</v>
      </c>
    </row>
    <row r="1011" spans="1:5" ht="18" x14ac:dyDescent="0.35">
      <c r="A1011" s="21"/>
      <c r="B1011" s="3" t="s">
        <v>1484</v>
      </c>
      <c r="C1011" s="3">
        <v>81.05</v>
      </c>
      <c r="D1011" s="3">
        <f>(Table5[[#This Row],[السعر]]*15/100) +Table5[[#This Row],[السعر]]</f>
        <v>93.207499999999996</v>
      </c>
      <c r="E1011" s="3" t="s">
        <v>1595</v>
      </c>
    </row>
    <row r="1012" spans="1:5" ht="18" x14ac:dyDescent="0.35">
      <c r="A1012" s="21"/>
      <c r="B1012" s="3" t="s">
        <v>1485</v>
      </c>
      <c r="C1012" s="3">
        <v>4.34</v>
      </c>
      <c r="D1012" s="3">
        <f>(Table5[[#This Row],[السعر]]*15/100) +Table5[[#This Row],[السعر]]</f>
        <v>4.9909999999999997</v>
      </c>
      <c r="E1012" s="3" t="s">
        <v>1595</v>
      </c>
    </row>
    <row r="1013" spans="1:5" ht="18" x14ac:dyDescent="0.35">
      <c r="A1013" s="21"/>
      <c r="B1013" s="3" t="s">
        <v>1486</v>
      </c>
      <c r="C1013" s="3">
        <v>38.590000000000003</v>
      </c>
      <c r="D1013" s="3">
        <f>(Table5[[#This Row],[السعر]]*15/100) +Table5[[#This Row],[السعر]]</f>
        <v>44.378500000000003</v>
      </c>
      <c r="E1013" s="3" t="s">
        <v>1595</v>
      </c>
    </row>
    <row r="1014" spans="1:5" ht="18" x14ac:dyDescent="0.35">
      <c r="A1014" s="21"/>
      <c r="B1014" s="3" t="s">
        <v>1492</v>
      </c>
      <c r="C1014" s="3">
        <v>117.75</v>
      </c>
      <c r="D1014" s="3">
        <f>(Table5[[#This Row],[السعر]]*15/100) +Table5[[#This Row],[السعر]]</f>
        <v>135.41249999999999</v>
      </c>
      <c r="E1014" s="3" t="s">
        <v>1595</v>
      </c>
    </row>
    <row r="1015" spans="1:5" ht="18" x14ac:dyDescent="0.35">
      <c r="A1015" s="21"/>
      <c r="B1015" s="3" t="s">
        <v>1493</v>
      </c>
      <c r="C1015" s="3">
        <v>455.34</v>
      </c>
      <c r="D1015" s="3">
        <f>(Table5[[#This Row],[السعر]]*15/100) +Table5[[#This Row],[السعر]]</f>
        <v>523.64099999999996</v>
      </c>
      <c r="E1015" s="3" t="s">
        <v>1595</v>
      </c>
    </row>
    <row r="1016" spans="1:5" ht="18" x14ac:dyDescent="0.35">
      <c r="A1016" s="21"/>
      <c r="B1016" s="3" t="s">
        <v>1494</v>
      </c>
      <c r="C1016" s="3">
        <v>808.86</v>
      </c>
      <c r="D1016" s="3">
        <f>(Table5[[#This Row],[السعر]]*15/100) +Table5[[#This Row],[السعر]]</f>
        <v>930.18899999999996</v>
      </c>
      <c r="E1016" s="3" t="s">
        <v>1595</v>
      </c>
    </row>
    <row r="1017" spans="1:5" ht="18" x14ac:dyDescent="0.35">
      <c r="A1017" s="21"/>
      <c r="B1017" s="3" t="s">
        <v>1495</v>
      </c>
      <c r="C1017" s="3">
        <v>131.06</v>
      </c>
      <c r="D1017" s="3">
        <f>(Table5[[#This Row],[السعر]]*15/100) +Table5[[#This Row],[السعر]]</f>
        <v>150.71899999999999</v>
      </c>
      <c r="E1017" s="3" t="s">
        <v>1595</v>
      </c>
    </row>
    <row r="1018" spans="1:5" ht="18" x14ac:dyDescent="0.35">
      <c r="A1018" s="21"/>
      <c r="B1018" s="3" t="s">
        <v>1487</v>
      </c>
      <c r="C1018" s="3">
        <v>214.78</v>
      </c>
      <c r="D1018" s="3">
        <f>(Table5[[#This Row],[السعر]]*15/100) +Table5[[#This Row],[السعر]]</f>
        <v>246.99700000000001</v>
      </c>
      <c r="E1018" s="3" t="s">
        <v>1595</v>
      </c>
    </row>
    <row r="1019" spans="1:5" ht="18" x14ac:dyDescent="0.35">
      <c r="A1019" s="21"/>
      <c r="B1019" s="3" t="s">
        <v>1496</v>
      </c>
      <c r="C1019" s="3">
        <v>30.27</v>
      </c>
      <c r="D1019" s="3">
        <f>(Table5[[#This Row],[السعر]]*15/100) +Table5[[#This Row],[السعر]]</f>
        <v>34.810499999999998</v>
      </c>
      <c r="E1019" s="3" t="s">
        <v>1595</v>
      </c>
    </row>
    <row r="1020" spans="1:5" ht="18" x14ac:dyDescent="0.35">
      <c r="A1020" s="21"/>
      <c r="B1020" s="3" t="s">
        <v>1497</v>
      </c>
      <c r="C1020" s="3">
        <v>12.69</v>
      </c>
      <c r="D1020" s="3">
        <f>(Table5[[#This Row],[السعر]]*15/100) +Table5[[#This Row],[السعر]]</f>
        <v>14.593499999999999</v>
      </c>
      <c r="E1020" s="3" t="s">
        <v>1595</v>
      </c>
    </row>
    <row r="1021" spans="1:5" ht="18" x14ac:dyDescent="0.35">
      <c r="A1021" s="21"/>
      <c r="B1021" s="3" t="s">
        <v>1509</v>
      </c>
      <c r="C1021" s="3">
        <v>166.23</v>
      </c>
      <c r="D1021" s="3">
        <f>(Table5[[#This Row],[السعر]]*15/100) +Table5[[#This Row],[السعر]]</f>
        <v>191.16449999999998</v>
      </c>
      <c r="E1021" s="3" t="s">
        <v>1595</v>
      </c>
    </row>
    <row r="1022" spans="1:5" ht="18" x14ac:dyDescent="0.35">
      <c r="A1022" s="21"/>
      <c r="B1022" s="3" t="s">
        <v>1498</v>
      </c>
      <c r="C1022" s="3">
        <v>64.62</v>
      </c>
      <c r="D1022" s="3">
        <f>(Table5[[#This Row],[السعر]]*15/100) +Table5[[#This Row],[السعر]]</f>
        <v>74.313000000000002</v>
      </c>
      <c r="E1022" s="3" t="s">
        <v>1595</v>
      </c>
    </row>
    <row r="1023" spans="1:5" ht="18" x14ac:dyDescent="0.35">
      <c r="A1023" s="21"/>
      <c r="B1023" s="3" t="s">
        <v>1510</v>
      </c>
      <c r="C1023" s="41">
        <v>3191.85</v>
      </c>
      <c r="D1023" s="3">
        <f>(Table5[[#This Row],[السعر]]*15/100) +Table5[[#This Row],[السعر]]</f>
        <v>3670.6275000000001</v>
      </c>
      <c r="E1023" s="3" t="s">
        <v>1595</v>
      </c>
    </row>
    <row r="1024" spans="1:5" ht="18" x14ac:dyDescent="0.35">
      <c r="A1024" s="21"/>
      <c r="B1024" s="3" t="s">
        <v>1511</v>
      </c>
      <c r="C1024" s="3">
        <v>570.46</v>
      </c>
      <c r="D1024" s="3">
        <f>(Table5[[#This Row],[السعر]]*15/100) +Table5[[#This Row],[السعر]]</f>
        <v>656.029</v>
      </c>
      <c r="E1024" s="3" t="s">
        <v>1595</v>
      </c>
    </row>
    <row r="1025" spans="1:5" ht="18" x14ac:dyDescent="0.35">
      <c r="A1025" s="21"/>
      <c r="B1025" s="3" t="s">
        <v>1499</v>
      </c>
      <c r="C1025" s="3">
        <v>119.72</v>
      </c>
      <c r="D1025" s="3">
        <f>(Table5[[#This Row],[السعر]]*15/100) +Table5[[#This Row],[السعر]]</f>
        <v>137.678</v>
      </c>
      <c r="E1025" s="3" t="s">
        <v>1595</v>
      </c>
    </row>
    <row r="1026" spans="1:5" ht="18" x14ac:dyDescent="0.35">
      <c r="A1026" s="21"/>
      <c r="B1026" s="3" t="s">
        <v>1500</v>
      </c>
      <c r="C1026" s="3">
        <v>119.72</v>
      </c>
      <c r="D1026" s="3">
        <f>(Table5[[#This Row],[السعر]]*15/100) +Table5[[#This Row],[السعر]]</f>
        <v>137.678</v>
      </c>
      <c r="E1026" s="3" t="s">
        <v>1595</v>
      </c>
    </row>
    <row r="1027" spans="1:5" ht="18" x14ac:dyDescent="0.35">
      <c r="A1027" s="21"/>
      <c r="B1027" s="3" t="s">
        <v>1501</v>
      </c>
      <c r="C1027" s="3">
        <v>44.47</v>
      </c>
      <c r="D1027" s="3">
        <f>(Table5[[#This Row],[السعر]]*15/100) +Table5[[#This Row],[السعر]]</f>
        <v>51.140499999999996</v>
      </c>
      <c r="E1027" s="3" t="s">
        <v>1595</v>
      </c>
    </row>
    <row r="1028" spans="1:5" ht="18" x14ac:dyDescent="0.35">
      <c r="A1028" s="21"/>
      <c r="B1028" s="3" t="s">
        <v>1502</v>
      </c>
      <c r="C1028" s="3">
        <v>9.01</v>
      </c>
      <c r="D1028" s="3">
        <f>(Table5[[#This Row],[السعر]]*15/100) +Table5[[#This Row],[السعر]]</f>
        <v>10.361499999999999</v>
      </c>
      <c r="E1028" s="3" t="s">
        <v>1595</v>
      </c>
    </row>
    <row r="1029" spans="1:5" ht="18" x14ac:dyDescent="0.35">
      <c r="A1029" s="21"/>
      <c r="B1029" s="3" t="s">
        <v>1503</v>
      </c>
      <c r="C1029" s="3">
        <v>17.32</v>
      </c>
      <c r="D1029" s="3">
        <f>(Table5[[#This Row],[السعر]]*15/100) +Table5[[#This Row],[السعر]]</f>
        <v>19.917999999999999</v>
      </c>
      <c r="E1029" s="3" t="s">
        <v>1595</v>
      </c>
    </row>
    <row r="1030" spans="1:5" ht="18" x14ac:dyDescent="0.35">
      <c r="A1030" s="21"/>
      <c r="B1030" s="3" t="s">
        <v>1504</v>
      </c>
      <c r="C1030" s="3">
        <v>3.56</v>
      </c>
      <c r="D1030" s="3">
        <f>(Table5[[#This Row],[السعر]]*15/100) +Table5[[#This Row],[السعر]]</f>
        <v>4.0940000000000003</v>
      </c>
      <c r="E1030" s="3" t="s">
        <v>1595</v>
      </c>
    </row>
    <row r="1031" spans="1:5" ht="18" x14ac:dyDescent="0.35">
      <c r="A1031" s="21"/>
      <c r="B1031" s="3" t="s">
        <v>1512</v>
      </c>
      <c r="C1031" s="3">
        <v>343.05</v>
      </c>
      <c r="D1031" s="3">
        <f>(Table5[[#This Row],[السعر]]*15/100) +Table5[[#This Row],[السعر]]</f>
        <v>394.50749999999999</v>
      </c>
      <c r="E1031" s="3" t="s">
        <v>1595</v>
      </c>
    </row>
    <row r="1032" spans="1:5" ht="18" x14ac:dyDescent="0.35">
      <c r="A1032" s="21"/>
      <c r="B1032" s="3" t="s">
        <v>1513</v>
      </c>
      <c r="C1032" s="3">
        <v>866.82</v>
      </c>
      <c r="D1032" s="3">
        <f>(Table5[[#This Row],[السعر]]*15/100) +Table5[[#This Row],[السعر]]</f>
        <v>996.84300000000007</v>
      </c>
      <c r="E1032" s="3" t="s">
        <v>1595</v>
      </c>
    </row>
    <row r="1033" spans="1:5" ht="18" x14ac:dyDescent="0.35">
      <c r="A1033" s="21"/>
      <c r="B1033" s="3" t="s">
        <v>1514</v>
      </c>
      <c r="C1033" s="3">
        <v>7.92</v>
      </c>
      <c r="D1033" s="3">
        <f>(Table5[[#This Row],[السعر]]*15/100) +Table5[[#This Row],[السعر]]</f>
        <v>9.1080000000000005</v>
      </c>
      <c r="E1033" s="3" t="s">
        <v>1595</v>
      </c>
    </row>
    <row r="1034" spans="1:5" ht="18" x14ac:dyDescent="0.35">
      <c r="A1034" s="21"/>
      <c r="B1034" s="3" t="s">
        <v>1515</v>
      </c>
      <c r="C1034" s="3">
        <v>11.87</v>
      </c>
      <c r="D1034" s="3">
        <f>(Table5[[#This Row],[السعر]]*15/100) +Table5[[#This Row],[السعر]]</f>
        <v>13.650499999999999</v>
      </c>
      <c r="E1034" s="3" t="s">
        <v>1595</v>
      </c>
    </row>
    <row r="1035" spans="1:5" ht="18" x14ac:dyDescent="0.35">
      <c r="A1035" s="21"/>
      <c r="B1035" s="3" t="s">
        <v>1516</v>
      </c>
      <c r="C1035" s="3">
        <v>13.85</v>
      </c>
      <c r="D1035" s="3">
        <f>(Table5[[#This Row],[السعر]]*15/100) +Table5[[#This Row],[السعر]]</f>
        <v>15.9275</v>
      </c>
      <c r="E1035" s="3" t="s">
        <v>1595</v>
      </c>
    </row>
    <row r="1036" spans="1:5" ht="18" x14ac:dyDescent="0.35">
      <c r="A1036" s="21"/>
      <c r="B1036" s="3" t="s">
        <v>1518</v>
      </c>
      <c r="C1036" s="3">
        <v>10.39</v>
      </c>
      <c r="D1036" s="3">
        <f>(Table5[[#This Row],[السعر]]*15/100) +Table5[[#This Row],[السعر]]</f>
        <v>11.948500000000001</v>
      </c>
      <c r="E1036" s="3" t="s">
        <v>1595</v>
      </c>
    </row>
    <row r="1037" spans="1:5" ht="18" x14ac:dyDescent="0.35">
      <c r="A1037" s="21"/>
      <c r="B1037" s="3" t="s">
        <v>1517</v>
      </c>
      <c r="C1037" s="3">
        <v>11.08</v>
      </c>
      <c r="D1037" s="3">
        <f>(Table5[[#This Row],[السعر]]*15/100) +Table5[[#This Row],[السعر]]</f>
        <v>12.742000000000001</v>
      </c>
      <c r="E1037" s="3" t="s">
        <v>1595</v>
      </c>
    </row>
    <row r="1038" spans="1:5" ht="18" x14ac:dyDescent="0.35">
      <c r="A1038" s="21"/>
      <c r="B1038" s="3" t="s">
        <v>1519</v>
      </c>
      <c r="C1038" s="3">
        <v>38.590000000000003</v>
      </c>
      <c r="D1038" s="3">
        <f>(Table5[[#This Row],[السعر]]*15/100) +Table5[[#This Row],[السعر]]</f>
        <v>44.378500000000003</v>
      </c>
      <c r="E1038" s="3" t="s">
        <v>1595</v>
      </c>
    </row>
    <row r="1039" spans="1:5" ht="18" x14ac:dyDescent="0.35">
      <c r="A1039" s="21"/>
      <c r="B1039" s="3" t="s">
        <v>1505</v>
      </c>
      <c r="C1039" s="3">
        <v>77.17</v>
      </c>
      <c r="D1039" s="3">
        <f>(Table5[[#This Row],[السعر]]*15/100) +Table5[[#This Row],[السعر]]</f>
        <v>88.745500000000007</v>
      </c>
      <c r="E1039" s="3" t="s">
        <v>1595</v>
      </c>
    </row>
    <row r="1040" spans="1:5" ht="18" x14ac:dyDescent="0.35">
      <c r="A1040" s="21"/>
      <c r="B1040" s="3" t="s">
        <v>1520</v>
      </c>
      <c r="C1040" s="3">
        <v>79.88</v>
      </c>
      <c r="D1040" s="3">
        <f>(Table5[[#This Row],[السعر]]*15/100) +Table5[[#This Row],[السعر]]</f>
        <v>91.861999999999995</v>
      </c>
      <c r="E1040" s="3" t="s">
        <v>1595</v>
      </c>
    </row>
    <row r="1041" spans="1:5" ht="18" x14ac:dyDescent="0.35">
      <c r="A1041" s="21"/>
      <c r="B1041" s="3" t="s">
        <v>1506</v>
      </c>
      <c r="C1041" s="3">
        <v>23.5</v>
      </c>
      <c r="D1041" s="3">
        <f>(Table5[[#This Row],[السعر]]*15/100) +Table5[[#This Row],[السعر]]</f>
        <v>27.024999999999999</v>
      </c>
      <c r="E1041" s="3" t="s">
        <v>1595</v>
      </c>
    </row>
    <row r="1042" spans="1:5" ht="18" x14ac:dyDescent="0.35">
      <c r="A1042" s="21"/>
      <c r="B1042" s="3" t="s">
        <v>1521</v>
      </c>
      <c r="C1042" s="3">
        <v>40.19</v>
      </c>
      <c r="D1042" s="3">
        <f>(Table5[[#This Row],[السعر]]*15/100) +Table5[[#This Row],[السعر]]</f>
        <v>46.218499999999999</v>
      </c>
      <c r="E1042" s="3" t="s">
        <v>1595</v>
      </c>
    </row>
    <row r="1043" spans="1:5" ht="18" x14ac:dyDescent="0.35">
      <c r="A1043" s="21"/>
      <c r="B1043" s="3" t="s">
        <v>1507</v>
      </c>
      <c r="C1043" s="3">
        <v>15.59</v>
      </c>
      <c r="D1043" s="3">
        <f>(Table5[[#This Row],[السعر]]*15/100) +Table5[[#This Row],[السعر]]</f>
        <v>17.9285</v>
      </c>
      <c r="E1043" s="3" t="s">
        <v>1595</v>
      </c>
    </row>
    <row r="1044" spans="1:5" ht="18" x14ac:dyDescent="0.35">
      <c r="A1044" s="21"/>
      <c r="B1044" s="3" t="s">
        <v>1522</v>
      </c>
      <c r="C1044" s="3">
        <v>90.04</v>
      </c>
      <c r="D1044" s="3">
        <f>(Table5[[#This Row],[السعر]]*15/100) +Table5[[#This Row],[السعر]]</f>
        <v>103.54600000000001</v>
      </c>
      <c r="E1044" s="3" t="s">
        <v>1595</v>
      </c>
    </row>
    <row r="1045" spans="1:5" ht="18" x14ac:dyDescent="0.35">
      <c r="A1045" s="21"/>
      <c r="B1045" s="3" t="s">
        <v>1508</v>
      </c>
      <c r="C1045" s="3">
        <v>16.62</v>
      </c>
      <c r="D1045" s="3">
        <f>(Table5[[#This Row],[السعر]]*15/100) +Table5[[#This Row],[السعر]]</f>
        <v>19.113</v>
      </c>
      <c r="E1045" s="3" t="s">
        <v>1595</v>
      </c>
    </row>
    <row r="1046" spans="1:5" ht="18" x14ac:dyDescent="0.35">
      <c r="A1046" s="21"/>
      <c r="B1046" s="3" t="s">
        <v>1523</v>
      </c>
      <c r="C1046" s="3">
        <v>16.079999999999998</v>
      </c>
      <c r="D1046" s="3">
        <f>(Table5[[#This Row],[السعر]]*15/100) +Table5[[#This Row],[السعر]]</f>
        <v>18.491999999999997</v>
      </c>
      <c r="E1046" s="3" t="s">
        <v>1595</v>
      </c>
    </row>
    <row r="1047" spans="1:5" ht="18" x14ac:dyDescent="0.35">
      <c r="A1047" s="21"/>
      <c r="B1047" s="3" t="s">
        <v>1524</v>
      </c>
      <c r="C1047" s="3">
        <v>23.8</v>
      </c>
      <c r="D1047" s="3">
        <f>(Table5[[#This Row],[السعر]]*15/100) +Table5[[#This Row],[السعر]]</f>
        <v>27.37</v>
      </c>
      <c r="E1047" s="3" t="s">
        <v>1595</v>
      </c>
    </row>
    <row r="1048" spans="1:5" ht="18" x14ac:dyDescent="0.35">
      <c r="A1048" s="21"/>
      <c r="B1048" s="3" t="s">
        <v>1538</v>
      </c>
      <c r="C1048" s="41">
        <v>1164.49</v>
      </c>
      <c r="D1048" s="3">
        <f>(Table5[[#This Row],[السعر]]*15/100) +Table5[[#This Row],[السعر]]</f>
        <v>1339.1635000000001</v>
      </c>
      <c r="E1048" s="3" t="s">
        <v>1595</v>
      </c>
    </row>
    <row r="1049" spans="1:5" ht="18" x14ac:dyDescent="0.35">
      <c r="A1049" s="21"/>
      <c r="B1049" s="3" t="s">
        <v>1525</v>
      </c>
      <c r="C1049" s="41">
        <v>1958.47</v>
      </c>
      <c r="D1049" s="3">
        <f>(Table5[[#This Row],[السعر]]*15/100) +Table5[[#This Row],[السعر]]</f>
        <v>2252.2404999999999</v>
      </c>
      <c r="E1049" s="3" t="s">
        <v>1595</v>
      </c>
    </row>
    <row r="1050" spans="1:5" ht="18" x14ac:dyDescent="0.35">
      <c r="A1050" s="21"/>
      <c r="B1050" s="3" t="s">
        <v>1526</v>
      </c>
      <c r="C1050" s="3">
        <v>902.87</v>
      </c>
      <c r="D1050" s="3">
        <f>(Table5[[#This Row],[السعر]]*15/100) +Table5[[#This Row],[السعر]]</f>
        <v>1038.3005000000001</v>
      </c>
      <c r="E1050" s="3" t="s">
        <v>1595</v>
      </c>
    </row>
    <row r="1051" spans="1:5" ht="18" x14ac:dyDescent="0.35">
      <c r="A1051" s="21"/>
      <c r="B1051" s="3" t="s">
        <v>1527</v>
      </c>
      <c r="C1051" s="3">
        <v>47.49</v>
      </c>
      <c r="D1051" s="3">
        <f>(Table5[[#This Row],[السعر]]*15/100) +Table5[[#This Row],[السعر]]</f>
        <v>54.613500000000002</v>
      </c>
      <c r="E1051" s="3" t="s">
        <v>1595</v>
      </c>
    </row>
    <row r="1052" spans="1:5" ht="18" x14ac:dyDescent="0.35">
      <c r="A1052" s="21"/>
      <c r="B1052" s="3" t="s">
        <v>1528</v>
      </c>
      <c r="C1052" s="3">
        <v>90.04</v>
      </c>
      <c r="D1052" s="3">
        <f>(Table5[[#This Row],[السعر]]*15/100) +Table5[[#This Row],[السعر]]</f>
        <v>103.54600000000001</v>
      </c>
      <c r="E1052" s="3" t="s">
        <v>1595</v>
      </c>
    </row>
    <row r="1053" spans="1:5" ht="18" x14ac:dyDescent="0.35">
      <c r="A1053" s="21"/>
      <c r="B1053" s="3" t="s">
        <v>1529</v>
      </c>
      <c r="C1053" s="3">
        <v>16.5</v>
      </c>
      <c r="D1053" s="3">
        <f>(Table5[[#This Row],[السعر]]*15/100) +Table5[[#This Row],[السعر]]</f>
        <v>18.975000000000001</v>
      </c>
      <c r="E1053" s="3" t="s">
        <v>1595</v>
      </c>
    </row>
    <row r="1054" spans="1:5" ht="18" x14ac:dyDescent="0.35">
      <c r="A1054" s="21"/>
      <c r="B1054" s="3" t="s">
        <v>1530</v>
      </c>
      <c r="C1054" s="3">
        <v>20.7</v>
      </c>
      <c r="D1054" s="3">
        <f>(Table5[[#This Row],[السعر]]*15/100) +Table5[[#This Row],[السعر]]</f>
        <v>23.805</v>
      </c>
      <c r="E1054" s="3" t="s">
        <v>1595</v>
      </c>
    </row>
    <row r="1055" spans="1:5" ht="18" x14ac:dyDescent="0.35">
      <c r="A1055" s="21"/>
      <c r="B1055" s="3" t="s">
        <v>1531</v>
      </c>
      <c r="C1055" s="3">
        <v>14.25</v>
      </c>
      <c r="D1055" s="3">
        <f>(Table5[[#This Row],[السعر]]*15/100) +Table5[[#This Row],[السعر]]</f>
        <v>16.387499999999999</v>
      </c>
      <c r="E1055" s="3" t="s">
        <v>1595</v>
      </c>
    </row>
    <row r="1056" spans="1:5" ht="18" x14ac:dyDescent="0.35">
      <c r="A1056" s="21"/>
      <c r="B1056" s="3" t="s">
        <v>1532</v>
      </c>
      <c r="C1056" s="3">
        <v>23.35</v>
      </c>
      <c r="D1056" s="3">
        <f>(Table5[[#This Row],[السعر]]*15/100) +Table5[[#This Row],[السعر]]</f>
        <v>26.852500000000003</v>
      </c>
      <c r="E1056" s="3" t="s">
        <v>1595</v>
      </c>
    </row>
    <row r="1057" spans="1:5" ht="18" x14ac:dyDescent="0.35">
      <c r="A1057" s="21"/>
      <c r="B1057" s="3" t="s">
        <v>1533</v>
      </c>
      <c r="C1057" s="3">
        <v>29.68</v>
      </c>
      <c r="D1057" s="3">
        <f>(Table5[[#This Row],[السعر]]*15/100) +Table5[[#This Row],[السعر]]</f>
        <v>34.131999999999998</v>
      </c>
      <c r="E1057" s="3" t="s">
        <v>1595</v>
      </c>
    </row>
    <row r="1058" spans="1:5" ht="18" x14ac:dyDescent="0.35">
      <c r="A1058" s="21"/>
      <c r="B1058" s="3" t="s">
        <v>1534</v>
      </c>
      <c r="C1058" s="3">
        <v>17.809999999999999</v>
      </c>
      <c r="D1058" s="3">
        <f>(Table5[[#This Row],[السعر]]*15/100) +Table5[[#This Row],[السعر]]</f>
        <v>20.481499999999997</v>
      </c>
      <c r="E1058" s="3" t="s">
        <v>1595</v>
      </c>
    </row>
    <row r="1059" spans="1:5" ht="18" x14ac:dyDescent="0.35">
      <c r="A1059" s="21"/>
      <c r="B1059" s="3" t="s">
        <v>1535</v>
      </c>
      <c r="C1059" s="3">
        <v>97.36</v>
      </c>
      <c r="D1059" s="3">
        <f>(Table5[[#This Row],[السعر]]*15/100) +Table5[[#This Row],[السعر]]</f>
        <v>111.964</v>
      </c>
      <c r="E1059" s="3" t="s">
        <v>1595</v>
      </c>
    </row>
    <row r="1060" spans="1:5" ht="18" x14ac:dyDescent="0.35">
      <c r="A1060" s="21"/>
      <c r="B1060" s="3" t="s">
        <v>1536</v>
      </c>
      <c r="C1060" s="3">
        <v>65.11</v>
      </c>
      <c r="D1060" s="3">
        <f>(Table5[[#This Row],[السعر]]*15/100) +Table5[[#This Row],[السعر]]</f>
        <v>74.876499999999993</v>
      </c>
      <c r="E1060" s="3" t="s">
        <v>1595</v>
      </c>
    </row>
    <row r="1061" spans="1:5" ht="18" x14ac:dyDescent="0.35">
      <c r="A1061" s="21"/>
      <c r="B1061" s="3" t="s">
        <v>1537</v>
      </c>
      <c r="C1061" s="3">
        <v>253.78</v>
      </c>
      <c r="D1061" s="3">
        <f>(Table5[[#This Row],[السعر]]*15/100) +Table5[[#This Row],[السعر]]</f>
        <v>291.84699999999998</v>
      </c>
      <c r="E1061" s="3" t="s">
        <v>1595</v>
      </c>
    </row>
    <row r="1062" spans="1:5" ht="18" x14ac:dyDescent="0.35">
      <c r="A1062" s="21"/>
      <c r="B1062" s="3" t="s">
        <v>1434</v>
      </c>
      <c r="C1062" s="3">
        <v>19.39</v>
      </c>
      <c r="D1062" s="3">
        <f>(Table5[[#This Row],[السعر]]*15/100) +Table5[[#This Row],[السعر]]</f>
        <v>22.298500000000001</v>
      </c>
      <c r="E1062" s="3" t="s">
        <v>1595</v>
      </c>
    </row>
    <row r="1063" spans="1:5" ht="18" x14ac:dyDescent="0.35">
      <c r="A1063" s="21"/>
      <c r="B1063" s="3" t="s">
        <v>1435</v>
      </c>
      <c r="C1063" s="3">
        <v>19.39</v>
      </c>
      <c r="D1063" s="3">
        <f>(Table5[[#This Row],[السعر]]*15/100) +Table5[[#This Row],[السعر]]</f>
        <v>22.298500000000001</v>
      </c>
      <c r="E1063" s="3" t="s">
        <v>1595</v>
      </c>
    </row>
    <row r="1064" spans="1:5" ht="18" x14ac:dyDescent="0.35">
      <c r="A1064" s="21"/>
      <c r="B1064" s="3" t="s">
        <v>1458</v>
      </c>
      <c r="C1064" s="3">
        <v>55.31</v>
      </c>
      <c r="D1064" s="3">
        <f>(Table5[[#This Row],[السعر]]*15/100) +Table5[[#This Row],[السعر]]</f>
        <v>63.606500000000004</v>
      </c>
      <c r="E1064" s="3" t="s">
        <v>1595</v>
      </c>
    </row>
    <row r="1065" spans="1:5" ht="18" x14ac:dyDescent="0.35">
      <c r="A1065" s="21"/>
      <c r="B1065" s="3" t="s">
        <v>1539</v>
      </c>
      <c r="C1065" s="3">
        <v>156.41</v>
      </c>
      <c r="D1065" s="3">
        <f>(Table5[[#This Row],[السعر]]*15/100) +Table5[[#This Row],[السعر]]</f>
        <v>179.8715</v>
      </c>
      <c r="E1065" s="3" t="s">
        <v>1595</v>
      </c>
    </row>
    <row r="1066" spans="1:5" ht="18" x14ac:dyDescent="0.35">
      <c r="A1066" s="21"/>
      <c r="B1066" s="3" t="s">
        <v>1540</v>
      </c>
      <c r="C1066" s="3">
        <v>62.57</v>
      </c>
      <c r="D1066" s="3">
        <f>(Table5[[#This Row],[السعر]]*15/100) +Table5[[#This Row],[السعر]]</f>
        <v>71.955500000000001</v>
      </c>
      <c r="E1066" s="3" t="s">
        <v>1595</v>
      </c>
    </row>
    <row r="1067" spans="1:5" ht="18" x14ac:dyDescent="0.35">
      <c r="A1067" s="21"/>
      <c r="B1067" s="3" t="s">
        <v>1541</v>
      </c>
      <c r="C1067" s="3">
        <v>88.81</v>
      </c>
      <c r="D1067" s="3">
        <f>(Table5[[#This Row],[السعر]]*15/100) +Table5[[#This Row],[السعر]]</f>
        <v>102.1315</v>
      </c>
      <c r="E1067" s="3" t="s">
        <v>1595</v>
      </c>
    </row>
    <row r="1068" spans="1:5" ht="18" x14ac:dyDescent="0.35">
      <c r="A1068" s="21"/>
      <c r="B1068" s="3" t="s">
        <v>1542</v>
      </c>
      <c r="C1068" s="3">
        <v>26.58</v>
      </c>
      <c r="D1068" s="3">
        <f>(Table5[[#This Row],[السعر]]*15/100) +Table5[[#This Row],[السعر]]</f>
        <v>30.567</v>
      </c>
      <c r="E1068" s="3" t="s">
        <v>1595</v>
      </c>
    </row>
    <row r="1069" spans="1:5" ht="18" x14ac:dyDescent="0.35">
      <c r="A1069" s="21"/>
      <c r="B1069" s="3" t="s">
        <v>1543</v>
      </c>
      <c r="C1069" s="3">
        <v>38.22</v>
      </c>
      <c r="D1069" s="3">
        <f>(Table5[[#This Row],[السعر]]*15/100) +Table5[[#This Row],[السعر]]</f>
        <v>43.952999999999996</v>
      </c>
      <c r="E1069" s="3" t="s">
        <v>1595</v>
      </c>
    </row>
    <row r="1070" spans="1:5" ht="18" x14ac:dyDescent="0.35">
      <c r="A1070" s="21"/>
      <c r="B1070" s="3" t="s">
        <v>1544</v>
      </c>
      <c r="C1070" s="3">
        <v>40.14</v>
      </c>
      <c r="D1070" s="3">
        <f>(Table5[[#This Row],[السعر]]*15/100) +Table5[[#This Row],[السعر]]</f>
        <v>46.161000000000001</v>
      </c>
      <c r="E1070" s="3" t="s">
        <v>1595</v>
      </c>
    </row>
    <row r="1071" spans="1:5" ht="18" x14ac:dyDescent="0.35">
      <c r="A1071" s="21"/>
      <c r="B1071" s="3" t="s">
        <v>1547</v>
      </c>
      <c r="C1071" s="3">
        <v>429.71</v>
      </c>
      <c r="D1071" s="3">
        <f>(Table5[[#This Row],[السعر]]*15/100) +Table5[[#This Row],[السعر]]</f>
        <v>494.16649999999998</v>
      </c>
      <c r="E1071" s="3" t="s">
        <v>1595</v>
      </c>
    </row>
    <row r="1072" spans="1:5" ht="18" x14ac:dyDescent="0.35">
      <c r="A1072" s="21"/>
      <c r="B1072" s="3" t="s">
        <v>1548</v>
      </c>
      <c r="C1072" s="3">
        <v>11.5</v>
      </c>
      <c r="D1072" s="3">
        <f>(Table5[[#This Row],[السعر]]*15/100) +Table5[[#This Row],[السعر]]</f>
        <v>13.225</v>
      </c>
      <c r="E1072" s="3" t="s">
        <v>1595</v>
      </c>
    </row>
    <row r="1073" spans="1:5" ht="18" x14ac:dyDescent="0.35">
      <c r="A1073" s="21"/>
      <c r="B1073" s="3" t="s">
        <v>1549</v>
      </c>
      <c r="C1073" s="3">
        <v>12.22</v>
      </c>
      <c r="D1073" s="3">
        <f>(Table5[[#This Row],[السعر]]*15/100) +Table5[[#This Row],[السعر]]</f>
        <v>14.053000000000001</v>
      </c>
      <c r="E1073" s="3" t="s">
        <v>1595</v>
      </c>
    </row>
    <row r="1074" spans="1:5" ht="18" x14ac:dyDescent="0.35">
      <c r="A1074" s="21"/>
      <c r="B1074" s="3" t="s">
        <v>1550</v>
      </c>
      <c r="C1074" s="3">
        <v>14.57</v>
      </c>
      <c r="D1074" s="3">
        <f>(Table5[[#This Row],[السعر]]*15/100) +Table5[[#This Row],[السعر]]</f>
        <v>16.755500000000001</v>
      </c>
      <c r="E1074" s="3" t="s">
        <v>1595</v>
      </c>
    </row>
    <row r="1075" spans="1:5" ht="18" x14ac:dyDescent="0.35">
      <c r="A1075" s="21"/>
      <c r="B1075" s="3" t="s">
        <v>1551</v>
      </c>
      <c r="C1075" s="3">
        <v>16.25</v>
      </c>
      <c r="D1075" s="3">
        <f>(Table5[[#This Row],[السعر]]*15/100) +Table5[[#This Row],[السعر]]</f>
        <v>18.6875</v>
      </c>
      <c r="E1075" s="3" t="s">
        <v>1595</v>
      </c>
    </row>
    <row r="1076" spans="1:5" ht="18" x14ac:dyDescent="0.35">
      <c r="A1076" s="21"/>
      <c r="B1076" s="3" t="s">
        <v>1552</v>
      </c>
      <c r="C1076" s="3">
        <v>24.26</v>
      </c>
      <c r="D1076" s="3">
        <f>(Table5[[#This Row],[السعر]]*15/100) +Table5[[#This Row],[السعر]]</f>
        <v>27.899000000000001</v>
      </c>
      <c r="E1076" s="3" t="s">
        <v>1595</v>
      </c>
    </row>
    <row r="1077" spans="1:5" ht="18" x14ac:dyDescent="0.35">
      <c r="A1077" s="21"/>
      <c r="B1077" s="3" t="s">
        <v>1562</v>
      </c>
      <c r="C1077" s="3">
        <v>32.19</v>
      </c>
      <c r="D1077" s="3">
        <f>(Table5[[#This Row],[السعر]]*15/100) +Table5[[#This Row],[السعر]]</f>
        <v>37.018499999999996</v>
      </c>
      <c r="E1077" s="3" t="s">
        <v>1595</v>
      </c>
    </row>
    <row r="1078" spans="1:5" ht="18" x14ac:dyDescent="0.35">
      <c r="A1078" s="21"/>
      <c r="B1078" s="3" t="s">
        <v>1553</v>
      </c>
      <c r="C1078" s="3">
        <v>44.81</v>
      </c>
      <c r="D1078" s="3">
        <f>(Table5[[#This Row],[السعر]]*15/100) +Table5[[#This Row],[السعر]]</f>
        <v>51.531500000000001</v>
      </c>
      <c r="E1078" s="3" t="s">
        <v>1595</v>
      </c>
    </row>
    <row r="1079" spans="1:5" ht="18" x14ac:dyDescent="0.35">
      <c r="A1079" s="21"/>
      <c r="B1079" s="3" t="s">
        <v>1554</v>
      </c>
      <c r="C1079" s="3">
        <v>30</v>
      </c>
      <c r="D1079" s="3">
        <f>(Table5[[#This Row],[السعر]]*15/100) +Table5[[#This Row],[السعر]]</f>
        <v>34.5</v>
      </c>
      <c r="E1079" s="3" t="s">
        <v>1595</v>
      </c>
    </row>
    <row r="1080" spans="1:5" ht="18" x14ac:dyDescent="0.35">
      <c r="A1080" s="21"/>
      <c r="B1080" s="3" t="s">
        <v>1555</v>
      </c>
      <c r="C1080" s="3">
        <v>12.76</v>
      </c>
      <c r="D1080" s="3">
        <f>(Table5[[#This Row],[السعر]]*15/100) +Table5[[#This Row],[السعر]]</f>
        <v>14.673999999999999</v>
      </c>
      <c r="E1080" s="3" t="s">
        <v>1595</v>
      </c>
    </row>
    <row r="1081" spans="1:5" ht="18" x14ac:dyDescent="0.35">
      <c r="A1081" s="21"/>
      <c r="B1081" s="3" t="s">
        <v>1556</v>
      </c>
      <c r="C1081" s="3">
        <v>21.09</v>
      </c>
      <c r="D1081" s="3">
        <f>(Table5[[#This Row],[السعر]]*15/100) +Table5[[#This Row],[السعر]]</f>
        <v>24.253499999999999</v>
      </c>
      <c r="E1081" s="3" t="s">
        <v>1595</v>
      </c>
    </row>
    <row r="1082" spans="1:5" ht="18" x14ac:dyDescent="0.35">
      <c r="A1082" s="21"/>
      <c r="B1082" s="3" t="s">
        <v>1557</v>
      </c>
      <c r="C1082" s="3">
        <v>39.35</v>
      </c>
      <c r="D1082" s="3">
        <f>(Table5[[#This Row],[السعر]]*15/100) +Table5[[#This Row],[السعر]]</f>
        <v>45.252499999999998</v>
      </c>
      <c r="E1082" s="3" t="s">
        <v>1595</v>
      </c>
    </row>
    <row r="1083" spans="1:5" ht="18" x14ac:dyDescent="0.35">
      <c r="A1083" s="21"/>
      <c r="B1083" s="3" t="s">
        <v>1563</v>
      </c>
      <c r="C1083" s="3">
        <v>54.83</v>
      </c>
      <c r="D1083" s="3">
        <f>(Table5[[#This Row],[السعر]]*15/100) +Table5[[#This Row],[السعر]]</f>
        <v>63.054499999999997</v>
      </c>
      <c r="E1083" s="3" t="s">
        <v>1595</v>
      </c>
    </row>
    <row r="1084" spans="1:5" ht="18" x14ac:dyDescent="0.35">
      <c r="A1084" s="21"/>
      <c r="B1084" s="3" t="s">
        <v>1564</v>
      </c>
      <c r="C1084" s="3">
        <v>56.18</v>
      </c>
      <c r="D1084" s="3">
        <f>(Table5[[#This Row],[السعر]]*15/100) +Table5[[#This Row],[السعر]]</f>
        <v>64.606999999999999</v>
      </c>
      <c r="E1084" s="3" t="s">
        <v>1595</v>
      </c>
    </row>
    <row r="1085" spans="1:5" ht="18" x14ac:dyDescent="0.35">
      <c r="A1085" s="21"/>
      <c r="B1085" s="3" t="s">
        <v>1565</v>
      </c>
      <c r="C1085" s="3">
        <v>29.05</v>
      </c>
      <c r="D1085" s="3">
        <f>(Table5[[#This Row],[السعر]]*15/100) +Table5[[#This Row],[السعر]]</f>
        <v>33.407499999999999</v>
      </c>
      <c r="E1085" s="3" t="s">
        <v>1595</v>
      </c>
    </row>
    <row r="1086" spans="1:5" ht="18" x14ac:dyDescent="0.35">
      <c r="A1086" s="21"/>
      <c r="B1086" s="3" t="s">
        <v>1558</v>
      </c>
      <c r="C1086" s="3">
        <v>16.75</v>
      </c>
      <c r="D1086" s="3">
        <f>(Table5[[#This Row],[السعر]]*15/100) +Table5[[#This Row],[السعر]]</f>
        <v>19.262499999999999</v>
      </c>
      <c r="E1086" s="3" t="s">
        <v>1595</v>
      </c>
    </row>
    <row r="1087" spans="1:5" ht="18" x14ac:dyDescent="0.35">
      <c r="A1087" s="21"/>
      <c r="B1087" s="3" t="s">
        <v>1566</v>
      </c>
      <c r="C1087" s="3">
        <v>89.11</v>
      </c>
      <c r="D1087" s="3">
        <f>(Table5[[#This Row],[السعر]]*15/100) +Table5[[#This Row],[السعر]]</f>
        <v>102.4765</v>
      </c>
      <c r="E1087" s="3" t="s">
        <v>1595</v>
      </c>
    </row>
    <row r="1088" spans="1:5" ht="18" x14ac:dyDescent="0.35">
      <c r="A1088" s="21"/>
      <c r="B1088" s="3" t="s">
        <v>1567</v>
      </c>
      <c r="C1088" s="3">
        <v>135.37</v>
      </c>
      <c r="D1088" s="3">
        <f>(Table5[[#This Row],[السعر]]*15/100) +Table5[[#This Row],[السعر]]</f>
        <v>155.6755</v>
      </c>
      <c r="E1088" s="3" t="s">
        <v>1595</v>
      </c>
    </row>
    <row r="1089" spans="1:5" ht="18" x14ac:dyDescent="0.35">
      <c r="A1089" s="21"/>
      <c r="B1089" s="3" t="s">
        <v>1559</v>
      </c>
      <c r="C1089" s="3">
        <v>4.6900000000000004</v>
      </c>
      <c r="D1089" s="3">
        <f>(Table5[[#This Row],[السعر]]*15/100) +Table5[[#This Row],[السعر]]</f>
        <v>5.3935000000000004</v>
      </c>
      <c r="E1089" s="3" t="s">
        <v>1595</v>
      </c>
    </row>
    <row r="1090" spans="1:5" ht="18" x14ac:dyDescent="0.35">
      <c r="A1090" s="21"/>
      <c r="B1090" s="3" t="s">
        <v>1560</v>
      </c>
      <c r="C1090" s="3">
        <v>16.8</v>
      </c>
      <c r="D1090" s="3">
        <f>(Table5[[#This Row],[السعر]]*15/100) +Table5[[#This Row],[السعر]]</f>
        <v>19.32</v>
      </c>
      <c r="E1090" s="3" t="s">
        <v>1595</v>
      </c>
    </row>
    <row r="1091" spans="1:5" ht="18" x14ac:dyDescent="0.35">
      <c r="A1091" s="21"/>
      <c r="B1091" s="3" t="s">
        <v>1561</v>
      </c>
      <c r="C1091" s="3">
        <v>101.63</v>
      </c>
      <c r="D1091" s="3">
        <f>(Table5[[#This Row],[السعر]]*15/100) +Table5[[#This Row],[السعر]]</f>
        <v>116.8745</v>
      </c>
      <c r="E1091" s="3" t="s">
        <v>1595</v>
      </c>
    </row>
    <row r="1092" spans="1:5" ht="18" x14ac:dyDescent="0.35">
      <c r="A1092" s="21"/>
      <c r="B1092" s="3" t="s">
        <v>1568</v>
      </c>
      <c r="C1092" s="3">
        <v>125.18</v>
      </c>
      <c r="D1092" s="3">
        <f>(Table5[[#This Row],[السعر]]*15/100) +Table5[[#This Row],[السعر]]</f>
        <v>143.95699999999999</v>
      </c>
      <c r="E1092" s="3" t="s">
        <v>1595</v>
      </c>
    </row>
    <row r="1093" spans="1:5" ht="18" x14ac:dyDescent="0.35">
      <c r="A1093" s="21"/>
      <c r="B1093" s="3" t="s">
        <v>1569</v>
      </c>
      <c r="C1093" s="3">
        <v>20.69</v>
      </c>
      <c r="D1093" s="3">
        <f>(Table5[[#This Row],[السعر]]*15/100) +Table5[[#This Row],[السعر]]</f>
        <v>23.793500000000002</v>
      </c>
      <c r="E1093" s="3" t="s">
        <v>1595</v>
      </c>
    </row>
    <row r="1094" spans="1:5" ht="18" x14ac:dyDescent="0.35">
      <c r="A1094" s="21"/>
      <c r="B1094" s="3" t="s">
        <v>1570</v>
      </c>
      <c r="C1094" s="3">
        <v>44.78</v>
      </c>
      <c r="D1094" s="3">
        <f>(Table5[[#This Row],[السعر]]*15/100) +Table5[[#This Row],[السعر]]</f>
        <v>51.497</v>
      </c>
      <c r="E1094" s="3" t="s">
        <v>1595</v>
      </c>
    </row>
    <row r="1095" spans="1:5" ht="18" x14ac:dyDescent="0.35">
      <c r="A1095" s="21"/>
      <c r="B1095" s="3" t="s">
        <v>1571</v>
      </c>
      <c r="C1095" s="3">
        <v>47.52</v>
      </c>
      <c r="D1095" s="3">
        <f>(Table5[[#This Row],[السعر]]*15/100) +Table5[[#This Row],[السعر]]</f>
        <v>54.648000000000003</v>
      </c>
      <c r="E1095" s="3" t="s">
        <v>1595</v>
      </c>
    </row>
    <row r="1096" spans="1:5" ht="18" x14ac:dyDescent="0.35">
      <c r="A1096" s="21"/>
      <c r="B1096" s="3" t="s">
        <v>1585</v>
      </c>
      <c r="C1096" s="3">
        <v>121.52</v>
      </c>
      <c r="D1096" s="3">
        <f>(Table5[[#This Row],[السعر]]*15/100) +Table5[[#This Row],[السعر]]</f>
        <v>139.74799999999999</v>
      </c>
      <c r="E1096" s="3" t="s">
        <v>1595</v>
      </c>
    </row>
    <row r="1097" spans="1:5" ht="18" x14ac:dyDescent="0.35">
      <c r="A1097" s="21"/>
      <c r="B1097" s="3" t="s">
        <v>1572</v>
      </c>
      <c r="C1097" s="3">
        <v>149.06</v>
      </c>
      <c r="D1097" s="3">
        <f>(Table5[[#This Row],[السعر]]*15/100) +Table5[[#This Row],[السعر]]</f>
        <v>171.41900000000001</v>
      </c>
      <c r="E1097" s="3" t="s">
        <v>1595</v>
      </c>
    </row>
    <row r="1098" spans="1:5" ht="18" x14ac:dyDescent="0.35">
      <c r="A1098" s="21"/>
      <c r="B1098" s="3" t="s">
        <v>1586</v>
      </c>
      <c r="C1098" s="3">
        <v>169.64</v>
      </c>
      <c r="D1098" s="3">
        <f>(Table5[[#This Row],[السعر]]*15/100) +Table5[[#This Row],[السعر]]</f>
        <v>195.08599999999998</v>
      </c>
      <c r="E1098" s="3" t="s">
        <v>1595</v>
      </c>
    </row>
    <row r="1099" spans="1:5" ht="18" x14ac:dyDescent="0.35">
      <c r="A1099" s="21"/>
      <c r="B1099" s="3" t="s">
        <v>1587</v>
      </c>
      <c r="C1099" s="3">
        <v>251.4</v>
      </c>
      <c r="D1099" s="3">
        <f>(Table5[[#This Row],[السعر]]*15/100) +Table5[[#This Row],[السعر]]</f>
        <v>289.11</v>
      </c>
      <c r="E1099" s="3" t="s">
        <v>1595</v>
      </c>
    </row>
    <row r="1100" spans="1:5" ht="18" x14ac:dyDescent="0.35">
      <c r="A1100" s="21"/>
      <c r="B1100" s="3" t="s">
        <v>1573</v>
      </c>
      <c r="C1100" s="3">
        <v>13.68</v>
      </c>
      <c r="D1100" s="3">
        <f>(Table5[[#This Row],[السعر]]*15/100) +Table5[[#This Row],[السعر]]</f>
        <v>15.731999999999999</v>
      </c>
      <c r="E1100" s="3" t="s">
        <v>1595</v>
      </c>
    </row>
    <row r="1101" spans="1:5" ht="18" x14ac:dyDescent="0.35">
      <c r="A1101" s="21"/>
      <c r="B1101" s="3" t="s">
        <v>1574</v>
      </c>
      <c r="C1101" s="3">
        <v>45.57</v>
      </c>
      <c r="D1101" s="3">
        <f>(Table5[[#This Row],[السعر]]*15/100) +Table5[[#This Row],[السعر]]</f>
        <v>52.405500000000004</v>
      </c>
      <c r="E1101" s="3" t="s">
        <v>1595</v>
      </c>
    </row>
    <row r="1102" spans="1:5" ht="18" x14ac:dyDescent="0.35">
      <c r="A1102" s="21"/>
      <c r="B1102" s="3" t="s">
        <v>1575</v>
      </c>
      <c r="C1102" s="3">
        <v>825.54</v>
      </c>
      <c r="D1102" s="3">
        <f>(Table5[[#This Row],[السعر]]*15/100) +Table5[[#This Row],[السعر]]</f>
        <v>949.37099999999998</v>
      </c>
      <c r="E1102" s="3" t="s">
        <v>1595</v>
      </c>
    </row>
    <row r="1103" spans="1:5" ht="18" x14ac:dyDescent="0.35">
      <c r="A1103" s="21"/>
      <c r="B1103" s="3" t="s">
        <v>1576</v>
      </c>
      <c r="C1103" s="3">
        <v>298.04000000000002</v>
      </c>
      <c r="D1103" s="3">
        <f>(Table5[[#This Row],[السعر]]*15/100) +Table5[[#This Row],[السعر]]</f>
        <v>342.74600000000004</v>
      </c>
      <c r="E1103" s="3" t="s">
        <v>1595</v>
      </c>
    </row>
    <row r="1104" spans="1:5" ht="18" x14ac:dyDescent="0.35">
      <c r="A1104" s="21"/>
      <c r="B1104" s="3" t="s">
        <v>1389</v>
      </c>
      <c r="C1104" s="3">
        <v>88.38</v>
      </c>
      <c r="D1104" s="3">
        <f>(Table5[[#This Row],[السعر]]*15/100) +Table5[[#This Row],[السعر]]</f>
        <v>101.637</v>
      </c>
      <c r="E1104" s="3" t="s">
        <v>1595</v>
      </c>
    </row>
    <row r="1105" spans="1:5" ht="18" x14ac:dyDescent="0.35">
      <c r="A1105" s="21"/>
      <c r="B1105" s="3" t="s">
        <v>1588</v>
      </c>
      <c r="C1105" s="3">
        <v>84.23</v>
      </c>
      <c r="D1105" s="3">
        <f>(Table5[[#This Row],[السعر]]*15/100) +Table5[[#This Row],[السعر]]</f>
        <v>96.864500000000007</v>
      </c>
      <c r="E1105" s="3" t="s">
        <v>1595</v>
      </c>
    </row>
    <row r="1106" spans="1:5" ht="18" x14ac:dyDescent="0.35">
      <c r="A1106" s="21"/>
      <c r="B1106" s="3" t="s">
        <v>1577</v>
      </c>
      <c r="C1106" s="3">
        <v>64.260000000000005</v>
      </c>
      <c r="D1106" s="3">
        <f>(Table5[[#This Row],[السعر]]*15/100) +Table5[[#This Row],[السعر]]</f>
        <v>73.899000000000001</v>
      </c>
      <c r="E1106" s="3" t="s">
        <v>1595</v>
      </c>
    </row>
    <row r="1107" spans="1:5" ht="18" x14ac:dyDescent="0.35">
      <c r="A1107" s="21"/>
      <c r="B1107" s="3" t="s">
        <v>1578</v>
      </c>
      <c r="C1107" s="3">
        <v>99.84</v>
      </c>
      <c r="D1107" s="3">
        <f>(Table5[[#This Row],[السعر]]*15/100) +Table5[[#This Row],[السعر]]</f>
        <v>114.816</v>
      </c>
      <c r="E1107" s="3" t="s">
        <v>1595</v>
      </c>
    </row>
    <row r="1108" spans="1:5" ht="18" x14ac:dyDescent="0.35">
      <c r="A1108" s="21"/>
      <c r="B1108" s="3" t="s">
        <v>1589</v>
      </c>
      <c r="C1108" s="3">
        <v>97.81</v>
      </c>
      <c r="D1108" s="3">
        <f>(Table5[[#This Row],[السعر]]*15/100) +Table5[[#This Row],[السعر]]</f>
        <v>112.48150000000001</v>
      </c>
      <c r="E1108" s="3" t="s">
        <v>1595</v>
      </c>
    </row>
    <row r="1109" spans="1:5" ht="18" x14ac:dyDescent="0.35">
      <c r="A1109" s="21"/>
      <c r="B1109" s="3" t="s">
        <v>1579</v>
      </c>
      <c r="C1109" s="41">
        <v>1685.66</v>
      </c>
      <c r="D1109" s="3">
        <f>(Table5[[#This Row],[السعر]]*15/100) +Table5[[#This Row],[السعر]]</f>
        <v>1938.509</v>
      </c>
      <c r="E1109" s="3" t="s">
        <v>1595</v>
      </c>
    </row>
    <row r="1110" spans="1:5" ht="18" x14ac:dyDescent="0.35">
      <c r="A1110" s="21"/>
      <c r="B1110" s="3" t="s">
        <v>1590</v>
      </c>
      <c r="C1110" s="41">
        <v>1305.8900000000001</v>
      </c>
      <c r="D1110" s="3">
        <f>(Table5[[#This Row],[السعر]]*15/100) +Table5[[#This Row],[السعر]]</f>
        <v>1501.7735000000002</v>
      </c>
      <c r="E1110" s="3" t="s">
        <v>1595</v>
      </c>
    </row>
    <row r="1111" spans="1:5" ht="18" x14ac:dyDescent="0.35">
      <c r="A1111" s="21"/>
      <c r="B1111" s="3" t="s">
        <v>1591</v>
      </c>
      <c r="C1111" s="41">
        <v>1363.95</v>
      </c>
      <c r="D1111" s="3">
        <f>(Table5[[#This Row],[السعر]]*15/100) +Table5[[#This Row],[السعر]]</f>
        <v>1568.5425</v>
      </c>
      <c r="E1111" s="3" t="s">
        <v>1595</v>
      </c>
    </row>
    <row r="1112" spans="1:5" ht="18" x14ac:dyDescent="0.35">
      <c r="A1112" s="21"/>
      <c r="B1112" s="3" t="s">
        <v>1580</v>
      </c>
      <c r="C1112" s="41">
        <v>1523.85</v>
      </c>
      <c r="D1112" s="3">
        <f>(Table5[[#This Row],[السعر]]*15/100) +Table5[[#This Row],[السعر]]</f>
        <v>1752.4274999999998</v>
      </c>
      <c r="E1112" s="3" t="s">
        <v>1595</v>
      </c>
    </row>
    <row r="1113" spans="1:5" ht="18" x14ac:dyDescent="0.35">
      <c r="A1113" s="21"/>
      <c r="B1113" s="3" t="s">
        <v>1581</v>
      </c>
      <c r="C1113" s="41">
        <v>1441.2</v>
      </c>
      <c r="D1113" s="3">
        <f>(Table5[[#This Row],[السعر]]*15/100) +Table5[[#This Row],[السعر]]</f>
        <v>1657.38</v>
      </c>
      <c r="E1113" s="3" t="s">
        <v>1595</v>
      </c>
    </row>
    <row r="1114" spans="1:5" ht="18" x14ac:dyDescent="0.35">
      <c r="A1114" s="21"/>
      <c r="B1114" s="3" t="s">
        <v>1582</v>
      </c>
      <c r="C1114" s="41">
        <v>2094.1999999999998</v>
      </c>
      <c r="D1114" s="3">
        <f>(Table5[[#This Row],[السعر]]*15/100) +Table5[[#This Row],[السعر]]</f>
        <v>2408.33</v>
      </c>
      <c r="E1114" s="3" t="s">
        <v>1595</v>
      </c>
    </row>
    <row r="1115" spans="1:5" ht="18" x14ac:dyDescent="0.35">
      <c r="A1115" s="21"/>
      <c r="B1115" s="3" t="s">
        <v>1583</v>
      </c>
      <c r="C1115" s="3">
        <v>526.85</v>
      </c>
      <c r="D1115" s="3">
        <f>(Table5[[#This Row],[السعر]]*15/100) +Table5[[#This Row],[السعر]]</f>
        <v>605.87750000000005</v>
      </c>
      <c r="E1115" s="3" t="s">
        <v>1595</v>
      </c>
    </row>
    <row r="1116" spans="1:5" ht="18" x14ac:dyDescent="0.35">
      <c r="A1116" s="21"/>
      <c r="B1116" s="3" t="s">
        <v>1584</v>
      </c>
      <c r="C1116" s="3">
        <v>475.3</v>
      </c>
      <c r="D1116" s="3">
        <f>(Table5[[#This Row],[السعر]]*15/100) +Table5[[#This Row],[السعر]]</f>
        <v>546.59500000000003</v>
      </c>
      <c r="E1116" s="3" t="s">
        <v>1595</v>
      </c>
    </row>
    <row r="1117" spans="1:5" ht="18" x14ac:dyDescent="0.35">
      <c r="A1117" s="21"/>
      <c r="B1117" s="3"/>
      <c r="C1117" s="3"/>
      <c r="D1117" s="3">
        <f>(Table5[[#This Row],[السعر]]*15/100) +Table5[[#This Row],[السعر]]</f>
        <v>0</v>
      </c>
      <c r="E1117" s="27"/>
    </row>
    <row r="1118" spans="1:5" ht="18" x14ac:dyDescent="0.35">
      <c r="A1118" s="21"/>
      <c r="B1118" s="3"/>
      <c r="C1118" s="3"/>
      <c r="D1118" s="3">
        <f>(Table5[[#This Row],[السعر]]*15/100) +Table5[[#This Row],[السعر]]</f>
        <v>0</v>
      </c>
      <c r="E1118" s="27"/>
    </row>
    <row r="1119" spans="1:5" ht="18" x14ac:dyDescent="0.35">
      <c r="A1119" s="21"/>
      <c r="B1119" s="3"/>
      <c r="C1119" s="3"/>
      <c r="D1119" s="3">
        <f>(Table5[[#This Row],[السعر]]*15/100) +Table5[[#This Row],[السعر]]</f>
        <v>0</v>
      </c>
      <c r="E1119" s="27"/>
    </row>
    <row r="1120" spans="1:5" ht="18" x14ac:dyDescent="0.35">
      <c r="A1120" s="21"/>
      <c r="B1120" s="3"/>
      <c r="C1120" s="3"/>
      <c r="D1120" s="3">
        <f>(Table5[[#This Row],[السعر]]*15/100) +Table5[[#This Row],[السعر]]</f>
        <v>0</v>
      </c>
      <c r="E1120" s="27"/>
    </row>
    <row r="1121" spans="1:5" ht="18" x14ac:dyDescent="0.35">
      <c r="A1121" s="21"/>
      <c r="B1121" s="3"/>
      <c r="C1121" s="3"/>
      <c r="D1121" s="3">
        <f>(Table5[[#This Row],[السعر]]*15/100) +Table5[[#This Row],[السعر]]</f>
        <v>0</v>
      </c>
      <c r="E1121" s="27"/>
    </row>
    <row r="1122" spans="1:5" ht="18" x14ac:dyDescent="0.35">
      <c r="A1122" s="21"/>
      <c r="B1122" s="3"/>
      <c r="C1122" s="3"/>
      <c r="D1122" s="3">
        <f>(Table5[[#This Row],[السعر]]*15/100) +Table5[[#This Row],[السعر]]</f>
        <v>0</v>
      </c>
      <c r="E1122" s="27"/>
    </row>
    <row r="1123" spans="1:5" ht="18" x14ac:dyDescent="0.35">
      <c r="A1123" s="21"/>
      <c r="B1123" s="3"/>
      <c r="C1123" s="3"/>
      <c r="D1123" s="3">
        <f>(Table5[[#This Row],[السعر]]*15/100) +Table5[[#This Row],[السعر]]</f>
        <v>0</v>
      </c>
      <c r="E1123" s="27"/>
    </row>
    <row r="1124" spans="1:5" ht="18" x14ac:dyDescent="0.35">
      <c r="A1124" s="21"/>
      <c r="B1124" s="3"/>
      <c r="C1124" s="3"/>
      <c r="D1124" s="3">
        <f>(Table5[[#This Row],[السعر]]*15/100) +Table5[[#This Row],[السعر]]</f>
        <v>0</v>
      </c>
      <c r="E1124" s="27"/>
    </row>
    <row r="1125" spans="1:5" ht="18" x14ac:dyDescent="0.35">
      <c r="A1125" s="21"/>
      <c r="B1125" s="3"/>
      <c r="C1125" s="3"/>
      <c r="D1125" s="3">
        <f>(Table5[[#This Row],[السعر]]*15/100) +Table5[[#This Row],[السعر]]</f>
        <v>0</v>
      </c>
      <c r="E1125" s="27"/>
    </row>
    <row r="1126" spans="1:5" ht="18" x14ac:dyDescent="0.35">
      <c r="A1126" s="21"/>
      <c r="B1126" s="3"/>
      <c r="C1126" s="3"/>
      <c r="D1126" s="3">
        <f>(Table5[[#This Row],[السعر]]*15/100) +Table5[[#This Row],[السعر]]</f>
        <v>0</v>
      </c>
      <c r="E1126" s="27"/>
    </row>
    <row r="1127" spans="1:5" ht="18" x14ac:dyDescent="0.35">
      <c r="A1127" s="21"/>
      <c r="B1127" s="3"/>
      <c r="C1127" s="3"/>
      <c r="D1127" s="3">
        <f>(Table5[[#This Row],[السعر]]*15/100) +Table5[[#This Row],[السعر]]</f>
        <v>0</v>
      </c>
      <c r="E1127" s="27"/>
    </row>
    <row r="1128" spans="1:5" ht="18" x14ac:dyDescent="0.35">
      <c r="A1128" s="21"/>
      <c r="B1128" s="3"/>
      <c r="C1128" s="3"/>
      <c r="D1128" s="3">
        <f>(Table5[[#This Row],[السعر]]*15/100) +Table5[[#This Row],[السعر]]</f>
        <v>0</v>
      </c>
      <c r="E1128" s="27"/>
    </row>
    <row r="1129" spans="1:5" ht="18" x14ac:dyDescent="0.35">
      <c r="A1129" s="21"/>
      <c r="B1129" s="3"/>
      <c r="C1129" s="3"/>
      <c r="D1129" s="3">
        <f>(Table5[[#This Row],[السعر]]*15/100) +Table5[[#This Row],[السعر]]</f>
        <v>0</v>
      </c>
      <c r="E1129" s="27"/>
    </row>
    <row r="1130" spans="1:5" ht="18" x14ac:dyDescent="0.35">
      <c r="A1130" s="21"/>
      <c r="B1130" s="3"/>
      <c r="C1130" s="3"/>
      <c r="D1130" s="3">
        <f>(Table5[[#This Row],[السعر]]*15/100) +Table5[[#This Row],[السعر]]</f>
        <v>0</v>
      </c>
      <c r="E1130" s="27"/>
    </row>
    <row r="1131" spans="1:5" ht="18" x14ac:dyDescent="0.35">
      <c r="A1131" s="21"/>
      <c r="B1131" s="3"/>
      <c r="C1131" s="3"/>
      <c r="D1131" s="3">
        <f>(Table5[[#This Row],[السعر]]*15/100) +Table5[[#This Row],[السعر]]</f>
        <v>0</v>
      </c>
      <c r="E1131" s="27"/>
    </row>
    <row r="1132" spans="1:5" ht="18" x14ac:dyDescent="0.35">
      <c r="A1132" s="21"/>
      <c r="B1132" s="3"/>
      <c r="C1132" s="3"/>
      <c r="D1132" s="3">
        <f>(Table5[[#This Row],[السعر]]*15/100) +Table5[[#This Row],[السعر]]</f>
        <v>0</v>
      </c>
      <c r="E1132" s="27"/>
    </row>
    <row r="1133" spans="1:5" ht="18" x14ac:dyDescent="0.35">
      <c r="A1133" s="21"/>
      <c r="B1133" s="3"/>
      <c r="C1133" s="3"/>
      <c r="D1133" s="3">
        <f>(Table5[[#This Row],[السعر]]*15/100) +Table5[[#This Row],[السعر]]</f>
        <v>0</v>
      </c>
      <c r="E1133" s="27"/>
    </row>
    <row r="1134" spans="1:5" ht="18" x14ac:dyDescent="0.35">
      <c r="A1134" s="21"/>
      <c r="B1134" s="3"/>
      <c r="C1134" s="3"/>
      <c r="D1134" s="3">
        <f>(Table5[[#This Row],[السعر]]*15/100) +Table5[[#This Row],[السعر]]</f>
        <v>0</v>
      </c>
      <c r="E1134" s="27"/>
    </row>
    <row r="1135" spans="1:5" ht="18" x14ac:dyDescent="0.35">
      <c r="A1135" s="21"/>
      <c r="B1135" s="3"/>
      <c r="C1135" s="3"/>
      <c r="D1135" s="3">
        <f>(Table5[[#This Row],[السعر]]*15/100) +Table5[[#This Row],[السعر]]</f>
        <v>0</v>
      </c>
      <c r="E1135" s="27"/>
    </row>
    <row r="1136" spans="1:5" ht="18" x14ac:dyDescent="0.35">
      <c r="A1136" s="21"/>
      <c r="B1136" s="3"/>
      <c r="C1136" s="3"/>
      <c r="D1136" s="3">
        <f>(Table5[[#This Row],[السعر]]*15/100) +Table5[[#This Row],[السعر]]</f>
        <v>0</v>
      </c>
      <c r="E1136" s="27"/>
    </row>
    <row r="1137" spans="1:5" ht="18" x14ac:dyDescent="0.35">
      <c r="A1137" s="21"/>
      <c r="B1137" s="3"/>
      <c r="C1137" s="3"/>
      <c r="D1137" s="3">
        <f>(Table5[[#This Row],[السعر]]*15/100) +Table5[[#This Row],[السعر]]</f>
        <v>0</v>
      </c>
      <c r="E1137" s="27"/>
    </row>
    <row r="1138" spans="1:5" ht="18" x14ac:dyDescent="0.35">
      <c r="A1138" s="21"/>
      <c r="B1138" s="3"/>
      <c r="C1138" s="3"/>
      <c r="D1138" s="3">
        <f>(Table5[[#This Row],[السعر]]*15/100) +Table5[[#This Row],[السعر]]</f>
        <v>0</v>
      </c>
      <c r="E1138" s="27"/>
    </row>
    <row r="1139" spans="1:5" ht="18" x14ac:dyDescent="0.35">
      <c r="A1139" s="21"/>
      <c r="B1139" s="3"/>
      <c r="C1139" s="3"/>
      <c r="D1139" s="3">
        <f>(Table5[[#This Row],[السعر]]*15/100) +Table5[[#This Row],[السعر]]</f>
        <v>0</v>
      </c>
      <c r="E1139" s="27"/>
    </row>
    <row r="1140" spans="1:5" ht="18" x14ac:dyDescent="0.35">
      <c r="A1140" s="21"/>
      <c r="B1140" s="3"/>
      <c r="C1140" s="3"/>
      <c r="D1140" s="3">
        <f>(Table5[[#This Row],[السعر]]*15/100) +Table5[[#This Row],[السعر]]</f>
        <v>0</v>
      </c>
      <c r="E1140" s="27"/>
    </row>
    <row r="1141" spans="1:5" ht="18" x14ac:dyDescent="0.35">
      <c r="A1141" s="21"/>
      <c r="B1141" s="3"/>
      <c r="C1141" s="3"/>
      <c r="D1141" s="3">
        <f>(Table5[[#This Row],[السعر]]*15/100) +Table5[[#This Row],[السعر]]</f>
        <v>0</v>
      </c>
      <c r="E1141" s="27"/>
    </row>
    <row r="1142" spans="1:5" ht="18" x14ac:dyDescent="0.35">
      <c r="A1142" s="21"/>
      <c r="B1142" s="3"/>
      <c r="C1142" s="3"/>
      <c r="D1142" s="3">
        <f>(Table5[[#This Row],[السعر]]*15/100) +Table5[[#This Row],[السعر]]</f>
        <v>0</v>
      </c>
      <c r="E1142" s="27"/>
    </row>
    <row r="1143" spans="1:5" ht="18" x14ac:dyDescent="0.35">
      <c r="A1143" s="21"/>
      <c r="B1143" s="3"/>
      <c r="C1143" s="3"/>
      <c r="D1143" s="3">
        <f>(Table5[[#This Row],[السعر]]*15/100) +Table5[[#This Row],[السعر]]</f>
        <v>0</v>
      </c>
      <c r="E1143" s="27"/>
    </row>
    <row r="1144" spans="1:5" ht="18" x14ac:dyDescent="0.35">
      <c r="A1144" s="21"/>
      <c r="B1144" s="3"/>
      <c r="C1144" s="3"/>
      <c r="D1144" s="3">
        <f>(Table5[[#This Row],[السعر]]*15/100) +Table5[[#This Row],[السعر]]</f>
        <v>0</v>
      </c>
      <c r="E1144" s="27"/>
    </row>
    <row r="1145" spans="1:5" ht="18" x14ac:dyDescent="0.35">
      <c r="A1145" s="21"/>
      <c r="B1145" s="3"/>
      <c r="C1145" s="3"/>
      <c r="D1145" s="3">
        <f>(Table5[[#This Row],[السعر]]*15/100) +Table5[[#This Row],[السعر]]</f>
        <v>0</v>
      </c>
      <c r="E1145" s="27"/>
    </row>
    <row r="1146" spans="1:5" ht="18" x14ac:dyDescent="0.35">
      <c r="A1146" s="21"/>
      <c r="B1146" s="3"/>
      <c r="C1146" s="3"/>
      <c r="D1146" s="3">
        <f>(Table5[[#This Row],[السعر]]*15/100) +Table5[[#This Row],[السعر]]</f>
        <v>0</v>
      </c>
      <c r="E1146" s="27"/>
    </row>
    <row r="1147" spans="1:5" ht="18" x14ac:dyDescent="0.35">
      <c r="A1147" s="21"/>
      <c r="B1147" s="3"/>
      <c r="C1147" s="3"/>
      <c r="D1147" s="3">
        <f>(Table5[[#This Row],[السعر]]*15/100) +Table5[[#This Row],[السعر]]</f>
        <v>0</v>
      </c>
      <c r="E1147" s="27"/>
    </row>
    <row r="1148" spans="1:5" ht="18" x14ac:dyDescent="0.35">
      <c r="A1148" s="21"/>
      <c r="B1148" s="3"/>
      <c r="C1148" s="3"/>
      <c r="D1148" s="3">
        <f>(Table5[[#This Row],[السعر]]*15/100) +Table5[[#This Row],[السعر]]</f>
        <v>0</v>
      </c>
      <c r="E1148" s="27"/>
    </row>
    <row r="1149" spans="1:5" ht="18" x14ac:dyDescent="0.35">
      <c r="A1149" s="21"/>
      <c r="B1149" s="3"/>
      <c r="C1149" s="3"/>
      <c r="D1149" s="3">
        <f>(Table5[[#This Row],[السعر]]*15/100) +Table5[[#This Row],[السعر]]</f>
        <v>0</v>
      </c>
      <c r="E1149" s="27"/>
    </row>
    <row r="1150" spans="1:5" ht="18" x14ac:dyDescent="0.35">
      <c r="A1150" s="21"/>
      <c r="B1150" s="3"/>
      <c r="C1150" s="3"/>
      <c r="D1150" s="3">
        <f>(Table5[[#This Row],[السعر]]*15/100) +Table5[[#This Row],[السعر]]</f>
        <v>0</v>
      </c>
      <c r="E1150" s="27"/>
    </row>
    <row r="1151" spans="1:5" ht="18" x14ac:dyDescent="0.35">
      <c r="A1151" s="21"/>
      <c r="B1151" s="3"/>
      <c r="C1151" s="3"/>
      <c r="D1151" s="3">
        <f>(Table5[[#This Row],[السعر]]*15/100) +Table5[[#This Row],[السعر]]</f>
        <v>0</v>
      </c>
      <c r="E1151" s="27"/>
    </row>
    <row r="1152" spans="1:5" ht="18" x14ac:dyDescent="0.35">
      <c r="A1152" s="21"/>
      <c r="B1152" s="3"/>
      <c r="C1152" s="3"/>
      <c r="D1152" s="3">
        <f>(Table5[[#This Row],[السعر]]*15/100) +Table5[[#This Row],[السعر]]</f>
        <v>0</v>
      </c>
      <c r="E1152" s="27"/>
    </row>
    <row r="1153" spans="1:5" ht="18" x14ac:dyDescent="0.35">
      <c r="A1153" s="21"/>
      <c r="B1153" s="3"/>
      <c r="C1153" s="3"/>
      <c r="D1153" s="3">
        <f>(Table5[[#This Row],[السعر]]*15/100) +Table5[[#This Row],[السعر]]</f>
        <v>0</v>
      </c>
      <c r="E1153" s="27"/>
    </row>
    <row r="1154" spans="1:5" ht="18" x14ac:dyDescent="0.35">
      <c r="A1154" s="21"/>
      <c r="B1154" s="3"/>
      <c r="C1154" s="3"/>
      <c r="D1154" s="3">
        <f>(Table5[[#This Row],[السعر]]*15/100) +Table5[[#This Row],[السعر]]</f>
        <v>0</v>
      </c>
      <c r="E1154" s="27"/>
    </row>
    <row r="1155" spans="1:5" ht="18" x14ac:dyDescent="0.35">
      <c r="A1155" s="21"/>
      <c r="B1155" s="3"/>
      <c r="C1155" s="3"/>
      <c r="D1155" s="3">
        <f>(Table5[[#This Row],[السعر]]*15/100) +Table5[[#This Row],[السعر]]</f>
        <v>0</v>
      </c>
      <c r="E1155" s="27"/>
    </row>
    <row r="1156" spans="1:5" ht="18" x14ac:dyDescent="0.35">
      <c r="A1156" s="21"/>
      <c r="B1156" s="3"/>
      <c r="C1156" s="3"/>
      <c r="D1156" s="3">
        <f>(Table5[[#This Row],[السعر]]*15/100) +Table5[[#This Row],[السعر]]</f>
        <v>0</v>
      </c>
      <c r="E1156" s="27"/>
    </row>
    <row r="1157" spans="1:5" ht="18" x14ac:dyDescent="0.35">
      <c r="A1157" s="21"/>
      <c r="B1157" s="3"/>
      <c r="C1157" s="3"/>
      <c r="D1157" s="3">
        <f>(Table5[[#This Row],[السعر]]*15/100) +Table5[[#This Row],[السعر]]</f>
        <v>0</v>
      </c>
      <c r="E1157" s="27"/>
    </row>
    <row r="1158" spans="1:5" ht="18" x14ac:dyDescent="0.35">
      <c r="A1158" s="21"/>
      <c r="B1158" s="3"/>
      <c r="C1158" s="3"/>
      <c r="D1158" s="3">
        <f>(Table5[[#This Row],[السعر]]*15/100) +Table5[[#This Row],[السعر]]</f>
        <v>0</v>
      </c>
      <c r="E1158" s="27"/>
    </row>
    <row r="1159" spans="1:5" ht="18" x14ac:dyDescent="0.35">
      <c r="A1159" s="21"/>
      <c r="B1159" s="3"/>
      <c r="C1159" s="3"/>
      <c r="D1159" s="3">
        <f>(Table5[[#This Row],[السعر]]*15/100) +Table5[[#This Row],[السعر]]</f>
        <v>0</v>
      </c>
      <c r="E1159" s="27"/>
    </row>
    <row r="1160" spans="1:5" ht="18" x14ac:dyDescent="0.35">
      <c r="A1160" s="21"/>
      <c r="B1160" s="3"/>
      <c r="C1160" s="3"/>
      <c r="D1160" s="3">
        <f>(Table5[[#This Row],[السعر]]*15/100) +Table5[[#This Row],[السعر]]</f>
        <v>0</v>
      </c>
      <c r="E1160" s="27"/>
    </row>
    <row r="1161" spans="1:5" ht="18" x14ac:dyDescent="0.35">
      <c r="A1161" s="21"/>
      <c r="B1161" s="3"/>
      <c r="C1161" s="3"/>
      <c r="D1161" s="3">
        <f>(Table5[[#This Row],[السعر]]*15/100) +Table5[[#This Row],[السعر]]</f>
        <v>0</v>
      </c>
      <c r="E1161" s="27"/>
    </row>
    <row r="1162" spans="1:5" ht="18" x14ac:dyDescent="0.35">
      <c r="A1162" s="21"/>
      <c r="B1162" s="3"/>
      <c r="C1162" s="3"/>
      <c r="D1162" s="3">
        <f>(Table5[[#This Row],[السعر]]*15/100) +Table5[[#This Row],[السعر]]</f>
        <v>0</v>
      </c>
      <c r="E1162" s="27"/>
    </row>
    <row r="1163" spans="1:5" ht="18" x14ac:dyDescent="0.35">
      <c r="A1163" s="21"/>
      <c r="B1163" s="3"/>
      <c r="C1163" s="3"/>
      <c r="D1163" s="3">
        <f>(Table5[[#This Row],[السعر]]*15/100) +Table5[[#This Row],[السعر]]</f>
        <v>0</v>
      </c>
      <c r="E1163" s="27"/>
    </row>
    <row r="1164" spans="1:5" ht="18" x14ac:dyDescent="0.35">
      <c r="A1164" s="21"/>
      <c r="B1164" s="3"/>
      <c r="C1164" s="3"/>
      <c r="D1164" s="3">
        <f>(Table5[[#This Row],[السعر]]*15/100) +Table5[[#This Row],[السعر]]</f>
        <v>0</v>
      </c>
      <c r="E1164" s="27"/>
    </row>
    <row r="1165" spans="1:5" ht="18" x14ac:dyDescent="0.35">
      <c r="A1165" s="21"/>
      <c r="B1165" s="3"/>
      <c r="C1165" s="3"/>
      <c r="D1165" s="3">
        <f>(Table5[[#This Row],[السعر]]*15/100) +Table5[[#This Row],[السعر]]</f>
        <v>0</v>
      </c>
      <c r="E1165" s="27"/>
    </row>
    <row r="1166" spans="1:5" ht="18" x14ac:dyDescent="0.35">
      <c r="A1166" s="21"/>
      <c r="B1166" s="3"/>
      <c r="C1166" s="3"/>
      <c r="D1166" s="3">
        <f>(Table5[[#This Row],[السعر]]*15/100) +Table5[[#This Row],[السعر]]</f>
        <v>0</v>
      </c>
      <c r="E1166" s="27"/>
    </row>
    <row r="1167" spans="1:5" ht="18" x14ac:dyDescent="0.35">
      <c r="A1167" s="21"/>
      <c r="B1167" s="3"/>
      <c r="C1167" s="3"/>
      <c r="D1167" s="3">
        <f>(Table5[[#This Row],[السعر]]*15/100) +Table5[[#This Row],[السعر]]</f>
        <v>0</v>
      </c>
      <c r="E1167" s="27"/>
    </row>
    <row r="1168" spans="1:5" ht="18" x14ac:dyDescent="0.35">
      <c r="A1168" s="21"/>
      <c r="B1168" s="3"/>
      <c r="C1168" s="3"/>
      <c r="D1168" s="3">
        <f>(Table5[[#This Row],[السعر]]*15/100) +Table5[[#This Row],[السعر]]</f>
        <v>0</v>
      </c>
      <c r="E1168" s="27"/>
    </row>
    <row r="1169" spans="1:5" ht="18" x14ac:dyDescent="0.35">
      <c r="A1169" s="21"/>
      <c r="B1169" s="3"/>
      <c r="C1169" s="3"/>
      <c r="D1169" s="3">
        <f>(Table5[[#This Row],[السعر]]*15/100) +Table5[[#This Row],[السعر]]</f>
        <v>0</v>
      </c>
      <c r="E1169" s="27"/>
    </row>
    <row r="1170" spans="1:5" ht="18" x14ac:dyDescent="0.35">
      <c r="A1170" s="21"/>
      <c r="B1170" s="3"/>
      <c r="C1170" s="3"/>
      <c r="D1170" s="3">
        <f t="shared" ref="D1170:D1217" si="17">C1170</f>
        <v>0</v>
      </c>
      <c r="E1170" s="27"/>
    </row>
    <row r="1171" spans="1:5" ht="18" x14ac:dyDescent="0.35">
      <c r="A1171" s="21"/>
      <c r="B1171" s="3"/>
      <c r="C1171" s="3"/>
      <c r="D1171" s="3">
        <f t="shared" si="17"/>
        <v>0</v>
      </c>
      <c r="E1171" s="27"/>
    </row>
    <row r="1172" spans="1:5" ht="18" x14ac:dyDescent="0.35">
      <c r="A1172" s="21"/>
      <c r="B1172" s="3"/>
      <c r="C1172" s="3"/>
      <c r="D1172" s="3">
        <f t="shared" si="17"/>
        <v>0</v>
      </c>
      <c r="E1172" s="27"/>
    </row>
    <row r="1173" spans="1:5" ht="18" x14ac:dyDescent="0.35">
      <c r="A1173" s="21"/>
      <c r="B1173" s="3"/>
      <c r="C1173" s="3"/>
      <c r="D1173" s="3">
        <f t="shared" si="17"/>
        <v>0</v>
      </c>
      <c r="E1173" s="27"/>
    </row>
    <row r="1174" spans="1:5" ht="18" x14ac:dyDescent="0.35">
      <c r="A1174" s="21"/>
      <c r="B1174" s="3"/>
      <c r="C1174" s="3"/>
      <c r="D1174" s="3">
        <f t="shared" si="17"/>
        <v>0</v>
      </c>
      <c r="E1174" s="27"/>
    </row>
    <row r="1175" spans="1:5" ht="18" x14ac:dyDescent="0.35">
      <c r="A1175" s="21"/>
      <c r="B1175" s="3"/>
      <c r="C1175" s="3"/>
      <c r="D1175" s="3">
        <f t="shared" si="17"/>
        <v>0</v>
      </c>
      <c r="E1175" s="27"/>
    </row>
    <row r="1176" spans="1:5" ht="18" x14ac:dyDescent="0.35">
      <c r="A1176" s="21"/>
      <c r="B1176" s="3"/>
      <c r="C1176" s="3"/>
      <c r="D1176" s="3">
        <f t="shared" si="17"/>
        <v>0</v>
      </c>
      <c r="E1176" s="27"/>
    </row>
    <row r="1177" spans="1:5" ht="18" x14ac:dyDescent="0.35">
      <c r="A1177" s="21"/>
      <c r="B1177" s="3"/>
      <c r="C1177" s="3"/>
      <c r="D1177" s="3">
        <f t="shared" si="17"/>
        <v>0</v>
      </c>
      <c r="E1177" s="27"/>
    </row>
    <row r="1178" spans="1:5" ht="18" x14ac:dyDescent="0.35">
      <c r="A1178" s="21"/>
      <c r="B1178" s="3"/>
      <c r="C1178" s="3"/>
      <c r="D1178" s="3">
        <f t="shared" si="17"/>
        <v>0</v>
      </c>
      <c r="E1178" s="27"/>
    </row>
    <row r="1179" spans="1:5" ht="18" x14ac:dyDescent="0.35">
      <c r="A1179" s="21"/>
      <c r="B1179" s="3"/>
      <c r="C1179" s="3"/>
      <c r="D1179" s="3">
        <f t="shared" si="17"/>
        <v>0</v>
      </c>
      <c r="E1179" s="27"/>
    </row>
    <row r="1180" spans="1:5" ht="18" x14ac:dyDescent="0.35">
      <c r="A1180" s="21"/>
      <c r="B1180" s="3"/>
      <c r="C1180" s="3"/>
      <c r="D1180" s="3">
        <f t="shared" si="17"/>
        <v>0</v>
      </c>
      <c r="E1180" s="27"/>
    </row>
    <row r="1181" spans="1:5" ht="18" x14ac:dyDescent="0.35">
      <c r="A1181" s="21"/>
      <c r="B1181" s="3"/>
      <c r="C1181" s="3"/>
      <c r="D1181" s="3">
        <f t="shared" si="17"/>
        <v>0</v>
      </c>
      <c r="E1181" s="27"/>
    </row>
    <row r="1182" spans="1:5" ht="18" x14ac:dyDescent="0.35">
      <c r="A1182" s="21"/>
      <c r="B1182" s="3"/>
      <c r="C1182" s="3"/>
      <c r="D1182" s="3">
        <f t="shared" si="17"/>
        <v>0</v>
      </c>
      <c r="E1182" s="27"/>
    </row>
    <row r="1183" spans="1:5" ht="18" x14ac:dyDescent="0.35">
      <c r="A1183" s="21"/>
      <c r="B1183" s="3"/>
      <c r="C1183" s="3"/>
      <c r="D1183" s="3">
        <f t="shared" si="17"/>
        <v>0</v>
      </c>
      <c r="E1183" s="27"/>
    </row>
    <row r="1184" spans="1:5" ht="18" x14ac:dyDescent="0.35">
      <c r="A1184" s="21"/>
      <c r="B1184" s="3"/>
      <c r="C1184" s="3"/>
      <c r="D1184" s="3">
        <f t="shared" si="17"/>
        <v>0</v>
      </c>
      <c r="E1184" s="27"/>
    </row>
    <row r="1185" spans="1:5" ht="18" x14ac:dyDescent="0.35">
      <c r="A1185" s="21"/>
      <c r="B1185" s="3"/>
      <c r="C1185" s="3"/>
      <c r="D1185" s="3">
        <f t="shared" si="17"/>
        <v>0</v>
      </c>
      <c r="E1185" s="27"/>
    </row>
    <row r="1186" spans="1:5" ht="18" x14ac:dyDescent="0.35">
      <c r="A1186" s="21"/>
      <c r="B1186" s="3"/>
      <c r="C1186" s="3"/>
      <c r="D1186" s="3">
        <f t="shared" si="17"/>
        <v>0</v>
      </c>
      <c r="E1186" s="27"/>
    </row>
    <row r="1187" spans="1:5" ht="18" x14ac:dyDescent="0.35">
      <c r="A1187" s="21"/>
      <c r="B1187" s="3"/>
      <c r="C1187" s="3"/>
      <c r="D1187" s="3">
        <f t="shared" si="17"/>
        <v>0</v>
      </c>
      <c r="E1187" s="27"/>
    </row>
    <row r="1188" spans="1:5" ht="18" x14ac:dyDescent="0.35">
      <c r="A1188" s="21"/>
      <c r="B1188" s="3"/>
      <c r="C1188" s="3"/>
      <c r="D1188" s="3">
        <f t="shared" si="17"/>
        <v>0</v>
      </c>
      <c r="E1188" s="27"/>
    </row>
    <row r="1189" spans="1:5" ht="18" x14ac:dyDescent="0.35">
      <c r="A1189" s="21"/>
      <c r="B1189" s="3"/>
      <c r="C1189" s="3"/>
      <c r="D1189" s="3">
        <f t="shared" si="17"/>
        <v>0</v>
      </c>
      <c r="E1189" s="27"/>
    </row>
    <row r="1190" spans="1:5" ht="18" x14ac:dyDescent="0.35">
      <c r="A1190" s="21"/>
      <c r="B1190" s="3"/>
      <c r="C1190" s="3"/>
      <c r="D1190" s="3">
        <f t="shared" si="17"/>
        <v>0</v>
      </c>
      <c r="E1190" s="27"/>
    </row>
    <row r="1191" spans="1:5" ht="18" x14ac:dyDescent="0.35">
      <c r="A1191" s="21"/>
      <c r="B1191" s="3"/>
      <c r="C1191" s="3"/>
      <c r="D1191" s="3">
        <f t="shared" si="17"/>
        <v>0</v>
      </c>
      <c r="E1191" s="27"/>
    </row>
    <row r="1192" spans="1:5" ht="18" x14ac:dyDescent="0.35">
      <c r="A1192" s="21"/>
      <c r="B1192" s="3"/>
      <c r="C1192" s="3"/>
      <c r="D1192" s="3">
        <f t="shared" si="17"/>
        <v>0</v>
      </c>
      <c r="E1192" s="27"/>
    </row>
    <row r="1193" spans="1:5" ht="18" x14ac:dyDescent="0.35">
      <c r="A1193" s="21"/>
      <c r="B1193" s="3"/>
      <c r="C1193" s="3"/>
      <c r="D1193" s="3">
        <f t="shared" si="17"/>
        <v>0</v>
      </c>
      <c r="E1193" s="27"/>
    </row>
    <row r="1194" spans="1:5" ht="18" x14ac:dyDescent="0.35">
      <c r="A1194" s="21"/>
      <c r="B1194" s="3"/>
      <c r="C1194" s="3"/>
      <c r="D1194" s="3">
        <f t="shared" si="17"/>
        <v>0</v>
      </c>
      <c r="E1194" s="27"/>
    </row>
    <row r="1195" spans="1:5" ht="18" x14ac:dyDescent="0.35">
      <c r="A1195" s="21"/>
      <c r="B1195" s="3"/>
      <c r="C1195" s="3"/>
      <c r="D1195" s="3">
        <f t="shared" si="17"/>
        <v>0</v>
      </c>
      <c r="E1195" s="27"/>
    </row>
    <row r="1196" spans="1:5" ht="18" x14ac:dyDescent="0.35">
      <c r="A1196" s="21"/>
      <c r="B1196" s="3"/>
      <c r="C1196" s="3"/>
      <c r="D1196" s="3">
        <f t="shared" si="17"/>
        <v>0</v>
      </c>
      <c r="E1196" s="27"/>
    </row>
    <row r="1197" spans="1:5" ht="18" x14ac:dyDescent="0.35">
      <c r="A1197" s="21"/>
      <c r="B1197" s="3"/>
      <c r="C1197" s="3"/>
      <c r="D1197" s="3">
        <f t="shared" si="17"/>
        <v>0</v>
      </c>
      <c r="E1197" s="27"/>
    </row>
    <row r="1198" spans="1:5" ht="18" x14ac:dyDescent="0.35">
      <c r="A1198" s="21"/>
      <c r="B1198" s="3"/>
      <c r="C1198" s="3"/>
      <c r="D1198" s="3">
        <f t="shared" si="17"/>
        <v>0</v>
      </c>
      <c r="E1198" s="27"/>
    </row>
    <row r="1199" spans="1:5" ht="18" x14ac:dyDescent="0.35">
      <c r="A1199" s="21"/>
      <c r="B1199" s="3"/>
      <c r="C1199" s="3"/>
      <c r="D1199" s="3">
        <f t="shared" si="17"/>
        <v>0</v>
      </c>
      <c r="E1199" s="27"/>
    </row>
    <row r="1200" spans="1:5" ht="18" x14ac:dyDescent="0.35">
      <c r="A1200" s="21"/>
      <c r="B1200" s="3"/>
      <c r="C1200" s="3"/>
      <c r="D1200" s="3">
        <f t="shared" si="17"/>
        <v>0</v>
      </c>
      <c r="E1200" s="27"/>
    </row>
    <row r="1201" spans="1:5" ht="18" x14ac:dyDescent="0.35">
      <c r="A1201" s="21"/>
      <c r="B1201" s="3"/>
      <c r="C1201" s="3"/>
      <c r="D1201" s="3">
        <f t="shared" si="17"/>
        <v>0</v>
      </c>
      <c r="E1201" s="27"/>
    </row>
    <row r="1202" spans="1:5" ht="18" x14ac:dyDescent="0.35">
      <c r="A1202" s="21"/>
      <c r="B1202" s="3"/>
      <c r="C1202" s="3"/>
      <c r="D1202" s="3">
        <f t="shared" si="17"/>
        <v>0</v>
      </c>
      <c r="E1202" s="27"/>
    </row>
    <row r="1203" spans="1:5" ht="18" x14ac:dyDescent="0.35">
      <c r="A1203" s="21"/>
      <c r="B1203" s="3"/>
      <c r="C1203" s="3"/>
      <c r="D1203" s="3">
        <f t="shared" si="17"/>
        <v>0</v>
      </c>
      <c r="E1203" s="27"/>
    </row>
    <row r="1204" spans="1:5" ht="18" x14ac:dyDescent="0.35">
      <c r="A1204" s="21"/>
      <c r="B1204" s="3"/>
      <c r="C1204" s="3"/>
      <c r="D1204" s="3">
        <f t="shared" si="17"/>
        <v>0</v>
      </c>
      <c r="E1204" s="27"/>
    </row>
    <row r="1205" spans="1:5" ht="18" x14ac:dyDescent="0.35">
      <c r="A1205" s="21"/>
      <c r="B1205" s="3"/>
      <c r="C1205" s="3"/>
      <c r="D1205" s="3">
        <f t="shared" si="17"/>
        <v>0</v>
      </c>
      <c r="E1205" s="27"/>
    </row>
    <row r="1206" spans="1:5" ht="18" x14ac:dyDescent="0.35">
      <c r="A1206" s="21"/>
      <c r="B1206" s="3"/>
      <c r="C1206" s="3"/>
      <c r="D1206" s="3">
        <f t="shared" si="17"/>
        <v>0</v>
      </c>
      <c r="E1206" s="27"/>
    </row>
    <row r="1207" spans="1:5" ht="18" x14ac:dyDescent="0.35">
      <c r="A1207" s="21"/>
      <c r="B1207" s="3"/>
      <c r="C1207" s="3"/>
      <c r="D1207" s="3">
        <f t="shared" si="17"/>
        <v>0</v>
      </c>
      <c r="E1207" s="27"/>
    </row>
    <row r="1208" spans="1:5" ht="18" x14ac:dyDescent="0.35">
      <c r="A1208" s="21"/>
      <c r="B1208" s="3"/>
      <c r="C1208" s="3"/>
      <c r="D1208" s="3">
        <f t="shared" si="17"/>
        <v>0</v>
      </c>
      <c r="E1208" s="27"/>
    </row>
    <row r="1209" spans="1:5" ht="18" x14ac:dyDescent="0.35">
      <c r="A1209" s="21"/>
      <c r="B1209" s="3"/>
      <c r="C1209" s="3"/>
      <c r="D1209" s="3">
        <f t="shared" si="17"/>
        <v>0</v>
      </c>
      <c r="E1209" s="27"/>
    </row>
    <row r="1210" spans="1:5" ht="18" x14ac:dyDescent="0.35">
      <c r="A1210" s="21"/>
      <c r="B1210" s="3"/>
      <c r="C1210" s="3"/>
      <c r="D1210" s="3">
        <f t="shared" si="17"/>
        <v>0</v>
      </c>
      <c r="E1210" s="27"/>
    </row>
    <row r="1211" spans="1:5" ht="18" x14ac:dyDescent="0.35">
      <c r="A1211" s="21"/>
      <c r="B1211" s="3"/>
      <c r="C1211" s="3"/>
      <c r="D1211" s="3">
        <f t="shared" si="17"/>
        <v>0</v>
      </c>
      <c r="E1211" s="27"/>
    </row>
    <row r="1212" spans="1:5" ht="18" x14ac:dyDescent="0.35">
      <c r="A1212" s="21"/>
      <c r="B1212" s="3"/>
      <c r="C1212" s="3"/>
      <c r="D1212" s="3">
        <f t="shared" si="17"/>
        <v>0</v>
      </c>
      <c r="E1212" s="27"/>
    </row>
    <row r="1213" spans="1:5" ht="18" x14ac:dyDescent="0.35">
      <c r="A1213" s="21"/>
      <c r="B1213" s="3"/>
      <c r="C1213" s="3"/>
      <c r="D1213" s="3">
        <f t="shared" si="17"/>
        <v>0</v>
      </c>
      <c r="E1213" s="27"/>
    </row>
    <row r="1214" spans="1:5" ht="18" x14ac:dyDescent="0.35">
      <c r="A1214" s="21"/>
      <c r="B1214" s="3"/>
      <c r="C1214" s="3"/>
      <c r="D1214" s="3">
        <f t="shared" si="17"/>
        <v>0</v>
      </c>
      <c r="E1214" s="27"/>
    </row>
    <row r="1215" spans="1:5" ht="18" x14ac:dyDescent="0.35">
      <c r="A1215" s="21"/>
      <c r="B1215" s="3"/>
      <c r="C1215" s="3"/>
      <c r="D1215" s="3">
        <f t="shared" si="17"/>
        <v>0</v>
      </c>
      <c r="E1215" s="27"/>
    </row>
    <row r="1216" spans="1:5" ht="18" x14ac:dyDescent="0.35">
      <c r="A1216" s="21"/>
      <c r="B1216" s="3"/>
      <c r="C1216" s="3"/>
      <c r="D1216" s="3">
        <f t="shared" si="17"/>
        <v>0</v>
      </c>
      <c r="E1216" s="27"/>
    </row>
    <row r="1217" spans="1:5" ht="18" x14ac:dyDescent="0.35">
      <c r="A1217" s="21"/>
      <c r="B1217" s="3"/>
      <c r="C1217" s="3"/>
      <c r="D1217" s="3">
        <f t="shared" si="17"/>
        <v>0</v>
      </c>
      <c r="E1217" s="27"/>
    </row>
    <row r="1218" spans="1:5" ht="18" x14ac:dyDescent="0.35">
      <c r="A1218" s="21"/>
      <c r="B1218" s="3"/>
      <c r="C1218" s="3"/>
      <c r="D1218" s="3">
        <f t="shared" ref="D1218:D1281" si="18">C1218</f>
        <v>0</v>
      </c>
      <c r="E1218" s="27"/>
    </row>
    <row r="1219" spans="1:5" ht="18" x14ac:dyDescent="0.35">
      <c r="A1219" s="21"/>
      <c r="B1219" s="3"/>
      <c r="C1219" s="3"/>
      <c r="D1219" s="3">
        <f t="shared" si="18"/>
        <v>0</v>
      </c>
      <c r="E1219" s="27"/>
    </row>
    <row r="1220" spans="1:5" ht="18" x14ac:dyDescent="0.35">
      <c r="A1220" s="21"/>
      <c r="B1220" s="3"/>
      <c r="C1220" s="3"/>
      <c r="D1220" s="3">
        <f t="shared" si="18"/>
        <v>0</v>
      </c>
      <c r="E1220" s="27"/>
    </row>
    <row r="1221" spans="1:5" ht="18" x14ac:dyDescent="0.35">
      <c r="A1221" s="21"/>
      <c r="B1221" s="3"/>
      <c r="C1221" s="3"/>
      <c r="D1221" s="3">
        <f t="shared" si="18"/>
        <v>0</v>
      </c>
      <c r="E1221" s="27"/>
    </row>
    <row r="1222" spans="1:5" ht="18" x14ac:dyDescent="0.35">
      <c r="A1222" s="21"/>
      <c r="B1222" s="3"/>
      <c r="C1222" s="3"/>
      <c r="D1222" s="3">
        <f t="shared" si="18"/>
        <v>0</v>
      </c>
      <c r="E1222" s="27"/>
    </row>
    <row r="1223" spans="1:5" ht="18" x14ac:dyDescent="0.35">
      <c r="A1223" s="21"/>
      <c r="B1223" s="3"/>
      <c r="C1223" s="3"/>
      <c r="D1223" s="3">
        <f t="shared" si="18"/>
        <v>0</v>
      </c>
      <c r="E1223" s="27"/>
    </row>
    <row r="1224" spans="1:5" ht="18" x14ac:dyDescent="0.35">
      <c r="A1224" s="21"/>
      <c r="B1224" s="3"/>
      <c r="C1224" s="3"/>
      <c r="D1224" s="3">
        <f t="shared" si="18"/>
        <v>0</v>
      </c>
      <c r="E1224" s="27"/>
    </row>
    <row r="1225" spans="1:5" ht="18" x14ac:dyDescent="0.35">
      <c r="A1225" s="21"/>
      <c r="B1225" s="3"/>
      <c r="C1225" s="3"/>
      <c r="D1225" s="3">
        <f t="shared" si="18"/>
        <v>0</v>
      </c>
      <c r="E1225" s="27"/>
    </row>
    <row r="1226" spans="1:5" ht="18" x14ac:dyDescent="0.35">
      <c r="A1226" s="21"/>
      <c r="B1226" s="3"/>
      <c r="C1226" s="3"/>
      <c r="D1226" s="3">
        <f t="shared" si="18"/>
        <v>0</v>
      </c>
      <c r="E1226" s="27"/>
    </row>
    <row r="1227" spans="1:5" ht="18" x14ac:dyDescent="0.35">
      <c r="A1227" s="21"/>
      <c r="B1227" s="3"/>
      <c r="C1227" s="3"/>
      <c r="D1227" s="3">
        <f t="shared" si="18"/>
        <v>0</v>
      </c>
      <c r="E1227" s="27"/>
    </row>
    <row r="1228" spans="1:5" ht="18" x14ac:dyDescent="0.35">
      <c r="A1228" s="21"/>
      <c r="B1228" s="3"/>
      <c r="C1228" s="3"/>
      <c r="D1228" s="3">
        <f t="shared" si="18"/>
        <v>0</v>
      </c>
      <c r="E1228" s="27"/>
    </row>
    <row r="1229" spans="1:5" ht="18" x14ac:dyDescent="0.35">
      <c r="A1229" s="21"/>
      <c r="B1229" s="3"/>
      <c r="C1229" s="3"/>
      <c r="D1229" s="3">
        <f t="shared" si="18"/>
        <v>0</v>
      </c>
      <c r="E1229" s="27"/>
    </row>
    <row r="1230" spans="1:5" ht="18" x14ac:dyDescent="0.35">
      <c r="A1230" s="21"/>
      <c r="B1230" s="3"/>
      <c r="C1230" s="3"/>
      <c r="D1230" s="3">
        <f t="shared" si="18"/>
        <v>0</v>
      </c>
      <c r="E1230" s="27"/>
    </row>
    <row r="1231" spans="1:5" ht="18" x14ac:dyDescent="0.35">
      <c r="A1231" s="21"/>
      <c r="B1231" s="3"/>
      <c r="C1231" s="3"/>
      <c r="D1231" s="3">
        <f t="shared" si="18"/>
        <v>0</v>
      </c>
      <c r="E1231" s="27"/>
    </row>
    <row r="1232" spans="1:5" ht="18" x14ac:dyDescent="0.35">
      <c r="A1232" s="21"/>
      <c r="B1232" s="3"/>
      <c r="C1232" s="3"/>
      <c r="D1232" s="3">
        <f t="shared" si="18"/>
        <v>0</v>
      </c>
      <c r="E1232" s="27"/>
    </row>
    <row r="1233" spans="1:5" ht="18" x14ac:dyDescent="0.35">
      <c r="A1233" s="21"/>
      <c r="B1233" s="3"/>
      <c r="C1233" s="3"/>
      <c r="D1233" s="3">
        <f t="shared" si="18"/>
        <v>0</v>
      </c>
      <c r="E1233" s="27"/>
    </row>
    <row r="1234" spans="1:5" ht="18" x14ac:dyDescent="0.35">
      <c r="A1234" s="21"/>
      <c r="B1234" s="3"/>
      <c r="C1234" s="3"/>
      <c r="D1234" s="3">
        <f t="shared" si="18"/>
        <v>0</v>
      </c>
      <c r="E1234" s="27"/>
    </row>
    <row r="1235" spans="1:5" ht="18" x14ac:dyDescent="0.35">
      <c r="A1235" s="21"/>
      <c r="B1235" s="3"/>
      <c r="C1235" s="3"/>
      <c r="D1235" s="3">
        <f t="shared" si="18"/>
        <v>0</v>
      </c>
      <c r="E1235" s="27"/>
    </row>
    <row r="1236" spans="1:5" ht="18" x14ac:dyDescent="0.35">
      <c r="A1236" s="21"/>
      <c r="B1236" s="3"/>
      <c r="C1236" s="3"/>
      <c r="D1236" s="3">
        <f t="shared" si="18"/>
        <v>0</v>
      </c>
      <c r="E1236" s="27"/>
    </row>
    <row r="1237" spans="1:5" ht="18" x14ac:dyDescent="0.35">
      <c r="A1237" s="21"/>
      <c r="B1237" s="3"/>
      <c r="C1237" s="3"/>
      <c r="D1237" s="3">
        <f t="shared" si="18"/>
        <v>0</v>
      </c>
      <c r="E1237" s="27"/>
    </row>
    <row r="1238" spans="1:5" ht="18" x14ac:dyDescent="0.35">
      <c r="A1238" s="21"/>
      <c r="B1238" s="3"/>
      <c r="C1238" s="3"/>
      <c r="D1238" s="3">
        <f t="shared" si="18"/>
        <v>0</v>
      </c>
      <c r="E1238" s="27"/>
    </row>
    <row r="1239" spans="1:5" ht="18" x14ac:dyDescent="0.35">
      <c r="A1239" s="21"/>
      <c r="B1239" s="3"/>
      <c r="C1239" s="3"/>
      <c r="D1239" s="3">
        <f t="shared" si="18"/>
        <v>0</v>
      </c>
      <c r="E1239" s="27"/>
    </row>
    <row r="1240" spans="1:5" ht="18" x14ac:dyDescent="0.35">
      <c r="A1240" s="21"/>
      <c r="B1240" s="3"/>
      <c r="C1240" s="3"/>
      <c r="D1240" s="3">
        <f t="shared" si="18"/>
        <v>0</v>
      </c>
      <c r="E1240" s="27"/>
    </row>
    <row r="1241" spans="1:5" ht="18" x14ac:dyDescent="0.35">
      <c r="A1241" s="21"/>
      <c r="B1241" s="3"/>
      <c r="C1241" s="3"/>
      <c r="D1241" s="3">
        <f t="shared" si="18"/>
        <v>0</v>
      </c>
      <c r="E1241" s="27"/>
    </row>
    <row r="1242" spans="1:5" ht="18" x14ac:dyDescent="0.35">
      <c r="A1242" s="21"/>
      <c r="B1242" s="3"/>
      <c r="C1242" s="3"/>
      <c r="D1242" s="3">
        <f t="shared" si="18"/>
        <v>0</v>
      </c>
      <c r="E1242" s="27"/>
    </row>
    <row r="1243" spans="1:5" ht="18" x14ac:dyDescent="0.35">
      <c r="A1243" s="21"/>
      <c r="B1243" s="3"/>
      <c r="C1243" s="3"/>
      <c r="D1243" s="3">
        <f t="shared" si="18"/>
        <v>0</v>
      </c>
      <c r="E1243" s="27"/>
    </row>
    <row r="1244" spans="1:5" ht="18" x14ac:dyDescent="0.35">
      <c r="A1244" s="21"/>
      <c r="B1244" s="3"/>
      <c r="C1244" s="3"/>
      <c r="D1244" s="3">
        <f t="shared" si="18"/>
        <v>0</v>
      </c>
      <c r="E1244" s="27"/>
    </row>
    <row r="1245" spans="1:5" ht="18" x14ac:dyDescent="0.35">
      <c r="A1245" s="21"/>
      <c r="B1245" s="3"/>
      <c r="C1245" s="3"/>
      <c r="D1245" s="3">
        <f t="shared" si="18"/>
        <v>0</v>
      </c>
      <c r="E1245" s="27"/>
    </row>
    <row r="1246" spans="1:5" ht="18" x14ac:dyDescent="0.35">
      <c r="A1246" s="21"/>
      <c r="B1246" s="3"/>
      <c r="C1246" s="3"/>
      <c r="D1246" s="3">
        <f t="shared" si="18"/>
        <v>0</v>
      </c>
      <c r="E1246" s="27"/>
    </row>
    <row r="1247" spans="1:5" ht="18" x14ac:dyDescent="0.35">
      <c r="A1247" s="21"/>
      <c r="B1247" s="3"/>
      <c r="C1247" s="3"/>
      <c r="D1247" s="3">
        <f t="shared" si="18"/>
        <v>0</v>
      </c>
      <c r="E1247" s="27"/>
    </row>
    <row r="1248" spans="1:5" ht="18" x14ac:dyDescent="0.35">
      <c r="A1248" s="21"/>
      <c r="B1248" s="3"/>
      <c r="C1248" s="3"/>
      <c r="D1248" s="3">
        <f t="shared" si="18"/>
        <v>0</v>
      </c>
      <c r="E1248" s="27"/>
    </row>
    <row r="1249" spans="1:5" ht="18" x14ac:dyDescent="0.35">
      <c r="A1249" s="21"/>
      <c r="B1249" s="3"/>
      <c r="C1249" s="3"/>
      <c r="D1249" s="3">
        <f t="shared" si="18"/>
        <v>0</v>
      </c>
      <c r="E1249" s="27"/>
    </row>
    <row r="1250" spans="1:5" ht="18" x14ac:dyDescent="0.35">
      <c r="A1250" s="21"/>
      <c r="B1250" s="3"/>
      <c r="C1250" s="3"/>
      <c r="D1250" s="3">
        <f t="shared" si="18"/>
        <v>0</v>
      </c>
      <c r="E1250" s="27"/>
    </row>
    <row r="1251" spans="1:5" ht="18" x14ac:dyDescent="0.35">
      <c r="A1251" s="21"/>
      <c r="B1251" s="3"/>
      <c r="C1251" s="3"/>
      <c r="D1251" s="3">
        <f t="shared" si="18"/>
        <v>0</v>
      </c>
      <c r="E1251" s="27"/>
    </row>
    <row r="1252" spans="1:5" ht="18" x14ac:dyDescent="0.35">
      <c r="A1252" s="21"/>
      <c r="B1252" s="3"/>
      <c r="C1252" s="3"/>
      <c r="D1252" s="3">
        <f t="shared" si="18"/>
        <v>0</v>
      </c>
      <c r="E1252" s="27"/>
    </row>
    <row r="1253" spans="1:5" ht="18" x14ac:dyDescent="0.35">
      <c r="A1253" s="21"/>
      <c r="B1253" s="3"/>
      <c r="C1253" s="3"/>
      <c r="D1253" s="3">
        <f t="shared" si="18"/>
        <v>0</v>
      </c>
      <c r="E1253" s="27"/>
    </row>
    <row r="1254" spans="1:5" ht="18" x14ac:dyDescent="0.35">
      <c r="A1254" s="21"/>
      <c r="B1254" s="3"/>
      <c r="C1254" s="3"/>
      <c r="D1254" s="3">
        <f t="shared" si="18"/>
        <v>0</v>
      </c>
      <c r="E1254" s="27"/>
    </row>
    <row r="1255" spans="1:5" ht="18" x14ac:dyDescent="0.35">
      <c r="A1255" s="21"/>
      <c r="B1255" s="3"/>
      <c r="C1255" s="3"/>
      <c r="D1255" s="3">
        <f t="shared" si="18"/>
        <v>0</v>
      </c>
      <c r="E1255" s="27"/>
    </row>
    <row r="1256" spans="1:5" ht="18" x14ac:dyDescent="0.35">
      <c r="A1256" s="21"/>
      <c r="B1256" s="3"/>
      <c r="C1256" s="3"/>
      <c r="D1256" s="3">
        <f t="shared" si="18"/>
        <v>0</v>
      </c>
      <c r="E1256" s="27"/>
    </row>
    <row r="1257" spans="1:5" ht="18" x14ac:dyDescent="0.35">
      <c r="A1257" s="21"/>
      <c r="B1257" s="3"/>
      <c r="C1257" s="3"/>
      <c r="D1257" s="3">
        <f t="shared" si="18"/>
        <v>0</v>
      </c>
      <c r="E1257" s="27"/>
    </row>
    <row r="1258" spans="1:5" ht="18" x14ac:dyDescent="0.35">
      <c r="A1258" s="21"/>
      <c r="B1258" s="3"/>
      <c r="C1258" s="3"/>
      <c r="D1258" s="3">
        <f t="shared" si="18"/>
        <v>0</v>
      </c>
      <c r="E1258" s="27"/>
    </row>
    <row r="1259" spans="1:5" ht="18" x14ac:dyDescent="0.35">
      <c r="A1259" s="21"/>
      <c r="B1259" s="3"/>
      <c r="C1259" s="3"/>
      <c r="D1259" s="3">
        <f t="shared" si="18"/>
        <v>0</v>
      </c>
      <c r="E1259" s="27"/>
    </row>
    <row r="1260" spans="1:5" ht="18" x14ac:dyDescent="0.35">
      <c r="A1260" s="21"/>
      <c r="B1260" s="3"/>
      <c r="C1260" s="3"/>
      <c r="D1260" s="3">
        <f t="shared" si="18"/>
        <v>0</v>
      </c>
      <c r="E1260" s="27"/>
    </row>
    <row r="1261" spans="1:5" ht="18" x14ac:dyDescent="0.35">
      <c r="A1261" s="21"/>
      <c r="B1261" s="3"/>
      <c r="C1261" s="3"/>
      <c r="D1261" s="3">
        <f t="shared" si="18"/>
        <v>0</v>
      </c>
      <c r="E1261" s="27"/>
    </row>
    <row r="1262" spans="1:5" ht="18" x14ac:dyDescent="0.35">
      <c r="A1262" s="21"/>
      <c r="B1262" s="3"/>
      <c r="C1262" s="3"/>
      <c r="D1262" s="3">
        <f t="shared" si="18"/>
        <v>0</v>
      </c>
      <c r="E1262" s="27"/>
    </row>
    <row r="1263" spans="1:5" ht="18" x14ac:dyDescent="0.35">
      <c r="A1263" s="21"/>
      <c r="B1263" s="3"/>
      <c r="C1263" s="3"/>
      <c r="D1263" s="3">
        <f t="shared" si="18"/>
        <v>0</v>
      </c>
      <c r="E1263" s="27"/>
    </row>
    <row r="1264" spans="1:5" ht="18" x14ac:dyDescent="0.35">
      <c r="A1264" s="21"/>
      <c r="B1264" s="3"/>
      <c r="C1264" s="3"/>
      <c r="D1264" s="3">
        <f t="shared" si="18"/>
        <v>0</v>
      </c>
      <c r="E1264" s="27"/>
    </row>
    <row r="1265" spans="1:5" ht="18" x14ac:dyDescent="0.35">
      <c r="A1265" s="21"/>
      <c r="B1265" s="3"/>
      <c r="C1265" s="3"/>
      <c r="D1265" s="3">
        <f t="shared" si="18"/>
        <v>0</v>
      </c>
      <c r="E1265" s="27"/>
    </row>
    <row r="1266" spans="1:5" ht="18" x14ac:dyDescent="0.35">
      <c r="A1266" s="21"/>
      <c r="B1266" s="3"/>
      <c r="C1266" s="3"/>
      <c r="D1266" s="3">
        <f t="shared" si="18"/>
        <v>0</v>
      </c>
      <c r="E1266" s="27"/>
    </row>
    <row r="1267" spans="1:5" ht="18" x14ac:dyDescent="0.35">
      <c r="A1267" s="21"/>
      <c r="B1267" s="3"/>
      <c r="C1267" s="3"/>
      <c r="D1267" s="3">
        <f t="shared" si="18"/>
        <v>0</v>
      </c>
      <c r="E1267" s="27"/>
    </row>
    <row r="1268" spans="1:5" ht="18" x14ac:dyDescent="0.35">
      <c r="A1268" s="21"/>
      <c r="B1268" s="3"/>
      <c r="C1268" s="3"/>
      <c r="D1268" s="3">
        <f t="shared" si="18"/>
        <v>0</v>
      </c>
      <c r="E1268" s="27"/>
    </row>
    <row r="1269" spans="1:5" ht="18" x14ac:dyDescent="0.35">
      <c r="A1269" s="21"/>
      <c r="B1269" s="3"/>
      <c r="C1269" s="3"/>
      <c r="D1269" s="3">
        <f t="shared" si="18"/>
        <v>0</v>
      </c>
      <c r="E1269" s="27"/>
    </row>
    <row r="1270" spans="1:5" ht="18" x14ac:dyDescent="0.35">
      <c r="A1270" s="21"/>
      <c r="B1270" s="3"/>
      <c r="C1270" s="3"/>
      <c r="D1270" s="3">
        <f t="shared" si="18"/>
        <v>0</v>
      </c>
      <c r="E1270" s="27"/>
    </row>
    <row r="1271" spans="1:5" ht="18" x14ac:dyDescent="0.35">
      <c r="A1271" s="21"/>
      <c r="B1271" s="3"/>
      <c r="C1271" s="3"/>
      <c r="D1271" s="3">
        <f t="shared" si="18"/>
        <v>0</v>
      </c>
      <c r="E1271" s="27"/>
    </row>
    <row r="1272" spans="1:5" ht="18" x14ac:dyDescent="0.35">
      <c r="A1272" s="21"/>
      <c r="B1272" s="3"/>
      <c r="C1272" s="3"/>
      <c r="D1272" s="3">
        <f t="shared" si="18"/>
        <v>0</v>
      </c>
      <c r="E1272" s="27"/>
    </row>
    <row r="1273" spans="1:5" ht="18" x14ac:dyDescent="0.35">
      <c r="A1273" s="21"/>
      <c r="B1273" s="3"/>
      <c r="C1273" s="3"/>
      <c r="D1273" s="3">
        <f t="shared" si="18"/>
        <v>0</v>
      </c>
      <c r="E1273" s="27"/>
    </row>
    <row r="1274" spans="1:5" ht="18" x14ac:dyDescent="0.35">
      <c r="A1274" s="21"/>
      <c r="B1274" s="3"/>
      <c r="C1274" s="3"/>
      <c r="D1274" s="3">
        <f t="shared" si="18"/>
        <v>0</v>
      </c>
      <c r="E1274" s="27"/>
    </row>
    <row r="1275" spans="1:5" ht="18" x14ac:dyDescent="0.35">
      <c r="A1275" s="21"/>
      <c r="B1275" s="3"/>
      <c r="C1275" s="3"/>
      <c r="D1275" s="3">
        <f t="shared" si="18"/>
        <v>0</v>
      </c>
      <c r="E1275" s="27"/>
    </row>
    <row r="1276" spans="1:5" ht="18" x14ac:dyDescent="0.35">
      <c r="A1276" s="21"/>
      <c r="B1276" s="3"/>
      <c r="C1276" s="3"/>
      <c r="D1276" s="3">
        <f t="shared" si="18"/>
        <v>0</v>
      </c>
      <c r="E1276" s="27"/>
    </row>
    <row r="1277" spans="1:5" ht="18" x14ac:dyDescent="0.35">
      <c r="A1277" s="21"/>
      <c r="B1277" s="3"/>
      <c r="C1277" s="3"/>
      <c r="D1277" s="3">
        <f t="shared" si="18"/>
        <v>0</v>
      </c>
      <c r="E1277" s="27"/>
    </row>
    <row r="1278" spans="1:5" ht="18" x14ac:dyDescent="0.35">
      <c r="A1278" s="21"/>
      <c r="B1278" s="3"/>
      <c r="C1278" s="3"/>
      <c r="D1278" s="3">
        <f t="shared" si="18"/>
        <v>0</v>
      </c>
      <c r="E1278" s="27"/>
    </row>
    <row r="1279" spans="1:5" ht="18" x14ac:dyDescent="0.35">
      <c r="A1279" s="21"/>
      <c r="B1279" s="3"/>
      <c r="C1279" s="3"/>
      <c r="D1279" s="3">
        <f t="shared" si="18"/>
        <v>0</v>
      </c>
      <c r="E1279" s="27"/>
    </row>
    <row r="1280" spans="1:5" ht="18" x14ac:dyDescent="0.35">
      <c r="A1280" s="21"/>
      <c r="B1280" s="3"/>
      <c r="C1280" s="3"/>
      <c r="D1280" s="3">
        <f t="shared" si="18"/>
        <v>0</v>
      </c>
      <c r="E1280" s="27"/>
    </row>
    <row r="1281" spans="1:5" ht="18" x14ac:dyDescent="0.35">
      <c r="A1281" s="21"/>
      <c r="B1281" s="3"/>
      <c r="C1281" s="3"/>
      <c r="D1281" s="3">
        <f t="shared" si="18"/>
        <v>0</v>
      </c>
      <c r="E1281" s="27"/>
    </row>
    <row r="1282" spans="1:5" ht="18" x14ac:dyDescent="0.35">
      <c r="A1282" s="21"/>
      <c r="B1282" s="3"/>
      <c r="C1282" s="3"/>
      <c r="D1282" s="3">
        <f t="shared" ref="D1282:D1345" si="19">C1282</f>
        <v>0</v>
      </c>
      <c r="E1282" s="27"/>
    </row>
    <row r="1283" spans="1:5" ht="18" x14ac:dyDescent="0.35">
      <c r="A1283" s="21"/>
      <c r="B1283" s="3"/>
      <c r="C1283" s="3"/>
      <c r="D1283" s="3">
        <f t="shared" si="19"/>
        <v>0</v>
      </c>
      <c r="E1283" s="27"/>
    </row>
    <row r="1284" spans="1:5" ht="18" x14ac:dyDescent="0.35">
      <c r="A1284" s="21"/>
      <c r="B1284" s="3"/>
      <c r="C1284" s="3"/>
      <c r="D1284" s="3">
        <f t="shared" si="19"/>
        <v>0</v>
      </c>
      <c r="E1284" s="27"/>
    </row>
    <row r="1285" spans="1:5" ht="18" x14ac:dyDescent="0.35">
      <c r="A1285" s="21"/>
      <c r="B1285" s="3"/>
      <c r="C1285" s="3"/>
      <c r="D1285" s="3">
        <f t="shared" si="19"/>
        <v>0</v>
      </c>
      <c r="E1285" s="27"/>
    </row>
    <row r="1286" spans="1:5" ht="18" x14ac:dyDescent="0.35">
      <c r="A1286" s="21"/>
      <c r="B1286" s="3"/>
      <c r="C1286" s="3"/>
      <c r="D1286" s="3">
        <f t="shared" si="19"/>
        <v>0</v>
      </c>
      <c r="E1286" s="27"/>
    </row>
    <row r="1287" spans="1:5" ht="18" x14ac:dyDescent="0.35">
      <c r="A1287" s="21"/>
      <c r="B1287" s="3"/>
      <c r="C1287" s="3"/>
      <c r="D1287" s="3">
        <f t="shared" si="19"/>
        <v>0</v>
      </c>
      <c r="E1287" s="27"/>
    </row>
    <row r="1288" spans="1:5" ht="18" x14ac:dyDescent="0.35">
      <c r="A1288" s="21"/>
      <c r="B1288" s="3"/>
      <c r="C1288" s="3"/>
      <c r="D1288" s="3">
        <f t="shared" si="19"/>
        <v>0</v>
      </c>
      <c r="E1288" s="27"/>
    </row>
    <row r="1289" spans="1:5" ht="18" x14ac:dyDescent="0.35">
      <c r="A1289" s="21"/>
      <c r="B1289" s="3"/>
      <c r="C1289" s="3"/>
      <c r="D1289" s="3">
        <f t="shared" si="19"/>
        <v>0</v>
      </c>
      <c r="E1289" s="27"/>
    </row>
    <row r="1290" spans="1:5" ht="18" x14ac:dyDescent="0.35">
      <c r="A1290" s="21"/>
      <c r="B1290" s="3"/>
      <c r="C1290" s="3"/>
      <c r="D1290" s="3">
        <f t="shared" si="19"/>
        <v>0</v>
      </c>
      <c r="E1290" s="27"/>
    </row>
    <row r="1291" spans="1:5" ht="18" x14ac:dyDescent="0.35">
      <c r="A1291" s="21"/>
      <c r="B1291" s="3"/>
      <c r="C1291" s="3"/>
      <c r="D1291" s="3">
        <f t="shared" si="19"/>
        <v>0</v>
      </c>
      <c r="E1291" s="27"/>
    </row>
    <row r="1292" spans="1:5" ht="18" x14ac:dyDescent="0.35">
      <c r="A1292" s="21"/>
      <c r="B1292" s="3"/>
      <c r="C1292" s="3"/>
      <c r="D1292" s="3">
        <f t="shared" si="19"/>
        <v>0</v>
      </c>
      <c r="E1292" s="27"/>
    </row>
    <row r="1293" spans="1:5" ht="18" x14ac:dyDescent="0.35">
      <c r="A1293" s="21"/>
      <c r="B1293" s="3"/>
      <c r="C1293" s="3"/>
      <c r="D1293" s="3">
        <f t="shared" si="19"/>
        <v>0</v>
      </c>
      <c r="E1293" s="27"/>
    </row>
    <row r="1294" spans="1:5" ht="18" x14ac:dyDescent="0.35">
      <c r="A1294" s="21"/>
      <c r="B1294" s="3"/>
      <c r="C1294" s="3"/>
      <c r="D1294" s="3">
        <f t="shared" si="19"/>
        <v>0</v>
      </c>
      <c r="E1294" s="27"/>
    </row>
    <row r="1295" spans="1:5" ht="18" x14ac:dyDescent="0.35">
      <c r="A1295" s="21"/>
      <c r="B1295" s="3"/>
      <c r="C1295" s="3"/>
      <c r="D1295" s="3">
        <f t="shared" si="19"/>
        <v>0</v>
      </c>
      <c r="E1295" s="27"/>
    </row>
    <row r="1296" spans="1:5" ht="18" x14ac:dyDescent="0.35">
      <c r="A1296" s="21"/>
      <c r="B1296" s="3"/>
      <c r="C1296" s="3"/>
      <c r="D1296" s="3">
        <f t="shared" si="19"/>
        <v>0</v>
      </c>
      <c r="E1296" s="27"/>
    </row>
    <row r="1297" spans="1:5" ht="18" x14ac:dyDescent="0.35">
      <c r="A1297" s="21"/>
      <c r="B1297" s="3"/>
      <c r="C1297" s="3"/>
      <c r="D1297" s="3">
        <f t="shared" si="19"/>
        <v>0</v>
      </c>
      <c r="E1297" s="27"/>
    </row>
    <row r="1298" spans="1:5" ht="18" x14ac:dyDescent="0.35">
      <c r="A1298" s="21"/>
      <c r="B1298" s="3"/>
      <c r="C1298" s="3"/>
      <c r="D1298" s="3">
        <f t="shared" si="19"/>
        <v>0</v>
      </c>
      <c r="E1298" s="27"/>
    </row>
    <row r="1299" spans="1:5" ht="18" x14ac:dyDescent="0.35">
      <c r="A1299" s="21"/>
      <c r="B1299" s="3"/>
      <c r="C1299" s="3"/>
      <c r="D1299" s="3">
        <f t="shared" si="19"/>
        <v>0</v>
      </c>
      <c r="E1299" s="27"/>
    </row>
    <row r="1300" spans="1:5" ht="18" x14ac:dyDescent="0.35">
      <c r="A1300" s="21"/>
      <c r="B1300" s="3"/>
      <c r="C1300" s="3"/>
      <c r="D1300" s="3">
        <f t="shared" si="19"/>
        <v>0</v>
      </c>
      <c r="E1300" s="27"/>
    </row>
    <row r="1301" spans="1:5" ht="18" x14ac:dyDescent="0.35">
      <c r="A1301" s="21"/>
      <c r="B1301" s="3"/>
      <c r="C1301" s="3"/>
      <c r="D1301" s="3">
        <f t="shared" si="19"/>
        <v>0</v>
      </c>
      <c r="E1301" s="27"/>
    </row>
    <row r="1302" spans="1:5" ht="18" x14ac:dyDescent="0.35">
      <c r="A1302" s="21"/>
      <c r="B1302" s="3"/>
      <c r="C1302" s="3"/>
      <c r="D1302" s="3">
        <f t="shared" si="19"/>
        <v>0</v>
      </c>
      <c r="E1302" s="27"/>
    </row>
    <row r="1303" spans="1:5" ht="18" x14ac:dyDescent="0.35">
      <c r="A1303" s="21"/>
      <c r="B1303" s="3"/>
      <c r="C1303" s="3"/>
      <c r="D1303" s="3">
        <f t="shared" si="19"/>
        <v>0</v>
      </c>
      <c r="E1303" s="27"/>
    </row>
    <row r="1304" spans="1:5" ht="18" x14ac:dyDescent="0.35">
      <c r="A1304" s="21"/>
      <c r="B1304" s="3"/>
      <c r="C1304" s="3"/>
      <c r="D1304" s="3">
        <f t="shared" si="19"/>
        <v>0</v>
      </c>
      <c r="E1304" s="27"/>
    </row>
    <row r="1305" spans="1:5" ht="18" x14ac:dyDescent="0.35">
      <c r="A1305" s="21"/>
      <c r="B1305" s="3"/>
      <c r="C1305" s="3"/>
      <c r="D1305" s="3">
        <f t="shared" si="19"/>
        <v>0</v>
      </c>
      <c r="E1305" s="27"/>
    </row>
    <row r="1306" spans="1:5" ht="18" x14ac:dyDescent="0.35">
      <c r="A1306" s="21"/>
      <c r="B1306" s="3"/>
      <c r="C1306" s="3"/>
      <c r="D1306" s="3">
        <f t="shared" si="19"/>
        <v>0</v>
      </c>
      <c r="E1306" s="27"/>
    </row>
    <row r="1307" spans="1:5" ht="18" x14ac:dyDescent="0.35">
      <c r="A1307" s="21"/>
      <c r="B1307" s="3"/>
      <c r="C1307" s="3"/>
      <c r="D1307" s="3">
        <f t="shared" si="19"/>
        <v>0</v>
      </c>
      <c r="E1307" s="27"/>
    </row>
    <row r="1308" spans="1:5" ht="18" x14ac:dyDescent="0.35">
      <c r="A1308" s="21"/>
      <c r="B1308" s="3"/>
      <c r="C1308" s="3"/>
      <c r="D1308" s="3">
        <f t="shared" si="19"/>
        <v>0</v>
      </c>
      <c r="E1308" s="27"/>
    </row>
    <row r="1309" spans="1:5" ht="18" x14ac:dyDescent="0.35">
      <c r="A1309" s="21"/>
      <c r="B1309" s="3"/>
      <c r="C1309" s="3"/>
      <c r="D1309" s="3">
        <f t="shared" si="19"/>
        <v>0</v>
      </c>
      <c r="E1309" s="27"/>
    </row>
    <row r="1310" spans="1:5" ht="18" x14ac:dyDescent="0.35">
      <c r="A1310" s="21"/>
      <c r="B1310" s="3"/>
      <c r="C1310" s="3"/>
      <c r="D1310" s="3">
        <f t="shared" si="19"/>
        <v>0</v>
      </c>
      <c r="E1310" s="27"/>
    </row>
    <row r="1311" spans="1:5" ht="18" x14ac:dyDescent="0.35">
      <c r="A1311" s="21"/>
      <c r="B1311" s="3"/>
      <c r="C1311" s="3"/>
      <c r="D1311" s="3">
        <f t="shared" si="19"/>
        <v>0</v>
      </c>
      <c r="E1311" s="27"/>
    </row>
    <row r="1312" spans="1:5" ht="18" x14ac:dyDescent="0.35">
      <c r="A1312" s="21"/>
      <c r="B1312" s="3"/>
      <c r="C1312" s="3"/>
      <c r="D1312" s="3">
        <f t="shared" si="19"/>
        <v>0</v>
      </c>
      <c r="E1312" s="27"/>
    </row>
    <row r="1313" spans="1:5" ht="18" x14ac:dyDescent="0.35">
      <c r="A1313" s="21"/>
      <c r="B1313" s="3"/>
      <c r="C1313" s="3"/>
      <c r="D1313" s="3">
        <f t="shared" si="19"/>
        <v>0</v>
      </c>
      <c r="E1313" s="27"/>
    </row>
    <row r="1314" spans="1:5" ht="18" x14ac:dyDescent="0.35">
      <c r="A1314" s="21"/>
      <c r="B1314" s="3"/>
      <c r="C1314" s="3"/>
      <c r="D1314" s="3">
        <f t="shared" si="19"/>
        <v>0</v>
      </c>
      <c r="E1314" s="27"/>
    </row>
    <row r="1315" spans="1:5" ht="18" x14ac:dyDescent="0.35">
      <c r="A1315" s="21"/>
      <c r="B1315" s="3"/>
      <c r="C1315" s="3"/>
      <c r="D1315" s="3">
        <f t="shared" si="19"/>
        <v>0</v>
      </c>
      <c r="E1315" s="27"/>
    </row>
    <row r="1316" spans="1:5" ht="18" x14ac:dyDescent="0.35">
      <c r="A1316" s="21"/>
      <c r="B1316" s="3"/>
      <c r="C1316" s="3"/>
      <c r="D1316" s="3">
        <f t="shared" si="19"/>
        <v>0</v>
      </c>
      <c r="E1316" s="27"/>
    </row>
    <row r="1317" spans="1:5" ht="18" x14ac:dyDescent="0.35">
      <c r="A1317" s="21"/>
      <c r="B1317" s="3"/>
      <c r="C1317" s="3"/>
      <c r="D1317" s="3">
        <f t="shared" si="19"/>
        <v>0</v>
      </c>
      <c r="E1317" s="27"/>
    </row>
    <row r="1318" spans="1:5" ht="18" x14ac:dyDescent="0.35">
      <c r="A1318" s="21"/>
      <c r="B1318" s="3"/>
      <c r="C1318" s="3"/>
      <c r="D1318" s="3">
        <f t="shared" si="19"/>
        <v>0</v>
      </c>
      <c r="E1318" s="27"/>
    </row>
    <row r="1319" spans="1:5" ht="18" x14ac:dyDescent="0.35">
      <c r="A1319" s="21"/>
      <c r="B1319" s="3"/>
      <c r="C1319" s="3"/>
      <c r="D1319" s="3">
        <f t="shared" si="19"/>
        <v>0</v>
      </c>
      <c r="E1319" s="27"/>
    </row>
    <row r="1320" spans="1:5" ht="18" x14ac:dyDescent="0.35">
      <c r="A1320" s="21"/>
      <c r="B1320" s="3"/>
      <c r="C1320" s="3"/>
      <c r="D1320" s="3">
        <f t="shared" si="19"/>
        <v>0</v>
      </c>
      <c r="E1320" s="27"/>
    </row>
    <row r="1321" spans="1:5" ht="18" x14ac:dyDescent="0.35">
      <c r="A1321" s="21"/>
      <c r="B1321" s="3"/>
      <c r="C1321" s="3"/>
      <c r="D1321" s="3">
        <f t="shared" si="19"/>
        <v>0</v>
      </c>
      <c r="E1321" s="27"/>
    </row>
    <row r="1322" spans="1:5" ht="18" x14ac:dyDescent="0.35">
      <c r="A1322" s="21"/>
      <c r="B1322" s="3"/>
      <c r="C1322" s="3"/>
      <c r="D1322" s="3">
        <f t="shared" si="19"/>
        <v>0</v>
      </c>
      <c r="E1322" s="27"/>
    </row>
    <row r="1323" spans="1:5" ht="18" x14ac:dyDescent="0.35">
      <c r="A1323" s="21"/>
      <c r="B1323" s="3"/>
      <c r="C1323" s="3"/>
      <c r="D1323" s="3">
        <f t="shared" si="19"/>
        <v>0</v>
      </c>
      <c r="E1323" s="27"/>
    </row>
    <row r="1324" spans="1:5" ht="18" x14ac:dyDescent="0.35">
      <c r="A1324" s="21"/>
      <c r="B1324" s="3"/>
      <c r="C1324" s="3"/>
      <c r="D1324" s="3">
        <f t="shared" si="19"/>
        <v>0</v>
      </c>
      <c r="E1324" s="27"/>
    </row>
    <row r="1325" spans="1:5" ht="18" x14ac:dyDescent="0.35">
      <c r="A1325" s="21"/>
      <c r="B1325" s="3"/>
      <c r="C1325" s="3"/>
      <c r="D1325" s="3">
        <f t="shared" si="19"/>
        <v>0</v>
      </c>
      <c r="E1325" s="27"/>
    </row>
    <row r="1326" spans="1:5" ht="18" x14ac:dyDescent="0.35">
      <c r="A1326" s="21"/>
      <c r="B1326" s="3"/>
      <c r="C1326" s="3"/>
      <c r="D1326" s="3">
        <f t="shared" si="19"/>
        <v>0</v>
      </c>
      <c r="E1326" s="27"/>
    </row>
    <row r="1327" spans="1:5" ht="18" x14ac:dyDescent="0.35">
      <c r="A1327" s="21"/>
      <c r="B1327" s="3"/>
      <c r="C1327" s="3"/>
      <c r="D1327" s="3">
        <f t="shared" si="19"/>
        <v>0</v>
      </c>
      <c r="E1327" s="27"/>
    </row>
    <row r="1328" spans="1:5" ht="18" x14ac:dyDescent="0.35">
      <c r="A1328" s="21"/>
      <c r="B1328" s="3"/>
      <c r="C1328" s="3"/>
      <c r="D1328" s="3">
        <f t="shared" si="19"/>
        <v>0</v>
      </c>
      <c r="E1328" s="27"/>
    </row>
    <row r="1329" spans="1:5" ht="18" x14ac:dyDescent="0.35">
      <c r="A1329" s="21"/>
      <c r="B1329" s="3"/>
      <c r="C1329" s="3"/>
      <c r="D1329" s="3">
        <f t="shared" si="19"/>
        <v>0</v>
      </c>
      <c r="E1329" s="27"/>
    </row>
    <row r="1330" spans="1:5" ht="18" x14ac:dyDescent="0.35">
      <c r="A1330" s="21"/>
      <c r="B1330" s="3"/>
      <c r="C1330" s="3"/>
      <c r="D1330" s="3">
        <f t="shared" si="19"/>
        <v>0</v>
      </c>
      <c r="E1330" s="27"/>
    </row>
    <row r="1331" spans="1:5" ht="18" x14ac:dyDescent="0.35">
      <c r="A1331" s="21"/>
      <c r="B1331" s="3"/>
      <c r="C1331" s="3"/>
      <c r="D1331" s="3">
        <f t="shared" si="19"/>
        <v>0</v>
      </c>
      <c r="E1331" s="27"/>
    </row>
    <row r="1332" spans="1:5" ht="18" x14ac:dyDescent="0.35">
      <c r="A1332" s="21"/>
      <c r="B1332" s="3"/>
      <c r="C1332" s="3"/>
      <c r="D1332" s="3">
        <f t="shared" si="19"/>
        <v>0</v>
      </c>
      <c r="E1332" s="27"/>
    </row>
    <row r="1333" spans="1:5" ht="18" x14ac:dyDescent="0.35">
      <c r="A1333" s="21"/>
      <c r="B1333" s="3"/>
      <c r="C1333" s="3"/>
      <c r="D1333" s="3">
        <f t="shared" si="19"/>
        <v>0</v>
      </c>
      <c r="E1333" s="27"/>
    </row>
    <row r="1334" spans="1:5" ht="18" x14ac:dyDescent="0.35">
      <c r="A1334" s="21"/>
      <c r="B1334" s="3"/>
      <c r="C1334" s="3"/>
      <c r="D1334" s="3">
        <f t="shared" si="19"/>
        <v>0</v>
      </c>
      <c r="E1334" s="27"/>
    </row>
    <row r="1335" spans="1:5" ht="18" x14ac:dyDescent="0.35">
      <c r="A1335" s="21"/>
      <c r="B1335" s="3"/>
      <c r="C1335" s="3"/>
      <c r="D1335" s="3">
        <f t="shared" si="19"/>
        <v>0</v>
      </c>
      <c r="E1335" s="27"/>
    </row>
    <row r="1336" spans="1:5" ht="18" x14ac:dyDescent="0.35">
      <c r="A1336" s="21"/>
      <c r="B1336" s="3"/>
      <c r="C1336" s="3"/>
      <c r="D1336" s="3">
        <f t="shared" si="19"/>
        <v>0</v>
      </c>
      <c r="E1336" s="27"/>
    </row>
    <row r="1337" spans="1:5" ht="18" x14ac:dyDescent="0.35">
      <c r="A1337" s="21"/>
      <c r="B1337" s="3"/>
      <c r="C1337" s="3"/>
      <c r="D1337" s="3">
        <f t="shared" si="19"/>
        <v>0</v>
      </c>
      <c r="E1337" s="27"/>
    </row>
    <row r="1338" spans="1:5" ht="18" x14ac:dyDescent="0.35">
      <c r="A1338" s="21"/>
      <c r="B1338" s="3"/>
      <c r="C1338" s="3"/>
      <c r="D1338" s="3">
        <f t="shared" si="19"/>
        <v>0</v>
      </c>
      <c r="E1338" s="27"/>
    </row>
    <row r="1339" spans="1:5" ht="18" x14ac:dyDescent="0.35">
      <c r="A1339" s="21"/>
      <c r="B1339" s="3"/>
      <c r="C1339" s="3"/>
      <c r="D1339" s="3">
        <f t="shared" si="19"/>
        <v>0</v>
      </c>
      <c r="E1339" s="27"/>
    </row>
    <row r="1340" spans="1:5" ht="18" x14ac:dyDescent="0.35">
      <c r="A1340" s="21"/>
      <c r="B1340" s="3"/>
      <c r="C1340" s="3"/>
      <c r="D1340" s="3">
        <f t="shared" si="19"/>
        <v>0</v>
      </c>
      <c r="E1340" s="27"/>
    </row>
    <row r="1341" spans="1:5" ht="18" x14ac:dyDescent="0.35">
      <c r="A1341" s="21"/>
      <c r="B1341" s="3"/>
      <c r="C1341" s="3"/>
      <c r="D1341" s="3">
        <f t="shared" si="19"/>
        <v>0</v>
      </c>
      <c r="E1341" s="27"/>
    </row>
    <row r="1342" spans="1:5" ht="18" x14ac:dyDescent="0.35">
      <c r="A1342" s="21"/>
      <c r="B1342" s="3"/>
      <c r="C1342" s="3"/>
      <c r="D1342" s="3">
        <f t="shared" si="19"/>
        <v>0</v>
      </c>
      <c r="E1342" s="27"/>
    </row>
    <row r="1343" spans="1:5" ht="18" x14ac:dyDescent="0.35">
      <c r="A1343" s="21"/>
      <c r="B1343" s="3"/>
      <c r="C1343" s="3"/>
      <c r="D1343" s="3">
        <f t="shared" si="19"/>
        <v>0</v>
      </c>
      <c r="E1343" s="27"/>
    </row>
    <row r="1344" spans="1:5" ht="18" x14ac:dyDescent="0.35">
      <c r="A1344" s="21"/>
      <c r="B1344" s="3"/>
      <c r="C1344" s="3"/>
      <c r="D1344" s="3">
        <f t="shared" si="19"/>
        <v>0</v>
      </c>
      <c r="E1344" s="27"/>
    </row>
    <row r="1345" spans="1:5" ht="18" x14ac:dyDescent="0.35">
      <c r="A1345" s="21"/>
      <c r="B1345" s="3"/>
      <c r="C1345" s="3"/>
      <c r="D1345" s="3">
        <f t="shared" si="19"/>
        <v>0</v>
      </c>
      <c r="E1345" s="27"/>
    </row>
    <row r="1346" spans="1:5" ht="18" x14ac:dyDescent="0.35">
      <c r="A1346" s="21"/>
      <c r="B1346" s="3"/>
      <c r="C1346" s="3"/>
      <c r="D1346" s="3">
        <f t="shared" ref="D1346:D1409" si="20">C1346</f>
        <v>0</v>
      </c>
      <c r="E1346" s="27"/>
    </row>
    <row r="1347" spans="1:5" ht="18" x14ac:dyDescent="0.35">
      <c r="A1347" s="21"/>
      <c r="B1347" s="3"/>
      <c r="C1347" s="3"/>
      <c r="D1347" s="3">
        <f t="shared" si="20"/>
        <v>0</v>
      </c>
      <c r="E1347" s="27"/>
    </row>
    <row r="1348" spans="1:5" ht="18" x14ac:dyDescent="0.35">
      <c r="A1348" s="21"/>
      <c r="B1348" s="3"/>
      <c r="C1348" s="3"/>
      <c r="D1348" s="3">
        <f t="shared" si="20"/>
        <v>0</v>
      </c>
      <c r="E1348" s="27"/>
    </row>
    <row r="1349" spans="1:5" ht="18" x14ac:dyDescent="0.35">
      <c r="A1349" s="21"/>
      <c r="B1349" s="3"/>
      <c r="C1349" s="3"/>
      <c r="D1349" s="3">
        <f t="shared" si="20"/>
        <v>0</v>
      </c>
      <c r="E1349" s="27"/>
    </row>
    <row r="1350" spans="1:5" ht="18" x14ac:dyDescent="0.35">
      <c r="A1350" s="21"/>
      <c r="B1350" s="3"/>
      <c r="C1350" s="3"/>
      <c r="D1350" s="3">
        <f t="shared" si="20"/>
        <v>0</v>
      </c>
      <c r="E1350" s="27"/>
    </row>
    <row r="1351" spans="1:5" ht="18" x14ac:dyDescent="0.35">
      <c r="A1351" s="21"/>
      <c r="B1351" s="3"/>
      <c r="C1351" s="3"/>
      <c r="D1351" s="3">
        <f t="shared" si="20"/>
        <v>0</v>
      </c>
      <c r="E1351" s="27"/>
    </row>
    <row r="1352" spans="1:5" ht="18" x14ac:dyDescent="0.35">
      <c r="A1352" s="21"/>
      <c r="B1352" s="3"/>
      <c r="C1352" s="3"/>
      <c r="D1352" s="3">
        <f t="shared" si="20"/>
        <v>0</v>
      </c>
      <c r="E1352" s="27"/>
    </row>
    <row r="1353" spans="1:5" ht="18" x14ac:dyDescent="0.35">
      <c r="A1353" s="21"/>
      <c r="B1353" s="3"/>
      <c r="C1353" s="3"/>
      <c r="D1353" s="3">
        <f t="shared" si="20"/>
        <v>0</v>
      </c>
      <c r="E1353" s="27"/>
    </row>
    <row r="1354" spans="1:5" ht="18" x14ac:dyDescent="0.35">
      <c r="A1354" s="21"/>
      <c r="B1354" s="3"/>
      <c r="C1354" s="3"/>
      <c r="D1354" s="3">
        <f t="shared" si="20"/>
        <v>0</v>
      </c>
      <c r="E1354" s="27"/>
    </row>
    <row r="1355" spans="1:5" ht="18" x14ac:dyDescent="0.35">
      <c r="A1355" s="21"/>
      <c r="B1355" s="3"/>
      <c r="C1355" s="3"/>
      <c r="D1355" s="3">
        <f t="shared" si="20"/>
        <v>0</v>
      </c>
      <c r="E1355" s="27"/>
    </row>
    <row r="1356" spans="1:5" ht="18" x14ac:dyDescent="0.35">
      <c r="A1356" s="21"/>
      <c r="B1356" s="3"/>
      <c r="C1356" s="3"/>
      <c r="D1356" s="3">
        <f t="shared" si="20"/>
        <v>0</v>
      </c>
      <c r="E1356" s="27"/>
    </row>
    <row r="1357" spans="1:5" ht="18" x14ac:dyDescent="0.35">
      <c r="A1357" s="21"/>
      <c r="B1357" s="3"/>
      <c r="C1357" s="3"/>
      <c r="D1357" s="3">
        <f t="shared" si="20"/>
        <v>0</v>
      </c>
      <c r="E1357" s="27"/>
    </row>
    <row r="1358" spans="1:5" ht="18" x14ac:dyDescent="0.35">
      <c r="A1358" s="21"/>
      <c r="B1358" s="3"/>
      <c r="C1358" s="3"/>
      <c r="D1358" s="3">
        <f t="shared" si="20"/>
        <v>0</v>
      </c>
      <c r="E1358" s="27"/>
    </row>
    <row r="1359" spans="1:5" ht="18" x14ac:dyDescent="0.35">
      <c r="A1359" s="21"/>
      <c r="B1359" s="3"/>
      <c r="C1359" s="3"/>
      <c r="D1359" s="3">
        <f t="shared" si="20"/>
        <v>0</v>
      </c>
      <c r="E1359" s="27"/>
    </row>
    <row r="1360" spans="1:5" ht="18" x14ac:dyDescent="0.35">
      <c r="A1360" s="21"/>
      <c r="B1360" s="3"/>
      <c r="C1360" s="3"/>
      <c r="D1360" s="3">
        <f t="shared" si="20"/>
        <v>0</v>
      </c>
      <c r="E1360" s="27"/>
    </row>
    <row r="1361" spans="1:5" ht="18" x14ac:dyDescent="0.35">
      <c r="A1361" s="21"/>
      <c r="B1361" s="3"/>
      <c r="C1361" s="3"/>
      <c r="D1361" s="3">
        <f t="shared" si="20"/>
        <v>0</v>
      </c>
      <c r="E1361" s="27"/>
    </row>
    <row r="1362" spans="1:5" ht="18" x14ac:dyDescent="0.35">
      <c r="A1362" s="21"/>
      <c r="B1362" s="3"/>
      <c r="C1362" s="3"/>
      <c r="D1362" s="3">
        <f t="shared" si="20"/>
        <v>0</v>
      </c>
      <c r="E1362" s="27"/>
    </row>
    <row r="1363" spans="1:5" ht="18" x14ac:dyDescent="0.35">
      <c r="A1363" s="21"/>
      <c r="B1363" s="3"/>
      <c r="C1363" s="3"/>
      <c r="D1363" s="3">
        <f t="shared" si="20"/>
        <v>0</v>
      </c>
      <c r="E1363" s="27"/>
    </row>
    <row r="1364" spans="1:5" ht="18" x14ac:dyDescent="0.35">
      <c r="A1364" s="21"/>
      <c r="B1364" s="3"/>
      <c r="C1364" s="3"/>
      <c r="D1364" s="3">
        <f t="shared" si="20"/>
        <v>0</v>
      </c>
      <c r="E1364" s="27"/>
    </row>
    <row r="1365" spans="1:5" ht="18" x14ac:dyDescent="0.35">
      <c r="A1365" s="21"/>
      <c r="B1365" s="3"/>
      <c r="C1365" s="3"/>
      <c r="D1365" s="3">
        <f t="shared" si="20"/>
        <v>0</v>
      </c>
      <c r="E1365" s="27"/>
    </row>
    <row r="1366" spans="1:5" ht="18" x14ac:dyDescent="0.35">
      <c r="A1366" s="21"/>
      <c r="B1366" s="3"/>
      <c r="C1366" s="3"/>
      <c r="D1366" s="3">
        <f t="shared" si="20"/>
        <v>0</v>
      </c>
      <c r="E1366" s="27"/>
    </row>
    <row r="1367" spans="1:5" ht="18" x14ac:dyDescent="0.35">
      <c r="A1367" s="21"/>
      <c r="B1367" s="3"/>
      <c r="C1367" s="3"/>
      <c r="D1367" s="3">
        <f t="shared" si="20"/>
        <v>0</v>
      </c>
      <c r="E1367" s="27"/>
    </row>
    <row r="1368" spans="1:5" ht="18" x14ac:dyDescent="0.35">
      <c r="A1368" s="21"/>
      <c r="B1368" s="3"/>
      <c r="C1368" s="3"/>
      <c r="D1368" s="3">
        <f t="shared" si="20"/>
        <v>0</v>
      </c>
      <c r="E1368" s="27"/>
    </row>
    <row r="1369" spans="1:5" ht="18" x14ac:dyDescent="0.35">
      <c r="A1369" s="21"/>
      <c r="B1369" s="3"/>
      <c r="C1369" s="3"/>
      <c r="D1369" s="3">
        <f t="shared" si="20"/>
        <v>0</v>
      </c>
      <c r="E1369" s="27"/>
    </row>
    <row r="1370" spans="1:5" ht="18" x14ac:dyDescent="0.35">
      <c r="A1370" s="21"/>
      <c r="B1370" s="3"/>
      <c r="C1370" s="3"/>
      <c r="D1370" s="3">
        <f t="shared" si="20"/>
        <v>0</v>
      </c>
      <c r="E1370" s="27"/>
    </row>
    <row r="1371" spans="1:5" ht="18" x14ac:dyDescent="0.35">
      <c r="A1371" s="21"/>
      <c r="B1371" s="3"/>
      <c r="C1371" s="3"/>
      <c r="D1371" s="3">
        <f t="shared" si="20"/>
        <v>0</v>
      </c>
      <c r="E1371" s="27"/>
    </row>
    <row r="1372" spans="1:5" ht="18" x14ac:dyDescent="0.35">
      <c r="A1372" s="21"/>
      <c r="B1372" s="3"/>
      <c r="C1372" s="3"/>
      <c r="D1372" s="3">
        <f t="shared" si="20"/>
        <v>0</v>
      </c>
      <c r="E1372" s="27"/>
    </row>
    <row r="1373" spans="1:5" ht="18" x14ac:dyDescent="0.35">
      <c r="A1373" s="21"/>
      <c r="B1373" s="3"/>
      <c r="C1373" s="3"/>
      <c r="D1373" s="3">
        <f t="shared" si="20"/>
        <v>0</v>
      </c>
      <c r="E1373" s="27"/>
    </row>
    <row r="1374" spans="1:5" ht="18" x14ac:dyDescent="0.35">
      <c r="A1374" s="21"/>
      <c r="B1374" s="3"/>
      <c r="C1374" s="3"/>
      <c r="D1374" s="3">
        <f t="shared" si="20"/>
        <v>0</v>
      </c>
      <c r="E1374" s="27"/>
    </row>
    <row r="1375" spans="1:5" ht="18" x14ac:dyDescent="0.35">
      <c r="A1375" s="21"/>
      <c r="B1375" s="3"/>
      <c r="C1375" s="3"/>
      <c r="D1375" s="3">
        <f t="shared" si="20"/>
        <v>0</v>
      </c>
      <c r="E1375" s="27"/>
    </row>
    <row r="1376" spans="1:5" ht="18" x14ac:dyDescent="0.35">
      <c r="A1376" s="21"/>
      <c r="B1376" s="3"/>
      <c r="C1376" s="3"/>
      <c r="D1376" s="3">
        <f t="shared" si="20"/>
        <v>0</v>
      </c>
      <c r="E1376" s="27"/>
    </row>
    <row r="1377" spans="1:5" ht="18" x14ac:dyDescent="0.35">
      <c r="A1377" s="21"/>
      <c r="B1377" s="3"/>
      <c r="C1377" s="3"/>
      <c r="D1377" s="3">
        <f t="shared" si="20"/>
        <v>0</v>
      </c>
      <c r="E1377" s="27"/>
    </row>
    <row r="1378" spans="1:5" ht="18" x14ac:dyDescent="0.35">
      <c r="A1378" s="21"/>
      <c r="B1378" s="3"/>
      <c r="C1378" s="3"/>
      <c r="D1378" s="3">
        <f t="shared" si="20"/>
        <v>0</v>
      </c>
      <c r="E1378" s="27"/>
    </row>
    <row r="1379" spans="1:5" ht="18" x14ac:dyDescent="0.35">
      <c r="A1379" s="21"/>
      <c r="B1379" s="3"/>
      <c r="C1379" s="3"/>
      <c r="D1379" s="3">
        <f t="shared" si="20"/>
        <v>0</v>
      </c>
      <c r="E1379" s="27"/>
    </row>
    <row r="1380" spans="1:5" ht="18" x14ac:dyDescent="0.35">
      <c r="A1380" s="21"/>
      <c r="B1380" s="3"/>
      <c r="C1380" s="3"/>
      <c r="D1380" s="3">
        <f t="shared" si="20"/>
        <v>0</v>
      </c>
      <c r="E1380" s="27"/>
    </row>
    <row r="1381" spans="1:5" ht="18" x14ac:dyDescent="0.35">
      <c r="A1381" s="21"/>
      <c r="B1381" s="3"/>
      <c r="C1381" s="3"/>
      <c r="D1381" s="3">
        <f t="shared" si="20"/>
        <v>0</v>
      </c>
      <c r="E1381" s="27"/>
    </row>
    <row r="1382" spans="1:5" ht="18" x14ac:dyDescent="0.35">
      <c r="A1382" s="21"/>
      <c r="B1382" s="3"/>
      <c r="C1382" s="3"/>
      <c r="D1382" s="3">
        <f t="shared" si="20"/>
        <v>0</v>
      </c>
      <c r="E1382" s="27"/>
    </row>
    <row r="1383" spans="1:5" ht="18" x14ac:dyDescent="0.35">
      <c r="A1383" s="21"/>
      <c r="B1383" s="3"/>
      <c r="C1383" s="3"/>
      <c r="D1383" s="3">
        <f t="shared" si="20"/>
        <v>0</v>
      </c>
      <c r="E1383" s="27"/>
    </row>
    <row r="1384" spans="1:5" ht="18" x14ac:dyDescent="0.35">
      <c r="A1384" s="21"/>
      <c r="B1384" s="3"/>
      <c r="C1384" s="3"/>
      <c r="D1384" s="3">
        <f t="shared" si="20"/>
        <v>0</v>
      </c>
      <c r="E1384" s="27"/>
    </row>
    <row r="1385" spans="1:5" ht="18" x14ac:dyDescent="0.35">
      <c r="A1385" s="21"/>
      <c r="B1385" s="3"/>
      <c r="C1385" s="3"/>
      <c r="D1385" s="3">
        <f t="shared" si="20"/>
        <v>0</v>
      </c>
      <c r="E1385" s="27"/>
    </row>
    <row r="1386" spans="1:5" ht="18" x14ac:dyDescent="0.35">
      <c r="A1386" s="21"/>
      <c r="B1386" s="3"/>
      <c r="C1386" s="3"/>
      <c r="D1386" s="3">
        <f t="shared" si="20"/>
        <v>0</v>
      </c>
      <c r="E1386" s="27"/>
    </row>
    <row r="1387" spans="1:5" ht="18" x14ac:dyDescent="0.35">
      <c r="A1387" s="21"/>
      <c r="B1387" s="3"/>
      <c r="C1387" s="3"/>
      <c r="D1387" s="3">
        <f t="shared" si="20"/>
        <v>0</v>
      </c>
      <c r="E1387" s="27"/>
    </row>
    <row r="1388" spans="1:5" ht="18" x14ac:dyDescent="0.35">
      <c r="A1388" s="21"/>
      <c r="B1388" s="3"/>
      <c r="C1388" s="3"/>
      <c r="D1388" s="3">
        <f t="shared" si="20"/>
        <v>0</v>
      </c>
      <c r="E1388" s="27"/>
    </row>
    <row r="1389" spans="1:5" ht="18" x14ac:dyDescent="0.35">
      <c r="A1389" s="21"/>
      <c r="B1389" s="3"/>
      <c r="C1389" s="3"/>
      <c r="D1389" s="3">
        <f t="shared" si="20"/>
        <v>0</v>
      </c>
      <c r="E1389" s="27"/>
    </row>
    <row r="1390" spans="1:5" ht="18" x14ac:dyDescent="0.35">
      <c r="A1390" s="21"/>
      <c r="B1390" s="3"/>
      <c r="C1390" s="3"/>
      <c r="D1390" s="3">
        <f t="shared" si="20"/>
        <v>0</v>
      </c>
      <c r="E1390" s="27"/>
    </row>
    <row r="1391" spans="1:5" ht="18" x14ac:dyDescent="0.35">
      <c r="A1391" s="21"/>
      <c r="B1391" s="3"/>
      <c r="C1391" s="3"/>
      <c r="D1391" s="3">
        <f t="shared" si="20"/>
        <v>0</v>
      </c>
      <c r="E1391" s="27"/>
    </row>
    <row r="1392" spans="1:5" ht="18" x14ac:dyDescent="0.35">
      <c r="A1392" s="21"/>
      <c r="B1392" s="3"/>
      <c r="C1392" s="3"/>
      <c r="D1392" s="3">
        <f t="shared" si="20"/>
        <v>0</v>
      </c>
      <c r="E1392" s="27"/>
    </row>
    <row r="1393" spans="1:5" ht="18" x14ac:dyDescent="0.35">
      <c r="A1393" s="21"/>
      <c r="B1393" s="3"/>
      <c r="C1393" s="3"/>
      <c r="D1393" s="3">
        <f t="shared" si="20"/>
        <v>0</v>
      </c>
      <c r="E1393" s="27"/>
    </row>
    <row r="1394" spans="1:5" ht="18" x14ac:dyDescent="0.35">
      <c r="A1394" s="21"/>
      <c r="B1394" s="3"/>
      <c r="C1394" s="3"/>
      <c r="D1394" s="3">
        <f t="shared" si="20"/>
        <v>0</v>
      </c>
      <c r="E1394" s="27"/>
    </row>
    <row r="1395" spans="1:5" ht="18" x14ac:dyDescent="0.35">
      <c r="A1395" s="21"/>
      <c r="B1395" s="3"/>
      <c r="C1395" s="3"/>
      <c r="D1395" s="3">
        <f t="shared" si="20"/>
        <v>0</v>
      </c>
      <c r="E1395" s="27"/>
    </row>
    <row r="1396" spans="1:5" ht="18" x14ac:dyDescent="0.35">
      <c r="A1396" s="21"/>
      <c r="B1396" s="3"/>
      <c r="C1396" s="3"/>
      <c r="D1396" s="3">
        <f t="shared" si="20"/>
        <v>0</v>
      </c>
      <c r="E1396" s="27"/>
    </row>
    <row r="1397" spans="1:5" ht="18" x14ac:dyDescent="0.35">
      <c r="A1397" s="21"/>
      <c r="B1397" s="3"/>
      <c r="C1397" s="3"/>
      <c r="D1397" s="3">
        <f t="shared" si="20"/>
        <v>0</v>
      </c>
      <c r="E1397" s="27"/>
    </row>
    <row r="1398" spans="1:5" ht="18" x14ac:dyDescent="0.35">
      <c r="A1398" s="21"/>
      <c r="B1398" s="3"/>
      <c r="C1398" s="3"/>
      <c r="D1398" s="3">
        <f t="shared" si="20"/>
        <v>0</v>
      </c>
      <c r="E1398" s="27"/>
    </row>
    <row r="1399" spans="1:5" ht="18" x14ac:dyDescent="0.35">
      <c r="A1399" s="21"/>
      <c r="B1399" s="3"/>
      <c r="C1399" s="3"/>
      <c r="D1399" s="3">
        <f t="shared" si="20"/>
        <v>0</v>
      </c>
      <c r="E1399" s="27"/>
    </row>
    <row r="1400" spans="1:5" ht="18" x14ac:dyDescent="0.35">
      <c r="A1400" s="21"/>
      <c r="B1400" s="3"/>
      <c r="C1400" s="3"/>
      <c r="D1400" s="3">
        <f t="shared" si="20"/>
        <v>0</v>
      </c>
      <c r="E1400" s="27"/>
    </row>
    <row r="1401" spans="1:5" ht="18" x14ac:dyDescent="0.35">
      <c r="A1401" s="21"/>
      <c r="B1401" s="3"/>
      <c r="C1401" s="3"/>
      <c r="D1401" s="3">
        <f t="shared" si="20"/>
        <v>0</v>
      </c>
      <c r="E1401" s="27"/>
    </row>
    <row r="1402" spans="1:5" ht="18" x14ac:dyDescent="0.35">
      <c r="A1402" s="21"/>
      <c r="B1402" s="3"/>
      <c r="C1402" s="3"/>
      <c r="D1402" s="3">
        <f t="shared" si="20"/>
        <v>0</v>
      </c>
      <c r="E1402" s="27"/>
    </row>
    <row r="1403" spans="1:5" ht="18" x14ac:dyDescent="0.35">
      <c r="A1403" s="21"/>
      <c r="B1403" s="3"/>
      <c r="C1403" s="3"/>
      <c r="D1403" s="3">
        <f t="shared" si="20"/>
        <v>0</v>
      </c>
      <c r="E1403" s="27"/>
    </row>
    <row r="1404" spans="1:5" ht="18" x14ac:dyDescent="0.35">
      <c r="A1404" s="21"/>
      <c r="B1404" s="3"/>
      <c r="C1404" s="3"/>
      <c r="D1404" s="3">
        <f t="shared" si="20"/>
        <v>0</v>
      </c>
      <c r="E1404" s="27"/>
    </row>
    <row r="1405" spans="1:5" ht="18" x14ac:dyDescent="0.35">
      <c r="A1405" s="21"/>
      <c r="B1405" s="3"/>
      <c r="C1405" s="3"/>
      <c r="D1405" s="3">
        <f t="shared" si="20"/>
        <v>0</v>
      </c>
      <c r="E1405" s="27"/>
    </row>
    <row r="1406" spans="1:5" ht="18" x14ac:dyDescent="0.35">
      <c r="A1406" s="21"/>
      <c r="B1406" s="3"/>
      <c r="C1406" s="3"/>
      <c r="D1406" s="3">
        <f t="shared" si="20"/>
        <v>0</v>
      </c>
      <c r="E1406" s="27"/>
    </row>
    <row r="1407" spans="1:5" ht="18" x14ac:dyDescent="0.35">
      <c r="A1407" s="21"/>
      <c r="B1407" s="3"/>
      <c r="C1407" s="3"/>
      <c r="D1407" s="3">
        <f t="shared" si="20"/>
        <v>0</v>
      </c>
      <c r="E1407" s="27"/>
    </row>
    <row r="1408" spans="1:5" ht="18" x14ac:dyDescent="0.35">
      <c r="A1408" s="21"/>
      <c r="B1408" s="3"/>
      <c r="C1408" s="3"/>
      <c r="D1408" s="3">
        <f t="shared" si="20"/>
        <v>0</v>
      </c>
      <c r="E1408" s="27"/>
    </row>
    <row r="1409" spans="1:5" ht="18" x14ac:dyDescent="0.35">
      <c r="A1409" s="21"/>
      <c r="B1409" s="3"/>
      <c r="C1409" s="3"/>
      <c r="D1409" s="3">
        <f t="shared" si="20"/>
        <v>0</v>
      </c>
      <c r="E1409" s="27"/>
    </row>
    <row r="1410" spans="1:5" ht="18" x14ac:dyDescent="0.35">
      <c r="A1410" s="21"/>
      <c r="B1410" s="3"/>
      <c r="C1410" s="3"/>
      <c r="D1410" s="3">
        <f t="shared" ref="D1410:D1473" si="21">C1410</f>
        <v>0</v>
      </c>
      <c r="E1410" s="27"/>
    </row>
    <row r="1411" spans="1:5" ht="18" x14ac:dyDescent="0.35">
      <c r="A1411" s="21"/>
      <c r="B1411" s="3"/>
      <c r="C1411" s="3"/>
      <c r="D1411" s="3">
        <f t="shared" si="21"/>
        <v>0</v>
      </c>
      <c r="E1411" s="27"/>
    </row>
    <row r="1412" spans="1:5" ht="18" x14ac:dyDescent="0.35">
      <c r="A1412" s="21"/>
      <c r="B1412" s="3"/>
      <c r="C1412" s="3"/>
      <c r="D1412" s="3">
        <f t="shared" si="21"/>
        <v>0</v>
      </c>
      <c r="E1412" s="27"/>
    </row>
    <row r="1413" spans="1:5" ht="18" x14ac:dyDescent="0.35">
      <c r="A1413" s="21"/>
      <c r="B1413" s="3"/>
      <c r="C1413" s="3"/>
      <c r="D1413" s="3">
        <f t="shared" si="21"/>
        <v>0</v>
      </c>
      <c r="E1413" s="27"/>
    </row>
    <row r="1414" spans="1:5" ht="18" x14ac:dyDescent="0.35">
      <c r="A1414" s="21"/>
      <c r="B1414" s="3"/>
      <c r="C1414" s="3"/>
      <c r="D1414" s="3">
        <f t="shared" si="21"/>
        <v>0</v>
      </c>
      <c r="E1414" s="27"/>
    </row>
    <row r="1415" spans="1:5" ht="18" x14ac:dyDescent="0.35">
      <c r="A1415" s="21"/>
      <c r="B1415" s="3"/>
      <c r="C1415" s="3"/>
      <c r="D1415" s="3">
        <f t="shared" si="21"/>
        <v>0</v>
      </c>
      <c r="E1415" s="27"/>
    </row>
    <row r="1416" spans="1:5" ht="18" x14ac:dyDescent="0.35">
      <c r="A1416" s="21"/>
      <c r="B1416" s="3"/>
      <c r="C1416" s="3"/>
      <c r="D1416" s="3">
        <f t="shared" si="21"/>
        <v>0</v>
      </c>
      <c r="E1416" s="27"/>
    </row>
    <row r="1417" spans="1:5" ht="18" x14ac:dyDescent="0.35">
      <c r="A1417" s="21"/>
      <c r="B1417" s="3"/>
      <c r="C1417" s="3"/>
      <c r="D1417" s="3">
        <f t="shared" si="21"/>
        <v>0</v>
      </c>
      <c r="E1417" s="27"/>
    </row>
    <row r="1418" spans="1:5" ht="18" x14ac:dyDescent="0.35">
      <c r="A1418" s="21"/>
      <c r="B1418" s="3"/>
      <c r="C1418" s="3"/>
      <c r="D1418" s="3">
        <f t="shared" si="21"/>
        <v>0</v>
      </c>
      <c r="E1418" s="27"/>
    </row>
    <row r="1419" spans="1:5" ht="18" x14ac:dyDescent="0.35">
      <c r="A1419" s="21"/>
      <c r="B1419" s="3"/>
      <c r="C1419" s="3"/>
      <c r="D1419" s="3">
        <f t="shared" si="21"/>
        <v>0</v>
      </c>
      <c r="E1419" s="27"/>
    </row>
    <row r="1420" spans="1:5" ht="18" x14ac:dyDescent="0.35">
      <c r="A1420" s="21"/>
      <c r="B1420" s="3"/>
      <c r="C1420" s="3"/>
      <c r="D1420" s="3">
        <f t="shared" si="21"/>
        <v>0</v>
      </c>
      <c r="E1420" s="27"/>
    </row>
    <row r="1421" spans="1:5" ht="18" x14ac:dyDescent="0.35">
      <c r="A1421" s="21"/>
      <c r="B1421" s="3"/>
      <c r="C1421" s="3"/>
      <c r="D1421" s="3">
        <f t="shared" si="21"/>
        <v>0</v>
      </c>
      <c r="E1421" s="27"/>
    </row>
    <row r="1422" spans="1:5" ht="18" x14ac:dyDescent="0.35">
      <c r="A1422" s="21"/>
      <c r="B1422" s="3"/>
      <c r="C1422" s="3"/>
      <c r="D1422" s="3">
        <f t="shared" si="21"/>
        <v>0</v>
      </c>
      <c r="E1422" s="27"/>
    </row>
    <row r="1423" spans="1:5" ht="18" x14ac:dyDescent="0.35">
      <c r="A1423" s="21"/>
      <c r="B1423" s="3"/>
      <c r="C1423" s="3"/>
      <c r="D1423" s="3">
        <f t="shared" si="21"/>
        <v>0</v>
      </c>
      <c r="E1423" s="27"/>
    </row>
    <row r="1424" spans="1:5" ht="18" x14ac:dyDescent="0.35">
      <c r="A1424" s="21"/>
      <c r="B1424" s="3"/>
      <c r="C1424" s="3"/>
      <c r="D1424" s="3">
        <f t="shared" si="21"/>
        <v>0</v>
      </c>
      <c r="E1424" s="27"/>
    </row>
    <row r="1425" spans="1:5" ht="18" x14ac:dyDescent="0.35">
      <c r="A1425" s="21"/>
      <c r="B1425" s="3"/>
      <c r="C1425" s="3"/>
      <c r="D1425" s="3">
        <f t="shared" si="21"/>
        <v>0</v>
      </c>
      <c r="E1425" s="27"/>
    </row>
    <row r="1426" spans="1:5" ht="18" x14ac:dyDescent="0.35">
      <c r="A1426" s="21"/>
      <c r="B1426" s="3"/>
      <c r="C1426" s="3"/>
      <c r="D1426" s="3">
        <f t="shared" si="21"/>
        <v>0</v>
      </c>
      <c r="E1426" s="27"/>
    </row>
    <row r="1427" spans="1:5" ht="18" x14ac:dyDescent="0.35">
      <c r="A1427" s="21"/>
      <c r="B1427" s="3"/>
      <c r="C1427" s="3"/>
      <c r="D1427" s="3">
        <f t="shared" si="21"/>
        <v>0</v>
      </c>
      <c r="E1427" s="27"/>
    </row>
    <row r="1428" spans="1:5" ht="18" x14ac:dyDescent="0.35">
      <c r="A1428" s="21"/>
      <c r="B1428" s="3"/>
      <c r="C1428" s="3"/>
      <c r="D1428" s="3">
        <f t="shared" si="21"/>
        <v>0</v>
      </c>
      <c r="E1428" s="27"/>
    </row>
    <row r="1429" spans="1:5" ht="18" x14ac:dyDescent="0.35">
      <c r="A1429" s="21"/>
      <c r="B1429" s="3"/>
      <c r="C1429" s="3"/>
      <c r="D1429" s="3">
        <f t="shared" si="21"/>
        <v>0</v>
      </c>
      <c r="E1429" s="27"/>
    </row>
    <row r="1430" spans="1:5" ht="18" x14ac:dyDescent="0.35">
      <c r="A1430" s="21"/>
      <c r="B1430" s="3"/>
      <c r="C1430" s="3"/>
      <c r="D1430" s="3">
        <f t="shared" si="21"/>
        <v>0</v>
      </c>
      <c r="E1430" s="27"/>
    </row>
    <row r="1431" spans="1:5" ht="18" x14ac:dyDescent="0.35">
      <c r="A1431" s="21"/>
      <c r="B1431" s="3"/>
      <c r="C1431" s="3"/>
      <c r="D1431" s="3">
        <f t="shared" si="21"/>
        <v>0</v>
      </c>
      <c r="E1431" s="27"/>
    </row>
    <row r="1432" spans="1:5" ht="18" x14ac:dyDescent="0.35">
      <c r="A1432" s="21"/>
      <c r="B1432" s="3"/>
      <c r="C1432" s="3"/>
      <c r="D1432" s="3">
        <f t="shared" si="21"/>
        <v>0</v>
      </c>
      <c r="E1432" s="27"/>
    </row>
    <row r="1433" spans="1:5" ht="18" x14ac:dyDescent="0.35">
      <c r="A1433" s="21"/>
      <c r="B1433" s="3"/>
      <c r="C1433" s="3"/>
      <c r="D1433" s="3">
        <f t="shared" si="21"/>
        <v>0</v>
      </c>
      <c r="E1433" s="27"/>
    </row>
    <row r="1434" spans="1:5" ht="18" x14ac:dyDescent="0.35">
      <c r="A1434" s="21"/>
      <c r="B1434" s="3"/>
      <c r="C1434" s="3"/>
      <c r="D1434" s="3">
        <f t="shared" si="21"/>
        <v>0</v>
      </c>
      <c r="E1434" s="27"/>
    </row>
    <row r="1435" spans="1:5" ht="18" x14ac:dyDescent="0.35">
      <c r="A1435" s="21"/>
      <c r="B1435" s="3"/>
      <c r="C1435" s="3"/>
      <c r="D1435" s="3">
        <f t="shared" si="21"/>
        <v>0</v>
      </c>
      <c r="E1435" s="27"/>
    </row>
    <row r="1436" spans="1:5" ht="18" x14ac:dyDescent="0.35">
      <c r="A1436" s="21"/>
      <c r="B1436" s="3"/>
      <c r="C1436" s="3"/>
      <c r="D1436" s="3">
        <f t="shared" si="21"/>
        <v>0</v>
      </c>
      <c r="E1436" s="27"/>
    </row>
    <row r="1437" spans="1:5" ht="18" x14ac:dyDescent="0.35">
      <c r="A1437" s="21"/>
      <c r="B1437" s="3"/>
      <c r="C1437" s="3"/>
      <c r="D1437" s="3">
        <f t="shared" si="21"/>
        <v>0</v>
      </c>
      <c r="E1437" s="27"/>
    </row>
    <row r="1438" spans="1:5" ht="18" x14ac:dyDescent="0.35">
      <c r="A1438" s="21"/>
      <c r="B1438" s="3"/>
      <c r="C1438" s="3"/>
      <c r="D1438" s="3">
        <f t="shared" si="21"/>
        <v>0</v>
      </c>
      <c r="E1438" s="27"/>
    </row>
    <row r="1439" spans="1:5" ht="18" x14ac:dyDescent="0.35">
      <c r="A1439" s="21"/>
      <c r="B1439" s="3"/>
      <c r="C1439" s="3"/>
      <c r="D1439" s="3">
        <f t="shared" si="21"/>
        <v>0</v>
      </c>
      <c r="E1439" s="27"/>
    </row>
    <row r="1440" spans="1:5" ht="18" x14ac:dyDescent="0.35">
      <c r="A1440" s="21"/>
      <c r="B1440" s="3"/>
      <c r="C1440" s="3"/>
      <c r="D1440" s="3">
        <f t="shared" si="21"/>
        <v>0</v>
      </c>
      <c r="E1440" s="27"/>
    </row>
    <row r="1441" spans="1:5" ht="18" x14ac:dyDescent="0.35">
      <c r="A1441" s="21"/>
      <c r="B1441" s="3"/>
      <c r="C1441" s="3"/>
      <c r="D1441" s="3">
        <f t="shared" si="21"/>
        <v>0</v>
      </c>
      <c r="E1441" s="27"/>
    </row>
    <row r="1442" spans="1:5" ht="18" x14ac:dyDescent="0.35">
      <c r="A1442" s="21"/>
      <c r="B1442" s="3"/>
      <c r="C1442" s="3"/>
      <c r="D1442" s="3">
        <f t="shared" si="21"/>
        <v>0</v>
      </c>
      <c r="E1442" s="27"/>
    </row>
    <row r="1443" spans="1:5" ht="18" x14ac:dyDescent="0.35">
      <c r="A1443" s="21"/>
      <c r="B1443" s="3"/>
      <c r="C1443" s="3"/>
      <c r="D1443" s="3">
        <f t="shared" si="21"/>
        <v>0</v>
      </c>
      <c r="E1443" s="27"/>
    </row>
    <row r="1444" spans="1:5" ht="18" x14ac:dyDescent="0.35">
      <c r="A1444" s="21"/>
      <c r="B1444" s="3"/>
      <c r="C1444" s="3"/>
      <c r="D1444" s="3">
        <f t="shared" si="21"/>
        <v>0</v>
      </c>
      <c r="E1444" s="27"/>
    </row>
    <row r="1445" spans="1:5" ht="18" x14ac:dyDescent="0.35">
      <c r="A1445" s="21"/>
      <c r="B1445" s="3"/>
      <c r="C1445" s="3"/>
      <c r="D1445" s="3">
        <f t="shared" si="21"/>
        <v>0</v>
      </c>
      <c r="E1445" s="27"/>
    </row>
    <row r="1446" spans="1:5" ht="18" x14ac:dyDescent="0.35">
      <c r="A1446" s="21"/>
      <c r="B1446" s="3"/>
      <c r="C1446" s="3"/>
      <c r="D1446" s="3">
        <f t="shared" si="21"/>
        <v>0</v>
      </c>
      <c r="E1446" s="27"/>
    </row>
    <row r="1447" spans="1:5" ht="18" x14ac:dyDescent="0.35">
      <c r="A1447" s="21"/>
      <c r="B1447" s="3"/>
      <c r="C1447" s="3"/>
      <c r="D1447" s="3">
        <f t="shared" si="21"/>
        <v>0</v>
      </c>
      <c r="E1447" s="27"/>
    </row>
    <row r="1448" spans="1:5" ht="18" x14ac:dyDescent="0.35">
      <c r="A1448" s="21"/>
      <c r="B1448" s="3"/>
      <c r="C1448" s="3"/>
      <c r="D1448" s="3">
        <f t="shared" si="21"/>
        <v>0</v>
      </c>
      <c r="E1448" s="27"/>
    </row>
    <row r="1449" spans="1:5" ht="18" x14ac:dyDescent="0.35">
      <c r="A1449" s="21"/>
      <c r="B1449" s="3"/>
      <c r="C1449" s="3"/>
      <c r="D1449" s="3">
        <f t="shared" si="21"/>
        <v>0</v>
      </c>
      <c r="E1449" s="27"/>
    </row>
    <row r="1450" spans="1:5" ht="18" x14ac:dyDescent="0.35">
      <c r="A1450" s="21"/>
      <c r="B1450" s="3"/>
      <c r="C1450" s="3"/>
      <c r="D1450" s="3">
        <f t="shared" si="21"/>
        <v>0</v>
      </c>
      <c r="E1450" s="27"/>
    </row>
    <row r="1451" spans="1:5" ht="18" x14ac:dyDescent="0.35">
      <c r="A1451" s="21"/>
      <c r="B1451" s="3"/>
      <c r="C1451" s="3"/>
      <c r="D1451" s="3">
        <f t="shared" si="21"/>
        <v>0</v>
      </c>
      <c r="E1451" s="27"/>
    </row>
    <row r="1452" spans="1:5" ht="18" x14ac:dyDescent="0.35">
      <c r="A1452" s="21"/>
      <c r="B1452" s="3"/>
      <c r="C1452" s="3"/>
      <c r="D1452" s="3">
        <f t="shared" si="21"/>
        <v>0</v>
      </c>
      <c r="E1452" s="27"/>
    </row>
    <row r="1453" spans="1:5" ht="18" x14ac:dyDescent="0.35">
      <c r="A1453" s="21"/>
      <c r="B1453" s="3"/>
      <c r="C1453" s="3"/>
      <c r="D1453" s="3">
        <f t="shared" si="21"/>
        <v>0</v>
      </c>
      <c r="E1453" s="27"/>
    </row>
    <row r="1454" spans="1:5" ht="18" x14ac:dyDescent="0.35">
      <c r="A1454" s="21"/>
      <c r="B1454" s="3"/>
      <c r="C1454" s="3"/>
      <c r="D1454" s="3">
        <f t="shared" si="21"/>
        <v>0</v>
      </c>
      <c r="E1454" s="27"/>
    </row>
    <row r="1455" spans="1:5" ht="18" x14ac:dyDescent="0.35">
      <c r="A1455" s="21"/>
      <c r="B1455" s="3"/>
      <c r="C1455" s="3"/>
      <c r="D1455" s="3">
        <f t="shared" si="21"/>
        <v>0</v>
      </c>
      <c r="E1455" s="27"/>
    </row>
    <row r="1456" spans="1:5" ht="18" x14ac:dyDescent="0.35">
      <c r="A1456" s="21"/>
      <c r="B1456" s="3"/>
      <c r="C1456" s="3"/>
      <c r="D1456" s="3">
        <f t="shared" si="21"/>
        <v>0</v>
      </c>
      <c r="E1456" s="27"/>
    </row>
    <row r="1457" spans="1:5" ht="18" x14ac:dyDescent="0.35">
      <c r="A1457" s="21"/>
      <c r="B1457" s="3"/>
      <c r="C1457" s="3"/>
      <c r="D1457" s="3">
        <f t="shared" si="21"/>
        <v>0</v>
      </c>
      <c r="E1457" s="27"/>
    </row>
    <row r="1458" spans="1:5" ht="18" x14ac:dyDescent="0.35">
      <c r="A1458" s="21"/>
      <c r="B1458" s="3"/>
      <c r="C1458" s="3"/>
      <c r="D1458" s="3">
        <f t="shared" si="21"/>
        <v>0</v>
      </c>
      <c r="E1458" s="27"/>
    </row>
    <row r="1459" spans="1:5" ht="18" x14ac:dyDescent="0.35">
      <c r="A1459" s="21"/>
      <c r="B1459" s="3"/>
      <c r="C1459" s="3"/>
      <c r="D1459" s="3">
        <f t="shared" si="21"/>
        <v>0</v>
      </c>
      <c r="E1459" s="27"/>
    </row>
    <row r="1460" spans="1:5" ht="18" x14ac:dyDescent="0.35">
      <c r="A1460" s="21"/>
      <c r="B1460" s="3"/>
      <c r="C1460" s="3"/>
      <c r="D1460" s="3">
        <f t="shared" si="21"/>
        <v>0</v>
      </c>
      <c r="E1460" s="27"/>
    </row>
    <row r="1461" spans="1:5" ht="18" x14ac:dyDescent="0.35">
      <c r="A1461" s="21"/>
      <c r="B1461" s="3"/>
      <c r="C1461" s="3"/>
      <c r="D1461" s="3">
        <f t="shared" si="21"/>
        <v>0</v>
      </c>
      <c r="E1461" s="27"/>
    </row>
    <row r="1462" spans="1:5" ht="18" x14ac:dyDescent="0.35">
      <c r="A1462" s="21"/>
      <c r="B1462" s="3"/>
      <c r="C1462" s="3"/>
      <c r="D1462" s="3">
        <f t="shared" si="21"/>
        <v>0</v>
      </c>
      <c r="E1462" s="27"/>
    </row>
    <row r="1463" spans="1:5" ht="18" x14ac:dyDescent="0.35">
      <c r="A1463" s="21"/>
      <c r="B1463" s="3"/>
      <c r="C1463" s="3"/>
      <c r="D1463" s="3">
        <f t="shared" si="21"/>
        <v>0</v>
      </c>
      <c r="E1463" s="27"/>
    </row>
    <row r="1464" spans="1:5" ht="18" x14ac:dyDescent="0.35">
      <c r="A1464" s="21"/>
      <c r="B1464" s="3"/>
      <c r="C1464" s="3"/>
      <c r="D1464" s="3">
        <f t="shared" si="21"/>
        <v>0</v>
      </c>
      <c r="E1464" s="27"/>
    </row>
    <row r="1465" spans="1:5" ht="18" x14ac:dyDescent="0.35">
      <c r="A1465" s="21"/>
      <c r="B1465" s="3"/>
      <c r="C1465" s="3"/>
      <c r="D1465" s="3">
        <f t="shared" si="21"/>
        <v>0</v>
      </c>
      <c r="E1465" s="27"/>
    </row>
    <row r="1466" spans="1:5" ht="18" x14ac:dyDescent="0.35">
      <c r="A1466" s="21"/>
      <c r="B1466" s="3"/>
      <c r="C1466" s="3"/>
      <c r="D1466" s="3">
        <f t="shared" si="21"/>
        <v>0</v>
      </c>
      <c r="E1466" s="27"/>
    </row>
    <row r="1467" spans="1:5" ht="18" x14ac:dyDescent="0.35">
      <c r="A1467" s="21"/>
      <c r="B1467" s="3"/>
      <c r="C1467" s="3"/>
      <c r="D1467" s="3">
        <f t="shared" si="21"/>
        <v>0</v>
      </c>
      <c r="E1467" s="27"/>
    </row>
    <row r="1468" spans="1:5" ht="18" x14ac:dyDescent="0.35">
      <c r="A1468" s="21"/>
      <c r="B1468" s="3"/>
      <c r="C1468" s="3"/>
      <c r="D1468" s="3">
        <f t="shared" si="21"/>
        <v>0</v>
      </c>
      <c r="E1468" s="27"/>
    </row>
    <row r="1469" spans="1:5" ht="18" x14ac:dyDescent="0.35">
      <c r="A1469" s="21"/>
      <c r="B1469" s="3"/>
      <c r="C1469" s="3"/>
      <c r="D1469" s="3">
        <f t="shared" si="21"/>
        <v>0</v>
      </c>
      <c r="E1469" s="27"/>
    </row>
    <row r="1470" spans="1:5" ht="18" x14ac:dyDescent="0.35">
      <c r="A1470" s="21"/>
      <c r="B1470" s="3"/>
      <c r="C1470" s="3"/>
      <c r="D1470" s="3">
        <f t="shared" si="21"/>
        <v>0</v>
      </c>
      <c r="E1470" s="27"/>
    </row>
    <row r="1471" spans="1:5" ht="18" x14ac:dyDescent="0.35">
      <c r="A1471" s="21"/>
      <c r="B1471" s="3"/>
      <c r="C1471" s="3"/>
      <c r="D1471" s="3">
        <f t="shared" si="21"/>
        <v>0</v>
      </c>
      <c r="E1471" s="27"/>
    </row>
    <row r="1472" spans="1:5" ht="18" x14ac:dyDescent="0.35">
      <c r="A1472" s="21"/>
      <c r="B1472" s="3"/>
      <c r="C1472" s="3"/>
      <c r="D1472" s="3">
        <f t="shared" si="21"/>
        <v>0</v>
      </c>
      <c r="E1472" s="27"/>
    </row>
    <row r="1473" spans="1:5" ht="18" x14ac:dyDescent="0.35">
      <c r="A1473" s="21"/>
      <c r="B1473" s="3"/>
      <c r="C1473" s="3"/>
      <c r="D1473" s="3">
        <f t="shared" si="21"/>
        <v>0</v>
      </c>
      <c r="E1473" s="27"/>
    </row>
    <row r="1474" spans="1:5" ht="18" x14ac:dyDescent="0.35">
      <c r="A1474" s="21"/>
      <c r="B1474" s="3"/>
      <c r="C1474" s="3"/>
      <c r="D1474" s="3">
        <f t="shared" ref="D1474:D1537" si="22">C1474</f>
        <v>0</v>
      </c>
      <c r="E1474" s="27"/>
    </row>
    <row r="1475" spans="1:5" ht="18" x14ac:dyDescent="0.35">
      <c r="A1475" s="21"/>
      <c r="B1475" s="3"/>
      <c r="C1475" s="3"/>
      <c r="D1475" s="3">
        <f t="shared" si="22"/>
        <v>0</v>
      </c>
      <c r="E1475" s="27"/>
    </row>
    <row r="1476" spans="1:5" ht="18" x14ac:dyDescent="0.35">
      <c r="A1476" s="21"/>
      <c r="B1476" s="3"/>
      <c r="C1476" s="3"/>
      <c r="D1476" s="3">
        <f t="shared" si="22"/>
        <v>0</v>
      </c>
      <c r="E1476" s="27"/>
    </row>
    <row r="1477" spans="1:5" ht="18" x14ac:dyDescent="0.35">
      <c r="A1477" s="21"/>
      <c r="B1477" s="3"/>
      <c r="C1477" s="3"/>
      <c r="D1477" s="3">
        <f t="shared" si="22"/>
        <v>0</v>
      </c>
      <c r="E1477" s="27"/>
    </row>
    <row r="1478" spans="1:5" ht="18" x14ac:dyDescent="0.35">
      <c r="A1478" s="21"/>
      <c r="B1478" s="3"/>
      <c r="C1478" s="3"/>
      <c r="D1478" s="3">
        <f t="shared" si="22"/>
        <v>0</v>
      </c>
      <c r="E1478" s="27"/>
    </row>
    <row r="1479" spans="1:5" ht="18" x14ac:dyDescent="0.35">
      <c r="A1479" s="21"/>
      <c r="B1479" s="3"/>
      <c r="C1479" s="3"/>
      <c r="D1479" s="3">
        <f t="shared" si="22"/>
        <v>0</v>
      </c>
      <c r="E1479" s="27"/>
    </row>
    <row r="1480" spans="1:5" ht="18" x14ac:dyDescent="0.35">
      <c r="A1480" s="21"/>
      <c r="B1480" s="3"/>
      <c r="C1480" s="3"/>
      <c r="D1480" s="3">
        <f t="shared" si="22"/>
        <v>0</v>
      </c>
      <c r="E1480" s="27"/>
    </row>
    <row r="1481" spans="1:5" ht="18" x14ac:dyDescent="0.35">
      <c r="A1481" s="21"/>
      <c r="B1481" s="3"/>
      <c r="C1481" s="3"/>
      <c r="D1481" s="3">
        <f t="shared" si="22"/>
        <v>0</v>
      </c>
      <c r="E1481" s="27"/>
    </row>
    <row r="1482" spans="1:5" ht="18" x14ac:dyDescent="0.35">
      <c r="A1482" s="21"/>
      <c r="B1482" s="3"/>
      <c r="C1482" s="3"/>
      <c r="D1482" s="3">
        <f t="shared" si="22"/>
        <v>0</v>
      </c>
      <c r="E1482" s="27"/>
    </row>
    <row r="1483" spans="1:5" ht="18" x14ac:dyDescent="0.35">
      <c r="A1483" s="21"/>
      <c r="B1483" s="3"/>
      <c r="C1483" s="3"/>
      <c r="D1483" s="3">
        <f t="shared" si="22"/>
        <v>0</v>
      </c>
      <c r="E1483" s="27"/>
    </row>
    <row r="1484" spans="1:5" ht="18" x14ac:dyDescent="0.35">
      <c r="A1484" s="21"/>
      <c r="B1484" s="3"/>
      <c r="C1484" s="3"/>
      <c r="D1484" s="3">
        <f t="shared" si="22"/>
        <v>0</v>
      </c>
      <c r="E1484" s="27"/>
    </row>
    <row r="1485" spans="1:5" ht="18" x14ac:dyDescent="0.35">
      <c r="A1485" s="21"/>
      <c r="B1485" s="3"/>
      <c r="C1485" s="3"/>
      <c r="D1485" s="3">
        <f t="shared" si="22"/>
        <v>0</v>
      </c>
      <c r="E1485" s="27"/>
    </row>
    <row r="1486" spans="1:5" ht="18" x14ac:dyDescent="0.35">
      <c r="A1486" s="21"/>
      <c r="B1486" s="3"/>
      <c r="C1486" s="3"/>
      <c r="D1486" s="3">
        <f t="shared" si="22"/>
        <v>0</v>
      </c>
      <c r="E1486" s="27"/>
    </row>
    <row r="1487" spans="1:5" ht="18" x14ac:dyDescent="0.35">
      <c r="A1487" s="21"/>
      <c r="B1487" s="3"/>
      <c r="C1487" s="3"/>
      <c r="D1487" s="3">
        <f t="shared" si="22"/>
        <v>0</v>
      </c>
      <c r="E1487" s="27"/>
    </row>
    <row r="1488" spans="1:5" ht="18" x14ac:dyDescent="0.35">
      <c r="A1488" s="21"/>
      <c r="B1488" s="3"/>
      <c r="C1488" s="3"/>
      <c r="D1488" s="3">
        <f t="shared" si="22"/>
        <v>0</v>
      </c>
      <c r="E1488" s="27"/>
    </row>
    <row r="1489" spans="1:5" ht="18" x14ac:dyDescent="0.35">
      <c r="A1489" s="21"/>
      <c r="B1489" s="3"/>
      <c r="C1489" s="3"/>
      <c r="D1489" s="3">
        <f t="shared" si="22"/>
        <v>0</v>
      </c>
      <c r="E1489" s="27"/>
    </row>
    <row r="1490" spans="1:5" ht="18" x14ac:dyDescent="0.35">
      <c r="A1490" s="21"/>
      <c r="B1490" s="3"/>
      <c r="C1490" s="3"/>
      <c r="D1490" s="3">
        <f t="shared" si="22"/>
        <v>0</v>
      </c>
      <c r="E1490" s="27"/>
    </row>
    <row r="1491" spans="1:5" ht="18" x14ac:dyDescent="0.35">
      <c r="A1491" s="21"/>
      <c r="B1491" s="3"/>
      <c r="C1491" s="3"/>
      <c r="D1491" s="3">
        <f t="shared" si="22"/>
        <v>0</v>
      </c>
      <c r="E1491" s="27"/>
    </row>
    <row r="1492" spans="1:5" ht="18" x14ac:dyDescent="0.35">
      <c r="A1492" s="21"/>
      <c r="B1492" s="3"/>
      <c r="C1492" s="3"/>
      <c r="D1492" s="3">
        <f t="shared" si="22"/>
        <v>0</v>
      </c>
      <c r="E1492" s="27"/>
    </row>
    <row r="1493" spans="1:5" ht="18" x14ac:dyDescent="0.35">
      <c r="A1493" s="21"/>
      <c r="B1493" s="3"/>
      <c r="C1493" s="3"/>
      <c r="D1493" s="3">
        <f t="shared" si="22"/>
        <v>0</v>
      </c>
      <c r="E1493" s="27"/>
    </row>
    <row r="1494" spans="1:5" ht="18" x14ac:dyDescent="0.35">
      <c r="A1494" s="21"/>
      <c r="B1494" s="3"/>
      <c r="C1494" s="3"/>
      <c r="D1494" s="3">
        <f t="shared" si="22"/>
        <v>0</v>
      </c>
      <c r="E1494" s="27"/>
    </row>
    <row r="1495" spans="1:5" ht="18" x14ac:dyDescent="0.35">
      <c r="A1495" s="21"/>
      <c r="B1495" s="3"/>
      <c r="C1495" s="3"/>
      <c r="D1495" s="3">
        <f t="shared" si="22"/>
        <v>0</v>
      </c>
      <c r="E1495" s="27"/>
    </row>
    <row r="1496" spans="1:5" ht="18" x14ac:dyDescent="0.35">
      <c r="A1496" s="21"/>
      <c r="B1496" s="3"/>
      <c r="C1496" s="3"/>
      <c r="D1496" s="3">
        <f t="shared" si="22"/>
        <v>0</v>
      </c>
      <c r="E1496" s="27"/>
    </row>
    <row r="1497" spans="1:5" ht="18" x14ac:dyDescent="0.35">
      <c r="A1497" s="21"/>
      <c r="B1497" s="3"/>
      <c r="C1497" s="3"/>
      <c r="D1497" s="3">
        <f t="shared" si="22"/>
        <v>0</v>
      </c>
      <c r="E1497" s="27"/>
    </row>
    <row r="1498" spans="1:5" ht="18" x14ac:dyDescent="0.35">
      <c r="A1498" s="21"/>
      <c r="B1498" s="3"/>
      <c r="C1498" s="3"/>
      <c r="D1498" s="3">
        <f t="shared" si="22"/>
        <v>0</v>
      </c>
      <c r="E1498" s="27"/>
    </row>
    <row r="1499" spans="1:5" ht="18" x14ac:dyDescent="0.35">
      <c r="A1499" s="21"/>
      <c r="B1499" s="3"/>
      <c r="C1499" s="3"/>
      <c r="D1499" s="3">
        <f t="shared" si="22"/>
        <v>0</v>
      </c>
      <c r="E1499" s="27"/>
    </row>
    <row r="1500" spans="1:5" ht="18" x14ac:dyDescent="0.35">
      <c r="A1500" s="21"/>
      <c r="B1500" s="3"/>
      <c r="C1500" s="3"/>
      <c r="D1500" s="3">
        <f t="shared" si="22"/>
        <v>0</v>
      </c>
      <c r="E1500" s="27"/>
    </row>
    <row r="1501" spans="1:5" ht="18" x14ac:dyDescent="0.35">
      <c r="A1501" s="21"/>
      <c r="B1501" s="3"/>
      <c r="C1501" s="3"/>
      <c r="D1501" s="3">
        <f t="shared" si="22"/>
        <v>0</v>
      </c>
      <c r="E1501" s="27"/>
    </row>
    <row r="1502" spans="1:5" ht="18" x14ac:dyDescent="0.35">
      <c r="A1502" s="21"/>
      <c r="B1502" s="3"/>
      <c r="C1502" s="3"/>
      <c r="D1502" s="3">
        <f t="shared" si="22"/>
        <v>0</v>
      </c>
      <c r="E1502" s="27"/>
    </row>
    <row r="1503" spans="1:5" ht="18" x14ac:dyDescent="0.35">
      <c r="A1503" s="21"/>
      <c r="B1503" s="3"/>
      <c r="C1503" s="3"/>
      <c r="D1503" s="3">
        <f t="shared" si="22"/>
        <v>0</v>
      </c>
      <c r="E1503" s="27"/>
    </row>
    <row r="1504" spans="1:5" ht="18" x14ac:dyDescent="0.35">
      <c r="A1504" s="21"/>
      <c r="B1504" s="3"/>
      <c r="C1504" s="3"/>
      <c r="D1504" s="3">
        <f t="shared" si="22"/>
        <v>0</v>
      </c>
      <c r="E1504" s="27"/>
    </row>
    <row r="1505" spans="1:5" ht="18" x14ac:dyDescent="0.35">
      <c r="A1505" s="21"/>
      <c r="B1505" s="3"/>
      <c r="C1505" s="3"/>
      <c r="D1505" s="3">
        <f t="shared" si="22"/>
        <v>0</v>
      </c>
      <c r="E1505" s="27"/>
    </row>
    <row r="1506" spans="1:5" ht="18" x14ac:dyDescent="0.35">
      <c r="A1506" s="21"/>
      <c r="B1506" s="3"/>
      <c r="C1506" s="3"/>
      <c r="D1506" s="3">
        <f t="shared" si="22"/>
        <v>0</v>
      </c>
      <c r="E1506" s="27"/>
    </row>
    <row r="1507" spans="1:5" ht="18" x14ac:dyDescent="0.35">
      <c r="A1507" s="21"/>
      <c r="B1507" s="3"/>
      <c r="C1507" s="3"/>
      <c r="D1507" s="3">
        <f t="shared" si="22"/>
        <v>0</v>
      </c>
      <c r="E1507" s="27"/>
    </row>
    <row r="1508" spans="1:5" ht="18" x14ac:dyDescent="0.35">
      <c r="A1508" s="21"/>
      <c r="B1508" s="3"/>
      <c r="C1508" s="3"/>
      <c r="D1508" s="3">
        <f t="shared" si="22"/>
        <v>0</v>
      </c>
      <c r="E1508" s="27"/>
    </row>
    <row r="1509" spans="1:5" ht="18" x14ac:dyDescent="0.35">
      <c r="A1509" s="21"/>
      <c r="B1509" s="3"/>
      <c r="C1509" s="3"/>
      <c r="D1509" s="3">
        <f t="shared" si="22"/>
        <v>0</v>
      </c>
      <c r="E1509" s="27"/>
    </row>
    <row r="1510" spans="1:5" ht="18" x14ac:dyDescent="0.35">
      <c r="A1510" s="21"/>
      <c r="B1510" s="3"/>
      <c r="C1510" s="3"/>
      <c r="D1510" s="3">
        <f t="shared" si="22"/>
        <v>0</v>
      </c>
      <c r="E1510" s="27"/>
    </row>
    <row r="1511" spans="1:5" ht="18" x14ac:dyDescent="0.35">
      <c r="A1511" s="21"/>
      <c r="B1511" s="3"/>
      <c r="C1511" s="3"/>
      <c r="D1511" s="3">
        <f t="shared" si="22"/>
        <v>0</v>
      </c>
      <c r="E1511" s="27"/>
    </row>
    <row r="1512" spans="1:5" ht="18" x14ac:dyDescent="0.35">
      <c r="A1512" s="21"/>
      <c r="B1512" s="3"/>
      <c r="C1512" s="3"/>
      <c r="D1512" s="3">
        <f t="shared" si="22"/>
        <v>0</v>
      </c>
      <c r="E1512" s="27"/>
    </row>
    <row r="1513" spans="1:5" ht="18" x14ac:dyDescent="0.35">
      <c r="A1513" s="21"/>
      <c r="B1513" s="3"/>
      <c r="C1513" s="3"/>
      <c r="D1513" s="3">
        <f t="shared" si="22"/>
        <v>0</v>
      </c>
      <c r="E1513" s="27"/>
    </row>
    <row r="1514" spans="1:5" ht="18" x14ac:dyDescent="0.35">
      <c r="A1514" s="21"/>
      <c r="B1514" s="3"/>
      <c r="C1514" s="3"/>
      <c r="D1514" s="3">
        <f t="shared" si="22"/>
        <v>0</v>
      </c>
      <c r="E1514" s="27"/>
    </row>
    <row r="1515" spans="1:5" ht="18" x14ac:dyDescent="0.35">
      <c r="A1515" s="21"/>
      <c r="B1515" s="3"/>
      <c r="C1515" s="3"/>
      <c r="D1515" s="3">
        <f t="shared" si="22"/>
        <v>0</v>
      </c>
      <c r="E1515" s="27"/>
    </row>
    <row r="1516" spans="1:5" ht="18" x14ac:dyDescent="0.35">
      <c r="A1516" s="21"/>
      <c r="B1516" s="3"/>
      <c r="C1516" s="3"/>
      <c r="D1516" s="3">
        <f t="shared" si="22"/>
        <v>0</v>
      </c>
      <c r="E1516" s="27"/>
    </row>
    <row r="1517" spans="1:5" ht="18" x14ac:dyDescent="0.35">
      <c r="A1517" s="21"/>
      <c r="B1517" s="3"/>
      <c r="C1517" s="3"/>
      <c r="D1517" s="3">
        <f t="shared" si="22"/>
        <v>0</v>
      </c>
      <c r="E1517" s="27"/>
    </row>
    <row r="1518" spans="1:5" ht="18" x14ac:dyDescent="0.35">
      <c r="A1518" s="21"/>
      <c r="B1518" s="3"/>
      <c r="C1518" s="3"/>
      <c r="D1518" s="3">
        <f t="shared" si="22"/>
        <v>0</v>
      </c>
      <c r="E1518" s="27"/>
    </row>
    <row r="1519" spans="1:5" ht="18" x14ac:dyDescent="0.35">
      <c r="A1519" s="21"/>
      <c r="B1519" s="3"/>
      <c r="C1519" s="3"/>
      <c r="D1519" s="3">
        <f t="shared" si="22"/>
        <v>0</v>
      </c>
      <c r="E1519" s="27"/>
    </row>
    <row r="1520" spans="1:5" ht="18" x14ac:dyDescent="0.35">
      <c r="A1520" s="21"/>
      <c r="B1520" s="3"/>
      <c r="C1520" s="3"/>
      <c r="D1520" s="3">
        <f t="shared" si="22"/>
        <v>0</v>
      </c>
      <c r="E1520" s="27"/>
    </row>
    <row r="1521" spans="1:5" ht="18" x14ac:dyDescent="0.35">
      <c r="A1521" s="21"/>
      <c r="B1521" s="3"/>
      <c r="C1521" s="3"/>
      <c r="D1521" s="3">
        <f t="shared" si="22"/>
        <v>0</v>
      </c>
      <c r="E1521" s="27"/>
    </row>
    <row r="1522" spans="1:5" ht="18" x14ac:dyDescent="0.35">
      <c r="A1522" s="21"/>
      <c r="B1522" s="3"/>
      <c r="C1522" s="3"/>
      <c r="D1522" s="3">
        <f t="shared" si="22"/>
        <v>0</v>
      </c>
      <c r="E1522" s="27"/>
    </row>
    <row r="1523" spans="1:5" ht="18" x14ac:dyDescent="0.35">
      <c r="A1523" s="21"/>
      <c r="B1523" s="3"/>
      <c r="C1523" s="3"/>
      <c r="D1523" s="3">
        <f t="shared" si="22"/>
        <v>0</v>
      </c>
      <c r="E1523" s="27"/>
    </row>
    <row r="1524" spans="1:5" ht="18" x14ac:dyDescent="0.35">
      <c r="A1524" s="21"/>
      <c r="B1524" s="3"/>
      <c r="C1524" s="3"/>
      <c r="D1524" s="3">
        <f t="shared" si="22"/>
        <v>0</v>
      </c>
      <c r="E1524" s="27"/>
    </row>
    <row r="1525" spans="1:5" ht="18" x14ac:dyDescent="0.35">
      <c r="A1525" s="21"/>
      <c r="B1525" s="3"/>
      <c r="C1525" s="3"/>
      <c r="D1525" s="3">
        <f t="shared" si="22"/>
        <v>0</v>
      </c>
      <c r="E1525" s="27"/>
    </row>
    <row r="1526" spans="1:5" ht="18" x14ac:dyDescent="0.35">
      <c r="A1526" s="21"/>
      <c r="B1526" s="3"/>
      <c r="C1526" s="3"/>
      <c r="D1526" s="3">
        <f t="shared" si="22"/>
        <v>0</v>
      </c>
      <c r="E1526" s="27"/>
    </row>
    <row r="1527" spans="1:5" ht="18" x14ac:dyDescent="0.35">
      <c r="A1527" s="21"/>
      <c r="B1527" s="3"/>
      <c r="C1527" s="3"/>
      <c r="D1527" s="3">
        <f t="shared" si="22"/>
        <v>0</v>
      </c>
      <c r="E1527" s="27"/>
    </row>
    <row r="1528" spans="1:5" ht="18" x14ac:dyDescent="0.35">
      <c r="A1528" s="21"/>
      <c r="B1528" s="3"/>
      <c r="C1528" s="3"/>
      <c r="D1528" s="3">
        <f t="shared" si="22"/>
        <v>0</v>
      </c>
      <c r="E1528" s="27"/>
    </row>
    <row r="1529" spans="1:5" ht="18" x14ac:dyDescent="0.35">
      <c r="A1529" s="21"/>
      <c r="B1529" s="3"/>
      <c r="C1529" s="3"/>
      <c r="D1529" s="3">
        <f t="shared" si="22"/>
        <v>0</v>
      </c>
      <c r="E1529" s="27"/>
    </row>
    <row r="1530" spans="1:5" ht="18" x14ac:dyDescent="0.35">
      <c r="A1530" s="21"/>
      <c r="B1530" s="3"/>
      <c r="C1530" s="3"/>
      <c r="D1530" s="3">
        <f t="shared" si="22"/>
        <v>0</v>
      </c>
      <c r="E1530" s="27"/>
    </row>
    <row r="1531" spans="1:5" ht="18" x14ac:dyDescent="0.35">
      <c r="A1531" s="21"/>
      <c r="B1531" s="3"/>
      <c r="C1531" s="3"/>
      <c r="D1531" s="3">
        <f t="shared" si="22"/>
        <v>0</v>
      </c>
      <c r="E1531" s="27"/>
    </row>
    <row r="1532" spans="1:5" ht="18" x14ac:dyDescent="0.35">
      <c r="A1532" s="21"/>
      <c r="B1532" s="3"/>
      <c r="C1532" s="3"/>
      <c r="D1532" s="3">
        <f t="shared" si="22"/>
        <v>0</v>
      </c>
      <c r="E1532" s="27"/>
    </row>
    <row r="1533" spans="1:5" ht="18" x14ac:dyDescent="0.35">
      <c r="A1533" s="21"/>
      <c r="B1533" s="3"/>
      <c r="C1533" s="3"/>
      <c r="D1533" s="3">
        <f t="shared" si="22"/>
        <v>0</v>
      </c>
      <c r="E1533" s="27"/>
    </row>
    <row r="1534" spans="1:5" ht="18" x14ac:dyDescent="0.35">
      <c r="A1534" s="21"/>
      <c r="B1534" s="3"/>
      <c r="C1534" s="3"/>
      <c r="D1534" s="3">
        <f t="shared" si="22"/>
        <v>0</v>
      </c>
      <c r="E1534" s="27"/>
    </row>
    <row r="1535" spans="1:5" ht="18" x14ac:dyDescent="0.35">
      <c r="A1535" s="21"/>
      <c r="B1535" s="3"/>
      <c r="C1535" s="3"/>
      <c r="D1535" s="3">
        <f t="shared" si="22"/>
        <v>0</v>
      </c>
      <c r="E1535" s="27"/>
    </row>
    <row r="1536" spans="1:5" ht="18" x14ac:dyDescent="0.35">
      <c r="A1536" s="21"/>
      <c r="B1536" s="3"/>
      <c r="C1536" s="3"/>
      <c r="D1536" s="3">
        <f t="shared" si="22"/>
        <v>0</v>
      </c>
      <c r="E1536" s="27"/>
    </row>
    <row r="1537" spans="1:5" ht="18" x14ac:dyDescent="0.35">
      <c r="A1537" s="21"/>
      <c r="B1537" s="3"/>
      <c r="C1537" s="3"/>
      <c r="D1537" s="3">
        <f t="shared" si="22"/>
        <v>0</v>
      </c>
      <c r="E1537" s="27"/>
    </row>
    <row r="1538" spans="1:5" ht="18" x14ac:dyDescent="0.35">
      <c r="A1538" s="21"/>
      <c r="B1538" s="3"/>
      <c r="C1538" s="3"/>
      <c r="D1538" s="3">
        <f t="shared" ref="D1538:D1598" si="23">C1538</f>
        <v>0</v>
      </c>
      <c r="E1538" s="27"/>
    </row>
    <row r="1539" spans="1:5" ht="18" x14ac:dyDescent="0.35">
      <c r="A1539" s="21"/>
      <c r="B1539" s="3"/>
      <c r="C1539" s="3"/>
      <c r="D1539" s="3">
        <f t="shared" si="23"/>
        <v>0</v>
      </c>
      <c r="E1539" s="27"/>
    </row>
    <row r="1540" spans="1:5" ht="18" x14ac:dyDescent="0.35">
      <c r="A1540" s="21"/>
      <c r="B1540" s="3"/>
      <c r="C1540" s="3"/>
      <c r="D1540" s="3">
        <f t="shared" si="23"/>
        <v>0</v>
      </c>
      <c r="E1540" s="27"/>
    </row>
    <row r="1541" spans="1:5" ht="18" x14ac:dyDescent="0.35">
      <c r="A1541" s="21"/>
      <c r="B1541" s="3"/>
      <c r="C1541" s="3"/>
      <c r="D1541" s="3">
        <f t="shared" si="23"/>
        <v>0</v>
      </c>
      <c r="E1541" s="27"/>
    </row>
    <row r="1542" spans="1:5" ht="18" x14ac:dyDescent="0.35">
      <c r="A1542" s="21"/>
      <c r="B1542" s="3"/>
      <c r="C1542" s="3"/>
      <c r="D1542" s="3">
        <f t="shared" si="23"/>
        <v>0</v>
      </c>
      <c r="E1542" s="27"/>
    </row>
    <row r="1543" spans="1:5" ht="18" x14ac:dyDescent="0.35">
      <c r="A1543" s="21"/>
      <c r="B1543" s="3"/>
      <c r="C1543" s="3"/>
      <c r="D1543" s="3">
        <f t="shared" si="23"/>
        <v>0</v>
      </c>
      <c r="E1543" s="27"/>
    </row>
    <row r="1544" spans="1:5" ht="18" x14ac:dyDescent="0.35">
      <c r="A1544" s="21"/>
      <c r="B1544" s="3"/>
      <c r="C1544" s="3"/>
      <c r="D1544" s="3">
        <f t="shared" si="23"/>
        <v>0</v>
      </c>
      <c r="E1544" s="27"/>
    </row>
    <row r="1545" spans="1:5" ht="18" x14ac:dyDescent="0.35">
      <c r="A1545" s="21"/>
      <c r="B1545" s="3"/>
      <c r="C1545" s="3"/>
      <c r="D1545" s="3">
        <f t="shared" si="23"/>
        <v>0</v>
      </c>
      <c r="E1545" s="27"/>
    </row>
    <row r="1546" spans="1:5" ht="18" x14ac:dyDescent="0.35">
      <c r="A1546" s="21"/>
      <c r="B1546" s="3"/>
      <c r="C1546" s="3"/>
      <c r="D1546" s="3">
        <f t="shared" si="23"/>
        <v>0</v>
      </c>
      <c r="E1546" s="27"/>
    </row>
    <row r="1547" spans="1:5" ht="18" x14ac:dyDescent="0.35">
      <c r="A1547" s="21"/>
      <c r="B1547" s="3"/>
      <c r="C1547" s="3"/>
      <c r="D1547" s="3">
        <f t="shared" si="23"/>
        <v>0</v>
      </c>
      <c r="E1547" s="27"/>
    </row>
    <row r="1548" spans="1:5" ht="18" x14ac:dyDescent="0.35">
      <c r="A1548" s="21"/>
      <c r="B1548" s="3"/>
      <c r="C1548" s="3"/>
      <c r="D1548" s="3">
        <f t="shared" si="23"/>
        <v>0</v>
      </c>
      <c r="E1548" s="27"/>
    </row>
    <row r="1549" spans="1:5" ht="18" x14ac:dyDescent="0.35">
      <c r="A1549" s="21"/>
      <c r="B1549" s="3"/>
      <c r="C1549" s="3"/>
      <c r="D1549" s="3">
        <f t="shared" si="23"/>
        <v>0</v>
      </c>
      <c r="E1549" s="27"/>
    </row>
    <row r="1550" spans="1:5" ht="18" x14ac:dyDescent="0.35">
      <c r="A1550" s="21"/>
      <c r="B1550" s="3"/>
      <c r="C1550" s="3"/>
      <c r="D1550" s="3">
        <f t="shared" si="23"/>
        <v>0</v>
      </c>
      <c r="E1550" s="27"/>
    </row>
    <row r="1551" spans="1:5" ht="18" x14ac:dyDescent="0.35">
      <c r="A1551" s="21"/>
      <c r="B1551" s="3"/>
      <c r="C1551" s="3"/>
      <c r="D1551" s="3">
        <f t="shared" si="23"/>
        <v>0</v>
      </c>
      <c r="E1551" s="27"/>
    </row>
    <row r="1552" spans="1:5" ht="18" x14ac:dyDescent="0.35">
      <c r="A1552" s="21"/>
      <c r="B1552" s="3"/>
      <c r="C1552" s="3"/>
      <c r="D1552" s="3">
        <f t="shared" si="23"/>
        <v>0</v>
      </c>
      <c r="E1552" s="27"/>
    </row>
    <row r="1553" spans="1:5" ht="18" x14ac:dyDescent="0.35">
      <c r="A1553" s="21"/>
      <c r="B1553" s="3"/>
      <c r="C1553" s="3"/>
      <c r="D1553" s="3">
        <f t="shared" si="23"/>
        <v>0</v>
      </c>
      <c r="E1553" s="27"/>
    </row>
    <row r="1554" spans="1:5" ht="18" x14ac:dyDescent="0.35">
      <c r="A1554" s="21"/>
      <c r="B1554" s="3"/>
      <c r="C1554" s="3"/>
      <c r="D1554" s="3">
        <f t="shared" si="23"/>
        <v>0</v>
      </c>
      <c r="E1554" s="27"/>
    </row>
    <row r="1555" spans="1:5" ht="18" x14ac:dyDescent="0.35">
      <c r="A1555" s="21"/>
      <c r="B1555" s="3"/>
      <c r="C1555" s="3"/>
      <c r="D1555" s="3">
        <f t="shared" si="23"/>
        <v>0</v>
      </c>
      <c r="E1555" s="27"/>
    </row>
    <row r="1556" spans="1:5" ht="18" x14ac:dyDescent="0.35">
      <c r="A1556" s="21"/>
      <c r="B1556" s="3"/>
      <c r="C1556" s="3"/>
      <c r="D1556" s="3">
        <f t="shared" si="23"/>
        <v>0</v>
      </c>
      <c r="E1556" s="27"/>
    </row>
    <row r="1557" spans="1:5" ht="18" x14ac:dyDescent="0.35">
      <c r="A1557" s="21"/>
      <c r="B1557" s="3"/>
      <c r="C1557" s="3"/>
      <c r="D1557" s="3">
        <f t="shared" si="23"/>
        <v>0</v>
      </c>
      <c r="E1557" s="27"/>
    </row>
    <row r="1558" spans="1:5" ht="18" x14ac:dyDescent="0.35">
      <c r="A1558" s="21"/>
      <c r="B1558" s="3"/>
      <c r="C1558" s="3"/>
      <c r="D1558" s="3">
        <f t="shared" si="23"/>
        <v>0</v>
      </c>
      <c r="E1558" s="27"/>
    </row>
    <row r="1559" spans="1:5" ht="18" x14ac:dyDescent="0.35">
      <c r="A1559" s="21"/>
      <c r="B1559" s="3"/>
      <c r="C1559" s="3"/>
      <c r="D1559" s="3">
        <f t="shared" si="23"/>
        <v>0</v>
      </c>
      <c r="E1559" s="27"/>
    </row>
    <row r="1560" spans="1:5" ht="18" x14ac:dyDescent="0.35">
      <c r="A1560" s="21"/>
      <c r="B1560" s="3"/>
      <c r="C1560" s="3"/>
      <c r="D1560" s="3">
        <f t="shared" si="23"/>
        <v>0</v>
      </c>
      <c r="E1560" s="27"/>
    </row>
    <row r="1561" spans="1:5" ht="18" x14ac:dyDescent="0.35">
      <c r="A1561" s="21"/>
      <c r="B1561" s="3"/>
      <c r="C1561" s="3"/>
      <c r="D1561" s="3">
        <f t="shared" si="23"/>
        <v>0</v>
      </c>
      <c r="E1561" s="27"/>
    </row>
    <row r="1562" spans="1:5" ht="18" x14ac:dyDescent="0.35">
      <c r="A1562" s="21"/>
      <c r="B1562" s="3"/>
      <c r="C1562" s="3"/>
      <c r="D1562" s="3">
        <f t="shared" si="23"/>
        <v>0</v>
      </c>
      <c r="E1562" s="27"/>
    </row>
    <row r="1563" spans="1:5" ht="18" x14ac:dyDescent="0.35">
      <c r="A1563" s="21"/>
      <c r="B1563" s="3"/>
      <c r="C1563" s="3"/>
      <c r="D1563" s="3">
        <f t="shared" si="23"/>
        <v>0</v>
      </c>
      <c r="E1563" s="27"/>
    </row>
    <row r="1564" spans="1:5" ht="18" x14ac:dyDescent="0.35">
      <c r="A1564" s="21"/>
      <c r="B1564" s="3"/>
      <c r="C1564" s="3"/>
      <c r="D1564" s="3">
        <f t="shared" si="23"/>
        <v>0</v>
      </c>
      <c r="E1564" s="27"/>
    </row>
    <row r="1565" spans="1:5" ht="18" x14ac:dyDescent="0.35">
      <c r="A1565" s="21"/>
      <c r="B1565" s="3"/>
      <c r="C1565" s="3"/>
      <c r="D1565" s="3">
        <f t="shared" si="23"/>
        <v>0</v>
      </c>
      <c r="E1565" s="27"/>
    </row>
    <row r="1566" spans="1:5" ht="18" x14ac:dyDescent="0.35">
      <c r="A1566" s="21"/>
      <c r="B1566" s="3"/>
      <c r="C1566" s="3"/>
      <c r="D1566" s="3">
        <f t="shared" si="23"/>
        <v>0</v>
      </c>
      <c r="E1566" s="27"/>
    </row>
    <row r="1567" spans="1:5" ht="18" x14ac:dyDescent="0.35">
      <c r="A1567" s="21"/>
      <c r="B1567" s="3"/>
      <c r="C1567" s="3"/>
      <c r="D1567" s="3">
        <f t="shared" si="23"/>
        <v>0</v>
      </c>
      <c r="E1567" s="27"/>
    </row>
    <row r="1568" spans="1:5" ht="18" x14ac:dyDescent="0.35">
      <c r="A1568" s="21"/>
      <c r="B1568" s="3"/>
      <c r="C1568" s="3"/>
      <c r="D1568" s="3">
        <f t="shared" si="23"/>
        <v>0</v>
      </c>
      <c r="E1568" s="27"/>
    </row>
    <row r="1569" spans="1:5" ht="18" x14ac:dyDescent="0.35">
      <c r="A1569" s="21"/>
      <c r="B1569" s="3"/>
      <c r="C1569" s="3"/>
      <c r="D1569" s="3">
        <f t="shared" si="23"/>
        <v>0</v>
      </c>
      <c r="E1569" s="27"/>
    </row>
    <row r="1570" spans="1:5" ht="18" x14ac:dyDescent="0.35">
      <c r="A1570" s="21"/>
      <c r="B1570" s="3"/>
      <c r="C1570" s="3"/>
      <c r="D1570" s="3">
        <f t="shared" si="23"/>
        <v>0</v>
      </c>
      <c r="E1570" s="27"/>
    </row>
    <row r="1571" spans="1:5" ht="18" x14ac:dyDescent="0.35">
      <c r="A1571" s="21"/>
      <c r="B1571" s="3"/>
      <c r="C1571" s="3"/>
      <c r="D1571" s="3">
        <f t="shared" si="23"/>
        <v>0</v>
      </c>
      <c r="E1571" s="27"/>
    </row>
    <row r="1572" spans="1:5" ht="18" x14ac:dyDescent="0.35">
      <c r="A1572" s="21"/>
      <c r="B1572" s="3"/>
      <c r="C1572" s="3"/>
      <c r="D1572" s="3">
        <f t="shared" si="23"/>
        <v>0</v>
      </c>
      <c r="E1572" s="27"/>
    </row>
    <row r="1573" spans="1:5" ht="18" x14ac:dyDescent="0.35">
      <c r="A1573" s="21"/>
      <c r="B1573" s="3"/>
      <c r="C1573" s="3"/>
      <c r="D1573" s="3">
        <f t="shared" si="23"/>
        <v>0</v>
      </c>
      <c r="E1573" s="27"/>
    </row>
    <row r="1574" spans="1:5" ht="18" x14ac:dyDescent="0.35">
      <c r="A1574" s="21"/>
      <c r="B1574" s="3"/>
      <c r="C1574" s="3"/>
      <c r="D1574" s="3">
        <f t="shared" si="23"/>
        <v>0</v>
      </c>
      <c r="E1574" s="27"/>
    </row>
    <row r="1575" spans="1:5" ht="18" x14ac:dyDescent="0.35">
      <c r="A1575" s="21"/>
      <c r="B1575" s="3"/>
      <c r="C1575" s="3"/>
      <c r="D1575" s="3">
        <f t="shared" si="23"/>
        <v>0</v>
      </c>
      <c r="E1575" s="27"/>
    </row>
    <row r="1576" spans="1:5" ht="18" x14ac:dyDescent="0.35">
      <c r="A1576" s="21"/>
      <c r="B1576" s="3"/>
      <c r="C1576" s="3"/>
      <c r="D1576" s="3">
        <f t="shared" si="23"/>
        <v>0</v>
      </c>
      <c r="E1576" s="27"/>
    </row>
    <row r="1577" spans="1:5" ht="18" x14ac:dyDescent="0.35">
      <c r="A1577" s="21"/>
      <c r="B1577" s="3"/>
      <c r="C1577" s="3"/>
      <c r="D1577" s="3">
        <f t="shared" si="23"/>
        <v>0</v>
      </c>
      <c r="E1577" s="27"/>
    </row>
    <row r="1578" spans="1:5" ht="18" x14ac:dyDescent="0.35">
      <c r="A1578" s="21"/>
      <c r="B1578" s="3"/>
      <c r="C1578" s="3"/>
      <c r="D1578" s="3">
        <f t="shared" si="23"/>
        <v>0</v>
      </c>
      <c r="E1578" s="27"/>
    </row>
    <row r="1579" spans="1:5" ht="18" x14ac:dyDescent="0.35">
      <c r="A1579" s="21"/>
      <c r="B1579" s="3"/>
      <c r="C1579" s="3"/>
      <c r="D1579" s="3">
        <f t="shared" si="23"/>
        <v>0</v>
      </c>
      <c r="E1579" s="27"/>
    </row>
    <row r="1580" spans="1:5" ht="18" x14ac:dyDescent="0.35">
      <c r="A1580" s="21"/>
      <c r="B1580" s="3"/>
      <c r="C1580" s="3"/>
      <c r="D1580" s="3">
        <f t="shared" si="23"/>
        <v>0</v>
      </c>
      <c r="E1580" s="27"/>
    </row>
    <row r="1581" spans="1:5" ht="18" x14ac:dyDescent="0.35">
      <c r="A1581" s="21"/>
      <c r="B1581" s="3"/>
      <c r="C1581" s="3"/>
      <c r="D1581" s="3">
        <f t="shared" si="23"/>
        <v>0</v>
      </c>
      <c r="E1581" s="27"/>
    </row>
    <row r="1582" spans="1:5" ht="18" x14ac:dyDescent="0.35">
      <c r="A1582" s="21"/>
      <c r="B1582" s="3"/>
      <c r="C1582" s="3"/>
      <c r="D1582" s="3">
        <f t="shared" si="23"/>
        <v>0</v>
      </c>
      <c r="E1582" s="27"/>
    </row>
    <row r="1583" spans="1:5" ht="18" x14ac:dyDescent="0.35">
      <c r="A1583" s="21"/>
      <c r="B1583" s="3"/>
      <c r="C1583" s="3"/>
      <c r="D1583" s="3">
        <f t="shared" si="23"/>
        <v>0</v>
      </c>
      <c r="E1583" s="27"/>
    </row>
    <row r="1584" spans="1:5" ht="18" x14ac:dyDescent="0.35">
      <c r="A1584" s="21"/>
      <c r="B1584" s="3"/>
      <c r="C1584" s="3"/>
      <c r="D1584" s="3">
        <f t="shared" si="23"/>
        <v>0</v>
      </c>
      <c r="E1584" s="27"/>
    </row>
    <row r="1585" spans="1:5" ht="18" x14ac:dyDescent="0.35">
      <c r="A1585" s="21"/>
      <c r="B1585" s="3"/>
      <c r="C1585" s="3"/>
      <c r="D1585" s="3">
        <f t="shared" si="23"/>
        <v>0</v>
      </c>
      <c r="E1585" s="27"/>
    </row>
    <row r="1586" spans="1:5" ht="18" x14ac:dyDescent="0.35">
      <c r="A1586" s="21"/>
      <c r="B1586" s="3"/>
      <c r="C1586" s="3"/>
      <c r="D1586" s="3">
        <f t="shared" si="23"/>
        <v>0</v>
      </c>
      <c r="E1586" s="27"/>
    </row>
    <row r="1587" spans="1:5" ht="18" x14ac:dyDescent="0.35">
      <c r="A1587" s="21"/>
      <c r="B1587" s="3"/>
      <c r="C1587" s="3"/>
      <c r="D1587" s="3">
        <f t="shared" si="23"/>
        <v>0</v>
      </c>
      <c r="E1587" s="27"/>
    </row>
    <row r="1588" spans="1:5" ht="18" x14ac:dyDescent="0.35">
      <c r="A1588" s="21"/>
      <c r="B1588" s="3"/>
      <c r="C1588" s="3"/>
      <c r="D1588" s="3">
        <f t="shared" si="23"/>
        <v>0</v>
      </c>
      <c r="E1588" s="27"/>
    </row>
    <row r="1589" spans="1:5" ht="18" x14ac:dyDescent="0.35">
      <c r="A1589" s="21"/>
      <c r="B1589" s="3"/>
      <c r="C1589" s="3"/>
      <c r="D1589" s="3">
        <f t="shared" si="23"/>
        <v>0</v>
      </c>
      <c r="E1589" s="27"/>
    </row>
    <row r="1590" spans="1:5" ht="18" x14ac:dyDescent="0.35">
      <c r="A1590" s="21"/>
      <c r="B1590" s="3"/>
      <c r="C1590" s="3"/>
      <c r="D1590" s="3">
        <f t="shared" si="23"/>
        <v>0</v>
      </c>
      <c r="E1590" s="27"/>
    </row>
    <row r="1591" spans="1:5" ht="18" x14ac:dyDescent="0.35">
      <c r="A1591" s="21"/>
      <c r="B1591" s="3"/>
      <c r="C1591" s="3"/>
      <c r="D1591" s="3">
        <f t="shared" si="23"/>
        <v>0</v>
      </c>
      <c r="E1591" s="27"/>
    </row>
    <row r="1592" spans="1:5" ht="18" x14ac:dyDescent="0.35">
      <c r="A1592" s="21"/>
      <c r="B1592" s="3"/>
      <c r="C1592" s="3"/>
      <c r="D1592" s="3">
        <f t="shared" si="23"/>
        <v>0</v>
      </c>
      <c r="E1592" s="27"/>
    </row>
    <row r="1593" spans="1:5" ht="18" x14ac:dyDescent="0.35">
      <c r="A1593" s="21"/>
      <c r="B1593" s="3"/>
      <c r="C1593" s="3"/>
      <c r="D1593" s="3">
        <f t="shared" si="23"/>
        <v>0</v>
      </c>
      <c r="E1593" s="27"/>
    </row>
    <row r="1594" spans="1:5" ht="18" x14ac:dyDescent="0.35">
      <c r="A1594" s="21"/>
      <c r="B1594" s="3"/>
      <c r="C1594" s="3"/>
      <c r="D1594" s="3">
        <f t="shared" si="23"/>
        <v>0</v>
      </c>
      <c r="E1594" s="27"/>
    </row>
    <row r="1595" spans="1:5" ht="18" x14ac:dyDescent="0.35">
      <c r="A1595" s="21"/>
      <c r="B1595" s="3"/>
      <c r="C1595" s="3"/>
      <c r="D1595" s="3">
        <f t="shared" si="23"/>
        <v>0</v>
      </c>
      <c r="E1595" s="27"/>
    </row>
    <row r="1596" spans="1:5" ht="18" x14ac:dyDescent="0.35">
      <c r="A1596" s="21"/>
      <c r="B1596" s="3"/>
      <c r="C1596" s="3"/>
      <c r="D1596" s="3">
        <f t="shared" si="23"/>
        <v>0</v>
      </c>
      <c r="E1596" s="27"/>
    </row>
    <row r="1597" spans="1:5" ht="18" x14ac:dyDescent="0.35">
      <c r="A1597" s="21"/>
      <c r="B1597" s="3"/>
      <c r="C1597" s="3"/>
      <c r="D1597" s="3">
        <f t="shared" si="23"/>
        <v>0</v>
      </c>
      <c r="E1597" s="27"/>
    </row>
    <row r="1598" spans="1:5" ht="18" x14ac:dyDescent="0.35">
      <c r="A1598" s="21"/>
      <c r="B1598" s="3"/>
      <c r="C1598" s="3"/>
      <c r="D1598" s="3">
        <f t="shared" si="23"/>
        <v>0</v>
      </c>
      <c r="E1598" s="27"/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68" r:id="rId4" name="ComboBox1">
          <controlPr defaultSize="0" autoLine="0" linkedCell="M2" listFillRange="B2:B357" r:id="rId5">
            <anchor moveWithCells="1">
              <from>
                <xdr:col>12</xdr:col>
                <xdr:colOff>0</xdr:colOff>
                <xdr:row>3</xdr:row>
                <xdr:rowOff>259080</xdr:rowOff>
              </from>
              <to>
                <xdr:col>13</xdr:col>
                <xdr:colOff>7620</xdr:colOff>
                <xdr:row>5</xdr:row>
                <xdr:rowOff>22860</xdr:rowOff>
              </to>
            </anchor>
          </controlPr>
        </control>
      </mc:Choice>
      <mc:Fallback>
        <control shapeId="1068" r:id="rId4" name="ComboBox1"/>
      </mc:Fallback>
    </mc:AlternateContent>
    <mc:AlternateContent xmlns:mc="http://schemas.openxmlformats.org/markup-compatibility/2006">
      <mc:Choice Requires="x14">
        <control shapeId="1069" r:id="rId6" name="ComboBox2">
          <controlPr defaultSize="0" autoLine="0" linkedCell="M2" listFillRange="B358:B552" r:id="rId7">
            <anchor moveWithCells="1">
              <from>
                <xdr:col>12</xdr:col>
                <xdr:colOff>22860</xdr:colOff>
                <xdr:row>6</xdr:row>
                <xdr:rowOff>0</xdr:rowOff>
              </from>
              <to>
                <xdr:col>13</xdr:col>
                <xdr:colOff>7620</xdr:colOff>
                <xdr:row>6</xdr:row>
                <xdr:rowOff>259080</xdr:rowOff>
              </to>
            </anchor>
          </controlPr>
        </control>
      </mc:Choice>
      <mc:Fallback>
        <control shapeId="1069" r:id="rId6" name="ComboBox2"/>
      </mc:Fallback>
    </mc:AlternateContent>
    <mc:AlternateContent xmlns:mc="http://schemas.openxmlformats.org/markup-compatibility/2006">
      <mc:Choice Requires="x14">
        <control shapeId="1070" r:id="rId8" name="ComboBox3">
          <controlPr defaultSize="0" autoLine="0" linkedCell="M2" listFillRange="B553:B919" r:id="rId9">
            <anchor moveWithCells="1">
              <from>
                <xdr:col>12</xdr:col>
                <xdr:colOff>7620</xdr:colOff>
                <xdr:row>8</xdr:row>
                <xdr:rowOff>0</xdr:rowOff>
              </from>
              <to>
                <xdr:col>13</xdr:col>
                <xdr:colOff>0</xdr:colOff>
                <xdr:row>9</xdr:row>
                <xdr:rowOff>7620</xdr:rowOff>
              </to>
            </anchor>
          </controlPr>
        </control>
      </mc:Choice>
      <mc:Fallback>
        <control shapeId="1070" r:id="rId8" name="ComboBox3"/>
      </mc:Fallback>
    </mc:AlternateContent>
    <mc:AlternateContent xmlns:mc="http://schemas.openxmlformats.org/markup-compatibility/2006">
      <mc:Choice Requires="x14">
        <control shapeId="1071" r:id="rId10" name="ComboBox4">
          <controlPr defaultSize="0" autoLine="0" linkedCell="M2" listFillRange="B921:B1200" r:id="rId11">
            <anchor moveWithCells="1">
              <from>
                <xdr:col>12</xdr:col>
                <xdr:colOff>22860</xdr:colOff>
                <xdr:row>10</xdr:row>
                <xdr:rowOff>0</xdr:rowOff>
              </from>
              <to>
                <xdr:col>13</xdr:col>
                <xdr:colOff>7620</xdr:colOff>
                <xdr:row>10</xdr:row>
                <xdr:rowOff>259080</xdr:rowOff>
              </to>
            </anchor>
          </controlPr>
        </control>
      </mc:Choice>
      <mc:Fallback>
        <control shapeId="1071" r:id="rId10" name="ComboBox4"/>
      </mc:Fallback>
    </mc:AlternateContent>
  </controls>
  <tableParts count="2"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Dark</dc:creator>
  <cp:lastModifiedBy>Mennatullah Khalid Hosny</cp:lastModifiedBy>
  <dcterms:created xsi:type="dcterms:W3CDTF">2015-06-05T18:17:20Z</dcterms:created>
  <dcterms:modified xsi:type="dcterms:W3CDTF">2026-08-31T09:38:25Z</dcterms:modified>
</cp:coreProperties>
</file>