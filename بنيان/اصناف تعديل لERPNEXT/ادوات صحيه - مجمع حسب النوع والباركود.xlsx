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o'men Khalid\work\بنيان\اصناف تعديل لERPNEXT\"/>
    </mc:Choice>
  </mc:AlternateContent>
  <xr:revisionPtr revIDLastSave="0" documentId="13_ncr:1_{78B61445-90E9-415D-9B30-DD2F62489BED}" xr6:coauthVersionLast="47" xr6:coauthVersionMax="47" xr10:uidLastSave="{00000000-0000-0000-0000-000000000000}"/>
  <bookViews>
    <workbookView xWindow="-108" yWindow="-108" windowWidth="23256" windowHeight="12456" firstSheet="7" activeTab="8" xr2:uid="{00000000-000D-0000-FFFF-FFFF00000000}"/>
  </bookViews>
  <sheets>
    <sheet name="ورقة1" sheetId="1" r:id="rId1"/>
    <sheet name="نواكل" sheetId="8" r:id="rId2"/>
    <sheet name="br نهائي" sheetId="4" r:id="rId3"/>
    <sheet name="دوت بلاس" sheetId="7" r:id="rId4"/>
    <sheet name="كيسيل نهائي" sheetId="5" r:id="rId5"/>
    <sheet name="سمارت نهائي" sheetId="6" r:id="rId6"/>
    <sheet name="Sheet1" sheetId="2" r:id="rId7"/>
    <sheet name="كهرباء" sheetId="3" r:id="rId8"/>
    <sheet name="هاجر" sheetId="37" r:id="rId9"/>
    <sheet name="نور" sheetId="36" r:id="rId10"/>
    <sheet name="ماجنتك" sheetId="35" r:id="rId11"/>
    <sheet name="كونايس" sheetId="34" r:id="rId12"/>
    <sheet name="فينوس" sheetId="33" r:id="rId13"/>
    <sheet name="عام كهرباء" sheetId="32" r:id="rId14"/>
    <sheet name="شنايدر" sheetId="31" r:id="rId15"/>
    <sheet name="سانشي" sheetId="30" r:id="rId16"/>
    <sheet name="دش" sheetId="29" r:id="rId17"/>
    <sheet name="بريق" sheetId="28" r:id="rId18"/>
    <sheet name="بتشينو" sheetId="27" r:id="rId19"/>
    <sheet name="ايليوس" sheetId="26" r:id="rId20"/>
    <sheet name="السويدي" sheetId="25" r:id="rId21"/>
    <sheet name="البيت الهندسي" sheetId="24" r:id="rId22"/>
    <sheet name="ILOCK" sheetId="23" r:id="rId23"/>
    <sheet name="دهانات" sheetId="9" r:id="rId24"/>
    <sheet name="ميدو" sheetId="21" r:id="rId25"/>
    <sheet name="كابسي" sheetId="20" r:id="rId26"/>
    <sheet name="تيراكو" sheetId="19" r:id="rId27"/>
    <sheet name="سافيتو" sheetId="18" r:id="rId28"/>
    <sheet name="ايرلاك" sheetId="17" r:id="rId29"/>
    <sheet name="عام دهانات" sheetId="16" r:id="rId30"/>
    <sheet name="سكيب" sheetId="15" r:id="rId31"/>
    <sheet name="جوتن" sheetId="14" r:id="rId32"/>
    <sheet name="سايبس" sheetId="13" r:id="rId33"/>
    <sheet name="باكين" sheetId="12" r:id="rId34"/>
    <sheet name="CMB" sheetId="11" r:id="rId35"/>
    <sheet name="نهائي GLC" sheetId="10" r:id="rId36"/>
    <sheet name="Sheet2" sheetId="22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04" i="8" l="1"/>
  <c r="G303" i="8"/>
  <c r="G302" i="8"/>
  <c r="G301" i="8"/>
  <c r="G300" i="8"/>
  <c r="G299" i="8"/>
  <c r="G298" i="8"/>
  <c r="G297" i="8"/>
  <c r="G296" i="8"/>
  <c r="G295" i="8"/>
  <c r="G294" i="8"/>
  <c r="G293" i="8"/>
  <c r="G292" i="8"/>
  <c r="G291" i="8"/>
  <c r="G290" i="8"/>
  <c r="G289" i="8"/>
  <c r="G288" i="8"/>
  <c r="G287" i="8"/>
  <c r="G286" i="8"/>
  <c r="G285" i="8"/>
  <c r="G284" i="8"/>
  <c r="G283" i="8"/>
  <c r="G282" i="8"/>
  <c r="G281" i="8"/>
  <c r="G280" i="8"/>
  <c r="G279" i="8"/>
  <c r="G278" i="8"/>
  <c r="G277" i="8"/>
  <c r="G276" i="8"/>
  <c r="G275" i="8"/>
  <c r="G274" i="8"/>
  <c r="G273" i="8"/>
  <c r="G272" i="8"/>
  <c r="G271" i="8"/>
  <c r="G270" i="8"/>
  <c r="G269" i="8"/>
  <c r="G268" i="8"/>
  <c r="G267" i="8"/>
  <c r="G266" i="8"/>
  <c r="G265" i="8"/>
  <c r="G264" i="8"/>
  <c r="G263" i="8"/>
  <c r="G262" i="8"/>
  <c r="G261" i="8"/>
  <c r="G260" i="8"/>
  <c r="G259" i="8"/>
  <c r="G258" i="8"/>
  <c r="G257" i="8"/>
  <c r="G256" i="8"/>
  <c r="G255" i="8"/>
  <c r="G254" i="8"/>
  <c r="G253" i="8"/>
  <c r="G252" i="8"/>
  <c r="G251" i="8"/>
  <c r="G250" i="8"/>
  <c r="G249" i="8"/>
  <c r="G248" i="8"/>
  <c r="G247" i="8"/>
  <c r="G246" i="8"/>
  <c r="G245" i="8"/>
  <c r="G244" i="8"/>
  <c r="G243" i="8"/>
  <c r="G242" i="8"/>
  <c r="G241" i="8"/>
  <c r="G240" i="8"/>
  <c r="G239" i="8"/>
  <c r="G238" i="8"/>
  <c r="G237" i="8"/>
  <c r="G236" i="8"/>
  <c r="G235" i="8"/>
  <c r="G234" i="8"/>
  <c r="G233" i="8"/>
  <c r="G232" i="8"/>
  <c r="G231" i="8"/>
  <c r="G230" i="8"/>
  <c r="G229" i="8"/>
  <c r="G228" i="8"/>
  <c r="G227" i="8"/>
  <c r="G226" i="8"/>
  <c r="G225" i="8"/>
  <c r="G224" i="8"/>
  <c r="G223" i="8"/>
  <c r="G222" i="8"/>
  <c r="G221" i="8"/>
  <c r="G220" i="8"/>
  <c r="G219" i="8"/>
  <c r="G218" i="8"/>
  <c r="G217" i="8"/>
  <c r="G216" i="8"/>
  <c r="G215" i="8"/>
  <c r="G214" i="8"/>
  <c r="G213" i="8"/>
  <c r="G212" i="8"/>
  <c r="G211" i="8"/>
  <c r="G210" i="8"/>
  <c r="G209" i="8"/>
  <c r="G208" i="8"/>
  <c r="G207" i="8"/>
  <c r="G206" i="8"/>
  <c r="G205" i="8"/>
  <c r="G204" i="8"/>
  <c r="G203" i="8"/>
  <c r="G202" i="8"/>
  <c r="G201" i="8"/>
  <c r="G200" i="8"/>
  <c r="G199" i="8"/>
  <c r="G198" i="8"/>
  <c r="G197" i="8"/>
  <c r="G196" i="8"/>
  <c r="G195" i="8"/>
  <c r="G194" i="8"/>
  <c r="G193" i="8"/>
  <c r="G192" i="8"/>
  <c r="G191" i="8"/>
  <c r="G190" i="8"/>
  <c r="G189" i="8"/>
  <c r="G188" i="8"/>
  <c r="G187" i="8"/>
  <c r="G186" i="8"/>
  <c r="G185" i="8"/>
  <c r="G184" i="8"/>
  <c r="G183" i="8"/>
  <c r="G182" i="8"/>
  <c r="G181" i="8"/>
  <c r="G180" i="8"/>
  <c r="G179" i="8"/>
  <c r="G178" i="8"/>
  <c r="G177" i="8"/>
  <c r="G176" i="8"/>
  <c r="G175" i="8"/>
  <c r="G174" i="8"/>
  <c r="G173" i="8"/>
  <c r="G172" i="8"/>
  <c r="G171" i="8"/>
  <c r="G170" i="8"/>
  <c r="G169" i="8"/>
  <c r="G168" i="8"/>
  <c r="G167" i="8"/>
  <c r="G166" i="8"/>
  <c r="G165" i="8"/>
  <c r="G164" i="8"/>
  <c r="G163" i="8"/>
  <c r="G162" i="8"/>
  <c r="G161" i="8"/>
  <c r="G160" i="8"/>
  <c r="G159" i="8"/>
  <c r="G158" i="8"/>
  <c r="G157" i="8"/>
  <c r="G156" i="8"/>
  <c r="G155" i="8"/>
  <c r="G154" i="8"/>
  <c r="G153" i="8"/>
  <c r="G152" i="8"/>
  <c r="G151" i="8"/>
  <c r="G150" i="8"/>
  <c r="G149" i="8"/>
  <c r="G148" i="8"/>
  <c r="G147" i="8"/>
  <c r="G146" i="8"/>
  <c r="G145" i="8"/>
  <c r="G144" i="8"/>
  <c r="G143" i="8"/>
  <c r="G142" i="8"/>
  <c r="G141" i="8"/>
  <c r="G140" i="8"/>
  <c r="G139" i="8"/>
  <c r="G138" i="8"/>
  <c r="G137" i="8"/>
  <c r="G136" i="8"/>
  <c r="G135" i="8"/>
  <c r="G134" i="8"/>
  <c r="G133" i="8"/>
  <c r="G132" i="8"/>
  <c r="G131" i="8"/>
  <c r="G130" i="8"/>
  <c r="G129" i="8"/>
  <c r="G128" i="8"/>
  <c r="G127" i="8"/>
  <c r="G126" i="8"/>
  <c r="G125" i="8"/>
  <c r="G124" i="8"/>
  <c r="G123" i="8"/>
  <c r="G122" i="8"/>
  <c r="G121" i="8"/>
  <c r="G120" i="8"/>
  <c r="G119" i="8"/>
  <c r="G118" i="8"/>
  <c r="G117" i="8"/>
  <c r="G116" i="8"/>
  <c r="G115" i="8"/>
  <c r="G114" i="8"/>
  <c r="G113" i="8"/>
  <c r="G112" i="8"/>
  <c r="G111" i="8"/>
  <c r="G110" i="8"/>
  <c r="G109" i="8"/>
  <c r="G108" i="8"/>
  <c r="G107" i="8"/>
  <c r="G106" i="8"/>
  <c r="G105" i="8"/>
  <c r="G104" i="8"/>
  <c r="G103" i="8"/>
  <c r="G102" i="8"/>
  <c r="G101" i="8"/>
  <c r="G100" i="8"/>
  <c r="G99" i="8"/>
  <c r="G98" i="8"/>
  <c r="G97" i="8"/>
  <c r="G96" i="8"/>
  <c r="G95" i="8"/>
  <c r="G94" i="8"/>
  <c r="G93" i="8"/>
  <c r="G92" i="8"/>
  <c r="G91" i="8"/>
  <c r="G90" i="8"/>
  <c r="G89" i="8"/>
  <c r="G88" i="8"/>
  <c r="G87" i="8"/>
  <c r="G86" i="8"/>
  <c r="G85" i="8"/>
  <c r="G84" i="8"/>
  <c r="G83" i="8"/>
  <c r="G82" i="8"/>
  <c r="G81" i="8"/>
  <c r="G80" i="8"/>
  <c r="G79" i="8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G57" i="8"/>
  <c r="G56" i="8"/>
  <c r="G55" i="8"/>
  <c r="G54" i="8"/>
  <c r="G5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G3" i="8"/>
  <c r="G2" i="8"/>
  <c r="G32" i="7"/>
  <c r="G43" i="7"/>
  <c r="G42" i="7"/>
  <c r="G41" i="7"/>
  <c r="G40" i="7"/>
  <c r="G38" i="7"/>
  <c r="G39" i="7"/>
  <c r="G37" i="7"/>
  <c r="G36" i="7"/>
  <c r="G35" i="7"/>
  <c r="G34" i="7"/>
  <c r="G33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G2" i="7"/>
  <c r="G50" i="4"/>
  <c r="G42" i="4"/>
  <c r="G41" i="4"/>
  <c r="F140" i="6"/>
  <c r="F139" i="6"/>
  <c r="F138" i="6"/>
  <c r="F137" i="6"/>
  <c r="F136" i="6"/>
  <c r="F135" i="6"/>
  <c r="F134" i="6"/>
  <c r="F49" i="6"/>
  <c r="F48" i="6"/>
  <c r="F47" i="6"/>
  <c r="F46" i="6"/>
  <c r="F45" i="6"/>
  <c r="F44" i="6"/>
  <c r="F43" i="6"/>
  <c r="F42" i="6"/>
  <c r="F41" i="6"/>
  <c r="F40" i="6"/>
  <c r="F39" i="6"/>
  <c r="F38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F2" i="6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4" i="5"/>
  <c r="I56" i="5"/>
  <c r="I53" i="5"/>
  <c r="I55" i="5"/>
  <c r="I52" i="5"/>
  <c r="I51" i="5"/>
  <c r="I36" i="5"/>
  <c r="I50" i="5"/>
  <c r="I35" i="5"/>
  <c r="I49" i="5"/>
  <c r="I48" i="5"/>
  <c r="I34" i="5"/>
  <c r="I47" i="5"/>
  <c r="I32" i="5"/>
  <c r="I40" i="5"/>
  <c r="I46" i="5"/>
  <c r="I39" i="5"/>
  <c r="I45" i="5"/>
  <c r="I44" i="5"/>
  <c r="I43" i="5"/>
  <c r="I38" i="5"/>
  <c r="I42" i="5"/>
  <c r="I41" i="5"/>
  <c r="I37" i="5"/>
  <c r="I33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28" i="4"/>
  <c r="G27" i="4"/>
  <c r="G26" i="4"/>
  <c r="G36" i="4"/>
  <c r="G35" i="4"/>
  <c r="G34" i="4"/>
  <c r="G33" i="4"/>
  <c r="G32" i="4"/>
  <c r="G31" i="4"/>
  <c r="G30" i="4"/>
  <c r="G29" i="4"/>
  <c r="G57" i="4"/>
  <c r="G56" i="4"/>
  <c r="G55" i="4"/>
  <c r="G54" i="4"/>
  <c r="G53" i="4"/>
  <c r="G52" i="4"/>
  <c r="G51" i="4"/>
  <c r="G49" i="4"/>
  <c r="G48" i="4"/>
  <c r="G47" i="4"/>
  <c r="G46" i="4"/>
  <c r="G45" i="4"/>
  <c r="G44" i="4"/>
  <c r="G43" i="4"/>
  <c r="G40" i="4"/>
  <c r="G39" i="4"/>
  <c r="G38" i="4"/>
  <c r="G37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E403" i="2"/>
  <c r="E402" i="2"/>
  <c r="E401" i="2"/>
  <c r="E400" i="2"/>
  <c r="E399" i="2"/>
  <c r="E398" i="2"/>
  <c r="E397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M752" i="1"/>
  <c r="M751" i="1"/>
  <c r="M750" i="1"/>
  <c r="M749" i="1"/>
  <c r="M748" i="1"/>
  <c r="M747" i="1"/>
  <c r="M746" i="1"/>
  <c r="M745" i="1"/>
  <c r="M744" i="1"/>
  <c r="M743" i="1"/>
  <c r="M742" i="1"/>
  <c r="M741" i="1"/>
  <c r="M740" i="1"/>
  <c r="M739" i="1"/>
  <c r="M738" i="1"/>
  <c r="M737" i="1"/>
  <c r="M736" i="1"/>
  <c r="M735" i="1"/>
  <c r="M734" i="1"/>
  <c r="M733" i="1"/>
  <c r="M732" i="1"/>
  <c r="M731" i="1"/>
  <c r="M730" i="1"/>
  <c r="M729" i="1"/>
  <c r="M728" i="1"/>
  <c r="M727" i="1"/>
  <c r="M726" i="1"/>
  <c r="M725" i="1"/>
  <c r="M724" i="1"/>
  <c r="M723" i="1"/>
  <c r="M722" i="1"/>
  <c r="M721" i="1"/>
  <c r="M720" i="1"/>
  <c r="M719" i="1"/>
  <c r="M718" i="1"/>
  <c r="M717" i="1"/>
  <c r="M716" i="1"/>
  <c r="M715" i="1"/>
  <c r="M714" i="1"/>
  <c r="M713" i="1"/>
  <c r="M712" i="1"/>
  <c r="M711" i="1"/>
  <c r="M710" i="1"/>
  <c r="M709" i="1"/>
  <c r="M708" i="1"/>
  <c r="M707" i="1"/>
  <c r="M706" i="1"/>
  <c r="M705" i="1"/>
  <c r="M704" i="1"/>
  <c r="M703" i="1"/>
  <c r="M702" i="1"/>
  <c r="M701" i="1"/>
  <c r="M700" i="1"/>
  <c r="M699" i="1"/>
  <c r="M698" i="1"/>
  <c r="M697" i="1"/>
  <c r="M696" i="1"/>
  <c r="M695" i="1"/>
  <c r="M694" i="1"/>
  <c r="M693" i="1"/>
  <c r="M692" i="1"/>
  <c r="M691" i="1"/>
  <c r="M690" i="1"/>
  <c r="M689" i="1"/>
  <c r="M688" i="1"/>
  <c r="M687" i="1"/>
  <c r="M686" i="1"/>
  <c r="M685" i="1"/>
  <c r="M684" i="1"/>
  <c r="M683" i="1"/>
  <c r="M682" i="1"/>
  <c r="M681" i="1"/>
  <c r="M680" i="1"/>
  <c r="M679" i="1"/>
  <c r="M678" i="1"/>
  <c r="M677" i="1"/>
  <c r="M676" i="1"/>
  <c r="M675" i="1"/>
  <c r="M674" i="1"/>
  <c r="M673" i="1"/>
  <c r="M672" i="1"/>
  <c r="M671" i="1"/>
  <c r="M670" i="1"/>
  <c r="M669" i="1"/>
  <c r="M668" i="1"/>
  <c r="M667" i="1"/>
  <c r="M666" i="1"/>
  <c r="M665" i="1"/>
  <c r="M664" i="1"/>
  <c r="M663" i="1"/>
  <c r="M662" i="1"/>
  <c r="M661" i="1"/>
  <c r="M660" i="1"/>
  <c r="M659" i="1"/>
  <c r="M658" i="1"/>
  <c r="M657" i="1"/>
  <c r="M656" i="1"/>
  <c r="M655" i="1"/>
  <c r="M654" i="1"/>
  <c r="M653" i="1"/>
  <c r="M652" i="1"/>
  <c r="M651" i="1"/>
  <c r="M650" i="1"/>
  <c r="M649" i="1"/>
  <c r="M648" i="1"/>
  <c r="M647" i="1"/>
  <c r="M646" i="1"/>
  <c r="M645" i="1"/>
  <c r="M644" i="1"/>
  <c r="M643" i="1"/>
  <c r="M642" i="1"/>
  <c r="M641" i="1"/>
  <c r="M640" i="1"/>
  <c r="M639" i="1"/>
  <c r="M638" i="1"/>
  <c r="M637" i="1"/>
  <c r="M636" i="1"/>
  <c r="M635" i="1"/>
  <c r="M634" i="1"/>
  <c r="M633" i="1"/>
  <c r="M632" i="1"/>
  <c r="M631" i="1"/>
  <c r="M630" i="1"/>
  <c r="M629" i="1"/>
  <c r="M628" i="1"/>
  <c r="M627" i="1"/>
  <c r="M626" i="1"/>
  <c r="M625" i="1"/>
  <c r="M624" i="1"/>
  <c r="M623" i="1"/>
  <c r="M622" i="1"/>
  <c r="M621" i="1"/>
  <c r="M620" i="1"/>
  <c r="M619" i="1"/>
  <c r="M618" i="1"/>
  <c r="M617" i="1"/>
  <c r="M616" i="1"/>
  <c r="M615" i="1"/>
  <c r="M614" i="1"/>
  <c r="M613" i="1"/>
  <c r="M612" i="1"/>
  <c r="M611" i="1"/>
  <c r="M610" i="1"/>
  <c r="M609" i="1"/>
  <c r="M608" i="1"/>
  <c r="M607" i="1"/>
  <c r="M606" i="1"/>
  <c r="M605" i="1"/>
  <c r="M604" i="1"/>
  <c r="M603" i="1"/>
  <c r="M602" i="1"/>
  <c r="M601" i="1"/>
  <c r="M600" i="1"/>
  <c r="M599" i="1"/>
  <c r="M598" i="1"/>
  <c r="M597" i="1"/>
  <c r="M596" i="1"/>
  <c r="M595" i="1"/>
  <c r="M594" i="1"/>
  <c r="M593" i="1"/>
  <c r="M592" i="1"/>
  <c r="M591" i="1"/>
  <c r="M590" i="1"/>
  <c r="M589" i="1"/>
  <c r="M588" i="1"/>
  <c r="M587" i="1"/>
  <c r="M586" i="1"/>
  <c r="M585" i="1"/>
  <c r="M584" i="1"/>
  <c r="M583" i="1"/>
  <c r="M582" i="1"/>
  <c r="M581" i="1"/>
  <c r="M580" i="1"/>
  <c r="M579" i="1"/>
  <c r="M578" i="1"/>
  <c r="M577" i="1"/>
  <c r="M576" i="1"/>
  <c r="M575" i="1"/>
  <c r="M574" i="1"/>
  <c r="M573" i="1"/>
  <c r="M572" i="1"/>
  <c r="M571" i="1"/>
  <c r="M570" i="1"/>
  <c r="M569" i="1"/>
  <c r="M568" i="1"/>
  <c r="M567" i="1"/>
  <c r="M566" i="1"/>
  <c r="M565" i="1"/>
  <c r="M564" i="1"/>
  <c r="M563" i="1"/>
  <c r="M562" i="1"/>
  <c r="M561" i="1"/>
  <c r="M560" i="1"/>
  <c r="M559" i="1"/>
  <c r="M558" i="1"/>
  <c r="M557" i="1"/>
  <c r="M556" i="1"/>
  <c r="M555" i="1"/>
  <c r="M554" i="1"/>
  <c r="M553" i="1"/>
  <c r="M552" i="1"/>
  <c r="M551" i="1"/>
  <c r="M550" i="1"/>
  <c r="M549" i="1"/>
  <c r="M548" i="1"/>
  <c r="M547" i="1"/>
  <c r="M546" i="1"/>
  <c r="M545" i="1"/>
  <c r="M544" i="1"/>
  <c r="M543" i="1"/>
  <c r="M542" i="1"/>
  <c r="M541" i="1"/>
  <c r="M540" i="1"/>
  <c r="M539" i="1"/>
  <c r="M538" i="1"/>
  <c r="M537" i="1"/>
  <c r="M536" i="1"/>
  <c r="M535" i="1"/>
  <c r="M534" i="1"/>
  <c r="M533" i="1"/>
  <c r="M532" i="1"/>
  <c r="M531" i="1"/>
  <c r="M530" i="1"/>
  <c r="M529" i="1"/>
  <c r="M528" i="1"/>
  <c r="M527" i="1"/>
  <c r="M526" i="1"/>
  <c r="M525" i="1"/>
  <c r="M524" i="1"/>
  <c r="M523" i="1"/>
  <c r="M522" i="1"/>
  <c r="M521" i="1"/>
  <c r="M520" i="1"/>
  <c r="M519" i="1"/>
  <c r="M518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5" i="1"/>
  <c r="M404" i="1"/>
  <c r="M403" i="1"/>
  <c r="M402" i="1"/>
  <c r="M401" i="1"/>
  <c r="M400" i="1"/>
  <c r="M399" i="1"/>
  <c r="M398" i="1"/>
  <c r="M397" i="1"/>
  <c r="M312" i="1"/>
  <c r="M311" i="1"/>
  <c r="M310" i="1"/>
  <c r="M309" i="1"/>
  <c r="M308" i="1"/>
  <c r="M307" i="1"/>
  <c r="M306" i="1"/>
  <c r="M305" i="1"/>
  <c r="M304" i="1"/>
  <c r="M303" i="1"/>
  <c r="M302" i="1"/>
  <c r="M301" i="1"/>
  <c r="M299" i="1"/>
  <c r="M298" i="1"/>
  <c r="M297" i="1"/>
  <c r="M296" i="1"/>
  <c r="M295" i="1"/>
  <c r="M294" i="1"/>
  <c r="M293" i="1"/>
  <c r="M292" i="1"/>
  <c r="M291" i="1"/>
  <c r="M290" i="1"/>
  <c r="M289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</calcChain>
</file>

<file path=xl/sharedStrings.xml><?xml version="1.0" encoding="utf-8"?>
<sst xmlns="http://schemas.openxmlformats.org/spreadsheetml/2006/main" count="14373" uniqueCount="1659">
  <si>
    <t>الكود</t>
  </si>
  <si>
    <t>الباركود</t>
  </si>
  <si>
    <t>اسم الصنف</t>
  </si>
  <si>
    <t>الشركه</t>
  </si>
  <si>
    <t>الوحده</t>
  </si>
  <si>
    <t>سعر البيع</t>
  </si>
  <si>
    <t>الحد الادني</t>
  </si>
  <si>
    <t>ملاحظات</t>
  </si>
  <si>
    <t>النوع</t>
  </si>
  <si>
    <t>سعر الجمله</t>
  </si>
  <si>
    <t>الحد الاقصي</t>
  </si>
  <si>
    <t>الكميه</t>
  </si>
  <si>
    <t>سعر الشراء</t>
  </si>
  <si>
    <t>اسم المخزن</t>
  </si>
  <si>
    <t>المقاس</t>
  </si>
  <si>
    <t>اللون</t>
  </si>
  <si>
    <t>نصف الجمله</t>
  </si>
  <si>
    <t>سعر جمله 1</t>
  </si>
  <si>
    <t>سعر جمله 2</t>
  </si>
  <si>
    <t>اقصي نسبه خصم</t>
  </si>
  <si>
    <t>اقصي كميه بيع</t>
  </si>
  <si>
    <t>الكود المخزني</t>
  </si>
  <si>
    <t>نسبه الضريبه</t>
  </si>
  <si>
    <t>حاله التكرار</t>
  </si>
  <si>
    <t>ماسوره لحام 20مم باننجر</t>
  </si>
  <si>
    <t>ادوات صحيه</t>
  </si>
  <si>
    <t>متر</t>
  </si>
  <si>
    <t>باننجر</t>
  </si>
  <si>
    <t>فرع الخمائل مول ت13</t>
  </si>
  <si>
    <t>عام</t>
  </si>
  <si>
    <t>غير مكرر</t>
  </si>
  <si>
    <t>ماسوره لحام 25مم باننجر</t>
  </si>
  <si>
    <t>ماسوره لحام 32مم باننجر</t>
  </si>
  <si>
    <t>ماسوره لحام 50مم باننجر</t>
  </si>
  <si>
    <t>تي لحام 20 مم باننجر</t>
  </si>
  <si>
    <t>قطعه</t>
  </si>
  <si>
    <t>تي لحام 25 مم باننجر</t>
  </si>
  <si>
    <t>تي لحام 32 مم باننجر</t>
  </si>
  <si>
    <t>تي لحام 50 مم باننجر</t>
  </si>
  <si>
    <t>كوع لحام 20 مم  باننجر</t>
  </si>
  <si>
    <t>كوع لحام 25 مم  باننجر</t>
  </si>
  <si>
    <t>كوع لحام 32 مم  باننجر</t>
  </si>
  <si>
    <t>كوع لحام 50 مم  باننجر</t>
  </si>
  <si>
    <t>كوع لحام 20 مم 45 درجه باننجر</t>
  </si>
  <si>
    <t>كوع لحام 25 مم 45 درجه باننجر</t>
  </si>
  <si>
    <t>كوع لحام 32 مم 45 درجه باننجر</t>
  </si>
  <si>
    <t>كوع لحام 50 مم 45 درجه باننجر</t>
  </si>
  <si>
    <t>جلبه لحام 20 مم باننجر</t>
  </si>
  <si>
    <t>جلبه لحام 25 مم باننجر</t>
  </si>
  <si>
    <t>جلبه لحام 32 مم باننجر</t>
  </si>
  <si>
    <t>جلبه لحام 50 مم باننجر</t>
  </si>
  <si>
    <t>کوع بسن داخلی 20*25 باننجر</t>
  </si>
  <si>
    <t>کوع بسن داخلی 25*32 باننجر</t>
  </si>
  <si>
    <t>کوع بسن داخلی 32*32 باننجر</t>
  </si>
  <si>
    <t>كوع بسن داخلی 25*25 باننجر</t>
  </si>
  <si>
    <t>تی بسن داخلی 20*25 باننجر</t>
  </si>
  <si>
    <t>تی بسن داخلی 25*32 باننجر</t>
  </si>
  <si>
    <t>تی بسن داخلی 32*32 باننجر</t>
  </si>
  <si>
    <t>تی بسن داخلی 25*25 باننجر</t>
  </si>
  <si>
    <t>طبه اختبار 2/1 بوصه باننجر</t>
  </si>
  <si>
    <t>محبس دفن كامل ( شامل تي ) 25 مم باننجر</t>
  </si>
  <si>
    <t>مشتمل محبس دفن 25 مم</t>
  </si>
  <si>
    <t>فرع الخمائل مول ت15</t>
  </si>
  <si>
    <t>تي محبس دفن 25 مم</t>
  </si>
  <si>
    <t>فرع الخمائل مول ت14</t>
  </si>
  <si>
    <t>جلبه تطويل نحاس محبس دفن باننجر</t>
  </si>
  <si>
    <t>مسلوب لحام 25/20 مم باننجر</t>
  </si>
  <si>
    <t>مسلوب لحام 32/25 مم باننجر</t>
  </si>
  <si>
    <t>مسلوب لحام 32/20 مم باننجر</t>
  </si>
  <si>
    <t>كرنك قصير 25 مم باننجر</t>
  </si>
  <si>
    <t>كرنك لحام 25 مم باننجر</t>
  </si>
  <si>
    <t>طبه لحام 20 مم باننجر</t>
  </si>
  <si>
    <t>طبه لحام 25 مم باننجر</t>
  </si>
  <si>
    <t>طبه لحام 32 مم باننجر</t>
  </si>
  <si>
    <t>تي لحام مسلوب 32/25 باننجر</t>
  </si>
  <si>
    <t>تي لحام مسلوب 25/20 باننجر</t>
  </si>
  <si>
    <t>جلبه بسن داخلی 20*25 باننجر</t>
  </si>
  <si>
    <t>جلبه بسن داخلی 25*32 باننجر</t>
  </si>
  <si>
    <t>جلبه بسن داخلی 32*32 باننجر</t>
  </si>
  <si>
    <t>جلبه بسن داخلی 25*25 باننجر</t>
  </si>
  <si>
    <t>جلبه بسن خارجی 20*25 باننجر</t>
  </si>
  <si>
    <t>جلبه بسن خارجی 25*32 باننجر</t>
  </si>
  <si>
    <t>جلبه بسن خارجی 25*25 باننجر</t>
  </si>
  <si>
    <t>جلبه بسن خارجی 32*32 باننجر</t>
  </si>
  <si>
    <t>کوع بسن خارجی 20*25 باننجر</t>
  </si>
  <si>
    <t>كوع بسن خارجی 32*32 باننجر</t>
  </si>
  <si>
    <t>کوع بسن خارجی 25*25 باننجر</t>
  </si>
  <si>
    <t>كوع مزدوج بسن داخلی 20*25 باننجر</t>
  </si>
  <si>
    <t>لاكور تجميع بسن داخلی طويل 32 * 32 باننجر</t>
  </si>
  <si>
    <t>لاكور تجميع بسن داخلی طويل 25*25 باننجر</t>
  </si>
  <si>
    <t>لاكور لحام 25 مم باننجر</t>
  </si>
  <si>
    <t>لاكور لحام 32 مم باننجر</t>
  </si>
  <si>
    <t>محبس بليه 2 لاكور 20 مم باننجر</t>
  </si>
  <si>
    <t>محبس بليه 2 لاكور 25 مم باننجر</t>
  </si>
  <si>
    <t>محبس بليه 2 لاكور 32 مم باننجر</t>
  </si>
  <si>
    <t>محبس بليه 2 لاكور 40 مم باننجر</t>
  </si>
  <si>
    <t>محبس بليه 2 لاكور 50 مم باننجر</t>
  </si>
  <si>
    <t>محبس بليه 2 لاكور 63 مم باننجر</t>
  </si>
  <si>
    <t>مانع ارتداد بلاكور 25 مم باننجر</t>
  </si>
  <si>
    <t>مانع ارتداد بلاكور 32 مم باننجر</t>
  </si>
  <si>
    <t>مانع ارتداد بلاكور 50 مم باننجر</t>
  </si>
  <si>
    <t>برده لحام محبس بليه 25 مم باننجر</t>
  </si>
  <si>
    <t>برده لحام محبس بليه 32 مم باننجر</t>
  </si>
  <si>
    <t>قفيز 20 مم باننجر</t>
  </si>
  <si>
    <t>قفيز 25 مم باننجر</t>
  </si>
  <si>
    <t>قفيز 32 مم باننجر</t>
  </si>
  <si>
    <t>قفيز مجوز 25 باننجر</t>
  </si>
  <si>
    <t>ماسوره لحام فايبر اسود 25 مم باننجر</t>
  </si>
  <si>
    <t>ماسوره لحام فايبر اسود 32مم باننجر</t>
  </si>
  <si>
    <t>تي لحام 25 مم اسود باننجر</t>
  </si>
  <si>
    <t>تي لحام 32 مم اسود باننجر</t>
  </si>
  <si>
    <t>جلبه لحام 25 مم اسود باننجر</t>
  </si>
  <si>
    <t>جلبه لحام 32 مم اسود باننجر</t>
  </si>
  <si>
    <t>طبه لحام 25 مم اسود باننجر</t>
  </si>
  <si>
    <t>طبه لحام 32 مم اسود باننجر</t>
  </si>
  <si>
    <t>ماسوره 32 مم كيسيل</t>
  </si>
  <si>
    <t>كيسيل</t>
  </si>
  <si>
    <t>ماسوره 50 مم كيسيل</t>
  </si>
  <si>
    <t>ماسوره 63 مم كيسيل</t>
  </si>
  <si>
    <t>ماسوره 75 مم كيسيل</t>
  </si>
  <si>
    <t>ماسوره 110 مم كيسيل</t>
  </si>
  <si>
    <t>ماسوره 160 مم كيسيل</t>
  </si>
  <si>
    <t>يارده 63 مم 100 سم كيسيل</t>
  </si>
  <si>
    <t>يارده 75 مم 100 سم كيسيل</t>
  </si>
  <si>
    <t>يارده 110 مم 100 سم كيسيل</t>
  </si>
  <si>
    <t>كوع 32 مم  كيسيل</t>
  </si>
  <si>
    <t>كوع 50 مم  كيسيل</t>
  </si>
  <si>
    <t>كوع 63 مم  كيسيل</t>
  </si>
  <si>
    <t>كوع 75 مم  كيسيل</t>
  </si>
  <si>
    <t>كوع 110 مم  كيسيل</t>
  </si>
  <si>
    <t>كوع 160 مم  كيسيل</t>
  </si>
  <si>
    <t>كوع 32 مم 87.5 درجه درجه كيسيل</t>
  </si>
  <si>
    <t>كوع 63 مم 87.5 درجه درجه كيسيل</t>
  </si>
  <si>
    <t>کوع 32 مم 45 درجه كيسيل</t>
  </si>
  <si>
    <t>كوع 50 مم 45 درجه كيسيل</t>
  </si>
  <si>
    <t>كوع 63 مم 45 درجه كيسيل</t>
  </si>
  <si>
    <t>كوع 75 مم 45 درجه كيسيل</t>
  </si>
  <si>
    <t>كوع 110 مم 45 درجه كيسيل</t>
  </si>
  <si>
    <t>كوع 160 مم 45 درجه كيسيل</t>
  </si>
  <si>
    <t>جلبه 32 مم كيسيل</t>
  </si>
  <si>
    <t>جلبه 50 مم كيسيل</t>
  </si>
  <si>
    <t>جلبه 63 مم كيسيل</t>
  </si>
  <si>
    <t>جلبه 75 مم كيسيل</t>
  </si>
  <si>
    <t>جلبه 110 مم كيسيل</t>
  </si>
  <si>
    <t>جلبه 160 مم كيسيل</t>
  </si>
  <si>
    <t>مشترك 32 مم 45 درجه كيسيل</t>
  </si>
  <si>
    <t>مشترك 63 مم 45 درجه كيسيل</t>
  </si>
  <si>
    <t>مشترك 50/50 كيسيل</t>
  </si>
  <si>
    <t>مشترك 75/50 كيسيل</t>
  </si>
  <si>
    <t>مشترك 75/63 كيسيل</t>
  </si>
  <si>
    <t>مشترك 75/75 كيسيل</t>
  </si>
  <si>
    <t>مشترك 110/50 كيسيل</t>
  </si>
  <si>
    <t>مشترك 110/63  كيسيل</t>
  </si>
  <si>
    <t>مشترك 110/75  كيسيل</t>
  </si>
  <si>
    <t>مشترك 110/110 كيسيل</t>
  </si>
  <si>
    <t>مشترك 160/110 كيسيل</t>
  </si>
  <si>
    <t>مشترك 160/160  كيسيل</t>
  </si>
  <si>
    <t>مشترك 50/50 45 درجه كيسيل</t>
  </si>
  <si>
    <t>مشترك 75/50 45 درجه كيسيل</t>
  </si>
  <si>
    <t>مشترك 75/75 45 درجه كيسيل</t>
  </si>
  <si>
    <t>مشترك 110/50 45 درجه كيسيل</t>
  </si>
  <si>
    <t>مشترك 110/75 45 درجه كيسيل</t>
  </si>
  <si>
    <t>مشترك 110/110 45 درجه كيسيل</t>
  </si>
  <si>
    <t>مشترك 160/110 45 درجه كيسيل</t>
  </si>
  <si>
    <t>مشترك 160/160 45 درجه كيسيل</t>
  </si>
  <si>
    <t>مشترك بباب 75/75 87.5 درجه كيسيل</t>
  </si>
  <si>
    <t>مشترك بباب 110/75 87.5 درجه درجه كيسيل</t>
  </si>
  <si>
    <t>مشترك بباب 110/50  كيسيل</t>
  </si>
  <si>
    <t>مشترك بباب 110/110 كيسيل</t>
  </si>
  <si>
    <t>مشترك بباب 160/110 كيسيل</t>
  </si>
  <si>
    <t>مشترك بباب 160/160  كيسيل</t>
  </si>
  <si>
    <t>كوع بباب 75 مم 87.5 درجه كيسيل</t>
  </si>
  <si>
    <t>كوع بباب 110 مم  كيسيل</t>
  </si>
  <si>
    <t>كوع بباب 160 مم  كيسيل</t>
  </si>
  <si>
    <t>بيبه 3 مدخل 63 مخرج 75 مم كيسيل</t>
  </si>
  <si>
    <t>بيبه 3 مدخل 50 مم ومخرج 75 مم بجوان علوي كيسيل</t>
  </si>
  <si>
    <t>رقبه بيبه طويله كيسيل</t>
  </si>
  <si>
    <t>طبه بيبه 63 مم كيسيل</t>
  </si>
  <si>
    <t>طبه بيبه 160 مم كيسيل</t>
  </si>
  <si>
    <t>طبه 32 مم كيسيل</t>
  </si>
  <si>
    <t>طبه 50 مم كيسيل</t>
  </si>
  <si>
    <t>طبه 75 مم كيسيل</t>
  </si>
  <si>
    <t>طبه 110 مم كيسيل</t>
  </si>
  <si>
    <t>طبه تسليك 75 مم كيسيل</t>
  </si>
  <si>
    <t>طبه تسليك 110 مم كيسيل</t>
  </si>
  <si>
    <t>طبه تسليك 160 مكيسيل</t>
  </si>
  <si>
    <t>جلبه اصلاح 50 مم كيسيل</t>
  </si>
  <si>
    <t>جلبه اصلاح 63 مم كيسيل</t>
  </si>
  <si>
    <t>جلبه اصلاح 75 مم كيسيل</t>
  </si>
  <si>
    <t>جلبه اصلاح 110م طول 20 سم كيسيل</t>
  </si>
  <si>
    <t>جلبه اصلاح 160 مم طول 20 سم كيسيل</t>
  </si>
  <si>
    <t>مسلوب 40/50كيسيل</t>
  </si>
  <si>
    <t>مسلوب 63/50 كيسيل</t>
  </si>
  <si>
    <t>مسلوب 75/50كيسيل</t>
  </si>
  <si>
    <t>مسلوب 63/75كيسيل</t>
  </si>
  <si>
    <t>مسلوب 110/50كيسيل</t>
  </si>
  <si>
    <t>مسلوب 110/75كيسيل</t>
  </si>
  <si>
    <t>مسلوب 160/110 كيسيل</t>
  </si>
  <si>
    <t>مسلوب لا مركزي 50 مم / 1 بوصه كيسيل</t>
  </si>
  <si>
    <t>مسلوب لا مركزي 50/32 مم كيسيل</t>
  </si>
  <si>
    <t>غطاء ماسوره 32 مم كيسيل</t>
  </si>
  <si>
    <t>غطاء ماسوره 50 مم كيسيل</t>
  </si>
  <si>
    <t>غطاء ماسوره 63 مم كيسيل</t>
  </si>
  <si>
    <t>غطاء ماسوره 75 مم كيسيل</t>
  </si>
  <si>
    <t>غطاء ماسوره 110 مم كيسيل</t>
  </si>
  <si>
    <t>غطاء ماسوره 160 مم كيسيل</t>
  </si>
  <si>
    <t>هوايه 50 مم كيسيل</t>
  </si>
  <si>
    <t>هوايه 75 مم كيسيل</t>
  </si>
  <si>
    <t>هوايه 110 مم كيسيل</t>
  </si>
  <si>
    <t>مجره شور 30 سم كيسيل</t>
  </si>
  <si>
    <t>مجره شور 65 سم كيسيل</t>
  </si>
  <si>
    <t>صفايه مربعه بلاطه 107*107 كيسيل</t>
  </si>
  <si>
    <t>سيفون 110 مم كيسيل</t>
  </si>
  <si>
    <t>علاية صفاية 10*10 سم بغطاء أمواج استانلس ستيل كيسيل</t>
  </si>
  <si>
    <t>علاية صفاية 15*15 سم بغطاء أمواج استانلس ستيل كيسيل</t>
  </si>
  <si>
    <t>علاية صفاية 10*10 سم بغطاء دارت استانلس ستيل كيسيل</t>
  </si>
  <si>
    <t>علاية صفاية 15*15 سم بغطاء دارت استانلس ستيل كيسيل</t>
  </si>
  <si>
    <t>علاية صفاية 10*10 سم بغطاء مفتوح استانلس ستيل كيسيل</t>
  </si>
  <si>
    <t>علاية صفاية 15*15 سم بغطاء مفتوح استانلس ستيل كيسيل</t>
  </si>
  <si>
    <t>علاية صفاية 10*10 سم بغطاء مقلم استانلس ستيل كيسيل</t>
  </si>
  <si>
    <t>علاية صفاية 15*15 سم بغطاء مقلم استانلس ستيل كيسيل</t>
  </si>
  <si>
    <t>علاية صفاية 10*10 سم بغطاء هلال استانلس ستيل كيسيل</t>
  </si>
  <si>
    <t>علاية صفاية 15*15 سم بغطاء هلال استانلس ستيل كيسيل</t>
  </si>
  <si>
    <t>علاية صفاية 10*10 سم بغطاء جريل استانلس ستيل كيسيل</t>
  </si>
  <si>
    <t>علاية صفاية 15*15 سم بغطاء جريل استانلس ستيل كيسيل</t>
  </si>
  <si>
    <t>علاية صفاية 10*10 سم بغطاء قابل للتبليط استانلس ستيل كيسيل</t>
  </si>
  <si>
    <t>علاية صفاية 15*15 سم بغطاء قابل للتبليط استانلس ستيل كيسيل</t>
  </si>
  <si>
    <t>صفاية قصيرة 7 سم مخرج جانبي 50 مم بغطاء 10*10 كيسيل</t>
  </si>
  <si>
    <t>صفاية مربعة 107 مم مخرج من أسفل 50 مم كيسيل</t>
  </si>
  <si>
    <t>صفاية مربعة 107 مم مخرج من أسفل 75 مم كيسيل</t>
  </si>
  <si>
    <t>صفاية مربعة 150 مم مخرج من أسفل 50 مم كيسيل</t>
  </si>
  <si>
    <t>صفاية مربعة 150 مم مخرج من أسفل 75 مم كيسيل</t>
  </si>
  <si>
    <t>صفاية مربعة بلاطة 107 مم مخرج من أسفل 50 مم كيسيل</t>
  </si>
  <si>
    <t>صفاية مربعة بلاطة 107 مم مخرج من أسفل 75 مم كيسيل</t>
  </si>
  <si>
    <t>صفاية مربعة بلاطة 150 مم مخرج من أسفل 50 مم كيسيل</t>
  </si>
  <si>
    <t>صفاية مربعة بلاطة 150 مم مخرج من أسفل 75 مم كيسيل</t>
  </si>
  <si>
    <t>صفاية بمدخل 40 مم ومخرج 50 مم 10*10 سم كيسيل</t>
  </si>
  <si>
    <t>جسم بيبه بالبرقع مخرج جانبي 50 مم كيسيل</t>
  </si>
  <si>
    <t>صفاية بمخرج جانبي 75 مم 10*10 سم كيسيل</t>
  </si>
  <si>
    <t>غطاء بيبه استانلس 15*15 سم كيسيل</t>
  </si>
  <si>
    <t>غطاء استانلس لصفاية طويلة 300 مم كيسيل</t>
  </si>
  <si>
    <t>غطاء استانلس لصفاية طويلة 650 مم كيسيل</t>
  </si>
  <si>
    <t>صفاية مربعة بغطاء مفتوح مخرج جانبي 50 مم 10*10 سم كيسيل</t>
  </si>
  <si>
    <t>صفاية مربعة بغطاء مفتوح مخرج جانبي 50 مم 15*15 سم كيسيل</t>
  </si>
  <si>
    <t>صفاية مربعة بغطاء مصمت قابل للتبليط مخرج جانبي 50 مم 10*10 سم كيسيل</t>
  </si>
  <si>
    <t>صفاية مربعة بغطاء مصمت قابل للتبليط مخرج جانبي 50 مم 15*15 سم كيسيل</t>
  </si>
  <si>
    <t>صفاية كورنر قابلة للتبليط كيسيل</t>
  </si>
  <si>
    <t>رقبة طويلة ABS مقاس 15*15 كيسيل</t>
  </si>
  <si>
    <t>غطاء بيبه مغلق 15*15 كيسيل</t>
  </si>
  <si>
    <t>غطاء بيبه مفتوح 15*15 كيسيل</t>
  </si>
  <si>
    <t>رقبة تطويل طويلة بمصفاة وغطاء مغلق كيسيل</t>
  </si>
  <si>
    <t>رقبة تطويل طويلة بمصفاة وغطاء مفتوح كيسيل</t>
  </si>
  <si>
    <t>صفاية بغطاء مقلم مخرج جانبي 50 مم بغطاء 107 مم كيسيل</t>
  </si>
  <si>
    <t>صفاية بغطاء أمواج مخرج جانبي 50 مم بغطاء 107 مم كيسيل</t>
  </si>
  <si>
    <t>صفاية بغطاء دارت مخرج جانبي 50 مم بغطاء 107 مم كيسيل</t>
  </si>
  <si>
    <t>صفاية بغطاء جريل مخرج جانبي 50 مم بغطاء 107 مم كيسيل</t>
  </si>
  <si>
    <t>صفاية بغطاء هلال مخرج جانبي 50 مم بغطاء مفتوح 107 مم كيسيل</t>
  </si>
  <si>
    <t>صفاية بغطاء مقلم مخرج جانبي 50 مم بغطاء مفتوح 150 مم كيسيل</t>
  </si>
  <si>
    <t>صفاية بغطاء أمواج مخرج جانبي 50 مم بغطاء مفتوح 150 مم كيسيل</t>
  </si>
  <si>
    <t>صفاية بغطاء دارت مخرج جانبي 50 مم بغطاء مفتوح 150 مم كيسيل</t>
  </si>
  <si>
    <t>صفاية بغطاء جريل مخرج جانبي 50 مم بغطاء مفتوح 150 مم كيسيل</t>
  </si>
  <si>
    <t>صفاية بغطاء هلال مخرج جانبي 50 مم بغطاء مفتوح 150 مم كيسيل</t>
  </si>
  <si>
    <t>ماسورة صرف PP برتقالي مدفون 110 مم × 5 متر كيسيل</t>
  </si>
  <si>
    <t>ماسورة صرف PP برتقالي مدفون 160 مم × 5.5 متر كيسيل</t>
  </si>
  <si>
    <t>ماسورة صرف PP برتقالي مدفون 200 مم × 6.7 متر كيسيل</t>
  </si>
  <si>
    <t>جلبة مدفون 110 مم كيسيل</t>
  </si>
  <si>
    <t>جلبة مدفون 160 مم كيسيل</t>
  </si>
  <si>
    <t>جلبة مدفون 200 مم كيسيل</t>
  </si>
  <si>
    <t>كوع 45 درجة مدفون 110 مم كيسيل</t>
  </si>
  <si>
    <t>كوع 45 درجة مدفون 160 مم كيسيل</t>
  </si>
  <si>
    <t>كوع 45 درجة مدفون 200 مم كيسيل</t>
  </si>
  <si>
    <t>كوع 87.5 درجة مدفون 110 مم كيسيل</t>
  </si>
  <si>
    <t>كوع 87.5 درجة مدفون 160 مم كيسيل</t>
  </si>
  <si>
    <t>كوع 87.5 درجة مدفون 200 مم كيسيل</t>
  </si>
  <si>
    <t>كوع بباب 87.5 درجة مدفون 110 مم كيسيل</t>
  </si>
  <si>
    <t>مشترك 45 درجة مدفون 110/110 مم كيسيل</t>
  </si>
  <si>
    <t>مشترك 45 درجة مدفون 160/110 مم كيسيل</t>
  </si>
  <si>
    <t>مشترك 45 درجة مدفون 160/160 مم كيسيل</t>
  </si>
  <si>
    <t>مشترك 45 درجة مدفون 200/160 مم كيسيل</t>
  </si>
  <si>
    <t>مشترك 45 درجة مدفون 200/200 مم كيسيل</t>
  </si>
  <si>
    <t>مشترك 87.5 درجة مدفون 75/110 مم كيسيل</t>
  </si>
  <si>
    <t>مشترك 87.5 درجة مدفون 110/110 مم كيسيل</t>
  </si>
  <si>
    <t>مشترك 87.5 درجة مدفون 160/110 مم كيسيل</t>
  </si>
  <si>
    <t>مشترك 87.5 درجة مدفون 160/160 مم كيسيل</t>
  </si>
  <si>
    <t>مشترك 87.5 درجة مدفون 200/110 مم كيسيل</t>
  </si>
  <si>
    <t>مشترك 87.5 درجة مدفون 200/200 مم كيسيل</t>
  </si>
  <si>
    <t>مشترك بباب كشف مدفون 87.5 درجة 110 مم كيسيل</t>
  </si>
  <si>
    <t>مشترك بباب كشف PP مدفون 87.5 درجة 75×110 مم كيسيل</t>
  </si>
  <si>
    <t>مشترك صليبة مدفون 45 درجة 110 مم كيسيل</t>
  </si>
  <si>
    <t>مشترك صليبة مدفون 87.5 درجة 110 مم كيسيل</t>
  </si>
  <si>
    <t>مسلوب مدفون 160/110 مم كيسيل</t>
  </si>
  <si>
    <t>مسلوب مدفون 200/110 مم كيسيل</t>
  </si>
  <si>
    <t>مسلوب مدفون 200/160 مم كيسيل</t>
  </si>
  <si>
    <t>سيفون بجوان PP مرحلتين مدفون 110 مم كيسيل</t>
  </si>
  <si>
    <t>مجمع صرف PP مدفون 500×75×110 مم مفتوح كيسيل</t>
  </si>
  <si>
    <t>مجمع صرف PP مدفون 500×75×110 مم مغلق كيسيل</t>
  </si>
  <si>
    <t>ماسوره 4/3 بوصه 2.9 مم 6 متر سمارت هوم</t>
  </si>
  <si>
    <t>سمارت هوم</t>
  </si>
  <si>
    <t>ماسوره 32 مم 1.8 سمارت هوم</t>
  </si>
  <si>
    <t>ماسوره 1 بوصه 1.8 سمارت هوم</t>
  </si>
  <si>
    <t>ماسوره 48 مم 3.7 سمارت هوم</t>
  </si>
  <si>
    <t>ماسوره 60 مم 3.9 سمارت هوم</t>
  </si>
  <si>
    <t>ماسوره 110 مم 4 سمارت هوم</t>
  </si>
  <si>
    <t>كوع 4*3 87.5 درجه سمارت هوم</t>
  </si>
  <si>
    <t>كوع 32 مم 90 درجه سمارت هوم</t>
  </si>
  <si>
    <t>كوع 1 بوصه 90 درجه سمارت هوم</t>
  </si>
  <si>
    <t>كوع 48 مم 90 درجه سمارت هوم</t>
  </si>
  <si>
    <t>كوع 60 مم 90 درجه سمارت هوم</t>
  </si>
  <si>
    <t>كوع 75 مم 90 درجه سمارت هوم</t>
  </si>
  <si>
    <t>كوع 110 مم 90 درجه سمارت هوم</t>
  </si>
  <si>
    <t>كوع 160 مم 90 درجه سمارت هوم</t>
  </si>
  <si>
    <t>كوع 4*3 45 درجه سمارت هوم</t>
  </si>
  <si>
    <t>كوع 32 مم 45 درجه سمارت هوم</t>
  </si>
  <si>
    <t>كوع 1 بوصه 45 درجه سمارت هوم</t>
  </si>
  <si>
    <t>كوع 48 مم 45 درجه سمارت هوم</t>
  </si>
  <si>
    <t>كوع 60 مم 45 درجه سمارت هوم</t>
  </si>
  <si>
    <t>كوع 63 مم 45 درجه سمارت هوم</t>
  </si>
  <si>
    <t>كوع 75 مم 45 درجه سمارت هوم</t>
  </si>
  <si>
    <t>كوع 90 مم 45 درجه سمارت هوم</t>
  </si>
  <si>
    <t>كوع 110 مم 45 درجه سمارت هوم</t>
  </si>
  <si>
    <t>كوع 160 مم 45 درجه سمارت هوم</t>
  </si>
  <si>
    <t>مشترك 4/3 87.5 درجه سمارت هوم</t>
  </si>
  <si>
    <t>مشترك 63 مم 87.5 درجه سمارت هوم</t>
  </si>
  <si>
    <t>مشترك 32 مم 90 درجه سمارت هوم</t>
  </si>
  <si>
    <t>مشترك 1 بوصه 90 درجه سمارت هوم</t>
  </si>
  <si>
    <t>مشترك 48 مم 90 درجه سمارت هوم</t>
  </si>
  <si>
    <t>مشترك 60 مم 90 درجه سمارت هوم</t>
  </si>
  <si>
    <t>مشترك 75 مم 90 درجه سمارت هوم</t>
  </si>
  <si>
    <t>مشترك 110 مم 90 درجه سمارت هوم</t>
  </si>
  <si>
    <t>مشترك 160 مم 90 درجه سمارت هوم</t>
  </si>
  <si>
    <t>مشترك 4/3 45 درجه سمارت هوم</t>
  </si>
  <si>
    <t>مشترك 32 مم 45 درجه سمارت هوم</t>
  </si>
  <si>
    <t>مشترك 1 بوصه 45 درجه سمارت هوم</t>
  </si>
  <si>
    <t>مشترك 48 مم 45 درجه سمارت هوم</t>
  </si>
  <si>
    <t>مشترك 60 مم 45 درجه سمارت هوم</t>
  </si>
  <si>
    <t>مشترك 63 مم 45 درجه سمارت هوم</t>
  </si>
  <si>
    <t>مشترك 75 مم 45 درجه سمارت هوم</t>
  </si>
  <si>
    <t>مشترك 110 مم 45 درجه سمارت هوم</t>
  </si>
  <si>
    <t>مشترك 160 مم 45 درجه سمارت هوم</t>
  </si>
  <si>
    <t>جلبه 4/3 سمارت هوم</t>
  </si>
  <si>
    <t>جلبه 32 مم سمارت هوم</t>
  </si>
  <si>
    <t>جلبه 1 بوصه سمارت هوم</t>
  </si>
  <si>
    <t>جلبه 48 مم سمارت هوم</t>
  </si>
  <si>
    <t>جلبه 60 مم سمارت هوم</t>
  </si>
  <si>
    <t>جلبه 63 مم سمارت هوم</t>
  </si>
  <si>
    <t>جلبه 75 مم سمارت هوم</t>
  </si>
  <si>
    <t>جلبه 90 مم سمارت هوم</t>
  </si>
  <si>
    <t>جلبه 110 مم سمارت هوم</t>
  </si>
  <si>
    <t>جلبه 160 مم سمارت هوم</t>
  </si>
  <si>
    <t>جلبه 48 مم بسن 1.5سمارت هوم</t>
  </si>
  <si>
    <t>جلبه 60 مم بسن 1.5 سمارت هوم</t>
  </si>
  <si>
    <t>بيبه 48/60 مم مفتوحه ارتفاع 7 سم سمارت هوم</t>
  </si>
  <si>
    <t>بيبه 50/63 مم مفتوحه ارتفاع 7 سم سمارت هوم</t>
  </si>
  <si>
    <t>بيبه 125 * 48/60/75 مم مفتوحه المخارج سمارت هوم</t>
  </si>
  <si>
    <t>بيبه بالبرقع 48/60 مفتوحه المخارج سمارت هوم</t>
  </si>
  <si>
    <t>بيبه بالبرقع 75/48 مفتوحه المخارج سمارت هوم</t>
  </si>
  <si>
    <t>بيبه بالبرقع 60/60 مفتوحه المخارج سمارت هوم</t>
  </si>
  <si>
    <t>بيبه بالبرقع 75/60 مفتوحه المخارج سمارت هوم</t>
  </si>
  <si>
    <t>بيبه 60/75 مم مفتوحه ارتفاع 8.8 سم سمارت هوم</t>
  </si>
  <si>
    <t>شحم ماسوره 150 مل سمارت هوم</t>
  </si>
  <si>
    <t>شحم ماسوره 250 مل سمارت هوم</t>
  </si>
  <si>
    <t>شحم ماسوره 500 مل سمارت هوم</t>
  </si>
  <si>
    <t>طبه ماسوره 4/3 بوصه سمارت هوم</t>
  </si>
  <si>
    <t>طبه ماسوره 32 مم سمارت هوم</t>
  </si>
  <si>
    <t>طبه ماسوره 1 بوصه سمارت هوم</t>
  </si>
  <si>
    <t>طبه ماسوره 48 مم سمارت هوم</t>
  </si>
  <si>
    <t>طبه ماسوره 60 مم سمارت هوم</t>
  </si>
  <si>
    <t>طبه ماسوره 75 مم سمارت هوم</t>
  </si>
  <si>
    <t>طبه ماسوره 110 مم سمارت هوم</t>
  </si>
  <si>
    <t>طبه ماسوره 160 مم سمارت هوم</t>
  </si>
  <si>
    <t>طبه تسليك 60 مم سمارت هوم</t>
  </si>
  <si>
    <t>طبه تسليك 63 مم سمارت هوم</t>
  </si>
  <si>
    <t>طبه تسليك 90 مم سمارت هوم</t>
  </si>
  <si>
    <t>طبه تسليك 75 ممسمارت هوم</t>
  </si>
  <si>
    <t>مسلوب 4/3 * 32 سمارت هوم</t>
  </si>
  <si>
    <t>مسلوب 4/3 * 1 سمارت هوم</t>
  </si>
  <si>
    <t>مسلوب 32 * 48سمارت هوم</t>
  </si>
  <si>
    <t>مسلوب 1 * 48 بوصه سمارت هوم</t>
  </si>
  <si>
    <t>مسلوب 48 * 60 سمارت هوم</t>
  </si>
  <si>
    <t>مسلوب مرکز 60 * 63 سمارت هوم</t>
  </si>
  <si>
    <t>مسلوب 48 * 50 سمارت هوم</t>
  </si>
  <si>
    <t>مسلوب 75 * 60 سمارت هوم</t>
  </si>
  <si>
    <t>مسلوب 3 * 75 بوصه سمارت هوم</t>
  </si>
  <si>
    <t>مسلوب مرکزی 110 * 48 سمارت هوم</t>
  </si>
  <si>
    <t>مسلوب مرکزی 75 * 90 سمارت هوم</t>
  </si>
  <si>
    <t>مسلوب 48 * 75 سمارت هوم</t>
  </si>
  <si>
    <t>مسلوب 110 * 75سمارت هوم</t>
  </si>
  <si>
    <t>مسلوب 60 * 110سمارت هوم</t>
  </si>
  <si>
    <t>مشترك بباب كشف 90 درجه 60 مم سمارت هوم</t>
  </si>
  <si>
    <t>مشترك بباب كشف 90 درجه 75 مم سمارت هوم</t>
  </si>
  <si>
    <t>مشترك بباب كشف 90 درجه 110 مم سمارت هوم</t>
  </si>
  <si>
    <t>هوايه 60 مم سمارت هوم</t>
  </si>
  <si>
    <t>هوايه 75 مم سمارت هوم</t>
  </si>
  <si>
    <t>هوايه 110 مم سمارت هوم</t>
  </si>
  <si>
    <t>جيلتراب 110/75/75 مخرج 110 مغلق سمارت هوم</t>
  </si>
  <si>
    <t>جيلتراب 110/75/75 مخرج 110 مفتوح سمارت هوم</t>
  </si>
  <si>
    <t>صفايه 48 مم سمارت هوم</t>
  </si>
  <si>
    <t>عازل بيتوكوت بستله 3 كيلو سمارت هوم</t>
  </si>
  <si>
    <t>عازل بيتوكوت بستله 12 كيلو سمارت هوم</t>
  </si>
  <si>
    <t>مجموعه عازل سمارت هوم</t>
  </si>
  <si>
    <t>کوع بباب كشف 60 مم سمارت هوم</t>
  </si>
  <si>
    <t>كوع بباب كشف 75 مم سمارت هوم</t>
  </si>
  <si>
    <t>كوع بباب كشف 110 مم سمارت هوم</t>
  </si>
  <si>
    <t>مجري بطول 1 متر بالغطاء سمارت هوم</t>
  </si>
  <si>
    <t>مخرج جانبی 110 مم للمجري المائي سمارت هوم</t>
  </si>
  <si>
    <t>مخرج جانبی 75 مم للمجري المائي سمارت هوم</t>
  </si>
  <si>
    <t>غطاء مجري مائی 50 سم سمارت هوم</t>
  </si>
  <si>
    <t>كيس بدايه ونهايه مجری 1متر سمارت هوم</t>
  </si>
  <si>
    <t>غرفه تفتيش 50*50 سم سمارت هوم</t>
  </si>
  <si>
    <t>مجمع صرف 110/48 مفتوح المخارج سمارت هوم</t>
  </si>
  <si>
    <t>مجمع صرف 110/60 مفتوح المخارج سمارت هوم</t>
  </si>
  <si>
    <t>مجمع صرف 75/110 مفتوحه المخارج سمارت هوم</t>
  </si>
  <si>
    <t>محبس زاويه 1/2 * 1/2 بدون روزيته سمارت هوم</t>
  </si>
  <si>
    <t>حنفيه غساله 3/4*1/2 بالاكره بدون روزيته سمارت هوم</t>
  </si>
  <si>
    <t>شطافه سمارت هوم</t>
  </si>
  <si>
    <t>وصله مرنه 30 سم سمارت هوم</t>
  </si>
  <si>
    <t>وصله مرنه 40 سم سمارت هوم</t>
  </si>
  <si>
    <t>وصله مرنه 50 سم سمارت هوم</t>
  </si>
  <si>
    <t>وصله مرنه 60 سم سمارت هوم</t>
  </si>
  <si>
    <t>وصله مرنه 80 سم سمارت هوم</t>
  </si>
  <si>
    <t>وصله مرنه 100 سم سمارت هوم</t>
  </si>
  <si>
    <t>وصله مرنه 40 سم بسن خلاط سمارت هوم</t>
  </si>
  <si>
    <t>وصله مرنه 50 سم بسن خلاط سمارت هوم</t>
  </si>
  <si>
    <t>وصله مرنه 60 سم بسن خلاط سمارت هوم</t>
  </si>
  <si>
    <t>طلمبه مياه 1 حصان EG100 سمارت هوم</t>
  </si>
  <si>
    <t>طلمبه مياه 2 حصان EG200 سمارت هوم</t>
  </si>
  <si>
    <t>طلمبه مياه 3 حصان EG300 سمارت هوم</t>
  </si>
  <si>
    <t>غراء حار سمارت 125 جم</t>
  </si>
  <si>
    <t>غراء حار سمارت 250 جم</t>
  </si>
  <si>
    <t>غراء حار سمارت 500 جم</t>
  </si>
  <si>
    <t>غراء ضغوط سمارت 125 جم</t>
  </si>
  <si>
    <t>غراء ضغوط سمارت 250 جم</t>
  </si>
  <si>
    <t>غراء ضغوط سمارت 500 جم</t>
  </si>
  <si>
    <t>غراء بارد سمارت 125 جم</t>
  </si>
  <si>
    <t>غراء بارد سمارت 250 جم</t>
  </si>
  <si>
    <t>غراء بارد سمارت 500 جم</t>
  </si>
  <si>
    <t>مجره شور 50 سم دوت بلس</t>
  </si>
  <si>
    <t>دوت بلس</t>
  </si>
  <si>
    <t>افيز فيشر 4" دوت بلس</t>
  </si>
  <si>
    <t>افيز فيشر ٤/ دوت بلس</t>
  </si>
  <si>
    <t>افيز فيشر ٦ دوت بلس</t>
  </si>
  <si>
    <t>افيز فيشر ۲ دوت بلس</t>
  </si>
  <si>
    <t>افيز فیشر ۱ دوت بلس</t>
  </si>
  <si>
    <t>افيز فیشر ۱۱/۲ دوت بلس</t>
  </si>
  <si>
    <t>افيز فیشر ۲۱/۲ دوت بلس</t>
  </si>
  <si>
    <t>بكره تيفلون ٢٥ متر دوت بلس</t>
  </si>
  <si>
    <t>بكره تيفلون ٥٠ متر جامبو دوت بلس</t>
  </si>
  <si>
    <t>جلبه تطويل محبس دفن دوت ثيرم</t>
  </si>
  <si>
    <t>جلبه تطويل نيكل ۱/۲*۱/۲ دوت بلس</t>
  </si>
  <si>
    <t>جلبه نيكل ۱/۲*۳/۸ دوت بلس</t>
  </si>
  <si>
    <t>حنفيه بليه ۱/۲ دوت بلس</t>
  </si>
  <si>
    <t>خرطوم تغذیه غساله ١,٥م دوت بلس</t>
  </si>
  <si>
    <t>خلاط شطاف هاند میکسر ESS690درجه  دوت ايفوك</t>
  </si>
  <si>
    <t>سيفون 3" بالطابق دوت بلس</t>
  </si>
  <si>
    <t>سيفون مفرد بصاموله بلاستيك ۱۱/۲ دوت بلس</t>
  </si>
  <si>
    <t>سیفون مفرد بصاموله بلاستيك 11/4 دوت بلس</t>
  </si>
  <si>
    <t>شطاف اوتوماتيك ابيض دوت بلس</t>
  </si>
  <si>
    <t>طبه نيكل نحاس ۱/۲ دوت بلس</t>
  </si>
  <si>
    <t>طقم مسمار حوض لوكس دوت بلس</t>
  </si>
  <si>
    <t>طقم مسمار سخان لوکس دوت بلس</t>
  </si>
  <si>
    <t>غطاء بيبه تاتش ١٥*١٥سم لوکس دوت بلس</t>
  </si>
  <si>
    <t>غطاء بيبه تانش ۲۰*۲۰ سم لوکس دوت بلس</t>
  </si>
  <si>
    <t>غطاء بيبه ١٥*١٥ سم ليزر قابل للتبليط دوت بلس</t>
  </si>
  <si>
    <t>غطاء بيبه ۲۰*۲۰ سم قابل للتبليط ليزر دوت بلس</t>
  </si>
  <si>
    <t>ماكينه كومبينيشن ضغط 2" دوت بلس</t>
  </si>
  <si>
    <t>مجري شاور ٤٠ سم استانلس ٣٠٤ ليزر تبليط دوت بلس</t>
  </si>
  <si>
    <t>مجري شاور ٥٠سم استانلس ٣٠٤ ليزر تبليط دوت بلس</t>
  </si>
  <si>
    <t>مجري شاور ۳۰ سم استانلس ٣٠٤ ليزر تبليط دوت بلس</t>
  </si>
  <si>
    <t>محبس زاویه ۱/۲*۱/۲ بعلامه صغير دوت بلس</t>
  </si>
  <si>
    <t>مشتمل محبس دفن دوت ثيرم</t>
  </si>
  <si>
    <t>نبل نيكل ۱/۲ دوت بلس</t>
  </si>
  <si>
    <t>وش نيكل مدور عاده دوت بلس</t>
  </si>
  <si>
    <t>وصله استانلس 3/8*3/8 40سم دوت بلس</t>
  </si>
  <si>
    <t>وصله استانلس كروم ۲۰ سم دوت بلس</t>
  </si>
  <si>
    <t>وصله استانلس ١/٢*٣/٨ 45سم دوت بلس</t>
  </si>
  <si>
    <t>مليجه قعده دوت بلاس</t>
  </si>
  <si>
    <t>جلبه نيكل 1/2 * 1/2 دوت بلس</t>
  </si>
  <si>
    <t>جلبه نيكل دوت بلس</t>
  </si>
  <si>
    <t>مشتمل محبس دفن دوت بلس</t>
  </si>
  <si>
    <t>قفيز 2 و نص دوت بلس</t>
  </si>
  <si>
    <t>وش بيبا 20 سم مانع ارتداد مبلط دوت بلس</t>
  </si>
  <si>
    <t>سيفون 1 و ربع دوت بلس</t>
  </si>
  <si>
    <t>خلاط شطاف 10 سم دوت بلس</t>
  </si>
  <si>
    <t>مجره شور 65 سم اديل استندر</t>
  </si>
  <si>
    <t>نواكل</t>
  </si>
  <si>
    <t>اکره خلاط ثقيله</t>
  </si>
  <si>
    <t>اکره خلاط هاند میکسر</t>
  </si>
  <si>
    <t>بكره عازل تايواني</t>
  </si>
  <si>
    <t>بوش 3/4*١ انفت حديد مجلفن</t>
  </si>
  <si>
    <t>بوش نيكل ١/٢*٣/٨</t>
  </si>
  <si>
    <t>بوش ۱/۲*۳/٤ استانلس نيكل</t>
  </si>
  <si>
    <t>جلبه تطويل ۱/۲*۱/۲ ۱۰ سم</t>
  </si>
  <si>
    <t>جلبه فلتر ١/٤*١/٢</t>
  </si>
  <si>
    <t>جلبه نيكل عاده ٣/٤ * ١/٢</t>
  </si>
  <si>
    <t>حنفيه بليه ايطالي كبيره لوكس ١</t>
  </si>
  <si>
    <t>حنفيه بليه ايطالي ١/٢</t>
  </si>
  <si>
    <t>حنفيه بليه ايطالي ٣/٤</t>
  </si>
  <si>
    <t>حنفيه بليه صيني ۱/۲</t>
  </si>
  <si>
    <t>حنفيه عمودی اسانسیر صینی با بلاستيك ١/٢</t>
  </si>
  <si>
    <t>حنفيه فلتر صغير بكاوتشه الفلتر</t>
  </si>
  <si>
    <t>حنفیه بلیه ايطالي ٣/٤</t>
  </si>
  <si>
    <t>حنفیه عمودی ۱/۲ اسانسير SIAMP</t>
  </si>
  <si>
    <t>حنفیه فلتر هاند میکسر رخامي لوكس</t>
  </si>
  <si>
    <t>حوض 1 عين 1 صفايه 50*۱۰۰ سم ثقيل المنار</t>
  </si>
  <si>
    <t>خرطوم دش صيني ١٥٠ سم</t>
  </si>
  <si>
    <t>خرطوم صرف غساله ١,٥م موديل تركي</t>
  </si>
  <si>
    <t>متر خرطوم فلتر</t>
  </si>
  <si>
    <t>خزان دفن جروهي كامل ۳۸۷۷۲۰۰۱ وش مربع</t>
  </si>
  <si>
    <t>سماعه دش صفوه هد صغير جولد</t>
  </si>
  <si>
    <t>سماعه شنطه اسود فييرا تركي</t>
  </si>
  <si>
    <t>سماعه شنطه رمادي فييرا تركي</t>
  </si>
  <si>
    <t>سماعه قلم کروم فييرا تركي</t>
  </si>
  <si>
    <t>سماعه لوكس ايطالي</t>
  </si>
  <si>
    <t>سوسته تسليك ۱,5 متر اسود</t>
  </si>
  <si>
    <t>سيفون حله بلاستيك ايطالي 3"</t>
  </si>
  <si>
    <t>سيفون مفرد حله مصري بلاستيك 3"</t>
  </si>
  <si>
    <t>سیفون مجوز ميجا فلکس 3" توتونجي</t>
  </si>
  <si>
    <t>علبه شحم نباتي كبيره</t>
  </si>
  <si>
    <t>شطاف اتوماتيك كروم فييرا تركي</t>
  </si>
  <si>
    <t>شطاف اوتوماتيك هد بلاستيك ذهبي لا فيتا ايطالي</t>
  </si>
  <si>
    <t>شمع فلتر كربون شبك</t>
  </si>
  <si>
    <t>شمع فلتر كربون عاده</t>
  </si>
  <si>
    <t>شمع فلتر مرحله اولي تانك</t>
  </si>
  <si>
    <t>شيك بلف سخان ايطالي ۱/۲</t>
  </si>
  <si>
    <t>صاموله زنق نحاس 1"</t>
  </si>
  <si>
    <t>صاموله زنق نحاس ١/٢</t>
  </si>
  <si>
    <t>صاموله قلب هاند میکسر ٥٠ مم نحاس لوكس</t>
  </si>
  <si>
    <t>صاموله قلب هاند میکسر ۳۲ مم نحاس لوكس</t>
  </si>
  <si>
    <t>صاموله قنطره هاند میکسر مبططه</t>
  </si>
  <si>
    <t>ضاغط ماكينه ديورافيت</t>
  </si>
  <si>
    <t>طابق حوض تاتش ١١/٤ الياسمين</t>
  </si>
  <si>
    <t>طابق حوض تاتش ١١/٤ ايطالي</t>
  </si>
  <si>
    <t>طابق حوض تاتش ١١/٤ روكا</t>
  </si>
  <si>
    <t>طاسه دش مربعه ثقيله استانلس ٢٥* ٢٥ لوكس</t>
  </si>
  <si>
    <t>طاسه دش مربعه ثقيله استانلس ۲۰* ۲۰ لوكس</t>
  </si>
  <si>
    <t>طبه حوض نيكل</t>
  </si>
  <si>
    <t>طقم سنترك خلاط متحرك</t>
  </si>
  <si>
    <t>طقم سنترك مفتاح وجه دائري بلازا</t>
  </si>
  <si>
    <t>طقم شمع تانك ٤ قطع</t>
  </si>
  <si>
    <t>طقم مسمار حوض</t>
  </si>
  <si>
    <t>عازل سيكا ۱۰۷</t>
  </si>
  <si>
    <t>عوامه زهران بلاستيك ١*٣/٤</t>
  </si>
  <si>
    <t>عوامه ضاغط دیورافیت</t>
  </si>
  <si>
    <t>عوامه ضاغط نيو اكوافليكس GV40105NU ايديال</t>
  </si>
  <si>
    <t>غراء G4 حار ميني</t>
  </si>
  <si>
    <t>غراء G4 - حار ١/٤ك</t>
  </si>
  <si>
    <t>غراء G4 - حار ٨/ك</t>
  </si>
  <si>
    <t>غراء فيكس بوند حار ميني ( عبوه التوفير)</t>
  </si>
  <si>
    <t>غراء ويلد اون ۷۱۷ بارد ١/٤ك</t>
  </si>
  <si>
    <t>غراء ويلد اون ۷۱۷ بارد ۸/1ك</t>
  </si>
  <si>
    <t>غطاء بلاستيك ٥٠ سم * 50 سم</t>
  </si>
  <si>
    <t>غطاء بلاستيك ٦٠سم* ٦٠سم مجوز</t>
  </si>
  <si>
    <t>غطاء بيبه ۱۰*۱۰ سم قابل للتبليط ليزر</t>
  </si>
  <si>
    <t>غطاء جي ار بي ٦٠*٦٠ سم حموله ٤ طن اسود</t>
  </si>
  <si>
    <t>فايظ حله ۱۱/۲ مشترك فايظ خرطوم</t>
  </si>
  <si>
    <t>فلتر مياه 5 مراحل تانك</t>
  </si>
  <si>
    <t>فلتر ٦ مرحله برو تانك</t>
  </si>
  <si>
    <t>قشره بسن داخلي ٢*٦٣</t>
  </si>
  <si>
    <t>قشره لصق ٥٠ مم* ١١/٢</t>
  </si>
  <si>
    <t>قشره لصق ٦٣مم* ٢ "</t>
  </si>
  <si>
    <t>قشره لصق ۳۲ مم* ۱</t>
  </si>
  <si>
    <t>قلب خلاط سيراميك ١/٢</t>
  </si>
  <si>
    <t>قلب خلاط مشرشر ٣ لنيه ايطالي</t>
  </si>
  <si>
    <t>قلب خلاط مشرشر ٣٠٥ لنيه ايطالي</t>
  </si>
  <si>
    <t>قلب خلاط مشرشر ۱/۲ موديل الماني صناعه ايطالي</t>
  </si>
  <si>
    <t>قلب خلاط مشرشر ۱/۲ موديل الماني صناعه صيني</t>
  </si>
  <si>
    <t>قلب خلاط مشرشر ۱/۲ موديل ايطالي صناعه صيني</t>
  </si>
  <si>
    <t>قلب خلاط هاند ميكسر بكعب ٥٠ مم تركي</t>
  </si>
  <si>
    <t>قلب خلاط هاند میکسر عاده ٥٠ مم</t>
  </si>
  <si>
    <t>قلب خلاط هاند میکسر عاده ۳۲ مم</t>
  </si>
  <si>
    <t>قله ماكينه ضاغط يونيفرسال GV40201AA ايديال</t>
  </si>
  <si>
    <t>قنطره كوافير سوسته متحركه الوان</t>
  </si>
  <si>
    <t>كاوتشه خزان دیورافیت</t>
  </si>
  <si>
    <t>كاوتشه سيلكون ديورافيت</t>
  </si>
  <si>
    <t>كاوتشه قله ايديال</t>
  </si>
  <si>
    <t>كوع شاور طاسه دفن مربع ٤٠ سم</t>
  </si>
  <si>
    <t>كوع شاور طاسه دفن مربع ۳۰ سم</t>
  </si>
  <si>
    <t>كوع فلتر</t>
  </si>
  <si>
    <t>كوع نزل نحاس بلازا</t>
  </si>
  <si>
    <t>كوع نيكل ذكر بسن مدور ۱/۲*۱/۲ شيلد</t>
  </si>
  <si>
    <t>كوع نيكل ۱/۲ مدور شیلد</t>
  </si>
  <si>
    <t>لاكور حنفيه ١/٢</t>
  </si>
  <si>
    <t>لاكور حنفيه ٣/٤</t>
  </si>
  <si>
    <t>لاكور فلتر وصله سريعه</t>
  </si>
  <si>
    <t>ماكينه طرد ديورافيت</t>
  </si>
  <si>
    <t>ماكينه فونتانا ضغط هواء خضراء تقليد كليوباترا حنفيه عمودي ۲</t>
  </si>
  <si>
    <t>مانيجا سوسته ايطالي</t>
  </si>
  <si>
    <t>مانيجا سوسته ترکی</t>
  </si>
  <si>
    <t>محبس زاويه جلاكسي ذهبي ترکی</t>
  </si>
  <si>
    <t>محبس زاویه جلاكسي اسود ترکی</t>
  </si>
  <si>
    <t>محبس زاویه مجوز ۲ کره شیلد</t>
  </si>
  <si>
    <t>محبس فلتر ١/٤</t>
  </si>
  <si>
    <t>محول مسطره نحاس ۱/۲*۱/۲</t>
  </si>
  <si>
    <t>مدخنه سخان 5</t>
  </si>
  <si>
    <t>مدخنه سخان ٤</t>
  </si>
  <si>
    <t>مسمار سخان توب</t>
  </si>
  <si>
    <t>مسمار سديلي الشناوي</t>
  </si>
  <si>
    <t>مسمار سديلي تقليد ايديال وديورافيت</t>
  </si>
  <si>
    <t>مسمار قاعده كليوباترا جنب بلاستيك</t>
  </si>
  <si>
    <t>مشترك فلتر</t>
  </si>
  <si>
    <t>مشترك نيكل مدور ۱/۲ شيلد</t>
  </si>
  <si>
    <t>مشترك نيكل ١/٢ PG</t>
  </si>
  <si>
    <t>نبل نحاس خفيف ٣/٤</t>
  </si>
  <si>
    <t>نبل نيكل شجره لوكس ١/٢</t>
  </si>
  <si>
    <t>نبل نيكل ٣/٤ * ١/٢</t>
  </si>
  <si>
    <t>هد شطاف ابيض ايطالي</t>
  </si>
  <si>
    <t>هد شطاف ابيض تركي</t>
  </si>
  <si>
    <t>هد شطاف نيكل تركي</t>
  </si>
  <si>
    <t>وش + جسم الدفن بمحول لخلاط بانیو ۲۹۰۳۹۰۰۰ باوايدج جروهي</t>
  </si>
  <si>
    <t>وش مدور اسود</t>
  </si>
  <si>
    <t>وش مدور ذهبي</t>
  </si>
  <si>
    <t>کوع نزل نحاس بلازا</t>
  </si>
  <si>
    <t>ورقه استلس</t>
  </si>
  <si>
    <t>خلاط شطاف استار 5 سم</t>
  </si>
  <si>
    <t>حنفيه بليه نحاس بي جي</t>
  </si>
  <si>
    <t>بوش قنطره فلتر 2 سن</t>
  </si>
  <si>
    <t>بوش قنطره فلتر 3 سن</t>
  </si>
  <si>
    <t>جلتراب سمارت</t>
  </si>
  <si>
    <t>نص مجره سمارت</t>
  </si>
  <si>
    <t>مليجه قعده معلقه</t>
  </si>
  <si>
    <t>فلنشه اكره صيني</t>
  </si>
  <si>
    <t>مشتمل رباط خلاط شجره</t>
  </si>
  <si>
    <t>جلبه 3/4 * 1/2</t>
  </si>
  <si>
    <t>جلبه نحاس اصفر 1/2 * 1/2</t>
  </si>
  <si>
    <t>جلبه نحاس اصفر 3/8 * 1/2</t>
  </si>
  <si>
    <t>جلبه نحاس اصفر 1/2 * 1/2 5 سم</t>
  </si>
  <si>
    <t>جلبه نيكل نتايه 1/2 * 1/2</t>
  </si>
  <si>
    <t>كوع نيكل نتايه 1/2 * 1/2</t>
  </si>
  <si>
    <t>تي نيكل نتايه 1/2 * 1/2</t>
  </si>
  <si>
    <t>بوش نيكل 3/8 * 1/2</t>
  </si>
  <si>
    <t>نبل نيكل خفيف 1/2 * 1/2</t>
  </si>
  <si>
    <t>نبل نيكل 3/4 * 1/2</t>
  </si>
  <si>
    <t>بوش نيكل 3/4 * 1/2</t>
  </si>
  <si>
    <t>كوع نيكل سن ذكر اتجاه واحد</t>
  </si>
  <si>
    <t>جلبه نحاس اصفر 1/2 * 1/2 3 سم</t>
  </si>
  <si>
    <t>كوع نزل</t>
  </si>
  <si>
    <t>نزل عدل</t>
  </si>
  <si>
    <t>جلبه نيكل انثي اتجاه</t>
  </si>
  <si>
    <t>نبل نحاس مجلفن محمل 1/2 * 1/2</t>
  </si>
  <si>
    <t>وش اسود نيكل</t>
  </si>
  <si>
    <t>وش ذهبي نيكل</t>
  </si>
  <si>
    <t>بكره تفلون صغيره</t>
  </si>
  <si>
    <t>بكره تفلون كبيره</t>
  </si>
  <si>
    <t>سماعه مطبخ سسته</t>
  </si>
  <si>
    <t>مشتمل محبس دفن الشريف</t>
  </si>
  <si>
    <t>محبس كامل الشريف</t>
  </si>
  <si>
    <t>حنفيه كمبنيشن اديل استندر</t>
  </si>
  <si>
    <t>سماعه دش</t>
  </si>
  <si>
    <t>حنفيه غساله اطالي</t>
  </si>
  <si>
    <t>حنفيه غساله بي جي</t>
  </si>
  <si>
    <t>حنفيه بلستك 1/2</t>
  </si>
  <si>
    <t>حنفيه بليه نحاس 1/2</t>
  </si>
  <si>
    <t>حنفيه بليه نحاس 3/4 تيلاندي</t>
  </si>
  <si>
    <t>حنفيه بليه نحاس 3/4 ايطالي</t>
  </si>
  <si>
    <t>طبه نيكل دكر 1/2</t>
  </si>
  <si>
    <t>طبه نحاس نتايه 1/2</t>
  </si>
  <si>
    <t>طبه نيكل محمله 1/2</t>
  </si>
  <si>
    <t>جلبه نحاس اصفر 1/2 * 1/2 10 سم</t>
  </si>
  <si>
    <t>جلبه نحاس مجلفن 1/2 * 1/2 10 سم</t>
  </si>
  <si>
    <t>تي نيكل محمل 1/2 * 1/2</t>
  </si>
  <si>
    <t>تي نحاس اصفر محمل 1/2 * 1/2</t>
  </si>
  <si>
    <t>بوش حديد 3/4 * 1</t>
  </si>
  <si>
    <t>بوش حديد 3/4 * 1/2</t>
  </si>
  <si>
    <t>شك بلف سخان 1/2 * 1/2 بي جي</t>
  </si>
  <si>
    <t>وصله فلتر سريعه نحاس اصفر</t>
  </si>
  <si>
    <t>ساموله وش خلاط هاند مكسر نحاس</t>
  </si>
  <si>
    <t>شك بلف سسته خفيفه 3/4</t>
  </si>
  <si>
    <t>شك بلف سسته محمل 3/4</t>
  </si>
  <si>
    <t>محبس بليه 3/4</t>
  </si>
  <si>
    <t>وصله فلتر مخروم</t>
  </si>
  <si>
    <t>قلب محبس خلاط ايطالي</t>
  </si>
  <si>
    <t>قلب محبس خلاط صيني</t>
  </si>
  <si>
    <t>فلتر قنطره سن خرجي</t>
  </si>
  <si>
    <t>فلتر قنطره سن دخلي</t>
  </si>
  <si>
    <t>حنفيه فلتر بالكوتشه</t>
  </si>
  <si>
    <t>عليمته سماعه دش</t>
  </si>
  <si>
    <t>ساموله قنطره تخلاط</t>
  </si>
  <si>
    <t>لاكور فينو 1/2</t>
  </si>
  <si>
    <t>لاكور امبوبه نحاس</t>
  </si>
  <si>
    <t>شك بلف نحاس محمل 1</t>
  </si>
  <si>
    <t>شك بلف نحاس محمل 2</t>
  </si>
  <si>
    <t>نبل شجره نيكل 1/2 * 3/8</t>
  </si>
  <si>
    <t>محول خلاط دش داخلي</t>
  </si>
  <si>
    <t>محول خلاط دش خرجي</t>
  </si>
  <si>
    <t>حنفيه بليه 1</t>
  </si>
  <si>
    <t>حنفيه فلتر</t>
  </si>
  <si>
    <t>قنطره خلاط</t>
  </si>
  <si>
    <t>اكره محبس</t>
  </si>
  <si>
    <t>محبس فلتر</t>
  </si>
  <si>
    <t>مسمار قاعده جنب</t>
  </si>
  <si>
    <t>مسمار حوض</t>
  </si>
  <si>
    <t>مسمار سخان</t>
  </si>
  <si>
    <t>خرطوم دش</t>
  </si>
  <si>
    <t>كبايه مسطره حوض</t>
  </si>
  <si>
    <t>طبق مسطره حوض</t>
  </si>
  <si>
    <t>سيفون حمام قدم</t>
  </si>
  <si>
    <t>سيفون مجوز حوض مطبخ</t>
  </si>
  <si>
    <t>سيفون 3</t>
  </si>
  <si>
    <t>افيز 1/2 مصري</t>
  </si>
  <si>
    <t>افيز 1 مصري</t>
  </si>
  <si>
    <t>افيز 1 ونص مصري</t>
  </si>
  <si>
    <t>افيز 2 مصري</t>
  </si>
  <si>
    <t>افيز 3 مصري</t>
  </si>
  <si>
    <t>افيز 4 مصري</t>
  </si>
  <si>
    <t>افيز 6 مصري</t>
  </si>
  <si>
    <t>مسمار قاعده علي الواقف</t>
  </si>
  <si>
    <t>كاوتشه سيفون 1 و نص</t>
  </si>
  <si>
    <t>قفيز 1 و نص بجوان</t>
  </si>
  <si>
    <t>جوان 3/4</t>
  </si>
  <si>
    <t>جوان 1/2</t>
  </si>
  <si>
    <t>مسمار سديلي</t>
  </si>
  <si>
    <t>كوع فلتر بلستك</t>
  </si>
  <si>
    <t>نبل فلتر بلستك</t>
  </si>
  <si>
    <t>تي فلتر بلستك</t>
  </si>
  <si>
    <t>وصله سريعه فلتر بلستك</t>
  </si>
  <si>
    <t>وش بيبا 15 سم مانع ارتداد مبلط دوت بلس</t>
  </si>
  <si>
    <t>مليجه إيطالي</t>
  </si>
  <si>
    <t>مليجه تركي</t>
  </si>
  <si>
    <t>وش بيبا 15 سم تاتش</t>
  </si>
  <si>
    <t>هوايه شفاط</t>
  </si>
  <si>
    <t>محبس زاويه ليدر</t>
  </si>
  <si>
    <t>محبس زاويه استلس رام</t>
  </si>
  <si>
    <t>محبس زاويه دهبي برفكان</t>
  </si>
  <si>
    <t>محبس زاويه اسود برفكان</t>
  </si>
  <si>
    <t>طبه حوض بدون خلاط</t>
  </si>
  <si>
    <t>قلب هاند مكسر</t>
  </si>
  <si>
    <t>لذق سباك عازل</t>
  </si>
  <si>
    <t>مكنه كمبنيشن</t>
  </si>
  <si>
    <t>شطافه eno</t>
  </si>
  <si>
    <t>شطافه دوت براجو</t>
  </si>
  <si>
    <t>حنفيه اسنسير كمبنيشن</t>
  </si>
  <si>
    <t>سيفون 1 و ربع صيني</t>
  </si>
  <si>
    <t>سيفون 1 و ربع مصري</t>
  </si>
  <si>
    <t>سيفون 2 مصري</t>
  </si>
  <si>
    <t>سيفون 2 ايطالي</t>
  </si>
  <si>
    <t>محبس  بليه 1</t>
  </si>
  <si>
    <t>شطافه افيرا</t>
  </si>
  <si>
    <t>سماعه دش برنتو</t>
  </si>
  <si>
    <t>شطافه oya</t>
  </si>
  <si>
    <t>خرطوم غساله تغذيه</t>
  </si>
  <si>
    <t>خرطوم غساله صرف</t>
  </si>
  <si>
    <t>وش دش خلاط</t>
  </si>
  <si>
    <t>سنترك دش خلاط</t>
  </si>
  <si>
    <t>فواطه</t>
  </si>
  <si>
    <t>سفون حوض مطبخ 3</t>
  </si>
  <si>
    <t>خلاط شجره جلكسي</t>
  </si>
  <si>
    <t>حنفيه كمبنيشن دروفيت</t>
  </si>
  <si>
    <t>كاوتشه كمبنيشن إيطالي</t>
  </si>
  <si>
    <t>وصله خلاط شداد</t>
  </si>
  <si>
    <t>حنفيه بليه بقفل 3/4</t>
  </si>
  <si>
    <t>طاسه دش</t>
  </si>
  <si>
    <t>دراع دش 45</t>
  </si>
  <si>
    <t>وش بيبا تاتش 10 سم</t>
  </si>
  <si>
    <t>طابق نيكل تاتش اسود</t>
  </si>
  <si>
    <t>طابق نيكل تاتش دهبي</t>
  </si>
  <si>
    <t>طابق نيكل تاتش فضي</t>
  </si>
  <si>
    <t>طابق حمام قدم 2</t>
  </si>
  <si>
    <t>محول دش خلاط</t>
  </si>
  <si>
    <t>طابق بانيو بلستك بالفايظ</t>
  </si>
  <si>
    <t>يد صيني شطاف داخلي</t>
  </si>
  <si>
    <t>فايظ حوض مطبخ</t>
  </si>
  <si>
    <t>دراع دش 30</t>
  </si>
  <si>
    <t>وش بيبا مبلط 10 سم</t>
  </si>
  <si>
    <t>خلاط مطبخ حيطه</t>
  </si>
  <si>
    <t>خلاط شطاف 10 سم جلكسي</t>
  </si>
  <si>
    <t>خلاط شطاف 10 سم ستور</t>
  </si>
  <si>
    <t>خلاط شطاف 10 سم دهبي</t>
  </si>
  <si>
    <t>سماعه دش لكسور</t>
  </si>
  <si>
    <t>مليجه استلس</t>
  </si>
  <si>
    <t>خلاط بانيو جلكسي</t>
  </si>
  <si>
    <t>خلاط مطبخ جلكسي</t>
  </si>
  <si>
    <t>وش نيكل</t>
  </si>
  <si>
    <t>وش بيبه 20 سم</t>
  </si>
  <si>
    <t>زرار كمبنيشن</t>
  </si>
  <si>
    <t>طابق استلس 3</t>
  </si>
  <si>
    <t>حنفيه فلتر 1/2</t>
  </si>
  <si>
    <t>كوتست رداخ اديل استندر</t>
  </si>
  <si>
    <t>سماعه دش صيني</t>
  </si>
  <si>
    <t>كوتش سيفون 2</t>
  </si>
  <si>
    <t>طابق بانيو إيطالي</t>
  </si>
  <si>
    <t>مسطره دش شور ست</t>
  </si>
  <si>
    <t>مسطره دش ايتلي</t>
  </si>
  <si>
    <t>مسطره دش توترك</t>
  </si>
  <si>
    <t>بستله بلاك المصريه الالبانيه</t>
  </si>
  <si>
    <t>بستله</t>
  </si>
  <si>
    <t xml:space="preserve">بكره ليد بروفايل لوك </t>
  </si>
  <si>
    <t>ilock</t>
  </si>
  <si>
    <t xml:space="preserve">ترانس 100وات ليد بروفايل لوك </t>
  </si>
  <si>
    <t xml:space="preserve">ترانس 150 وات ليد بروفايل لوك </t>
  </si>
  <si>
    <t xml:space="preserve">ترانس 200 وات ليد بروفايل لوك </t>
  </si>
  <si>
    <t xml:space="preserve">ترانس 300 وات ليد بروفايل لوك </t>
  </si>
  <si>
    <t xml:space="preserve">ترانس 400 وات ليد بروفايل لوك </t>
  </si>
  <si>
    <t xml:space="preserve">ترانس 60 وات ليد بروفايل لوك </t>
  </si>
  <si>
    <t xml:space="preserve">شريط لحام بليه </t>
  </si>
  <si>
    <t xml:space="preserve">شريط ليد تربل وايرلس لوك </t>
  </si>
  <si>
    <t xml:space="preserve">شريط ليد دبل وايرلس لوك </t>
  </si>
  <si>
    <t>فيشه صفراء بور لوك</t>
  </si>
  <si>
    <t xml:space="preserve">فيشه صفراء بور لوك 10 امبير </t>
  </si>
  <si>
    <t xml:space="preserve">فيشه وايرلس ليد اي دو </t>
  </si>
  <si>
    <t xml:space="preserve">مشترك ثلاثي 3 عين بسلك لوك </t>
  </si>
  <si>
    <t>مشترك ثلاثي لوك</t>
  </si>
  <si>
    <t>مشترك ثلاثي لوك خليجي</t>
  </si>
  <si>
    <t xml:space="preserve">مشترك ثلاثي لوك 3 ناحيه </t>
  </si>
  <si>
    <t xml:space="preserve">مشترك 5 عين بسلك لوك </t>
  </si>
  <si>
    <t>افيذ البيت الهندسي</t>
  </si>
  <si>
    <t>البيت الهندسي</t>
  </si>
  <si>
    <t>جلبه البيت الهندسي</t>
  </si>
  <si>
    <t>كوع البيت الهندسي</t>
  </si>
  <si>
    <t>ماسوره البيت الهندسي</t>
  </si>
  <si>
    <t>سلك السويدي اصلي 1.5 ملي</t>
  </si>
  <si>
    <t>السويدي</t>
  </si>
  <si>
    <t>سلك السويدي اصلي 10 ملي</t>
  </si>
  <si>
    <t>سلك السويدي اصلي 16 ملي</t>
  </si>
  <si>
    <t>سلك السويدي اصلي 2 ملي</t>
  </si>
  <si>
    <t>سلك السويدي اصلي 3 ملي</t>
  </si>
  <si>
    <t>سلك السويدي اصلي 4 ملي</t>
  </si>
  <si>
    <t>سلك السويدي اصلي 6 ملي</t>
  </si>
  <si>
    <t xml:space="preserve">جرس بيانو اليوس </t>
  </si>
  <si>
    <t>ايليوس</t>
  </si>
  <si>
    <t xml:space="preserve">شريط لحام صغير اليوس </t>
  </si>
  <si>
    <t>لمبه اسبوت ليد اليوس</t>
  </si>
  <si>
    <t xml:space="preserve">لمبه بلحه ايليوس </t>
  </si>
  <si>
    <t>لمبه ليد 12 وات ايليوس ابيض</t>
  </si>
  <si>
    <t>لمبه ليد 12 وات ايليوس ورم</t>
  </si>
  <si>
    <t>لمبه ليد 15 وات ايليوس ابيض</t>
  </si>
  <si>
    <t xml:space="preserve">لمبه ليد 20 وات ايليوس </t>
  </si>
  <si>
    <t>لمبه ليد 9 وات ايليوس ابيض</t>
  </si>
  <si>
    <t>لمبه ليد 9 وات ايليوس ورم</t>
  </si>
  <si>
    <t xml:space="preserve">جرس بتشينو </t>
  </si>
  <si>
    <t>بتشينو</t>
  </si>
  <si>
    <t>مفتاح تكيف بتشينو  32 امبير</t>
  </si>
  <si>
    <t>مفتاح تكيف بتشينو علي علبه ماجيك 26 امبير</t>
  </si>
  <si>
    <t>مفتاح تكيف بتشينو لطش تكيف</t>
  </si>
  <si>
    <t>اسبوت بريق ثابت 231 ابيض</t>
  </si>
  <si>
    <t>بريق</t>
  </si>
  <si>
    <t>اسبوت بريق ثابت بني</t>
  </si>
  <si>
    <t xml:space="preserve">اسبوت بريق ثابت 231 اسود مط </t>
  </si>
  <si>
    <t>اسبوت بريق متحرك مدور ابيض</t>
  </si>
  <si>
    <t>اسبوت بريق متحرك مدور اسود</t>
  </si>
  <si>
    <t>اسبوت بريق مربع متحرك ابيض</t>
  </si>
  <si>
    <t>اسبوت بريق مربع متحرك اسود</t>
  </si>
  <si>
    <t>لمبه كاسه بريق كول</t>
  </si>
  <si>
    <t xml:space="preserve">لمبه كاسه بريق متغيره </t>
  </si>
  <si>
    <t>لمبه كاسه بريق ورم</t>
  </si>
  <si>
    <t xml:space="preserve">دكر صاموله دش </t>
  </si>
  <si>
    <t>دش</t>
  </si>
  <si>
    <t xml:space="preserve">حامل شاشه 26-52  بوصه </t>
  </si>
  <si>
    <t xml:space="preserve">حامل شاشه 26-63 بوصه </t>
  </si>
  <si>
    <t xml:space="preserve">حامل شاشه 80 بوصه </t>
  </si>
  <si>
    <t>حامل شاشه 26 - 63 بوصه  متحرك</t>
  </si>
  <si>
    <t>حامل شاشه متحرك 55 بوصه</t>
  </si>
  <si>
    <t xml:space="preserve">طبق دش 100 سم </t>
  </si>
  <si>
    <t xml:space="preserve">طبق دش 70 سم </t>
  </si>
  <si>
    <t xml:space="preserve">عدسه 1 مخرج دش </t>
  </si>
  <si>
    <t xml:space="preserve">عدسه 2 مخرج دش </t>
  </si>
  <si>
    <t xml:space="preserve">عدسه 4 مخرج دش </t>
  </si>
  <si>
    <t>لفه سلك دش 20 LS</t>
  </si>
  <si>
    <t>لفه سلك دش 30 LS</t>
  </si>
  <si>
    <t>لفه سلك دش 50 LS</t>
  </si>
  <si>
    <t>لفه سلك دش 100 ايطالي</t>
  </si>
  <si>
    <t>لفه سلك دش 100 ريدي رونج</t>
  </si>
  <si>
    <t xml:space="preserve">وصله 5 متر HD </t>
  </si>
  <si>
    <t>وصله HD</t>
  </si>
  <si>
    <t xml:space="preserve">وصله اوديو فيديو </t>
  </si>
  <si>
    <t xml:space="preserve">جرس عصفوره سانشي </t>
  </si>
  <si>
    <t>سانشي</t>
  </si>
  <si>
    <t xml:space="preserve">علبه خارجي لطش ماجيك سانشي </t>
  </si>
  <si>
    <t xml:space="preserve">ديمر مروحه سانشي </t>
  </si>
  <si>
    <t xml:space="preserve">زر جرس مفرد سانشي </t>
  </si>
  <si>
    <t xml:space="preserve">سداده سانشي </t>
  </si>
  <si>
    <t xml:space="preserve">شاسيه سانشي </t>
  </si>
  <si>
    <t xml:space="preserve">لقمه بريزه سانشي </t>
  </si>
  <si>
    <t xml:space="preserve">لقمه تليفون سانشي </t>
  </si>
  <si>
    <t xml:space="preserve">لقمه ثلاثي امريكي سانشي </t>
  </si>
  <si>
    <t xml:space="preserve">لقمه جرس عريض سانشي </t>
  </si>
  <si>
    <t xml:space="preserve">لقمه دش سانشي </t>
  </si>
  <si>
    <t xml:space="preserve">لقمه دفاتيري سانشي </t>
  </si>
  <si>
    <t xml:space="preserve">لقمه طوارئ سانشي </t>
  </si>
  <si>
    <t>لقمه مفتاح سانشي</t>
  </si>
  <si>
    <t xml:space="preserve">لقمه مفتاح سخان سانشي </t>
  </si>
  <si>
    <t xml:space="preserve">لقمه نت سانشي </t>
  </si>
  <si>
    <t xml:space="preserve">لقمه يو اس بي سانشي </t>
  </si>
  <si>
    <t xml:space="preserve">مجوفه سانشي </t>
  </si>
  <si>
    <t>مفتاح اتوماتيك شارم سانشي 25 امبير</t>
  </si>
  <si>
    <t xml:space="preserve">مفتاح تكيف سانشي </t>
  </si>
  <si>
    <t xml:space="preserve">مفتاح ثلاثي 3 فاز سانشي </t>
  </si>
  <si>
    <t xml:space="preserve">مفتاح مجوز سانشي </t>
  </si>
  <si>
    <t xml:space="preserve">نصف سداده سانشي </t>
  </si>
  <si>
    <t xml:space="preserve">وش ابيض سانشي </t>
  </si>
  <si>
    <t xml:space="preserve">وش الوان سانشي </t>
  </si>
  <si>
    <t>مفتاح شنايدر 63 امبير احادي اوتوماتك</t>
  </si>
  <si>
    <t>شنايدر</t>
  </si>
  <si>
    <t>مفتاح شنايدر 10 - 40 امبير اوتوماتك</t>
  </si>
  <si>
    <t xml:space="preserve">مفتاح ايرثليكدج شنايدر  </t>
  </si>
  <si>
    <t>مفتاح ثلاثي 3 فاز شنايدر</t>
  </si>
  <si>
    <t>ادابتر سخان محول</t>
  </si>
  <si>
    <t xml:space="preserve">اراجه سلك نت </t>
  </si>
  <si>
    <t xml:space="preserve">ارجيه نت </t>
  </si>
  <si>
    <t>اسبوت 30 وات 20 سم</t>
  </si>
  <si>
    <t>اسبوت كامل 7 سم الوان</t>
  </si>
  <si>
    <t xml:space="preserve">استيتر </t>
  </si>
  <si>
    <t>باره نحاس احادي</t>
  </si>
  <si>
    <t>باره نحاس ثلاثي 3 فاز</t>
  </si>
  <si>
    <t>بريزه لطش خارج الحيط</t>
  </si>
  <si>
    <t>بريزه لطش خارج الحيط خزف</t>
  </si>
  <si>
    <t>بكره ليد بروفايل ورم</t>
  </si>
  <si>
    <t>بكره ليد بروفايل تيار 220</t>
  </si>
  <si>
    <t>بواط ابيض 10 * 7</t>
  </si>
  <si>
    <t xml:space="preserve">بواط 10*10 بالغطاء </t>
  </si>
  <si>
    <t xml:space="preserve">بواط 10*15 بالغطاء </t>
  </si>
  <si>
    <t xml:space="preserve">بواط 20*20 بالغطاء </t>
  </si>
  <si>
    <t xml:space="preserve">بواط 10*10 بدون غطاء </t>
  </si>
  <si>
    <t xml:space="preserve">بواط 10*15 بدون غطاء </t>
  </si>
  <si>
    <t xml:space="preserve">بواط 20*20 بدون غطاء </t>
  </si>
  <si>
    <t>بواط ووتر بروف 10*10</t>
  </si>
  <si>
    <t>بواط ووتر بروف 15*10</t>
  </si>
  <si>
    <t xml:space="preserve">بواط ووتر بروف 25*20 </t>
  </si>
  <si>
    <t>بواط ووتر بروف 30*22</t>
  </si>
  <si>
    <t xml:space="preserve">ترانس الكتروني 60 وات </t>
  </si>
  <si>
    <t>ترانس الكتروني 120 وات مجوز</t>
  </si>
  <si>
    <t>ترانس كشاف 20 سم بلفونيرا   36 وات</t>
  </si>
  <si>
    <t>ترانس 100 وات ليد بروفايل</t>
  </si>
  <si>
    <t>ترانس 150 وات ليد بروفايل</t>
  </si>
  <si>
    <t>ترانس 200 وات ليد بروفايل</t>
  </si>
  <si>
    <t>ترانس 300 وات ليد بروفايل</t>
  </si>
  <si>
    <t>ترانس 400 وات ليد بروفايل</t>
  </si>
  <si>
    <t>ترانس 200 وات ليد بروفايل HX</t>
  </si>
  <si>
    <t>ترانس 300 وات ليد بروفايل HX</t>
  </si>
  <si>
    <t xml:space="preserve">جاك اريال </t>
  </si>
  <si>
    <t xml:space="preserve">جرس بيانو </t>
  </si>
  <si>
    <t xml:space="preserve">جرس تنتن الملكه </t>
  </si>
  <si>
    <t>جرس عصفوره عادي</t>
  </si>
  <si>
    <t>جرس لاسلكي</t>
  </si>
  <si>
    <t xml:space="preserve">جوز حجر ريموت </t>
  </si>
  <si>
    <t>حجر سخان بانسونيك</t>
  </si>
  <si>
    <t xml:space="preserve">حجر قلم وسط باناسونك </t>
  </si>
  <si>
    <t>كيلو</t>
  </si>
  <si>
    <t xml:space="preserve">حربه كهرباء </t>
  </si>
  <si>
    <t xml:space="preserve">علبه 1 خط </t>
  </si>
  <si>
    <t xml:space="preserve">علبه 2 خط </t>
  </si>
  <si>
    <t xml:space="preserve">خوص 16 ملي </t>
  </si>
  <si>
    <t>داويه لمبه 120 سم الكتروني</t>
  </si>
  <si>
    <t>داويه نجفه صغيره</t>
  </si>
  <si>
    <t>دوايه اسبوط شوكه</t>
  </si>
  <si>
    <t xml:space="preserve">دوايه بسلك عادي </t>
  </si>
  <si>
    <t>دوايه فلورا</t>
  </si>
  <si>
    <t>دوايه ليزر عاده</t>
  </si>
  <si>
    <t>دوايه نجفه روندلا</t>
  </si>
  <si>
    <t xml:space="preserve">سبليتر راوتر </t>
  </si>
  <si>
    <t>سخان جردل هيتر</t>
  </si>
  <si>
    <t>سداده عود ليد بروفايل</t>
  </si>
  <si>
    <t>سلك السويدي 1.5 ملي  HC</t>
  </si>
  <si>
    <t>سلك السويدي 10 ملي   HC</t>
  </si>
  <si>
    <t>سلك السويدي 16 ملي   HC</t>
  </si>
  <si>
    <t>سلك السويدي 2 ملي  HC</t>
  </si>
  <si>
    <t>سلك السويدي 3 ملي  HC</t>
  </si>
  <si>
    <t>سلك السويدي 4 ملي HC</t>
  </si>
  <si>
    <t>سلك السويدي 6 ملي   HC</t>
  </si>
  <si>
    <t>سلك ترمو 2*1</t>
  </si>
  <si>
    <t>سلك ترمو 2*2</t>
  </si>
  <si>
    <t>سلك ترمو 2*3</t>
  </si>
  <si>
    <t>سلك ترمو 2*4</t>
  </si>
  <si>
    <t>متر سلك ترمو 1.5</t>
  </si>
  <si>
    <t>سلك ترمو 2X1 معتمد</t>
  </si>
  <si>
    <t>سلك ترمو 2*2 المصريه معتمد</t>
  </si>
  <si>
    <t xml:space="preserve">سلك ترمو 2*4 معتمد </t>
  </si>
  <si>
    <t xml:space="preserve">متر سلك تلفون </t>
  </si>
  <si>
    <t>سلك تليفون</t>
  </si>
  <si>
    <t xml:space="preserve">متر سلك دش </t>
  </si>
  <si>
    <t>سلك سماعات</t>
  </si>
  <si>
    <t>سلك سماعه تليفون</t>
  </si>
  <si>
    <t xml:space="preserve">متر سلك كاميرا </t>
  </si>
  <si>
    <t>سلك مجدول 2م</t>
  </si>
  <si>
    <t>سلك مجدول نصف ملي</t>
  </si>
  <si>
    <t>سلك مجدول1م</t>
  </si>
  <si>
    <t>سلك نت</t>
  </si>
  <si>
    <t xml:space="preserve">سوسته سحب 10 متر كهرباء </t>
  </si>
  <si>
    <t xml:space="preserve">سوسته سحب 15 متر كهرباء </t>
  </si>
  <si>
    <t xml:space="preserve">سوسته سحب 20 متر كهرباء </t>
  </si>
  <si>
    <t xml:space="preserve">سوسته سحب 25 متر كهرباء </t>
  </si>
  <si>
    <t xml:space="preserve">سوسته سحب 30 متر كهرباء </t>
  </si>
  <si>
    <t>شاحن تليفون سياره</t>
  </si>
  <si>
    <t xml:space="preserve">شريط لحام صغير </t>
  </si>
  <si>
    <t>شريط لحام كبير</t>
  </si>
  <si>
    <t xml:space="preserve">شريط ليد دبل </t>
  </si>
  <si>
    <t>شريط ليد دبل وايرلس</t>
  </si>
  <si>
    <t xml:space="preserve">شريط ليد سنجل </t>
  </si>
  <si>
    <t>شريط ليد سنجل وايرلس</t>
  </si>
  <si>
    <t>علبه صاج 12 خط</t>
  </si>
  <si>
    <t>صاموله دش نتايه</t>
  </si>
  <si>
    <t>صاموله دش نتايه ذهبي</t>
  </si>
  <si>
    <t>عود بروفايل ليد 2.3</t>
  </si>
  <si>
    <t xml:space="preserve">عود بروفايل 1.7 محمل </t>
  </si>
  <si>
    <t xml:space="preserve">عود ضاغط كهرباء 1.5 سم </t>
  </si>
  <si>
    <t>عود ضاغط كهرباء 2.5 سم</t>
  </si>
  <si>
    <t>عود ضاغط كهرباء 4*6</t>
  </si>
  <si>
    <t xml:space="preserve">عود ضاغط كهرباء 5 سم </t>
  </si>
  <si>
    <t xml:space="preserve">عود ليد بروفايل 1.7 اسود </t>
  </si>
  <si>
    <t>غطا علبه ماجيك</t>
  </si>
  <si>
    <t xml:space="preserve">غطاء بواط 10*10 </t>
  </si>
  <si>
    <t>غطاء بواط 10*15</t>
  </si>
  <si>
    <t>غطاء بواط 20 *20</t>
  </si>
  <si>
    <t>غطاء بواط 25 * 20</t>
  </si>
  <si>
    <t>فيشه بدوايه سهاري</t>
  </si>
  <si>
    <t xml:space="preserve">فيشه 16 امبير ثقيله </t>
  </si>
  <si>
    <t xml:space="preserve">فيشه 16 امبير ثقيله الملكه </t>
  </si>
  <si>
    <t xml:space="preserve">فيشه عاديه </t>
  </si>
  <si>
    <t>فيشه ليد دبل</t>
  </si>
  <si>
    <t>فيشه ليد سنجل</t>
  </si>
  <si>
    <t>فيشه مكوه</t>
  </si>
  <si>
    <t xml:space="preserve">فيشه وايرلس ليد دبل </t>
  </si>
  <si>
    <t>قوس نحاس 16 مم</t>
  </si>
  <si>
    <t>كابل ايفون برتقالي</t>
  </si>
  <si>
    <t xml:space="preserve">كابل باور كمبيوتر </t>
  </si>
  <si>
    <t xml:space="preserve">كابل شاحن Type C </t>
  </si>
  <si>
    <t>كابل كاسيت تايواني</t>
  </si>
  <si>
    <t>كاتيل شاي</t>
  </si>
  <si>
    <t>كشاف اب داون احادي</t>
  </si>
  <si>
    <t>كشاف اب داون ثلاثي</t>
  </si>
  <si>
    <t>كشاف اب داون ثنائي</t>
  </si>
  <si>
    <t xml:space="preserve">كشاف خارجي 100 وات </t>
  </si>
  <si>
    <t>كشاف خارجي 100 وات اكوا</t>
  </si>
  <si>
    <t>كشاف عين بقره صغير</t>
  </si>
  <si>
    <t>كشاف عين بقره كبير</t>
  </si>
  <si>
    <t>كشاف كهرباء مدور</t>
  </si>
  <si>
    <t>علبه 10*15 ابيض كهرباء</t>
  </si>
  <si>
    <t>علبه لطش خارج الحيط</t>
  </si>
  <si>
    <t>لفه خرطوم 11 ملي مصطفي محمود سوسته بيور</t>
  </si>
  <si>
    <t>لفه خرطوم 13 ملي مصطفي محمود سوسته بيور</t>
  </si>
  <si>
    <t>لفه خرطوم 16 ملي مصطفي محمود سوسته بيور</t>
  </si>
  <si>
    <t>لفه خرطوم 23 ملي مصطفي محمود سوسته بيور</t>
  </si>
  <si>
    <t>لفه خرطوم 16 ملي مصطفي محمود مسمط بيور</t>
  </si>
  <si>
    <t>لفه خرطوم 23 ملي مصطفي محمود مسمط بيور</t>
  </si>
  <si>
    <t xml:space="preserve">لفه سلك نت 10 متر </t>
  </si>
  <si>
    <t xml:space="preserve">لفه سلك نت 15 متر </t>
  </si>
  <si>
    <t xml:space="preserve">لفه سلك نت 5 متر </t>
  </si>
  <si>
    <t>لفه سوسته حراري 16 مم</t>
  </si>
  <si>
    <t xml:space="preserve">لفه سوسته حراري 20 ملي </t>
  </si>
  <si>
    <t>لفه سوسته حراري 50 م</t>
  </si>
  <si>
    <t>لفه قصدير صغير</t>
  </si>
  <si>
    <t>لفه قصدير كبير</t>
  </si>
  <si>
    <t xml:space="preserve">لقمه بريزه بتشينو </t>
  </si>
  <si>
    <t xml:space="preserve">لقمه تليفون عاديه </t>
  </si>
  <si>
    <t xml:space="preserve">لقمه مفتاح بتشينو </t>
  </si>
  <si>
    <t>لمبه اسبوت ليد الرواد شوكه</t>
  </si>
  <si>
    <t xml:space="preserve">لمبه اشاره بالسلك </t>
  </si>
  <si>
    <t>لمبه بلحه صغيره</t>
  </si>
  <si>
    <t>لمبه 120 سم تورنيدو</t>
  </si>
  <si>
    <t>لمبه 60 سم تورنيدو</t>
  </si>
  <si>
    <t xml:space="preserve">لمبه ثلاجه </t>
  </si>
  <si>
    <t>لمبه دسكو 6 وات</t>
  </si>
  <si>
    <t>لمبه سهاري 40 وات</t>
  </si>
  <si>
    <t xml:space="preserve">لمبه 100 وات عاديه </t>
  </si>
  <si>
    <t xml:space="preserve">لمبه 200 وات عاديه </t>
  </si>
  <si>
    <t xml:space="preserve">لمبه فلورا </t>
  </si>
  <si>
    <t xml:space="preserve">لمبه ليد 12 وات </t>
  </si>
  <si>
    <t>لمبه ليد 15 وات</t>
  </si>
  <si>
    <t xml:space="preserve">لمبه ليد 3 وات </t>
  </si>
  <si>
    <t>لمبه ليد 30 وات</t>
  </si>
  <si>
    <t xml:space="preserve">لمبه ليد 38 وات </t>
  </si>
  <si>
    <t xml:space="preserve">لمبه ليد 45 وات </t>
  </si>
  <si>
    <t>لمبه ليد 65 وات</t>
  </si>
  <si>
    <t xml:space="preserve">لمبه ليد 9 وات </t>
  </si>
  <si>
    <t>لمبه ليد بلحه نجفه</t>
  </si>
  <si>
    <t>لمبه ليد كريستال 10 وات</t>
  </si>
  <si>
    <t>لوحه 12 خط بلاستك الملكه</t>
  </si>
  <si>
    <t xml:space="preserve">لوحه 4 خط بلاستك الملكه </t>
  </si>
  <si>
    <t xml:space="preserve">لوحه 8 خط بلاستك الملكه </t>
  </si>
  <si>
    <t>لوحه 12 خط صاج</t>
  </si>
  <si>
    <t>لوحه 24 خط صاج</t>
  </si>
  <si>
    <t>لوحه 2 عداد صاج</t>
  </si>
  <si>
    <t xml:space="preserve">علبه ماجيك مجوز </t>
  </si>
  <si>
    <t>علبه ماجيك مفرد اصفر</t>
  </si>
  <si>
    <t>علبه ماجيك مفرد سودا</t>
  </si>
  <si>
    <t xml:space="preserve">مروحه عامود ايطالي </t>
  </si>
  <si>
    <t xml:space="preserve">مشترك افينا 2 متر </t>
  </si>
  <si>
    <t xml:space="preserve">مشترك الملكه 2 متر </t>
  </si>
  <si>
    <t xml:space="preserve">مشترك الملكه 3 متر </t>
  </si>
  <si>
    <t>مشترك بسلك عادي</t>
  </si>
  <si>
    <t>مشترك بسلك يو اس بي</t>
  </si>
  <si>
    <t xml:space="preserve">مشترك ثلاثي </t>
  </si>
  <si>
    <t xml:space="preserve">مشترك عادي صغير </t>
  </si>
  <si>
    <t xml:space="preserve">مشترك 4 عين 2 متر </t>
  </si>
  <si>
    <t>مشترك 4 عين سينار 2 متر + ويلسن</t>
  </si>
  <si>
    <t>مشترك 3 عين عادي</t>
  </si>
  <si>
    <t>مشترك مالفيرن 5 متر</t>
  </si>
  <si>
    <t xml:space="preserve">مفتاح غساله </t>
  </si>
  <si>
    <t xml:space="preserve">مفتاح كومتري </t>
  </si>
  <si>
    <t>مفتاح مشترك تركي</t>
  </si>
  <si>
    <t xml:space="preserve">مفك تست صغير </t>
  </si>
  <si>
    <t xml:space="preserve">مفك تست كبير </t>
  </si>
  <si>
    <t>مفك تست الكتروني</t>
  </si>
  <si>
    <t xml:space="preserve">وش بلاستيك عريض ماجيك </t>
  </si>
  <si>
    <t xml:space="preserve">وش كهرباء صيني </t>
  </si>
  <si>
    <t xml:space="preserve">وصله تليفون 10 متر </t>
  </si>
  <si>
    <t xml:space="preserve">وصله تليفون 15 متر </t>
  </si>
  <si>
    <t>وصله تليفون 20 متر</t>
  </si>
  <si>
    <t>وصله ليد بروفايل</t>
  </si>
  <si>
    <t>وصله ليد بروفايل زاويه</t>
  </si>
  <si>
    <t>بريزه مجوفه فينوس</t>
  </si>
  <si>
    <t>فينوس</t>
  </si>
  <si>
    <t>جرس بيانو فينوس</t>
  </si>
  <si>
    <t>دوايه ليزر فينوس</t>
  </si>
  <si>
    <t>زر جرس عريض فينوس</t>
  </si>
  <si>
    <t>زر جرس مفرد فينوس</t>
  </si>
  <si>
    <t>سداده فينوس</t>
  </si>
  <si>
    <t>شاسيه فينوس</t>
  </si>
  <si>
    <t>قاطع حمايه 1 فاز 63 امبير فينوس</t>
  </si>
  <si>
    <t>لقمه بريزه فينوس</t>
  </si>
  <si>
    <t>لقمه تليفون فينوس</t>
  </si>
  <si>
    <t>لقمه جرس عريض فينوس عصفوره</t>
  </si>
  <si>
    <t>لقمه جرس مفرد فينوس عصفوره</t>
  </si>
  <si>
    <t xml:space="preserve">لقمه دش فينوس </t>
  </si>
  <si>
    <t>لقمه دفاتيري فينوس</t>
  </si>
  <si>
    <t>لقمه طوارئ فينوس</t>
  </si>
  <si>
    <t>لقمه مفتاح فينوس</t>
  </si>
  <si>
    <t>لقمه مفتاح سخان فينوس</t>
  </si>
  <si>
    <t>لقمه نت اتصالات فينوس</t>
  </si>
  <si>
    <t>لقمه يونيفيرسال ثلاثي فينوس</t>
  </si>
  <si>
    <t>لمبه ليد فينوس 12 وات</t>
  </si>
  <si>
    <t>لمبه ليد فينوس 9 وات</t>
  </si>
  <si>
    <t>لمبه ليد 9 وات ديمر</t>
  </si>
  <si>
    <t>لوحه اتصالات فينوس v20 7u</t>
  </si>
  <si>
    <t>مفتاح فينوس اتوماتيك 63 امبير</t>
  </si>
  <si>
    <t>مفتاح تكيف 40 امبير فينوس</t>
  </si>
  <si>
    <t>مفتاح تكيف فينوس 32 امبير</t>
  </si>
  <si>
    <t>مفتاح تكيف فينوس 45 امبير</t>
  </si>
  <si>
    <t>مفتاح ستاره فينوس</t>
  </si>
  <si>
    <t>مفتاح سلم 4 طرف</t>
  </si>
  <si>
    <t>مفتاح مجوز فينوس</t>
  </si>
  <si>
    <t>مفتاح مكنه سلم فينوس</t>
  </si>
  <si>
    <t xml:space="preserve">وش فينوس </t>
  </si>
  <si>
    <t>وش فينوس ووتر بروف</t>
  </si>
  <si>
    <t>شفاط 25 * 25 كونايس</t>
  </si>
  <si>
    <t>كونايس</t>
  </si>
  <si>
    <t>شفاط 30* 30 كونايس</t>
  </si>
  <si>
    <t>لمبه اسبوت ليد كونايس</t>
  </si>
  <si>
    <t>لمبه اسبوت ليد كونايس 3 تكه</t>
  </si>
  <si>
    <t xml:space="preserve">ترانس ماجنتيك 100 وات </t>
  </si>
  <si>
    <t>ماجنتك</t>
  </si>
  <si>
    <t xml:space="preserve">ترانس ماجنتيك 200 وات </t>
  </si>
  <si>
    <t xml:space="preserve">ترانس ماجنتيك 300 وات </t>
  </si>
  <si>
    <t xml:space="preserve">عود ماجنتك تراك لايت 3 متر </t>
  </si>
  <si>
    <t xml:space="preserve">عود ماجنتك تراك لايت 3 متر دبل </t>
  </si>
  <si>
    <t>لمبه ماجنتيك عيون 18 وات</t>
  </si>
  <si>
    <t xml:space="preserve">لمبه ماجنتيك متحرك 12 وات </t>
  </si>
  <si>
    <t>لمبه ماجنتيك متحرك 18 وات</t>
  </si>
  <si>
    <t xml:space="preserve">لمبه ماجنتيك مسنفره 30سم </t>
  </si>
  <si>
    <t xml:space="preserve">لمبه ماجنتيك مسنفره 60 سم </t>
  </si>
  <si>
    <t xml:space="preserve">وصله ماجنيتك بسلك تراك لايت </t>
  </si>
  <si>
    <t xml:space="preserve">لوحه 12 خط نور </t>
  </si>
  <si>
    <t>نور</t>
  </si>
  <si>
    <t>لوحه 18 خط نور</t>
  </si>
  <si>
    <t>لوحه 36 خط نور</t>
  </si>
  <si>
    <t xml:space="preserve">لوحه 8 خط نور </t>
  </si>
  <si>
    <t>لوحه 12 خط نور  بالعداد</t>
  </si>
  <si>
    <t>لوحه 16 خط بالعداد 2 فاز نور</t>
  </si>
  <si>
    <t>لوحه 18 خط 3 فاز نور</t>
  </si>
  <si>
    <t xml:space="preserve">لوحه عداد 8 خط نور </t>
  </si>
  <si>
    <t xml:space="preserve">لوحه عداد كارت 220 نور </t>
  </si>
  <si>
    <t>مفتاح  هاجر 25 امبير</t>
  </si>
  <si>
    <t>هاجر</t>
  </si>
  <si>
    <t xml:space="preserve">مفتاح هاجر 40 امبير </t>
  </si>
  <si>
    <t>مفتاح هاجر 63 احادي</t>
  </si>
  <si>
    <t xml:space="preserve">مفتاح هاجر 63 امبير 3 فاز </t>
  </si>
  <si>
    <t>ماسوره لحام باننجر</t>
  </si>
  <si>
    <t>تي لحام باننجر</t>
  </si>
  <si>
    <t>كوع لحام باننجر</t>
  </si>
  <si>
    <t>جلبه لحام باننجر</t>
  </si>
  <si>
    <t>كوع لحام 45 درجه باننجر</t>
  </si>
  <si>
    <t>كوع بسن داخلي باننجر</t>
  </si>
  <si>
    <t>تي بسن داخلي باننجر</t>
  </si>
  <si>
    <t>طبه اختبار باننجر</t>
  </si>
  <si>
    <t>طبه لحام باننجر</t>
  </si>
  <si>
    <t>محبس دفن 25 مم باننجر</t>
  </si>
  <si>
    <t>مسلوب</t>
  </si>
  <si>
    <t>كرنك 25 مم باننجر</t>
  </si>
  <si>
    <t>تي لحام مسلوب باننجر</t>
  </si>
  <si>
    <t>جلبه بسن داخلي باننجر</t>
  </si>
  <si>
    <t>جلبه بسن خارجي باننجر</t>
  </si>
  <si>
    <t>كوع بسن خارجي باننجر</t>
  </si>
  <si>
    <t>كوع مزدوج بسن داخلي باننجر</t>
  </si>
  <si>
    <t>لاكور تجميع بسن داخلي طويل باننجر</t>
  </si>
  <si>
    <t>لاكور لحام باننجر</t>
  </si>
  <si>
    <t>مانع ارتداد بلاكور باننجر</t>
  </si>
  <si>
    <t>برده لحام محبس بليه باننجر</t>
  </si>
  <si>
    <t>قفيز باننجر</t>
  </si>
  <si>
    <t>محبس بليه 2 لاكور باننجر</t>
  </si>
  <si>
    <t>ماسوره لحام فايبر اسود باننجر</t>
  </si>
  <si>
    <t>قفيز مجوز باننجر</t>
  </si>
  <si>
    <t>تي لحام اسود باننجر</t>
  </si>
  <si>
    <t>جلبه لحام اسود باننجر</t>
  </si>
  <si>
    <t>طبه لحام اسود باننجر</t>
  </si>
  <si>
    <t>تعديل الاسم</t>
  </si>
  <si>
    <t>الUOM</t>
  </si>
  <si>
    <t>متر | عود | لفه</t>
  </si>
  <si>
    <t>قطعه | كيس | كرتونه</t>
  </si>
  <si>
    <t>قطعه | كرتونه</t>
  </si>
  <si>
    <t>قطعه | علبه | كرتونه</t>
  </si>
  <si>
    <t>قطعه | علبه | تي</t>
  </si>
  <si>
    <t>ماسوره كيسيل</t>
  </si>
  <si>
    <t>كوع كيسيل</t>
  </si>
  <si>
    <t>يارده 100 سم كيسيل</t>
  </si>
  <si>
    <t>كوع 87.5 درجه كيسيل</t>
  </si>
  <si>
    <t>كوع 45 درجه كيسيل</t>
  </si>
  <si>
    <t>جلبه كيسيل</t>
  </si>
  <si>
    <t>مشترك كيسيل</t>
  </si>
  <si>
    <t>مشترك 45 درجه كيسيل</t>
  </si>
  <si>
    <t>مشترك مسلوب كيسيل</t>
  </si>
  <si>
    <t>مشترك مسلوب 45 درجه كيسيل</t>
  </si>
  <si>
    <t>مشترك بباب 87.5 درجه كيسيل</t>
  </si>
  <si>
    <t>مشترك بباب كيسيل</t>
  </si>
  <si>
    <t>مشترك بباب مسلوب كيسيل</t>
  </si>
  <si>
    <t>كوع بباب 87.5 درجه كيسيل</t>
  </si>
  <si>
    <t>كوع بباب كيسيل</t>
  </si>
  <si>
    <t>طبه بيبه كيسيل</t>
  </si>
  <si>
    <t>بيبه كيسيل</t>
  </si>
  <si>
    <t>طبه كيسيل</t>
  </si>
  <si>
    <t>طبه تسليك كيسيل</t>
  </si>
  <si>
    <t>جلبه اصلاح كيسيل</t>
  </si>
  <si>
    <t>مسلوب كيسيل</t>
  </si>
  <si>
    <t>مسلوب لا مركزي كيسيل</t>
  </si>
  <si>
    <t>غطاء ماسوره كيسيل</t>
  </si>
  <si>
    <t>هوايه كيسيل</t>
  </si>
  <si>
    <t>مجره شور كيسيل</t>
  </si>
  <si>
    <t>سيفون كيسيل</t>
  </si>
  <si>
    <t>صفايه مربعه بلاطه كيسيل</t>
  </si>
  <si>
    <t>علايه صفايه بغطاء أمواج كيسيل</t>
  </si>
  <si>
    <t>علايه صفايه بغطاء دارت كيسيل</t>
  </si>
  <si>
    <t>علايه صفايه بغطاء مفتوح كيسيل</t>
  </si>
  <si>
    <t>علايه صفايه بغطاء مقلم كيسيل</t>
  </si>
  <si>
    <t>علايه صفايه بغطاء هلال كيسيل</t>
  </si>
  <si>
    <t>علايه صفايه بغطاء جريل كيسيل</t>
  </si>
  <si>
    <t>علايه صفايه بغطاء قابل للتبليط كيسيل</t>
  </si>
  <si>
    <t>صفايه قصيره مخرج جانبي 50 مم بغطاء 10 كيسيل</t>
  </si>
  <si>
    <t>صفايه مربعه 107 مم مخرج من اسفل كيسيل</t>
  </si>
  <si>
    <t>صفايه مربعه 150 مم مخرج من اسفل كيسيل</t>
  </si>
  <si>
    <t>صفايه مربعه بلاطه 107 مم مخرج من اسفل كيسيل</t>
  </si>
  <si>
    <t>صفايه مربعه بلاطه 150 مم مخرج من اسفل كيسيل</t>
  </si>
  <si>
    <t>صفايه بالمدخل 40 مم و مخرج 50 مم كيسيل</t>
  </si>
  <si>
    <t>صفايه بالمخرج جانبي 75 مم كيسيل</t>
  </si>
  <si>
    <t>غطاء بيبه استانلس كيسيل</t>
  </si>
  <si>
    <t>مسلوب سمارت هوم</t>
  </si>
  <si>
    <t>غطاء استانلس لصفاية طويلة كيسيل</t>
  </si>
  <si>
    <t>صفايه مربعه بغطاء مصمت قابل للتبليط مخرج جانبي 50 مم كيسيل</t>
  </si>
  <si>
    <t>صفايه مربعه بغطاء مفتوح مخرج جانبي 50 مم كيسيل</t>
  </si>
  <si>
    <t>صفايه كورنر قابله للتبليط كيسيل</t>
  </si>
  <si>
    <t>رقبه طويله ABS مقاس 15*15 كيسيل</t>
  </si>
  <si>
    <t>رقبه تطويل طويله بمصفاه وغطاء مغلق كيسيل</t>
  </si>
  <si>
    <t>رقبه تطويل طويله بمصفاه وغطاء مفتوح كيسيل</t>
  </si>
  <si>
    <t>صفايه بغطاء مخرج جانبي 50 مم بغطاء 107 مم  كيسيل</t>
  </si>
  <si>
    <t>صفايه بغطاء مخرج جانبي 50 مم بغطاء مفتوح 150 مم  كيسيل</t>
  </si>
  <si>
    <t>ماسوره سمارت هوم</t>
  </si>
  <si>
    <t>كوع 87.5 درجه سمارت هوم</t>
  </si>
  <si>
    <t>كوع سمارت هوم</t>
  </si>
  <si>
    <t>كوع 45 درجه سمارت هوم</t>
  </si>
  <si>
    <t>تی بسن خرجي 20*25 باننجر</t>
  </si>
  <si>
    <t>تی بسن خرجي 25*25 باننجر</t>
  </si>
  <si>
    <t>تي بسن خرجي باننجر</t>
  </si>
  <si>
    <t>مشترك 87.5 درجه سمارت هوم</t>
  </si>
  <si>
    <t>مشترك سمارت هوم</t>
  </si>
  <si>
    <t>مشترك 45 درجه سمارت هوم</t>
  </si>
  <si>
    <t>جلبه سمارت هوم</t>
  </si>
  <si>
    <t>جلبه بسن 1.5 سمارت هوم</t>
  </si>
  <si>
    <t>بيبه مفتوحه ارتفاع 7 سم سمارت هوم</t>
  </si>
  <si>
    <t>بيبه مفتوحه المخارج سمارت هوم</t>
  </si>
  <si>
    <t>بيبه مفتوحه ارتفاع 8.8 سم سمارت هوم</t>
  </si>
  <si>
    <t>بيبه بالبرقع مفتوحه المخارج سمارت هوم</t>
  </si>
  <si>
    <t>شحم ماسوره سمارت هوم</t>
  </si>
  <si>
    <t>طبه ماسوره سمارت هوم</t>
  </si>
  <si>
    <t>طبه تسليك سمارت هوم</t>
  </si>
  <si>
    <t>مسلوب 60 * 63 سمارت هوم</t>
  </si>
  <si>
    <t>مسلوب مركزي سمارت هوم</t>
  </si>
  <si>
    <t>مشترك بباب كشف سمارت هوم</t>
  </si>
  <si>
    <t>هوايه سمارت هوم</t>
  </si>
  <si>
    <t>صفايه سمارت هوم</t>
  </si>
  <si>
    <t xml:space="preserve">جيلتراب 110/75/75 مخرج 110 مغلق سمارت هوم </t>
  </si>
  <si>
    <t>عازل بيتوكوت بستله سمارت هوم</t>
  </si>
  <si>
    <t>كوع بباب كشف سمارت هوم</t>
  </si>
  <si>
    <t>مخرج جانبي للمجري المائي سمارت هوم</t>
  </si>
  <si>
    <t>غطاء مجري مائي 50 سم سمارت هوم</t>
  </si>
  <si>
    <t>كيس بدايه ونهايه مجري 1 متر سمارت هوم</t>
  </si>
  <si>
    <t>مجمع صرف مفتوح المخارج سمارت هوم</t>
  </si>
  <si>
    <t>وصله مرنه سمارت هوم</t>
  </si>
  <si>
    <t>وصله مرنه بسن خلاط سمارت هوم</t>
  </si>
  <si>
    <t>طلمبه مياه سمارت هوم</t>
  </si>
  <si>
    <t>غراء حار سمارت هوم</t>
  </si>
  <si>
    <t>غراء ضغوط سمارت هوم</t>
  </si>
  <si>
    <t>غراء بارد سمارت هوم</t>
  </si>
  <si>
    <t>غراء حار 125 جم سمارت هوم</t>
  </si>
  <si>
    <t>غراء حار 250 جم سمارت هوم</t>
  </si>
  <si>
    <t>غراء حار 500 جم سمارت هوم</t>
  </si>
  <si>
    <t>غراء ضغوط 125 جم سمارت هوم</t>
  </si>
  <si>
    <t>غراء ضغوط 250 جم سمارت هوم</t>
  </si>
  <si>
    <t>غراء ضغوط 500 جم سمارت هوم</t>
  </si>
  <si>
    <t>غراء بارد 125 جم سمارت هوم</t>
  </si>
  <si>
    <t>غراء بارد 250 جم سمارت هوم</t>
  </si>
  <si>
    <t>غراء بارد 500 جم سمارت هوم</t>
  </si>
  <si>
    <t>بكره تيفلون دوت بلس</t>
  </si>
  <si>
    <t>سيفون دوت بلس</t>
  </si>
  <si>
    <t>جلبه تطويل نيكل دوت بلس</t>
  </si>
  <si>
    <t>حنفيه بليه دوت بلس</t>
  </si>
  <si>
    <t>سيفون بالطابق دوت بلس</t>
  </si>
  <si>
    <t>سيفون مفرد بصاموله بلاستيك دوت بلس</t>
  </si>
  <si>
    <t>خرطوم تغذيه غساله دوت بلس</t>
  </si>
  <si>
    <t>خلاط شطاف هاند ميكسر دوت  ايفوك</t>
  </si>
  <si>
    <t>ماكينه كومبينيشن ضغط دوت بلس</t>
  </si>
  <si>
    <t>طقم مسمار سخان لوكس دوت بلس</t>
  </si>
  <si>
    <t>غطاء بيبه تاتش لوكس دوت بلس</t>
  </si>
  <si>
    <t>غطاء بيبه ليزر قابل للتبليط دوت بلس</t>
  </si>
  <si>
    <t>غطاء بيبه ۲۰*۲۰ سم ليزر قابل للتبليط دوت بلس</t>
  </si>
  <si>
    <t>مجري شاور استانلس 304 ليزر تبليط دوت بلس</t>
  </si>
  <si>
    <t>مجري شور 50 سم دوت بلس</t>
  </si>
  <si>
    <t>مجري شاور دوت بلس</t>
  </si>
  <si>
    <t>محبس زاويه بعلامه صغير دوت بلس</t>
  </si>
  <si>
    <t>نبل نيكل دوت بلس</t>
  </si>
  <si>
    <t>وصله استانلس 40 سم دوت بلس</t>
  </si>
  <si>
    <t>وصله استانلس كروم دوت بلس</t>
  </si>
  <si>
    <t>قفيز فيشر 4" دوت بلس</t>
  </si>
  <si>
    <t>قفيز فيشر دوت بلس</t>
  </si>
  <si>
    <t>قفيز فيشر ٤/ دوت بلس</t>
  </si>
  <si>
    <t>قفيز فيشر ٦ دوت بلس</t>
  </si>
  <si>
    <t>قفيز فيشر ۲ دوت بلس</t>
  </si>
  <si>
    <t>قفيز فیشر ۱ دوت بلس</t>
  </si>
  <si>
    <t>قفيز فیشر ۱۱/۲ دوت بلس</t>
  </si>
  <si>
    <t>قفيز فیشر ۲۱/۲ دوت بلس</t>
  </si>
  <si>
    <t>وش بيبا مانع ارتداد مبلط دوت بلس</t>
  </si>
  <si>
    <t>خلاط شطاف دوت بلس</t>
  </si>
  <si>
    <t>قطعه | كيس | علبه</t>
  </si>
  <si>
    <t>بكره | علبه | كرتونه</t>
  </si>
  <si>
    <t>كيس | كرتونه</t>
  </si>
  <si>
    <t>متر | ماسوره | لفه</t>
  </si>
  <si>
    <t>قطعه | لفه</t>
  </si>
  <si>
    <t>الاسم المعدل</t>
  </si>
  <si>
    <t>شكاره</t>
  </si>
  <si>
    <t>كيس</t>
  </si>
  <si>
    <t>وصله</t>
  </si>
  <si>
    <t>علبه لون سكيب</t>
  </si>
  <si>
    <t>GLC</t>
  </si>
  <si>
    <t>كيلو بلاستك 3030</t>
  </si>
  <si>
    <t>جالون بلاستك 3030</t>
  </si>
  <si>
    <t>بستله بلاستيك 3030 GLC</t>
  </si>
  <si>
    <t>بستله بلاستك 3030 عملاق</t>
  </si>
  <si>
    <t>كيلو 7070 بلاستك ابيض</t>
  </si>
  <si>
    <t>كيلو 7070 بلاستك الوان</t>
  </si>
  <si>
    <t>جالون 7070 GLC ابيض</t>
  </si>
  <si>
    <t>جالون 7070 GLC الوان</t>
  </si>
  <si>
    <t>بستله 7070 GLC</t>
  </si>
  <si>
    <t>بستله 7070 GLC  الوان</t>
  </si>
  <si>
    <t>كيلو سيلر المقاوم</t>
  </si>
  <si>
    <t>جالون سيلر مائي المقاوم</t>
  </si>
  <si>
    <t>بستله سيلر المقاوم GLC</t>
  </si>
  <si>
    <t>كيلو معجون دايتون</t>
  </si>
  <si>
    <t>جالون معجون دايتون</t>
  </si>
  <si>
    <t>شكاره معجون دايتون 15 ك GLC</t>
  </si>
  <si>
    <t xml:space="preserve">بستله معجون دايتون GLC </t>
  </si>
  <si>
    <t>شكاره معجون دايتون 18 ك GLC</t>
  </si>
  <si>
    <t>بستله معجون اكريليك GLC</t>
  </si>
  <si>
    <t>شكاره معجون اكريليك GLC</t>
  </si>
  <si>
    <t>كيلو معجون شروخ GLC</t>
  </si>
  <si>
    <t>كيلو جيلتكس 20000</t>
  </si>
  <si>
    <t>جالون جيلتكس 20000</t>
  </si>
  <si>
    <t>بستله جيلتكس 20000 بيضاوي</t>
  </si>
  <si>
    <t>جالون جيلتكس 15000</t>
  </si>
  <si>
    <t>بستله جيلتكس 15000</t>
  </si>
  <si>
    <t>جالون جيلتكس 25000</t>
  </si>
  <si>
    <t>بستله جيلتكس 25000</t>
  </si>
  <si>
    <t xml:space="preserve">بستله بلاستيك ستارت </t>
  </si>
  <si>
    <t xml:space="preserve">بستله سيلر مائي ستارت </t>
  </si>
  <si>
    <t>بستله بلاستك مط باي تون GLC</t>
  </si>
  <si>
    <t>بستله بلاستك 2020</t>
  </si>
  <si>
    <t>كيلو ورنيش مائي بيور GLC</t>
  </si>
  <si>
    <t>جالون ورنيش مائي بيور GLC</t>
  </si>
  <si>
    <t>بستله ورنيش مائي بيور GLC</t>
  </si>
  <si>
    <t>كيلو سيلر حراري GLC</t>
  </si>
  <si>
    <t>جالون سيلر حراري GLC</t>
  </si>
  <si>
    <t>بستله سيلر حراري ستورم شيلد 20 ك</t>
  </si>
  <si>
    <t>نص استوك حديد</t>
  </si>
  <si>
    <t>كيلو استوك حديد GLC</t>
  </si>
  <si>
    <t>نص كيلو سوبر لاك ابيض</t>
  </si>
  <si>
    <t>نص كيلو سوبر لاك الوان</t>
  </si>
  <si>
    <t xml:space="preserve">كيلو ابيض GLC سوبر لاك </t>
  </si>
  <si>
    <t>كيلو الوان GLC سوبر لاك</t>
  </si>
  <si>
    <t>جالون ابيض GLC سوبر لاك لامع صغير</t>
  </si>
  <si>
    <t>جالون الوان GLC سوبر لاك لامع صغير</t>
  </si>
  <si>
    <t>جالون سوبر لاك GLC ابيض دوبل</t>
  </si>
  <si>
    <t xml:space="preserve">كيلو لولو GLC </t>
  </si>
  <si>
    <t>جالون لولو GLC صغير</t>
  </si>
  <si>
    <t>جالون لولو دوبل لامع</t>
  </si>
  <si>
    <t>كيلو برايمر GLC</t>
  </si>
  <si>
    <t xml:space="preserve">جالون برايمر GLC </t>
  </si>
  <si>
    <t>بستله برايمر GLC</t>
  </si>
  <si>
    <t>ربع كيلو لاكيه ستارت لامع</t>
  </si>
  <si>
    <t>نص كيلو لاكيه ستارت ابيض</t>
  </si>
  <si>
    <t>نص كيلو لاكيه ستارت الوان</t>
  </si>
  <si>
    <t>كيلو لاكيه ستارت لامع ابيض</t>
  </si>
  <si>
    <t>كيلو لاكيه ستارت لامع الوان</t>
  </si>
  <si>
    <t xml:space="preserve">جالون لاكيه لامع ابيض استارت </t>
  </si>
  <si>
    <t xml:space="preserve">جالون لاكيه لامع الوان استارت </t>
  </si>
  <si>
    <t>جالون لاكيه ستارت دوبل ابيض</t>
  </si>
  <si>
    <t>كيلو مط لاكيه GLC ابيض</t>
  </si>
  <si>
    <t>كيلو مط لاكيه GLC الوان</t>
  </si>
  <si>
    <t>جالون مط GLC لاكيه ابيض</t>
  </si>
  <si>
    <t>جالون مط GLC لاكيه الوان</t>
  </si>
  <si>
    <t>جالون مط GLC دوبل</t>
  </si>
  <si>
    <t>نص كيلو زجزاج سبونش</t>
  </si>
  <si>
    <t xml:space="preserve">كيلو زجزاج سبونش </t>
  </si>
  <si>
    <t>كيلو ورنيش المركب GLC مط</t>
  </si>
  <si>
    <t xml:space="preserve">كيلو ورنيش المركب GLC لامع </t>
  </si>
  <si>
    <t>جالون ورنيش المركب GLC مط</t>
  </si>
  <si>
    <t xml:space="preserve">جالون ورنيش المركب GLC لامع </t>
  </si>
  <si>
    <t>نص كيلو ورنيش ستاندر لامع</t>
  </si>
  <si>
    <t>كيلو ورنيش ستاندر لامع</t>
  </si>
  <si>
    <t>جالون ورنيش ستاندر لامع</t>
  </si>
  <si>
    <t>كيلو ورنيش دوكو وود جارد GLC</t>
  </si>
  <si>
    <t>جالون ورنيش دوكو وود جارد GLC</t>
  </si>
  <si>
    <t>ربع ك ذهبي مائي ستارت</t>
  </si>
  <si>
    <t xml:space="preserve">نص ك ذهبي مائي ستارت  </t>
  </si>
  <si>
    <t xml:space="preserve">كيلو ذهبي مائي ستارت </t>
  </si>
  <si>
    <t xml:space="preserve">جالون قطيفه GLC </t>
  </si>
  <si>
    <t>بستله كومبليكو GLC</t>
  </si>
  <si>
    <t>شكاره سيتوكس يو ابيض 50 ك</t>
  </si>
  <si>
    <t>CMB</t>
  </si>
  <si>
    <t>شكاره سيتوكس يو رمادي 50 ك</t>
  </si>
  <si>
    <t xml:space="preserve">كيلو اديبوند البناء الحديث </t>
  </si>
  <si>
    <t xml:space="preserve">جركن اديبوند  البناء الحديث 5 كيلو </t>
  </si>
  <si>
    <t>جركن اديبوند  20 لتر CMB</t>
  </si>
  <si>
    <t>شكاره سيتوفيل سقيه 5 ك ابيض</t>
  </si>
  <si>
    <t>شكاره سيتوفيل سقيه 25 ك ابيض</t>
  </si>
  <si>
    <t xml:space="preserve">شكاره داري جلو لزق بورسلين 25 ك </t>
  </si>
  <si>
    <t>كيلو سيتوكس H</t>
  </si>
  <si>
    <t>جالون سيتوكس H</t>
  </si>
  <si>
    <t>بستله سيتوكس H</t>
  </si>
  <si>
    <t>كيلو تزريع عشاير 165</t>
  </si>
  <si>
    <t>شكاره كيمازيت 200 CMB</t>
  </si>
  <si>
    <t>شكاره معجون اسمنتي CMB</t>
  </si>
  <si>
    <t>انبوبه سيلكون سيتوسيل 400 N CMB</t>
  </si>
  <si>
    <t>شكاره ماده عزل اديكور ام البناء الحديث</t>
  </si>
  <si>
    <t>مجوعه عزل 105 البناء الحديث</t>
  </si>
  <si>
    <t xml:space="preserve">بستله بلاك البناء الحديث </t>
  </si>
  <si>
    <t>كيلو كيمابوكسي شفاف 131 البناء الحديث</t>
  </si>
  <si>
    <t>ربع كيلو ارتكس ابيض</t>
  </si>
  <si>
    <t>باكين</t>
  </si>
  <si>
    <t>ربع كيلو ارتكس الوان</t>
  </si>
  <si>
    <t>نص كيلو ارتكس ابيض</t>
  </si>
  <si>
    <t>نص كيلو ارتكس الوان</t>
  </si>
  <si>
    <t>كيلو ارتكس ابيض</t>
  </si>
  <si>
    <t xml:space="preserve">كيلو ارتكس الوان </t>
  </si>
  <si>
    <t>جالون ارتكس صغير ابيض</t>
  </si>
  <si>
    <t xml:space="preserve">جالون ارتكس صغير الوان </t>
  </si>
  <si>
    <t>جالون ارتكس ابيض دوبل</t>
  </si>
  <si>
    <t>جالون ارتكس اسود دوبل</t>
  </si>
  <si>
    <t>نص كيلو سفير ابيض</t>
  </si>
  <si>
    <t>نص كيلو سفير الوان</t>
  </si>
  <si>
    <t>كيلو سفير ابيض</t>
  </si>
  <si>
    <t>كيلو سفير الوان</t>
  </si>
  <si>
    <t>جالون سفير ابيض صغير</t>
  </si>
  <si>
    <t>جالون سفير الوان صغير</t>
  </si>
  <si>
    <t>جالون سفير دبل ابيض</t>
  </si>
  <si>
    <t xml:space="preserve">نصف كيلو لاكيه سينيتال ابيض </t>
  </si>
  <si>
    <t xml:space="preserve">نصف كيلو لاكيه سينيتال الوان </t>
  </si>
  <si>
    <t>كيلو سينيتال ابيض</t>
  </si>
  <si>
    <t xml:space="preserve">كيلو سينيتال الوان </t>
  </si>
  <si>
    <t>جالون سينيتال صغير ابيض</t>
  </si>
  <si>
    <t>جالون سينيتال صغير الوان</t>
  </si>
  <si>
    <t>جالون سينيتال ابيض دوبل</t>
  </si>
  <si>
    <t xml:space="preserve">كيلو سانيتون ابيض </t>
  </si>
  <si>
    <t>كيلو سانيتون الوان</t>
  </si>
  <si>
    <t>جالون سانيتون مط صغير ابيض</t>
  </si>
  <si>
    <t>جالون سانيتون مط صغير الوان</t>
  </si>
  <si>
    <t>جالون سانيتون مط دوبل ابيض</t>
  </si>
  <si>
    <t>كيلو باكيتون مط باكين</t>
  </si>
  <si>
    <t>جالون باكيتون مط صغير باكين</t>
  </si>
  <si>
    <t>جالون باكيتون مط دوبل باكين</t>
  </si>
  <si>
    <t xml:space="preserve">نصف كيلو ورنيش فلوت </t>
  </si>
  <si>
    <t>كيلو ورنيش فلوت</t>
  </si>
  <si>
    <t>جالون ورنيش فلوت</t>
  </si>
  <si>
    <t>كيلو ورنيش الفنار</t>
  </si>
  <si>
    <t>جالون ورنيش الفنار</t>
  </si>
  <si>
    <t>كيلو سيلر باكين اخشاب</t>
  </si>
  <si>
    <t>جالون سيلر باكين اخشاب</t>
  </si>
  <si>
    <t>كيلو برايمر الصناعيه</t>
  </si>
  <si>
    <t>جالون برايمر الصناعيه</t>
  </si>
  <si>
    <t>بستله برايمر الصناعيه باكين</t>
  </si>
  <si>
    <t>جالون سيلر مائي كويك</t>
  </si>
  <si>
    <t xml:space="preserve">بستله سيلر مائي كويك باكين </t>
  </si>
  <si>
    <t>كيلو زيت الشمس</t>
  </si>
  <si>
    <t>جالون زيت باكين الشمس</t>
  </si>
  <si>
    <t xml:space="preserve">جالون ديركوت 666 </t>
  </si>
  <si>
    <t>بستله دريكوت 666</t>
  </si>
  <si>
    <t>كيلو 777 ابيض</t>
  </si>
  <si>
    <t>كيلو 777 الوان</t>
  </si>
  <si>
    <t>جالون باكين 777 ابيض</t>
  </si>
  <si>
    <t>جالون باكين 777 الوان</t>
  </si>
  <si>
    <t>بستله باكين 777 مط ابيض</t>
  </si>
  <si>
    <t>جالون 888</t>
  </si>
  <si>
    <t>بستله باكين 888 نص لمعه</t>
  </si>
  <si>
    <t>بستله بلاستيك باكين طيبه</t>
  </si>
  <si>
    <t>بستله سيلر حراري باكين</t>
  </si>
  <si>
    <t>نص كيلو قطيفه باكين ماجيكو</t>
  </si>
  <si>
    <t>كيلو قطيفه باكين ماجيكو</t>
  </si>
  <si>
    <t>كيلو سايبس 700</t>
  </si>
  <si>
    <t>سايبس</t>
  </si>
  <si>
    <t>جالون سايبس 700</t>
  </si>
  <si>
    <t>بستله سايبس 700</t>
  </si>
  <si>
    <t>بستله سايبس سيلر مائي 1800</t>
  </si>
  <si>
    <t>كيلو معجون سايبس لاتكس</t>
  </si>
  <si>
    <t>جالون معجون سايبس</t>
  </si>
  <si>
    <t>بستله معجون سايبس</t>
  </si>
  <si>
    <t>شكاره معجون سايبس لاتكس</t>
  </si>
  <si>
    <t>كيلو سايبس 2000</t>
  </si>
  <si>
    <t xml:space="preserve">بستله سايبس 2000 نص لمعه </t>
  </si>
  <si>
    <t>جالون سايبس 2000 نصف لمعه</t>
  </si>
  <si>
    <t>بستله بلاستك سايبس اس 7</t>
  </si>
  <si>
    <t xml:space="preserve">كيلو لاكيه سايبس 905 لامع </t>
  </si>
  <si>
    <t>جالون لاكيه سايبس 905 لامع صغير</t>
  </si>
  <si>
    <t xml:space="preserve">جالون سايبس لاكيه دوبل 905  </t>
  </si>
  <si>
    <t xml:space="preserve">كيلو سيلر حراري جوتن </t>
  </si>
  <si>
    <t>جوتن</t>
  </si>
  <si>
    <t>جالون سيلر حراري يوتن</t>
  </si>
  <si>
    <t xml:space="preserve">بستله سيلر حراري جوتن </t>
  </si>
  <si>
    <t>بستله سيلر جوتاشيلد جوتن</t>
  </si>
  <si>
    <t xml:space="preserve">بستله معجون جوتن ستوكو </t>
  </si>
  <si>
    <t>بستله معجون بريفيكس جوتن</t>
  </si>
  <si>
    <t xml:space="preserve">بستله معجون بلوك فيلر جوتن </t>
  </si>
  <si>
    <t>بستله فينوماستك مط بلاستك جوتن</t>
  </si>
  <si>
    <t>بستله فينوماستك SemiGloss بلاستك جوتن</t>
  </si>
  <si>
    <t xml:space="preserve">بستله فينوماستك برايمر جوتن </t>
  </si>
  <si>
    <t xml:space="preserve">جالون ديروسان اكشن جوتن </t>
  </si>
  <si>
    <t xml:space="preserve">بستله جوتن ديروسان اكشن مط </t>
  </si>
  <si>
    <t>كيلو جوتن كمبيوتر</t>
  </si>
  <si>
    <t>كيلو معجون سكيب البريمو</t>
  </si>
  <si>
    <t>سكيب</t>
  </si>
  <si>
    <t xml:space="preserve">شكاره معجون سكيب البريمو </t>
  </si>
  <si>
    <t xml:space="preserve">بستله معجون سكيب البريمو </t>
  </si>
  <si>
    <t>شكاره معجون اونوشيلد</t>
  </si>
  <si>
    <t xml:space="preserve">بستله سكيب ديكورا </t>
  </si>
  <si>
    <t xml:space="preserve">جالون نبيتي سكيب اكريكوت </t>
  </si>
  <si>
    <t xml:space="preserve">علبه لون بريموكات </t>
  </si>
  <si>
    <t xml:space="preserve">علبه فوم </t>
  </si>
  <si>
    <t>علبه فوم تركي</t>
  </si>
  <si>
    <t>علبه اسبراي غراء بالمصلب صغيره</t>
  </si>
  <si>
    <t>علبه اسبراي غراء بالمصلب كبيره</t>
  </si>
  <si>
    <t xml:space="preserve">علبه اسبراي </t>
  </si>
  <si>
    <t xml:space="preserve">علبه اسبراي فسفوري </t>
  </si>
  <si>
    <t>اسمنت اسود تشطيب</t>
  </si>
  <si>
    <t>اسمنت اسود خرسانه</t>
  </si>
  <si>
    <t>اسمنت ابيض سينا</t>
  </si>
  <si>
    <t>اسمنت ابيض ابو الهول</t>
  </si>
  <si>
    <t>جبس ابيض الملاح</t>
  </si>
  <si>
    <t>جبس ابيض سينا</t>
  </si>
  <si>
    <t>ربع كيلو غراء اوكي</t>
  </si>
  <si>
    <t>نص كيلو غراء اوكي</t>
  </si>
  <si>
    <t>كيلو غراء اوكي</t>
  </si>
  <si>
    <t>انبوبه  سيلكون</t>
  </si>
  <si>
    <t xml:space="preserve">انبوبه  سيلكون عظم </t>
  </si>
  <si>
    <t xml:space="preserve">زجاجه ثنر  </t>
  </si>
  <si>
    <t xml:space="preserve">زجاجه نفط عادي </t>
  </si>
  <si>
    <t xml:space="preserve">زجاجه ماء نار </t>
  </si>
  <si>
    <t xml:space="preserve">زجاجه سبرتو </t>
  </si>
  <si>
    <t>جركن نفط رومي وسط</t>
  </si>
  <si>
    <t>جركن نفط رومي المهندس</t>
  </si>
  <si>
    <t>جركن نفط رومي كبير قاروره</t>
  </si>
  <si>
    <t xml:space="preserve">شكاره ممتاز 120 </t>
  </si>
  <si>
    <t>جركن ثنر دبابه</t>
  </si>
  <si>
    <t xml:space="preserve">جركن ثنر الصاروخين </t>
  </si>
  <si>
    <t>مجموعه عزل سيكا 107</t>
  </si>
  <si>
    <t>كيلو لزق فيوتك</t>
  </si>
  <si>
    <t>جالون لزق فيوتك 3 كيلو</t>
  </si>
  <si>
    <t>جالون لزق فيوتك 5 كيلو</t>
  </si>
  <si>
    <t>جركن سبرتو</t>
  </si>
  <si>
    <t>كيلو معجون شروخ امريكي</t>
  </si>
  <si>
    <t xml:space="preserve">كيلو غراء بنتا اخشاب </t>
  </si>
  <si>
    <t>جالون غراء بنتا</t>
  </si>
  <si>
    <t>بستله غراء بنتا</t>
  </si>
  <si>
    <t>لزق امير سوبر جلو</t>
  </si>
  <si>
    <t xml:space="preserve">قلم دوكو </t>
  </si>
  <si>
    <t>علبه مزيل صدا</t>
  </si>
  <si>
    <t>علبه مزيل صدا WD40</t>
  </si>
  <si>
    <t xml:space="preserve"> ذهبي وفضي و نحاسي السويديه 1/8</t>
  </si>
  <si>
    <t xml:space="preserve">ربع ذهبي ايطالي </t>
  </si>
  <si>
    <t>كيلو اوكسيد صيني</t>
  </si>
  <si>
    <t>كيلو اوكسيد  مصري</t>
  </si>
  <si>
    <t xml:space="preserve">كيلو الوان الالينا حصي جوز </t>
  </si>
  <si>
    <t>ربع كيلو غراء كوله</t>
  </si>
  <si>
    <t>نص كيلو غراء كوله</t>
  </si>
  <si>
    <t>كيلو غراء كوله</t>
  </si>
  <si>
    <t>جالون غرا كوله شعله</t>
  </si>
  <si>
    <t>انبوبه غراء كوله</t>
  </si>
  <si>
    <t xml:space="preserve">كيلو غراء حمص </t>
  </si>
  <si>
    <t xml:space="preserve">علبه لون قورا </t>
  </si>
  <si>
    <t>علبه اسبراي ملمع الكترونيات</t>
  </si>
  <si>
    <t>شكاره FM 1000 Deutsch Color</t>
  </si>
  <si>
    <t xml:space="preserve">شكاره سبيداك </t>
  </si>
  <si>
    <t>شكاره بودره</t>
  </si>
  <si>
    <t xml:space="preserve">شكاره بلانكو </t>
  </si>
  <si>
    <t>كيلو جملكه</t>
  </si>
  <si>
    <t>كيلو جراوت سقيه ب</t>
  </si>
  <si>
    <t xml:space="preserve">شكاره ايزي فيل معجون صغيره </t>
  </si>
  <si>
    <t>بستله بلاك سوبر بلاست</t>
  </si>
  <si>
    <t>كيلو كتان جبس ابيض</t>
  </si>
  <si>
    <t>طوب اسمنتي</t>
  </si>
  <si>
    <t xml:space="preserve">طوب احمر دبل </t>
  </si>
  <si>
    <t>ماده خرطوشه سيكا فليكس</t>
  </si>
  <si>
    <t>شكاره ماده واجهه بنترا اصفر</t>
  </si>
  <si>
    <t>شكاره ماده واجهه بنترا بني</t>
  </si>
  <si>
    <t>شكاره ماده واجهه سعوديه</t>
  </si>
  <si>
    <t xml:space="preserve">جالون سيلر المهندس </t>
  </si>
  <si>
    <t>كيلو سيلر المهندس</t>
  </si>
  <si>
    <t>كيلو ملمع رخام الكره الارضيه</t>
  </si>
  <si>
    <t>ملمع موبيليا اسبريه بليج</t>
  </si>
  <si>
    <t>علبه ملمع نحاس وفضه كبير براسو</t>
  </si>
  <si>
    <t>جالون طينه يبانيه</t>
  </si>
  <si>
    <t xml:space="preserve">كيس طينه يبانيه </t>
  </si>
  <si>
    <t>عربيه رمل 12 متر</t>
  </si>
  <si>
    <t>مجموعه ايرلاك 25 ورنيش</t>
  </si>
  <si>
    <t>ايرلاك</t>
  </si>
  <si>
    <t>مجموعه ايرلاك 45 ورنيش</t>
  </si>
  <si>
    <t>شكاره معجون كناوف اسمنتي</t>
  </si>
  <si>
    <t>شكاره معجون اسمنتي سافيتو</t>
  </si>
  <si>
    <t>سافيتو</t>
  </si>
  <si>
    <t xml:space="preserve">شكاره لزق بورسلين لصق سافيتو </t>
  </si>
  <si>
    <t>شكاره لزق سيراميك سافيتو ابيض 25 ك</t>
  </si>
  <si>
    <t>شكاره لزق سيراميك سافيتو رمادي 25 ك</t>
  </si>
  <si>
    <t xml:space="preserve">جالون سافيتو سقيه </t>
  </si>
  <si>
    <t xml:space="preserve">شكاره سقيه سافيتو 20 ك ابيض </t>
  </si>
  <si>
    <t>كيلو ورنيش بالمصلب 45 % ايرلاك</t>
  </si>
  <si>
    <t>كيلو ورنيش مط دوكو ايرلاك</t>
  </si>
  <si>
    <t>كيلو تيراكو اديبوند</t>
  </si>
  <si>
    <t>تيراكو</t>
  </si>
  <si>
    <t>شكاره سقيه تيراكو 5 كيلو ملون</t>
  </si>
  <si>
    <t xml:space="preserve">كيلو تيراكو شروخ </t>
  </si>
  <si>
    <t xml:space="preserve">كيلو تيراكو لزق فيوتك </t>
  </si>
  <si>
    <t>شكاره ماده واجهه تيراكو</t>
  </si>
  <si>
    <t>جالون بولستر 3 كيلو كابسي</t>
  </si>
  <si>
    <t>كابسي</t>
  </si>
  <si>
    <t>جالون بولستر 4 كيلو كابسي</t>
  </si>
  <si>
    <t>كيلو بولستر كابسي</t>
  </si>
  <si>
    <t xml:space="preserve">كيلو دوكو كابسي </t>
  </si>
  <si>
    <t>جالون دوكو ابيض كابسي لامع</t>
  </si>
  <si>
    <t>جالون دوكو ابيض كابسي مط</t>
  </si>
  <si>
    <t xml:space="preserve">علبه سبغه كابسي </t>
  </si>
  <si>
    <t>كيلو سرفيسر كابسي</t>
  </si>
  <si>
    <t>جالون فيلر سريع كابسي</t>
  </si>
  <si>
    <t>كيلو فيلر سريع كابسي</t>
  </si>
  <si>
    <t xml:space="preserve">كيلو دهبي كابسي لاكيه </t>
  </si>
  <si>
    <t xml:space="preserve">كيلو فضي كابسي لاكيه </t>
  </si>
  <si>
    <t>كيلو لاكيه كابسي ابيض</t>
  </si>
  <si>
    <t>كيلو لاكيه كابسي الوان</t>
  </si>
  <si>
    <t>كيلو لزق رخام كابسي</t>
  </si>
  <si>
    <t>علبه مزيل دهانات كابسي</t>
  </si>
  <si>
    <t xml:space="preserve">نص كيلو لزق رخام كابسي </t>
  </si>
  <si>
    <t>جالون سيلر ميدو</t>
  </si>
  <si>
    <t>ميدو</t>
  </si>
  <si>
    <t xml:space="preserve">كيلو سيلر ميدو  </t>
  </si>
  <si>
    <t>نص كيلو سيلر ميدو</t>
  </si>
  <si>
    <t>جالون ورنيش فينود دوكو</t>
  </si>
  <si>
    <t xml:space="preserve">كيلو ورنيش فينود دوكو </t>
  </si>
  <si>
    <t xml:space="preserve">علبه بولش تلميع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</si>
</sst>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</font>
    <font>
      <b/>
      <sz val="16"/>
      <color theme="1"/>
      <name val="Calibri"/>
    </font>
    <font>
      <b/>
      <sz val="16"/>
      <name val="Calibri"/>
    </font>
    <font>
      <b/>
      <sz val="22"/>
      <color theme="1"/>
      <name val="Calibri"/>
    </font>
    <font>
      <b/>
      <sz val="16"/>
      <name val="Calibri"/>
    </font>
    <font>
      <sz val="16"/>
      <color theme="1"/>
      <name val="Calibri"/>
    </font>
    <font>
      <b/>
      <sz val="16"/>
      <color theme="1"/>
      <name val="Calibri"/>
      <family val="2"/>
    </font>
    <font>
      <b/>
      <sz val="20"/>
      <color theme="1"/>
      <name val="Calibri"/>
      <family val="2"/>
    </font>
    <font>
      <b/>
      <sz val="20"/>
      <color theme="1"/>
      <name val="Calibri"/>
      <family val="2"/>
      <scheme val="minor"/>
    </font>
    <font>
      <b/>
      <sz val="16"/>
      <name val="Calibri"/>
      <family val="2"/>
    </font>
    <font>
      <b/>
      <sz val="16"/>
      <color theme="1"/>
      <name val="Calibri"/>
      <family val="2"/>
      <scheme val="minor"/>
    </font>
    <font>
      <b/>
      <sz val="16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theme="4" tint="0.79985961485641044"/>
        <bgColor indexed="65"/>
      </patternFill>
    </fill>
    <fill>
      <patternFill patternType="solid">
        <fgColor rgb="FFFFFF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0" borderId="1" xfId="0" applyBorder="1"/>
    <xf numFmtId="0" fontId="0" fillId="6" borderId="1" xfId="0" applyFill="1" applyBorder="1"/>
    <xf numFmtId="0" fontId="2" fillId="4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0" borderId="1" xfId="0" applyFont="1" applyBorder="1"/>
    <xf numFmtId="0" fontId="0" fillId="0" borderId="2" xfId="0" applyBorder="1"/>
    <xf numFmtId="0" fontId="4" fillId="2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0" fillId="0" borderId="4" xfId="0" applyBorder="1"/>
    <xf numFmtId="0" fontId="0" fillId="6" borderId="4" xfId="0" applyFill="1" applyBorder="1"/>
    <xf numFmtId="0" fontId="2" fillId="4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1" fontId="2" fillId="5" borderId="1" xfId="0" applyNumberFormat="1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1" fontId="6" fillId="7" borderId="1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7" borderId="5" xfId="0" applyFont="1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0" fontId="8" fillId="9" borderId="5" xfId="0" applyFont="1" applyFill="1" applyBorder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0" fontId="4" fillId="10" borderId="5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9" fillId="10" borderId="5" xfId="0" applyFont="1" applyFill="1" applyBorder="1" applyAlignment="1">
      <alignment horizontal="center" vertical="center"/>
    </xf>
    <xf numFmtId="0" fontId="9" fillId="5" borderId="5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1" fontId="2" fillId="2" borderId="5" xfId="0" applyNumberFormat="1" applyFont="1" applyFill="1" applyBorder="1" applyAlignment="1">
      <alignment horizontal="center" vertical="center"/>
    </xf>
    <xf numFmtId="1" fontId="2" fillId="5" borderId="5" xfId="0" applyNumberFormat="1" applyFont="1" applyFill="1" applyBorder="1" applyAlignment="1">
      <alignment horizontal="center" vertical="center"/>
    </xf>
    <xf numFmtId="0" fontId="4" fillId="11" borderId="5" xfId="0" applyFont="1" applyFill="1" applyBorder="1" applyAlignment="1">
      <alignment horizontal="center" vertical="center"/>
    </xf>
    <xf numFmtId="0" fontId="9" fillId="11" borderId="5" xfId="0" applyFont="1" applyFill="1" applyBorder="1" applyAlignment="1">
      <alignment horizontal="center" vertical="center"/>
    </xf>
    <xf numFmtId="1" fontId="2" fillId="11" borderId="1" xfId="0" applyNumberFormat="1" applyFont="1" applyFill="1" applyBorder="1" applyAlignment="1">
      <alignment horizontal="center" vertical="center"/>
    </xf>
    <xf numFmtId="0" fontId="4" fillId="11" borderId="3" xfId="0" applyFont="1" applyFill="1" applyBorder="1" applyAlignment="1">
      <alignment horizontal="center" vertical="center"/>
    </xf>
    <xf numFmtId="0" fontId="0" fillId="11" borderId="0" xfId="0" applyFill="1"/>
    <xf numFmtId="0" fontId="9" fillId="5" borderId="3" xfId="0" applyFont="1" applyFill="1" applyBorder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1" fontId="2" fillId="11" borderId="5" xfId="0" applyNumberFormat="1" applyFont="1" applyFill="1" applyBorder="1" applyAlignment="1">
      <alignment horizontal="center" vertical="center"/>
    </xf>
    <xf numFmtId="0" fontId="2" fillId="11" borderId="5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11" borderId="3" xfId="0" applyFont="1" applyFill="1" applyBorder="1" applyAlignment="1">
      <alignment horizontal="center" vertical="center"/>
    </xf>
    <xf numFmtId="0" fontId="11" fillId="12" borderId="5" xfId="0" applyFont="1" applyFill="1" applyBorder="1" applyAlignment="1">
      <alignment horizontal="center" vertical="center"/>
    </xf>
    <xf numFmtId="0" fontId="6" fillId="0" borderId="5" xfId="0" applyFont="1" applyBorder="1"/>
    <xf numFmtId="0" fontId="10" fillId="0" borderId="5" xfId="0" applyFont="1" applyBorder="1" applyAlignment="1">
      <alignment horizontal="center" vertical="center"/>
    </xf>
    <xf numFmtId="0" fontId="10" fillId="7" borderId="5" xfId="0" applyFont="1" applyFill="1" applyBorder="1" applyAlignment="1">
      <alignment horizontal="center" vertical="center"/>
    </xf>
    <xf numFmtId="0" fontId="10" fillId="13" borderId="5" xfId="0" applyFont="1" applyFill="1" applyBorder="1" applyAlignment="1">
      <alignment horizontal="center" vertical="center"/>
    </xf>
    <xf numFmtId="0" fontId="10" fillId="9" borderId="5" xfId="0" applyFont="1" applyFill="1" applyBorder="1" applyAlignment="1">
      <alignment horizontal="center" vertical="center"/>
    </xf>
    <xf numFmtId="0" fontId="10" fillId="14" borderId="5" xfId="0" applyFont="1" applyFill="1" applyBorder="1" applyAlignment="1">
      <alignment horizontal="center" vertical="center"/>
    </xf>
    <xf numFmtId="0" fontId="10" fillId="15" borderId="5" xfId="0" applyFont="1" applyFill="1" applyBorder="1" applyAlignment="1">
      <alignment horizontal="center" vertical="center"/>
    </xf>
    <xf numFmtId="0" fontId="6" fillId="16" borderId="5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K752"/>
  <sheetViews>
    <sheetView workbookViewId="0">
      <selection sqref="A1:X1048576"/>
    </sheetView>
  </sheetViews>
  <sheetFormatPr defaultRowHeight="21" x14ac:dyDescent="0.3"/>
  <cols>
    <col min="1" max="1" width="8.88671875" style="16"/>
    <col min="2" max="2" width="18.77734375" style="16" customWidth="1"/>
    <col min="3" max="3" width="73.6640625" style="16" customWidth="1"/>
    <col min="4" max="4" width="20" style="16" customWidth="1"/>
    <col min="5" max="5" width="8.88671875" style="16"/>
    <col min="6" max="6" width="11.6640625" style="16" customWidth="1"/>
    <col min="7" max="7" width="12.44140625" style="16" customWidth="1"/>
    <col min="8" max="8" width="17" style="16" customWidth="1"/>
    <col min="9" max="9" width="14.33203125" style="16" customWidth="1"/>
    <col min="10" max="10" width="13.88671875" style="16" customWidth="1"/>
    <col min="11" max="11" width="16.88671875" style="16" customWidth="1"/>
    <col min="12" max="12" width="8.88671875" style="16"/>
    <col min="13" max="13" width="12.77734375" style="16" customWidth="1"/>
    <col min="14" max="14" width="27.33203125" style="16" customWidth="1"/>
    <col min="15" max="16" width="8.88671875" style="16"/>
    <col min="17" max="17" width="17.21875" style="16" customWidth="1"/>
    <col min="18" max="18" width="14.44140625" style="16" customWidth="1"/>
    <col min="19" max="19" width="15.21875" style="16" customWidth="1"/>
    <col min="20" max="20" width="19.88671875" style="16" customWidth="1"/>
    <col min="21" max="21" width="17.33203125" style="16" customWidth="1"/>
    <col min="22" max="22" width="16.77734375" style="16" customWidth="1"/>
    <col min="23" max="23" width="15.77734375" style="16" customWidth="1"/>
    <col min="24" max="24" width="13.88671875" style="16" customWidth="1"/>
    <col min="25" max="25" width="8.88671875" style="8"/>
  </cols>
  <sheetData>
    <row r="1" spans="1:25" s="3" customFormat="1" ht="17.7" customHeight="1" x14ac:dyDescent="0.3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11"/>
    </row>
    <row r="2" spans="1:25" s="3" customFormat="1" ht="17.7" customHeight="1" x14ac:dyDescent="0.3">
      <c r="A2" s="20">
        <v>1</v>
      </c>
      <c r="B2" s="20">
        <v>8000001</v>
      </c>
      <c r="C2" s="10" t="s">
        <v>24</v>
      </c>
      <c r="D2" s="10" t="s">
        <v>25</v>
      </c>
      <c r="E2" s="10" t="s">
        <v>26</v>
      </c>
      <c r="F2" s="10">
        <v>39.5</v>
      </c>
      <c r="G2" s="10">
        <v>50</v>
      </c>
      <c r="H2" s="10"/>
      <c r="I2" s="10" t="s">
        <v>27</v>
      </c>
      <c r="J2" s="10"/>
      <c r="K2" s="10"/>
      <c r="L2" s="10"/>
      <c r="M2" s="10">
        <f t="shared" ref="M2:M65" si="0">F2-F2*17%</f>
        <v>32.784999999999997</v>
      </c>
      <c r="N2" s="10" t="s">
        <v>28</v>
      </c>
      <c r="O2" s="10" t="s">
        <v>29</v>
      </c>
      <c r="P2" s="10" t="s">
        <v>29</v>
      </c>
      <c r="Q2" s="10"/>
      <c r="R2" s="10"/>
      <c r="S2" s="10"/>
      <c r="T2" s="10"/>
      <c r="U2" s="10"/>
      <c r="V2" s="10"/>
      <c r="W2" s="10"/>
      <c r="X2" s="10" t="s">
        <v>30</v>
      </c>
      <c r="Y2" s="11"/>
    </row>
    <row r="3" spans="1:25" s="3" customFormat="1" ht="17.7" customHeight="1" x14ac:dyDescent="0.3">
      <c r="A3" s="21">
        <v>2</v>
      </c>
      <c r="B3" s="21">
        <v>8000002</v>
      </c>
      <c r="C3" s="9" t="s">
        <v>31</v>
      </c>
      <c r="D3" s="9" t="s">
        <v>25</v>
      </c>
      <c r="E3" s="9" t="s">
        <v>26</v>
      </c>
      <c r="F3" s="9">
        <v>66</v>
      </c>
      <c r="G3" s="9">
        <v>200</v>
      </c>
      <c r="H3" s="9"/>
      <c r="I3" s="9" t="s">
        <v>27</v>
      </c>
      <c r="J3" s="9"/>
      <c r="K3" s="9"/>
      <c r="L3" s="9"/>
      <c r="M3" s="9">
        <f t="shared" si="0"/>
        <v>54.78</v>
      </c>
      <c r="N3" s="9" t="s">
        <v>28</v>
      </c>
      <c r="O3" s="9" t="s">
        <v>29</v>
      </c>
      <c r="P3" s="9" t="s">
        <v>29</v>
      </c>
      <c r="Q3" s="9"/>
      <c r="R3" s="9"/>
      <c r="S3" s="9"/>
      <c r="T3" s="9"/>
      <c r="U3" s="9"/>
      <c r="V3" s="9"/>
      <c r="W3" s="9"/>
      <c r="X3" s="9" t="s">
        <v>30</v>
      </c>
      <c r="Y3" s="11"/>
    </row>
    <row r="4" spans="1:25" s="3" customFormat="1" ht="17.7" customHeight="1" x14ac:dyDescent="0.3">
      <c r="A4" s="20">
        <v>3</v>
      </c>
      <c r="B4" s="20">
        <v>8000003</v>
      </c>
      <c r="C4" s="10" t="s">
        <v>32</v>
      </c>
      <c r="D4" s="10" t="s">
        <v>25</v>
      </c>
      <c r="E4" s="10" t="s">
        <v>26</v>
      </c>
      <c r="F4" s="10">
        <v>94.75</v>
      </c>
      <c r="G4" s="10">
        <v>100</v>
      </c>
      <c r="H4" s="10"/>
      <c r="I4" s="10" t="s">
        <v>27</v>
      </c>
      <c r="J4" s="10"/>
      <c r="K4" s="10"/>
      <c r="L4" s="10"/>
      <c r="M4" s="10">
        <f t="shared" si="0"/>
        <v>78.642499999999998</v>
      </c>
      <c r="N4" s="10" t="s">
        <v>28</v>
      </c>
      <c r="O4" s="10" t="s">
        <v>29</v>
      </c>
      <c r="P4" s="10" t="s">
        <v>29</v>
      </c>
      <c r="Q4" s="10"/>
      <c r="R4" s="10"/>
      <c r="S4" s="10"/>
      <c r="T4" s="10"/>
      <c r="U4" s="10"/>
      <c r="V4" s="10"/>
      <c r="W4" s="10"/>
      <c r="X4" s="10" t="s">
        <v>30</v>
      </c>
      <c r="Y4" s="11"/>
    </row>
    <row r="5" spans="1:25" s="3" customFormat="1" ht="17.7" customHeight="1" x14ac:dyDescent="0.3">
      <c r="A5" s="21">
        <v>4</v>
      </c>
      <c r="B5" s="21">
        <v>8000004</v>
      </c>
      <c r="C5" s="9" t="s">
        <v>33</v>
      </c>
      <c r="D5" s="9" t="s">
        <v>25</v>
      </c>
      <c r="E5" s="9" t="s">
        <v>26</v>
      </c>
      <c r="F5" s="9">
        <v>227</v>
      </c>
      <c r="G5" s="9">
        <v>3</v>
      </c>
      <c r="H5" s="9"/>
      <c r="I5" s="9" t="s">
        <v>27</v>
      </c>
      <c r="J5" s="9"/>
      <c r="K5" s="9"/>
      <c r="L5" s="9"/>
      <c r="M5" s="9">
        <f t="shared" si="0"/>
        <v>188.41</v>
      </c>
      <c r="N5" s="9" t="s">
        <v>28</v>
      </c>
      <c r="O5" s="9" t="s">
        <v>29</v>
      </c>
      <c r="P5" s="9" t="s">
        <v>29</v>
      </c>
      <c r="Q5" s="9"/>
      <c r="R5" s="9"/>
      <c r="S5" s="9"/>
      <c r="T5" s="9"/>
      <c r="U5" s="9"/>
      <c r="V5" s="9"/>
      <c r="W5" s="9"/>
      <c r="X5" s="9" t="s">
        <v>30</v>
      </c>
      <c r="Y5" s="11"/>
    </row>
    <row r="6" spans="1:25" s="3" customFormat="1" ht="17.7" customHeight="1" x14ac:dyDescent="0.3">
      <c r="A6" s="20">
        <v>5</v>
      </c>
      <c r="B6" s="20">
        <v>8000005</v>
      </c>
      <c r="C6" s="10" t="s">
        <v>34</v>
      </c>
      <c r="D6" s="10" t="s">
        <v>25</v>
      </c>
      <c r="E6" s="10" t="s">
        <v>35</v>
      </c>
      <c r="F6" s="10">
        <v>23</v>
      </c>
      <c r="G6" s="10">
        <v>30</v>
      </c>
      <c r="H6" s="10"/>
      <c r="I6" s="10" t="s">
        <v>27</v>
      </c>
      <c r="J6" s="10"/>
      <c r="K6" s="10"/>
      <c r="L6" s="10"/>
      <c r="M6" s="10">
        <f t="shared" si="0"/>
        <v>19.09</v>
      </c>
      <c r="N6" s="10" t="s">
        <v>28</v>
      </c>
      <c r="O6" s="10" t="s">
        <v>29</v>
      </c>
      <c r="P6" s="10" t="s">
        <v>29</v>
      </c>
      <c r="Q6" s="10"/>
      <c r="R6" s="10"/>
      <c r="S6" s="10"/>
      <c r="T6" s="10"/>
      <c r="U6" s="10"/>
      <c r="V6" s="10"/>
      <c r="W6" s="10"/>
      <c r="X6" s="10" t="s">
        <v>30</v>
      </c>
      <c r="Y6" s="11"/>
    </row>
    <row r="7" spans="1:25" s="3" customFormat="1" ht="17.7" customHeight="1" x14ac:dyDescent="0.3">
      <c r="A7" s="21">
        <v>6</v>
      </c>
      <c r="B7" s="21">
        <v>8000006</v>
      </c>
      <c r="C7" s="9" t="s">
        <v>36</v>
      </c>
      <c r="D7" s="9" t="s">
        <v>25</v>
      </c>
      <c r="E7" s="9" t="s">
        <v>35</v>
      </c>
      <c r="F7" s="9">
        <v>29.75</v>
      </c>
      <c r="G7" s="9">
        <v>160</v>
      </c>
      <c r="H7" s="9"/>
      <c r="I7" s="9" t="s">
        <v>27</v>
      </c>
      <c r="J7" s="9"/>
      <c r="K7" s="9"/>
      <c r="L7" s="9"/>
      <c r="M7" s="9">
        <f t="shared" si="0"/>
        <v>24.692499999999999</v>
      </c>
      <c r="N7" s="9" t="s">
        <v>28</v>
      </c>
      <c r="O7" s="9" t="s">
        <v>29</v>
      </c>
      <c r="P7" s="9" t="s">
        <v>29</v>
      </c>
      <c r="Q7" s="9"/>
      <c r="R7" s="9"/>
      <c r="S7" s="9"/>
      <c r="T7" s="9"/>
      <c r="U7" s="9"/>
      <c r="V7" s="9"/>
      <c r="W7" s="9"/>
      <c r="X7" s="9" t="s">
        <v>30</v>
      </c>
      <c r="Y7" s="11"/>
    </row>
    <row r="8" spans="1:25" s="3" customFormat="1" ht="17.7" customHeight="1" x14ac:dyDescent="0.3">
      <c r="A8" s="20">
        <v>7</v>
      </c>
      <c r="B8" s="20">
        <v>8000007</v>
      </c>
      <c r="C8" s="10" t="s">
        <v>37</v>
      </c>
      <c r="D8" s="10" t="s">
        <v>25</v>
      </c>
      <c r="E8" s="10" t="s">
        <v>35</v>
      </c>
      <c r="F8" s="10">
        <v>53.75</v>
      </c>
      <c r="G8" s="10">
        <v>50</v>
      </c>
      <c r="H8" s="10"/>
      <c r="I8" s="10" t="s">
        <v>27</v>
      </c>
      <c r="J8" s="10"/>
      <c r="K8" s="10"/>
      <c r="L8" s="10"/>
      <c r="M8" s="10">
        <f t="shared" si="0"/>
        <v>44.612499999999997</v>
      </c>
      <c r="N8" s="10" t="s">
        <v>28</v>
      </c>
      <c r="O8" s="10" t="s">
        <v>29</v>
      </c>
      <c r="P8" s="10" t="s">
        <v>29</v>
      </c>
      <c r="Q8" s="10"/>
      <c r="R8" s="10"/>
      <c r="S8" s="10"/>
      <c r="T8" s="10"/>
      <c r="U8" s="10"/>
      <c r="V8" s="10"/>
      <c r="W8" s="10"/>
      <c r="X8" s="10" t="s">
        <v>30</v>
      </c>
      <c r="Y8" s="11"/>
    </row>
    <row r="9" spans="1:25" s="3" customFormat="1" ht="17.7" customHeight="1" x14ac:dyDescent="0.3">
      <c r="A9" s="21">
        <v>8</v>
      </c>
      <c r="B9" s="21">
        <v>8000008</v>
      </c>
      <c r="C9" s="9" t="s">
        <v>38</v>
      </c>
      <c r="D9" s="9" t="s">
        <v>25</v>
      </c>
      <c r="E9" s="9" t="s">
        <v>35</v>
      </c>
      <c r="F9" s="9">
        <v>169.75</v>
      </c>
      <c r="G9" s="9">
        <v>5</v>
      </c>
      <c r="H9" s="9"/>
      <c r="I9" s="9" t="s">
        <v>27</v>
      </c>
      <c r="J9" s="9"/>
      <c r="K9" s="9"/>
      <c r="L9" s="9"/>
      <c r="M9" s="9">
        <f t="shared" si="0"/>
        <v>140.89249999999998</v>
      </c>
      <c r="N9" s="9" t="s">
        <v>28</v>
      </c>
      <c r="O9" s="9" t="s">
        <v>29</v>
      </c>
      <c r="P9" s="9" t="s">
        <v>29</v>
      </c>
      <c r="Q9" s="9"/>
      <c r="R9" s="9"/>
      <c r="S9" s="9"/>
      <c r="T9" s="9"/>
      <c r="U9" s="9"/>
      <c r="V9" s="9"/>
      <c r="W9" s="9"/>
      <c r="X9" s="9" t="s">
        <v>30</v>
      </c>
      <c r="Y9" s="11"/>
    </row>
    <row r="10" spans="1:25" s="3" customFormat="1" ht="17.7" customHeight="1" x14ac:dyDescent="0.3">
      <c r="A10" s="20">
        <v>9</v>
      </c>
      <c r="B10" s="20">
        <v>8000009</v>
      </c>
      <c r="C10" s="10" t="s">
        <v>39</v>
      </c>
      <c r="D10" s="10" t="s">
        <v>25</v>
      </c>
      <c r="E10" s="10" t="s">
        <v>35</v>
      </c>
      <c r="F10" s="10">
        <v>15.75</v>
      </c>
      <c r="G10" s="10">
        <v>30</v>
      </c>
      <c r="H10" s="10"/>
      <c r="I10" s="10" t="s">
        <v>27</v>
      </c>
      <c r="J10" s="10"/>
      <c r="K10" s="10"/>
      <c r="L10" s="10"/>
      <c r="M10" s="10">
        <f t="shared" si="0"/>
        <v>13.0725</v>
      </c>
      <c r="N10" s="10" t="s">
        <v>28</v>
      </c>
      <c r="O10" s="10" t="s">
        <v>29</v>
      </c>
      <c r="P10" s="10" t="s">
        <v>29</v>
      </c>
      <c r="Q10" s="10"/>
      <c r="R10" s="10"/>
      <c r="S10" s="10"/>
      <c r="T10" s="10"/>
      <c r="U10" s="10"/>
      <c r="V10" s="10"/>
      <c r="W10" s="10"/>
      <c r="X10" s="10" t="s">
        <v>30</v>
      </c>
      <c r="Y10" s="11"/>
    </row>
    <row r="11" spans="1:25" s="3" customFormat="1" ht="17.7" customHeight="1" x14ac:dyDescent="0.3">
      <c r="A11" s="21">
        <v>10</v>
      </c>
      <c r="B11" s="21">
        <v>8000010</v>
      </c>
      <c r="C11" s="9" t="s">
        <v>40</v>
      </c>
      <c r="D11" s="9" t="s">
        <v>25</v>
      </c>
      <c r="E11" s="9" t="s">
        <v>35</v>
      </c>
      <c r="F11" s="9">
        <v>22</v>
      </c>
      <c r="G11" s="9">
        <v>160</v>
      </c>
      <c r="H11" s="9"/>
      <c r="I11" s="9" t="s">
        <v>27</v>
      </c>
      <c r="J11" s="9"/>
      <c r="K11" s="9"/>
      <c r="L11" s="9"/>
      <c r="M11" s="9">
        <f t="shared" si="0"/>
        <v>18.259999999999998</v>
      </c>
      <c r="N11" s="9" t="s">
        <v>28</v>
      </c>
      <c r="O11" s="9" t="s">
        <v>29</v>
      </c>
      <c r="P11" s="9" t="s">
        <v>29</v>
      </c>
      <c r="Q11" s="9"/>
      <c r="R11" s="9"/>
      <c r="S11" s="9"/>
      <c r="T11" s="9"/>
      <c r="U11" s="9"/>
      <c r="V11" s="9"/>
      <c r="W11" s="9"/>
      <c r="X11" s="9" t="s">
        <v>30</v>
      </c>
      <c r="Y11" s="11"/>
    </row>
    <row r="12" spans="1:25" s="3" customFormat="1" ht="17.7" customHeight="1" x14ac:dyDescent="0.3">
      <c r="A12" s="20">
        <v>11</v>
      </c>
      <c r="B12" s="20">
        <v>8000011</v>
      </c>
      <c r="C12" s="10" t="s">
        <v>41</v>
      </c>
      <c r="D12" s="10" t="s">
        <v>25</v>
      </c>
      <c r="E12" s="10" t="s">
        <v>35</v>
      </c>
      <c r="F12" s="10">
        <v>42</v>
      </c>
      <c r="G12" s="10">
        <v>30</v>
      </c>
      <c r="H12" s="10"/>
      <c r="I12" s="10" t="s">
        <v>27</v>
      </c>
      <c r="J12" s="10"/>
      <c r="K12" s="10"/>
      <c r="L12" s="10"/>
      <c r="M12" s="10">
        <f t="shared" si="0"/>
        <v>34.86</v>
      </c>
      <c r="N12" s="10" t="s">
        <v>28</v>
      </c>
      <c r="O12" s="10" t="s">
        <v>29</v>
      </c>
      <c r="P12" s="10" t="s">
        <v>29</v>
      </c>
      <c r="Q12" s="10"/>
      <c r="R12" s="10"/>
      <c r="S12" s="10"/>
      <c r="T12" s="10"/>
      <c r="U12" s="10"/>
      <c r="V12" s="10"/>
      <c r="W12" s="10"/>
      <c r="X12" s="10" t="s">
        <v>30</v>
      </c>
      <c r="Y12" s="11"/>
    </row>
    <row r="13" spans="1:25" s="3" customFormat="1" ht="17.7" customHeight="1" x14ac:dyDescent="0.3">
      <c r="A13" s="21">
        <v>12</v>
      </c>
      <c r="B13" s="21">
        <v>8000012</v>
      </c>
      <c r="C13" s="9" t="s">
        <v>42</v>
      </c>
      <c r="D13" s="9" t="s">
        <v>25</v>
      </c>
      <c r="E13" s="9" t="s">
        <v>35</v>
      </c>
      <c r="F13" s="9">
        <v>154.5</v>
      </c>
      <c r="G13" s="9">
        <v>5</v>
      </c>
      <c r="H13" s="9"/>
      <c r="I13" s="9" t="s">
        <v>27</v>
      </c>
      <c r="J13" s="9"/>
      <c r="K13" s="9"/>
      <c r="L13" s="9"/>
      <c r="M13" s="9">
        <f t="shared" si="0"/>
        <v>128.23500000000001</v>
      </c>
      <c r="N13" s="9" t="s">
        <v>28</v>
      </c>
      <c r="O13" s="9" t="s">
        <v>29</v>
      </c>
      <c r="P13" s="9" t="s">
        <v>29</v>
      </c>
      <c r="Q13" s="9"/>
      <c r="R13" s="9"/>
      <c r="S13" s="9"/>
      <c r="T13" s="9"/>
      <c r="U13" s="9"/>
      <c r="V13" s="9"/>
      <c r="W13" s="9"/>
      <c r="X13" s="9" t="s">
        <v>30</v>
      </c>
      <c r="Y13" s="11"/>
    </row>
    <row r="14" spans="1:25" s="3" customFormat="1" ht="17.7" customHeight="1" x14ac:dyDescent="0.3">
      <c r="A14" s="20">
        <v>13</v>
      </c>
      <c r="B14" s="20">
        <v>8000013</v>
      </c>
      <c r="C14" s="10" t="s">
        <v>43</v>
      </c>
      <c r="D14" s="10" t="s">
        <v>25</v>
      </c>
      <c r="E14" s="10" t="s">
        <v>35</v>
      </c>
      <c r="F14" s="10">
        <v>27</v>
      </c>
      <c r="G14" s="10">
        <v>30</v>
      </c>
      <c r="H14" s="10"/>
      <c r="I14" s="10" t="s">
        <v>27</v>
      </c>
      <c r="J14" s="10"/>
      <c r="K14" s="10"/>
      <c r="L14" s="10"/>
      <c r="M14" s="10">
        <f t="shared" si="0"/>
        <v>22.41</v>
      </c>
      <c r="N14" s="10" t="s">
        <v>28</v>
      </c>
      <c r="O14" s="10" t="s">
        <v>29</v>
      </c>
      <c r="P14" s="10" t="s">
        <v>29</v>
      </c>
      <c r="Q14" s="10"/>
      <c r="R14" s="10"/>
      <c r="S14" s="10"/>
      <c r="T14" s="10"/>
      <c r="U14" s="10"/>
      <c r="V14" s="10"/>
      <c r="W14" s="10"/>
      <c r="X14" s="10" t="s">
        <v>30</v>
      </c>
      <c r="Y14" s="11"/>
    </row>
    <row r="15" spans="1:25" s="3" customFormat="1" ht="17.7" customHeight="1" x14ac:dyDescent="0.3">
      <c r="A15" s="21">
        <v>14</v>
      </c>
      <c r="B15" s="21">
        <v>8000014</v>
      </c>
      <c r="C15" s="9" t="s">
        <v>44</v>
      </c>
      <c r="D15" s="9" t="s">
        <v>25</v>
      </c>
      <c r="E15" s="9" t="s">
        <v>35</v>
      </c>
      <c r="F15" s="9">
        <v>30.5</v>
      </c>
      <c r="G15" s="9">
        <v>160</v>
      </c>
      <c r="H15" s="9"/>
      <c r="I15" s="9" t="s">
        <v>27</v>
      </c>
      <c r="J15" s="9"/>
      <c r="K15" s="9"/>
      <c r="L15" s="9"/>
      <c r="M15" s="9">
        <f t="shared" si="0"/>
        <v>25.314999999999998</v>
      </c>
      <c r="N15" s="9" t="s">
        <v>28</v>
      </c>
      <c r="O15" s="9" t="s">
        <v>29</v>
      </c>
      <c r="P15" s="9" t="s">
        <v>29</v>
      </c>
      <c r="Q15" s="9"/>
      <c r="R15" s="9"/>
      <c r="S15" s="9"/>
      <c r="T15" s="9"/>
      <c r="U15" s="9"/>
      <c r="V15" s="9"/>
      <c r="W15" s="9"/>
      <c r="X15" s="9" t="s">
        <v>30</v>
      </c>
      <c r="Y15" s="11"/>
    </row>
    <row r="16" spans="1:25" s="3" customFormat="1" ht="17.7" customHeight="1" x14ac:dyDescent="0.3">
      <c r="A16" s="20">
        <v>15</v>
      </c>
      <c r="B16" s="20">
        <v>8000015</v>
      </c>
      <c r="C16" s="10" t="s">
        <v>45</v>
      </c>
      <c r="D16" s="10" t="s">
        <v>25</v>
      </c>
      <c r="E16" s="10" t="s">
        <v>35</v>
      </c>
      <c r="F16" s="10">
        <v>45.5</v>
      </c>
      <c r="G16" s="10">
        <v>30</v>
      </c>
      <c r="H16" s="10"/>
      <c r="I16" s="10" t="s">
        <v>27</v>
      </c>
      <c r="J16" s="10"/>
      <c r="K16" s="10"/>
      <c r="L16" s="10"/>
      <c r="M16" s="10">
        <f t="shared" si="0"/>
        <v>37.765000000000001</v>
      </c>
      <c r="N16" s="10" t="s">
        <v>28</v>
      </c>
      <c r="O16" s="10" t="s">
        <v>29</v>
      </c>
      <c r="P16" s="10" t="s">
        <v>29</v>
      </c>
      <c r="Q16" s="10"/>
      <c r="R16" s="10"/>
      <c r="S16" s="10"/>
      <c r="T16" s="10"/>
      <c r="U16" s="10"/>
      <c r="V16" s="10"/>
      <c r="W16" s="10"/>
      <c r="X16" s="10" t="s">
        <v>30</v>
      </c>
      <c r="Y16" s="11"/>
    </row>
    <row r="17" spans="1:25" s="3" customFormat="1" ht="17.7" customHeight="1" x14ac:dyDescent="0.3">
      <c r="A17" s="21">
        <v>16</v>
      </c>
      <c r="B17" s="21">
        <v>8000016</v>
      </c>
      <c r="C17" s="9" t="s">
        <v>46</v>
      </c>
      <c r="D17" s="9" t="s">
        <v>25</v>
      </c>
      <c r="E17" s="9" t="s">
        <v>35</v>
      </c>
      <c r="F17" s="9">
        <v>160.5</v>
      </c>
      <c r="G17" s="9">
        <v>5</v>
      </c>
      <c r="H17" s="9"/>
      <c r="I17" s="9" t="s">
        <v>27</v>
      </c>
      <c r="J17" s="9"/>
      <c r="K17" s="9"/>
      <c r="L17" s="9"/>
      <c r="M17" s="9">
        <f t="shared" si="0"/>
        <v>133.215</v>
      </c>
      <c r="N17" s="9" t="s">
        <v>28</v>
      </c>
      <c r="O17" s="9" t="s">
        <v>29</v>
      </c>
      <c r="P17" s="9" t="s">
        <v>29</v>
      </c>
      <c r="Q17" s="9"/>
      <c r="R17" s="9"/>
      <c r="S17" s="9"/>
      <c r="T17" s="9"/>
      <c r="U17" s="9"/>
      <c r="V17" s="9"/>
      <c r="W17" s="9"/>
      <c r="X17" s="9" t="s">
        <v>30</v>
      </c>
      <c r="Y17" s="11"/>
    </row>
    <row r="18" spans="1:25" s="3" customFormat="1" ht="17.7" customHeight="1" x14ac:dyDescent="0.3">
      <c r="A18" s="20">
        <v>17</v>
      </c>
      <c r="B18" s="20">
        <v>8000017</v>
      </c>
      <c r="C18" s="10" t="s">
        <v>47</v>
      </c>
      <c r="D18" s="10" t="s">
        <v>25</v>
      </c>
      <c r="E18" s="10" t="s">
        <v>35</v>
      </c>
      <c r="F18" s="10">
        <v>16</v>
      </c>
      <c r="G18" s="10">
        <v>10</v>
      </c>
      <c r="H18" s="10"/>
      <c r="I18" s="10" t="s">
        <v>27</v>
      </c>
      <c r="J18" s="10"/>
      <c r="K18" s="10"/>
      <c r="L18" s="10"/>
      <c r="M18" s="10">
        <f t="shared" si="0"/>
        <v>13.28</v>
      </c>
      <c r="N18" s="10" t="s">
        <v>28</v>
      </c>
      <c r="O18" s="10" t="s">
        <v>29</v>
      </c>
      <c r="P18" s="10" t="s">
        <v>29</v>
      </c>
      <c r="Q18" s="10"/>
      <c r="R18" s="10"/>
      <c r="S18" s="10"/>
      <c r="T18" s="10"/>
      <c r="U18" s="10"/>
      <c r="V18" s="10"/>
      <c r="W18" s="10"/>
      <c r="X18" s="10" t="s">
        <v>30</v>
      </c>
      <c r="Y18" s="11"/>
    </row>
    <row r="19" spans="1:25" s="3" customFormat="1" ht="17.7" customHeight="1" x14ac:dyDescent="0.3">
      <c r="A19" s="21">
        <v>18</v>
      </c>
      <c r="B19" s="21">
        <v>8000018</v>
      </c>
      <c r="C19" s="9" t="s">
        <v>48</v>
      </c>
      <c r="D19" s="9" t="s">
        <v>25</v>
      </c>
      <c r="E19" s="9" t="s">
        <v>35</v>
      </c>
      <c r="F19" s="9">
        <v>17.75</v>
      </c>
      <c r="G19" s="9">
        <v>100</v>
      </c>
      <c r="H19" s="9"/>
      <c r="I19" s="9" t="s">
        <v>27</v>
      </c>
      <c r="J19" s="9"/>
      <c r="K19" s="9"/>
      <c r="L19" s="9"/>
      <c r="M19" s="9">
        <f t="shared" si="0"/>
        <v>14.7325</v>
      </c>
      <c r="N19" s="9" t="s">
        <v>28</v>
      </c>
      <c r="O19" s="9" t="s">
        <v>29</v>
      </c>
      <c r="P19" s="9" t="s">
        <v>29</v>
      </c>
      <c r="Q19" s="9"/>
      <c r="R19" s="9"/>
      <c r="S19" s="9"/>
      <c r="T19" s="9"/>
      <c r="U19" s="9"/>
      <c r="V19" s="9"/>
      <c r="W19" s="9"/>
      <c r="X19" s="9" t="s">
        <v>30</v>
      </c>
      <c r="Y19" s="11"/>
    </row>
    <row r="20" spans="1:25" s="3" customFormat="1" ht="17.7" customHeight="1" x14ac:dyDescent="0.3">
      <c r="A20" s="20">
        <v>19</v>
      </c>
      <c r="B20" s="20">
        <v>8000019</v>
      </c>
      <c r="C20" s="10" t="s">
        <v>49</v>
      </c>
      <c r="D20" s="10" t="s">
        <v>25</v>
      </c>
      <c r="E20" s="10" t="s">
        <v>35</v>
      </c>
      <c r="F20" s="10">
        <v>30.25</v>
      </c>
      <c r="G20" s="10">
        <v>30</v>
      </c>
      <c r="H20" s="10"/>
      <c r="I20" s="10" t="s">
        <v>27</v>
      </c>
      <c r="J20" s="10"/>
      <c r="K20" s="10"/>
      <c r="L20" s="10"/>
      <c r="M20" s="10">
        <f t="shared" si="0"/>
        <v>25.107500000000002</v>
      </c>
      <c r="N20" s="10" t="s">
        <v>28</v>
      </c>
      <c r="O20" s="10" t="s">
        <v>29</v>
      </c>
      <c r="P20" s="10" t="s">
        <v>29</v>
      </c>
      <c r="Q20" s="10"/>
      <c r="R20" s="10"/>
      <c r="S20" s="10"/>
      <c r="T20" s="10"/>
      <c r="U20" s="10"/>
      <c r="V20" s="10"/>
      <c r="W20" s="10"/>
      <c r="X20" s="10" t="s">
        <v>30</v>
      </c>
      <c r="Y20" s="11"/>
    </row>
    <row r="21" spans="1:25" s="3" customFormat="1" ht="17.7" customHeight="1" x14ac:dyDescent="0.3">
      <c r="A21" s="21">
        <v>20</v>
      </c>
      <c r="B21" s="21">
        <v>8000020</v>
      </c>
      <c r="C21" s="9" t="s">
        <v>50</v>
      </c>
      <c r="D21" s="9" t="s">
        <v>25</v>
      </c>
      <c r="E21" s="9" t="s">
        <v>35</v>
      </c>
      <c r="F21" s="9">
        <v>93.25</v>
      </c>
      <c r="G21" s="9">
        <v>5</v>
      </c>
      <c r="H21" s="9"/>
      <c r="I21" s="9" t="s">
        <v>27</v>
      </c>
      <c r="J21" s="9"/>
      <c r="K21" s="9"/>
      <c r="L21" s="9"/>
      <c r="M21" s="9">
        <f t="shared" si="0"/>
        <v>77.397499999999994</v>
      </c>
      <c r="N21" s="9" t="s">
        <v>28</v>
      </c>
      <c r="O21" s="9" t="s">
        <v>29</v>
      </c>
      <c r="P21" s="9" t="s">
        <v>29</v>
      </c>
      <c r="Q21" s="9"/>
      <c r="R21" s="9"/>
      <c r="S21" s="9"/>
      <c r="T21" s="9"/>
      <c r="U21" s="9"/>
      <c r="V21" s="9"/>
      <c r="W21" s="9"/>
      <c r="X21" s="9" t="s">
        <v>30</v>
      </c>
      <c r="Y21" s="11"/>
    </row>
    <row r="22" spans="1:25" s="3" customFormat="1" ht="17.7" customHeight="1" x14ac:dyDescent="0.3">
      <c r="A22" s="20">
        <v>21</v>
      </c>
      <c r="B22" s="20">
        <v>8000021</v>
      </c>
      <c r="C22" s="10" t="s">
        <v>51</v>
      </c>
      <c r="D22" s="10" t="s">
        <v>25</v>
      </c>
      <c r="E22" s="10" t="s">
        <v>35</v>
      </c>
      <c r="F22" s="10">
        <v>125.75</v>
      </c>
      <c r="G22" s="10">
        <v>160</v>
      </c>
      <c r="H22" s="10"/>
      <c r="I22" s="10" t="s">
        <v>27</v>
      </c>
      <c r="J22" s="10"/>
      <c r="K22" s="10"/>
      <c r="L22" s="10"/>
      <c r="M22" s="10">
        <f t="shared" si="0"/>
        <v>104.3725</v>
      </c>
      <c r="N22" s="10" t="s">
        <v>28</v>
      </c>
      <c r="O22" s="10" t="s">
        <v>29</v>
      </c>
      <c r="P22" s="10" t="s">
        <v>29</v>
      </c>
      <c r="Q22" s="10"/>
      <c r="R22" s="10"/>
      <c r="S22" s="10"/>
      <c r="T22" s="10"/>
      <c r="U22" s="10"/>
      <c r="V22" s="10"/>
      <c r="W22" s="10"/>
      <c r="X22" s="10" t="s">
        <v>30</v>
      </c>
      <c r="Y22" s="11"/>
    </row>
    <row r="23" spans="1:25" s="3" customFormat="1" ht="17.7" customHeight="1" x14ac:dyDescent="0.3">
      <c r="A23" s="21">
        <v>22</v>
      </c>
      <c r="B23" s="21">
        <v>8000022</v>
      </c>
      <c r="C23" s="9" t="s">
        <v>52</v>
      </c>
      <c r="D23" s="9" t="s">
        <v>25</v>
      </c>
      <c r="E23" s="9" t="s">
        <v>35</v>
      </c>
      <c r="F23" s="9">
        <v>227.25</v>
      </c>
      <c r="G23" s="9">
        <v>30</v>
      </c>
      <c r="H23" s="9"/>
      <c r="I23" s="9" t="s">
        <v>27</v>
      </c>
      <c r="J23" s="9"/>
      <c r="K23" s="9"/>
      <c r="L23" s="9"/>
      <c r="M23" s="9">
        <f t="shared" si="0"/>
        <v>188.61750000000001</v>
      </c>
      <c r="N23" s="9" t="s">
        <v>28</v>
      </c>
      <c r="O23" s="9" t="s">
        <v>29</v>
      </c>
      <c r="P23" s="9" t="s">
        <v>29</v>
      </c>
      <c r="Q23" s="9"/>
      <c r="R23" s="9"/>
      <c r="S23" s="9"/>
      <c r="T23" s="9"/>
      <c r="U23" s="9"/>
      <c r="V23" s="9"/>
      <c r="W23" s="9"/>
      <c r="X23" s="9" t="s">
        <v>30</v>
      </c>
      <c r="Y23" s="11"/>
    </row>
    <row r="24" spans="1:25" s="3" customFormat="1" ht="17.7" customHeight="1" x14ac:dyDescent="0.3">
      <c r="A24" s="20">
        <v>23</v>
      </c>
      <c r="B24" s="20">
        <v>8000023</v>
      </c>
      <c r="C24" s="10" t="s">
        <v>53</v>
      </c>
      <c r="D24" s="10" t="s">
        <v>25</v>
      </c>
      <c r="E24" s="10" t="s">
        <v>35</v>
      </c>
      <c r="F24" s="10">
        <v>387.5</v>
      </c>
      <c r="G24" s="10">
        <v>10</v>
      </c>
      <c r="H24" s="10"/>
      <c r="I24" s="10" t="s">
        <v>27</v>
      </c>
      <c r="J24" s="10"/>
      <c r="K24" s="10"/>
      <c r="L24" s="10"/>
      <c r="M24" s="10">
        <f t="shared" si="0"/>
        <v>321.625</v>
      </c>
      <c r="N24" s="10" t="s">
        <v>28</v>
      </c>
      <c r="O24" s="10" t="s">
        <v>29</v>
      </c>
      <c r="P24" s="10" t="s">
        <v>29</v>
      </c>
      <c r="Q24" s="10"/>
      <c r="R24" s="10"/>
      <c r="S24" s="10"/>
      <c r="T24" s="10"/>
      <c r="U24" s="10"/>
      <c r="V24" s="10"/>
      <c r="W24" s="10"/>
      <c r="X24" s="10" t="s">
        <v>30</v>
      </c>
      <c r="Y24" s="11"/>
    </row>
    <row r="25" spans="1:25" s="3" customFormat="1" ht="17.7" customHeight="1" x14ac:dyDescent="0.3">
      <c r="A25" s="21">
        <v>24</v>
      </c>
      <c r="B25" s="21">
        <v>8000024</v>
      </c>
      <c r="C25" s="9" t="s">
        <v>54</v>
      </c>
      <c r="D25" s="9" t="s">
        <v>25</v>
      </c>
      <c r="E25" s="9" t="s">
        <v>35</v>
      </c>
      <c r="F25" s="9">
        <v>185</v>
      </c>
      <c r="G25" s="9">
        <v>10</v>
      </c>
      <c r="H25" s="9"/>
      <c r="I25" s="9" t="s">
        <v>27</v>
      </c>
      <c r="J25" s="9"/>
      <c r="K25" s="9"/>
      <c r="L25" s="9"/>
      <c r="M25" s="9">
        <f t="shared" si="0"/>
        <v>153.55000000000001</v>
      </c>
      <c r="N25" s="9" t="s">
        <v>28</v>
      </c>
      <c r="O25" s="9" t="s">
        <v>29</v>
      </c>
      <c r="P25" s="9" t="s">
        <v>29</v>
      </c>
      <c r="Q25" s="9"/>
      <c r="R25" s="9"/>
      <c r="S25" s="9"/>
      <c r="T25" s="9"/>
      <c r="U25" s="9"/>
      <c r="V25" s="9"/>
      <c r="W25" s="9"/>
      <c r="X25" s="9" t="s">
        <v>30</v>
      </c>
      <c r="Y25" s="11"/>
    </row>
    <row r="26" spans="1:25" s="3" customFormat="1" ht="17.7" customHeight="1" x14ac:dyDescent="0.3">
      <c r="A26" s="20">
        <v>25</v>
      </c>
      <c r="B26" s="20">
        <v>8000025</v>
      </c>
      <c r="C26" s="10" t="s">
        <v>55</v>
      </c>
      <c r="D26" s="10" t="s">
        <v>25</v>
      </c>
      <c r="E26" s="10" t="s">
        <v>35</v>
      </c>
      <c r="F26" s="10">
        <v>167</v>
      </c>
      <c r="G26" s="10">
        <v>160</v>
      </c>
      <c r="H26" s="10"/>
      <c r="I26" s="10" t="s">
        <v>27</v>
      </c>
      <c r="J26" s="10"/>
      <c r="K26" s="10"/>
      <c r="L26" s="10"/>
      <c r="M26" s="10">
        <f t="shared" si="0"/>
        <v>138.61000000000001</v>
      </c>
      <c r="N26" s="10" t="s">
        <v>28</v>
      </c>
      <c r="O26" s="10" t="s">
        <v>29</v>
      </c>
      <c r="P26" s="10" t="s">
        <v>29</v>
      </c>
      <c r="Q26" s="10"/>
      <c r="R26" s="10"/>
      <c r="S26" s="10"/>
      <c r="T26" s="10"/>
      <c r="U26" s="10"/>
      <c r="V26" s="10"/>
      <c r="W26" s="10"/>
      <c r="X26" s="10" t="s">
        <v>30</v>
      </c>
      <c r="Y26" s="11"/>
    </row>
    <row r="27" spans="1:25" s="3" customFormat="1" ht="17.7" customHeight="1" x14ac:dyDescent="0.3">
      <c r="A27" s="21">
        <v>26</v>
      </c>
      <c r="B27" s="21">
        <v>8000026</v>
      </c>
      <c r="C27" s="9" t="s">
        <v>56</v>
      </c>
      <c r="D27" s="9" t="s">
        <v>25</v>
      </c>
      <c r="E27" s="9" t="s">
        <v>35</v>
      </c>
      <c r="F27" s="9">
        <v>315.25</v>
      </c>
      <c r="G27" s="9">
        <v>50</v>
      </c>
      <c r="H27" s="9"/>
      <c r="I27" s="9" t="s">
        <v>27</v>
      </c>
      <c r="J27" s="9"/>
      <c r="K27" s="9"/>
      <c r="L27" s="9"/>
      <c r="M27" s="9">
        <f t="shared" si="0"/>
        <v>261.65750000000003</v>
      </c>
      <c r="N27" s="9" t="s">
        <v>28</v>
      </c>
      <c r="O27" s="9" t="s">
        <v>29</v>
      </c>
      <c r="P27" s="9" t="s">
        <v>29</v>
      </c>
      <c r="Q27" s="9"/>
      <c r="R27" s="9"/>
      <c r="S27" s="9"/>
      <c r="T27" s="9"/>
      <c r="U27" s="9"/>
      <c r="V27" s="9"/>
      <c r="W27" s="9"/>
      <c r="X27" s="9" t="s">
        <v>30</v>
      </c>
      <c r="Y27" s="11"/>
    </row>
    <row r="28" spans="1:25" s="3" customFormat="1" ht="17.7" customHeight="1" x14ac:dyDescent="0.3">
      <c r="A28" s="20">
        <v>27</v>
      </c>
      <c r="B28" s="20">
        <v>8000027</v>
      </c>
      <c r="C28" s="10" t="s">
        <v>57</v>
      </c>
      <c r="D28" s="10" t="s">
        <v>25</v>
      </c>
      <c r="E28" s="10" t="s">
        <v>35</v>
      </c>
      <c r="F28" s="10">
        <v>446.25</v>
      </c>
      <c r="G28" s="10">
        <v>10</v>
      </c>
      <c r="H28" s="10"/>
      <c r="I28" s="10" t="s">
        <v>27</v>
      </c>
      <c r="J28" s="10"/>
      <c r="K28" s="10"/>
      <c r="L28" s="10"/>
      <c r="M28" s="10">
        <f t="shared" si="0"/>
        <v>370.38749999999999</v>
      </c>
      <c r="N28" s="10" t="s">
        <v>28</v>
      </c>
      <c r="O28" s="10" t="s">
        <v>29</v>
      </c>
      <c r="P28" s="10" t="s">
        <v>29</v>
      </c>
      <c r="Q28" s="10"/>
      <c r="R28" s="10"/>
      <c r="S28" s="10"/>
      <c r="T28" s="10"/>
      <c r="U28" s="10"/>
      <c r="V28" s="10"/>
      <c r="W28" s="10"/>
      <c r="X28" s="10" t="s">
        <v>30</v>
      </c>
      <c r="Y28" s="11"/>
    </row>
    <row r="29" spans="1:25" s="3" customFormat="1" ht="17.7" customHeight="1" x14ac:dyDescent="0.3">
      <c r="A29" s="21">
        <v>28</v>
      </c>
      <c r="B29" s="21">
        <v>8000028</v>
      </c>
      <c r="C29" s="9" t="s">
        <v>58</v>
      </c>
      <c r="D29" s="9" t="s">
        <v>25</v>
      </c>
      <c r="E29" s="9" t="s">
        <v>35</v>
      </c>
      <c r="F29" s="9">
        <v>240.25</v>
      </c>
      <c r="G29" s="9">
        <v>10</v>
      </c>
      <c r="H29" s="9"/>
      <c r="I29" s="9" t="s">
        <v>27</v>
      </c>
      <c r="J29" s="9"/>
      <c r="K29" s="9"/>
      <c r="L29" s="9"/>
      <c r="M29" s="9">
        <f t="shared" si="0"/>
        <v>199.4075</v>
      </c>
      <c r="N29" s="9" t="s">
        <v>28</v>
      </c>
      <c r="O29" s="9" t="s">
        <v>29</v>
      </c>
      <c r="P29" s="9" t="s">
        <v>29</v>
      </c>
      <c r="Q29" s="9"/>
      <c r="R29" s="9"/>
      <c r="S29" s="9"/>
      <c r="T29" s="9"/>
      <c r="U29" s="9"/>
      <c r="V29" s="9"/>
      <c r="W29" s="9"/>
      <c r="X29" s="9" t="s">
        <v>30</v>
      </c>
      <c r="Y29" s="11"/>
    </row>
    <row r="30" spans="1:25" s="3" customFormat="1" ht="17.7" customHeight="1" x14ac:dyDescent="0.3">
      <c r="A30" s="20">
        <v>29</v>
      </c>
      <c r="B30" s="20">
        <v>8000029</v>
      </c>
      <c r="C30" s="10" t="s">
        <v>59</v>
      </c>
      <c r="D30" s="10" t="s">
        <v>25</v>
      </c>
      <c r="E30" s="10" t="s">
        <v>35</v>
      </c>
      <c r="F30" s="10">
        <v>8</v>
      </c>
      <c r="G30" s="10">
        <v>200</v>
      </c>
      <c r="H30" s="10"/>
      <c r="I30" s="10" t="s">
        <v>27</v>
      </c>
      <c r="J30" s="10"/>
      <c r="K30" s="10"/>
      <c r="L30" s="10"/>
      <c r="M30" s="10">
        <f t="shared" si="0"/>
        <v>6.64</v>
      </c>
      <c r="N30" s="10" t="s">
        <v>28</v>
      </c>
      <c r="O30" s="10" t="s">
        <v>29</v>
      </c>
      <c r="P30" s="10" t="s">
        <v>29</v>
      </c>
      <c r="Q30" s="10"/>
      <c r="R30" s="10"/>
      <c r="S30" s="10"/>
      <c r="T30" s="10"/>
      <c r="U30" s="10"/>
      <c r="V30" s="10"/>
      <c r="W30" s="10"/>
      <c r="X30" s="10" t="s">
        <v>30</v>
      </c>
      <c r="Y30" s="11"/>
    </row>
    <row r="31" spans="1:25" s="3" customFormat="1" ht="17.7" customHeight="1" x14ac:dyDescent="0.3">
      <c r="A31" s="21">
        <v>30</v>
      </c>
      <c r="B31" s="21">
        <v>8000030</v>
      </c>
      <c r="C31" s="9" t="s">
        <v>60</v>
      </c>
      <c r="D31" s="9" t="s">
        <v>25</v>
      </c>
      <c r="E31" s="9" t="s">
        <v>35</v>
      </c>
      <c r="F31" s="9">
        <v>640.25</v>
      </c>
      <c r="G31" s="9">
        <v>10</v>
      </c>
      <c r="H31" s="9"/>
      <c r="I31" s="9" t="s">
        <v>27</v>
      </c>
      <c r="J31" s="9"/>
      <c r="K31" s="9"/>
      <c r="L31" s="9"/>
      <c r="M31" s="9">
        <f t="shared" si="0"/>
        <v>531.40750000000003</v>
      </c>
      <c r="N31" s="9" t="s">
        <v>28</v>
      </c>
      <c r="O31" s="9" t="s">
        <v>29</v>
      </c>
      <c r="P31" s="9" t="s">
        <v>29</v>
      </c>
      <c r="Q31" s="9"/>
      <c r="R31" s="9"/>
      <c r="S31" s="9"/>
      <c r="T31" s="9"/>
      <c r="U31" s="9"/>
      <c r="V31" s="9"/>
      <c r="W31" s="9"/>
      <c r="X31" s="9" t="s">
        <v>30</v>
      </c>
      <c r="Y31" s="11"/>
    </row>
    <row r="32" spans="1:25" s="3" customFormat="1" ht="17.7" customHeight="1" x14ac:dyDescent="0.3">
      <c r="A32" s="20">
        <v>31</v>
      </c>
      <c r="B32" s="20">
        <v>8000031</v>
      </c>
      <c r="C32" s="10" t="s">
        <v>61</v>
      </c>
      <c r="D32" s="10" t="s">
        <v>25</v>
      </c>
      <c r="E32" s="10" t="s">
        <v>35</v>
      </c>
      <c r="F32" s="10">
        <v>590</v>
      </c>
      <c r="G32" s="10">
        <v>10</v>
      </c>
      <c r="H32" s="10"/>
      <c r="I32" s="10" t="s">
        <v>27</v>
      </c>
      <c r="J32" s="10"/>
      <c r="K32" s="10"/>
      <c r="L32" s="10"/>
      <c r="M32" s="10">
        <f t="shared" si="0"/>
        <v>489.7</v>
      </c>
      <c r="N32" s="10" t="s">
        <v>62</v>
      </c>
      <c r="O32" s="10" t="s">
        <v>29</v>
      </c>
      <c r="P32" s="10" t="s">
        <v>29</v>
      </c>
      <c r="Q32" s="10"/>
      <c r="R32" s="10"/>
      <c r="S32" s="10"/>
      <c r="T32" s="10"/>
      <c r="U32" s="10"/>
      <c r="V32" s="10"/>
      <c r="W32" s="10"/>
      <c r="X32" s="10" t="s">
        <v>30</v>
      </c>
      <c r="Y32" s="11"/>
    </row>
    <row r="33" spans="1:25" s="3" customFormat="1" ht="17.7" customHeight="1" x14ac:dyDescent="0.3">
      <c r="A33" s="21">
        <v>32</v>
      </c>
      <c r="B33" s="21">
        <v>8000032</v>
      </c>
      <c r="C33" s="9" t="s">
        <v>63</v>
      </c>
      <c r="D33" s="9" t="s">
        <v>25</v>
      </c>
      <c r="E33" s="9" t="s">
        <v>35</v>
      </c>
      <c r="F33" s="9">
        <v>174.5</v>
      </c>
      <c r="G33" s="9">
        <v>10</v>
      </c>
      <c r="H33" s="9"/>
      <c r="I33" s="9" t="s">
        <v>27</v>
      </c>
      <c r="J33" s="9"/>
      <c r="K33" s="9"/>
      <c r="L33" s="9"/>
      <c r="M33" s="9">
        <f t="shared" si="0"/>
        <v>144.83500000000001</v>
      </c>
      <c r="N33" s="9" t="s">
        <v>64</v>
      </c>
      <c r="O33" s="9" t="s">
        <v>29</v>
      </c>
      <c r="P33" s="9" t="s">
        <v>29</v>
      </c>
      <c r="Q33" s="9"/>
      <c r="R33" s="9"/>
      <c r="S33" s="9"/>
      <c r="T33" s="9"/>
      <c r="U33" s="9"/>
      <c r="V33" s="9"/>
      <c r="W33" s="9"/>
      <c r="X33" s="9" t="s">
        <v>30</v>
      </c>
      <c r="Y33" s="11"/>
    </row>
    <row r="34" spans="1:25" s="3" customFormat="1" ht="17.7" customHeight="1" x14ac:dyDescent="0.3">
      <c r="A34" s="20">
        <v>33</v>
      </c>
      <c r="B34" s="20">
        <v>8000033</v>
      </c>
      <c r="C34" s="10" t="s">
        <v>65</v>
      </c>
      <c r="D34" s="10" t="s">
        <v>25</v>
      </c>
      <c r="E34" s="10" t="s">
        <v>35</v>
      </c>
      <c r="F34" s="10">
        <v>138.25</v>
      </c>
      <c r="G34" s="10">
        <v>5</v>
      </c>
      <c r="H34" s="10"/>
      <c r="I34" s="10" t="s">
        <v>27</v>
      </c>
      <c r="J34" s="10"/>
      <c r="K34" s="10"/>
      <c r="L34" s="10"/>
      <c r="M34" s="10">
        <f t="shared" si="0"/>
        <v>114.7475</v>
      </c>
      <c r="N34" s="10" t="s">
        <v>28</v>
      </c>
      <c r="O34" s="10" t="s">
        <v>29</v>
      </c>
      <c r="P34" s="10" t="s">
        <v>29</v>
      </c>
      <c r="Q34" s="10"/>
      <c r="R34" s="10"/>
      <c r="S34" s="10"/>
      <c r="T34" s="10"/>
      <c r="U34" s="10"/>
      <c r="V34" s="10"/>
      <c r="W34" s="10"/>
      <c r="X34" s="10" t="s">
        <v>30</v>
      </c>
      <c r="Y34" s="11"/>
    </row>
    <row r="35" spans="1:25" s="3" customFormat="1" ht="17.7" customHeight="1" x14ac:dyDescent="0.3">
      <c r="A35" s="21">
        <v>34</v>
      </c>
      <c r="B35" s="21">
        <v>8000034</v>
      </c>
      <c r="C35" s="9" t="s">
        <v>66</v>
      </c>
      <c r="D35" s="9" t="s">
        <v>25</v>
      </c>
      <c r="E35" s="9" t="s">
        <v>35</v>
      </c>
      <c r="F35" s="9">
        <v>23.75</v>
      </c>
      <c r="G35" s="9">
        <v>10</v>
      </c>
      <c r="H35" s="9"/>
      <c r="I35" s="9" t="s">
        <v>27</v>
      </c>
      <c r="J35" s="9"/>
      <c r="K35" s="9"/>
      <c r="L35" s="9"/>
      <c r="M35" s="9">
        <f t="shared" si="0"/>
        <v>19.712499999999999</v>
      </c>
      <c r="N35" s="9" t="s">
        <v>28</v>
      </c>
      <c r="O35" s="9" t="s">
        <v>29</v>
      </c>
      <c r="P35" s="9" t="s">
        <v>29</v>
      </c>
      <c r="Q35" s="9"/>
      <c r="R35" s="9"/>
      <c r="S35" s="9"/>
      <c r="T35" s="9"/>
      <c r="U35" s="9"/>
      <c r="V35" s="9"/>
      <c r="W35" s="9"/>
      <c r="X35" s="9" t="s">
        <v>30</v>
      </c>
      <c r="Y35" s="11"/>
    </row>
    <row r="36" spans="1:25" s="3" customFormat="1" ht="17.7" customHeight="1" x14ac:dyDescent="0.3">
      <c r="A36" s="20">
        <v>35</v>
      </c>
      <c r="B36" s="20">
        <v>8000035</v>
      </c>
      <c r="C36" s="10" t="s">
        <v>67</v>
      </c>
      <c r="D36" s="10" t="s">
        <v>25</v>
      </c>
      <c r="E36" s="10" t="s">
        <v>35</v>
      </c>
      <c r="F36" s="10">
        <v>32.25</v>
      </c>
      <c r="G36" s="10">
        <v>50</v>
      </c>
      <c r="H36" s="10"/>
      <c r="I36" s="10" t="s">
        <v>27</v>
      </c>
      <c r="J36" s="10"/>
      <c r="K36" s="10"/>
      <c r="L36" s="10"/>
      <c r="M36" s="10">
        <f t="shared" si="0"/>
        <v>26.767499999999998</v>
      </c>
      <c r="N36" s="10" t="s">
        <v>28</v>
      </c>
      <c r="O36" s="10" t="s">
        <v>29</v>
      </c>
      <c r="P36" s="10" t="s">
        <v>29</v>
      </c>
      <c r="Q36" s="10"/>
      <c r="R36" s="10"/>
      <c r="S36" s="10"/>
      <c r="T36" s="10"/>
      <c r="U36" s="10"/>
      <c r="V36" s="10"/>
      <c r="W36" s="10"/>
      <c r="X36" s="10" t="s">
        <v>30</v>
      </c>
      <c r="Y36" s="11"/>
    </row>
    <row r="37" spans="1:25" s="3" customFormat="1" ht="17.7" customHeight="1" x14ac:dyDescent="0.3">
      <c r="A37" s="21">
        <v>36</v>
      </c>
      <c r="B37" s="21">
        <v>8000036</v>
      </c>
      <c r="C37" s="9" t="s">
        <v>68</v>
      </c>
      <c r="D37" s="9" t="s">
        <v>25</v>
      </c>
      <c r="E37" s="9" t="s">
        <v>35</v>
      </c>
      <c r="F37" s="9">
        <v>31.25</v>
      </c>
      <c r="G37" s="9">
        <v>50</v>
      </c>
      <c r="H37" s="9"/>
      <c r="I37" s="9" t="s">
        <v>27</v>
      </c>
      <c r="J37" s="9"/>
      <c r="K37" s="9"/>
      <c r="L37" s="9"/>
      <c r="M37" s="9">
        <f t="shared" si="0"/>
        <v>25.9375</v>
      </c>
      <c r="N37" s="9" t="s">
        <v>28</v>
      </c>
      <c r="O37" s="9" t="s">
        <v>29</v>
      </c>
      <c r="P37" s="9" t="s">
        <v>29</v>
      </c>
      <c r="Q37" s="9"/>
      <c r="R37" s="9"/>
      <c r="S37" s="9"/>
      <c r="T37" s="9"/>
      <c r="U37" s="9"/>
      <c r="V37" s="9"/>
      <c r="W37" s="9"/>
      <c r="X37" s="9" t="s">
        <v>30</v>
      </c>
      <c r="Y37" s="11"/>
    </row>
    <row r="38" spans="1:25" s="3" customFormat="1" ht="17.7" customHeight="1" x14ac:dyDescent="0.3">
      <c r="A38" s="20">
        <v>37</v>
      </c>
      <c r="B38" s="20">
        <v>8000037</v>
      </c>
      <c r="C38" s="10" t="s">
        <v>69</v>
      </c>
      <c r="D38" s="10" t="s">
        <v>25</v>
      </c>
      <c r="E38" s="10" t="s">
        <v>35</v>
      </c>
      <c r="F38" s="10">
        <v>50.25</v>
      </c>
      <c r="G38" s="10">
        <v>30</v>
      </c>
      <c r="H38" s="10"/>
      <c r="I38" s="10" t="s">
        <v>27</v>
      </c>
      <c r="J38" s="10"/>
      <c r="K38" s="10"/>
      <c r="L38" s="10"/>
      <c r="M38" s="10">
        <f t="shared" si="0"/>
        <v>41.707499999999996</v>
      </c>
      <c r="N38" s="10" t="s">
        <v>28</v>
      </c>
      <c r="O38" s="10" t="s">
        <v>29</v>
      </c>
      <c r="P38" s="10" t="s">
        <v>29</v>
      </c>
      <c r="Q38" s="10"/>
      <c r="R38" s="10"/>
      <c r="S38" s="10"/>
      <c r="T38" s="10"/>
      <c r="U38" s="10"/>
      <c r="V38" s="10"/>
      <c r="W38" s="10"/>
      <c r="X38" s="10" t="s">
        <v>30</v>
      </c>
      <c r="Y38" s="11"/>
    </row>
    <row r="39" spans="1:25" s="3" customFormat="1" ht="17.7" customHeight="1" x14ac:dyDescent="0.3">
      <c r="A39" s="21">
        <v>38</v>
      </c>
      <c r="B39" s="21">
        <v>8000038</v>
      </c>
      <c r="C39" s="9" t="s">
        <v>70</v>
      </c>
      <c r="D39" s="9" t="s">
        <v>25</v>
      </c>
      <c r="E39" s="9" t="s">
        <v>35</v>
      </c>
      <c r="F39" s="9">
        <v>44</v>
      </c>
      <c r="G39" s="9">
        <v>0</v>
      </c>
      <c r="H39" s="9"/>
      <c r="I39" s="9" t="s">
        <v>27</v>
      </c>
      <c r="J39" s="9"/>
      <c r="K39" s="9"/>
      <c r="L39" s="9"/>
      <c r="M39" s="9">
        <f t="shared" si="0"/>
        <v>36.519999999999996</v>
      </c>
      <c r="N39" s="9" t="s">
        <v>28</v>
      </c>
      <c r="O39" s="9" t="s">
        <v>29</v>
      </c>
      <c r="P39" s="9" t="s">
        <v>29</v>
      </c>
      <c r="Q39" s="9"/>
      <c r="R39" s="9"/>
      <c r="S39" s="9"/>
      <c r="T39" s="9"/>
      <c r="U39" s="9"/>
      <c r="V39" s="9"/>
      <c r="W39" s="9"/>
      <c r="X39" s="9" t="s">
        <v>30</v>
      </c>
      <c r="Y39" s="11"/>
    </row>
    <row r="40" spans="1:25" s="3" customFormat="1" ht="17.7" customHeight="1" x14ac:dyDescent="0.3">
      <c r="A40" s="20">
        <v>39</v>
      </c>
      <c r="B40" s="20">
        <v>8000039</v>
      </c>
      <c r="C40" s="10" t="s">
        <v>71</v>
      </c>
      <c r="D40" s="10" t="s">
        <v>25</v>
      </c>
      <c r="E40" s="10" t="s">
        <v>35</v>
      </c>
      <c r="F40" s="10">
        <v>18.5</v>
      </c>
      <c r="G40" s="10">
        <v>10</v>
      </c>
      <c r="H40" s="10"/>
      <c r="I40" s="10" t="s">
        <v>27</v>
      </c>
      <c r="J40" s="10"/>
      <c r="K40" s="10"/>
      <c r="L40" s="10"/>
      <c r="M40" s="10">
        <f t="shared" si="0"/>
        <v>15.355</v>
      </c>
      <c r="N40" s="10" t="s">
        <v>28</v>
      </c>
      <c r="O40" s="10" t="s">
        <v>29</v>
      </c>
      <c r="P40" s="10" t="s">
        <v>29</v>
      </c>
      <c r="Q40" s="10"/>
      <c r="R40" s="10"/>
      <c r="S40" s="10"/>
      <c r="T40" s="10"/>
      <c r="U40" s="10"/>
      <c r="V40" s="10"/>
      <c r="W40" s="10"/>
      <c r="X40" s="10" t="s">
        <v>30</v>
      </c>
      <c r="Y40" s="11"/>
    </row>
    <row r="41" spans="1:25" s="3" customFormat="1" ht="17.7" customHeight="1" x14ac:dyDescent="0.3">
      <c r="A41" s="21">
        <v>40</v>
      </c>
      <c r="B41" s="21">
        <v>8000040</v>
      </c>
      <c r="C41" s="9" t="s">
        <v>72</v>
      </c>
      <c r="D41" s="9" t="s">
        <v>25</v>
      </c>
      <c r="E41" s="9" t="s">
        <v>35</v>
      </c>
      <c r="F41" s="9">
        <v>22.25</v>
      </c>
      <c r="G41" s="9">
        <v>100</v>
      </c>
      <c r="H41" s="9"/>
      <c r="I41" s="9" t="s">
        <v>27</v>
      </c>
      <c r="J41" s="9"/>
      <c r="K41" s="9"/>
      <c r="L41" s="9"/>
      <c r="M41" s="9">
        <f t="shared" si="0"/>
        <v>18.467500000000001</v>
      </c>
      <c r="N41" s="9" t="s">
        <v>28</v>
      </c>
      <c r="O41" s="9" t="s">
        <v>29</v>
      </c>
      <c r="P41" s="9" t="s">
        <v>29</v>
      </c>
      <c r="Q41" s="9"/>
      <c r="R41" s="9"/>
      <c r="S41" s="9"/>
      <c r="T41" s="9"/>
      <c r="U41" s="9"/>
      <c r="V41" s="9"/>
      <c r="W41" s="9"/>
      <c r="X41" s="9" t="s">
        <v>30</v>
      </c>
      <c r="Y41" s="11"/>
    </row>
    <row r="42" spans="1:25" s="3" customFormat="1" ht="17.7" customHeight="1" x14ac:dyDescent="0.3">
      <c r="A42" s="20">
        <v>41</v>
      </c>
      <c r="B42" s="20">
        <v>8000041</v>
      </c>
      <c r="C42" s="10" t="s">
        <v>73</v>
      </c>
      <c r="D42" s="10" t="s">
        <v>25</v>
      </c>
      <c r="E42" s="10" t="s">
        <v>35</v>
      </c>
      <c r="F42" s="10">
        <v>35.75</v>
      </c>
      <c r="G42" s="10">
        <v>50</v>
      </c>
      <c r="H42" s="10"/>
      <c r="I42" s="10" t="s">
        <v>27</v>
      </c>
      <c r="J42" s="10"/>
      <c r="K42" s="10"/>
      <c r="L42" s="10"/>
      <c r="M42" s="10">
        <f t="shared" si="0"/>
        <v>29.672499999999999</v>
      </c>
      <c r="N42" s="10" t="s">
        <v>28</v>
      </c>
      <c r="O42" s="10" t="s">
        <v>29</v>
      </c>
      <c r="P42" s="10" t="s">
        <v>29</v>
      </c>
      <c r="Q42" s="10"/>
      <c r="R42" s="10"/>
      <c r="S42" s="10"/>
      <c r="T42" s="10"/>
      <c r="U42" s="10"/>
      <c r="V42" s="10"/>
      <c r="W42" s="10"/>
      <c r="X42" s="10" t="s">
        <v>30</v>
      </c>
      <c r="Y42" s="11"/>
    </row>
    <row r="43" spans="1:25" s="3" customFormat="1" ht="17.7" customHeight="1" x14ac:dyDescent="0.3">
      <c r="A43" s="21">
        <v>42</v>
      </c>
      <c r="B43" s="21">
        <v>8000042</v>
      </c>
      <c r="C43" s="9" t="s">
        <v>74</v>
      </c>
      <c r="D43" s="9" t="s">
        <v>25</v>
      </c>
      <c r="E43" s="9" t="s">
        <v>35</v>
      </c>
      <c r="F43" s="9">
        <v>68.75</v>
      </c>
      <c r="G43" s="9">
        <v>30</v>
      </c>
      <c r="H43" s="9"/>
      <c r="I43" s="9" t="s">
        <v>27</v>
      </c>
      <c r="J43" s="9"/>
      <c r="K43" s="9"/>
      <c r="L43" s="9"/>
      <c r="M43" s="9">
        <f t="shared" si="0"/>
        <v>57.0625</v>
      </c>
      <c r="N43" s="9" t="s">
        <v>28</v>
      </c>
      <c r="O43" s="9" t="s">
        <v>29</v>
      </c>
      <c r="P43" s="9" t="s">
        <v>29</v>
      </c>
      <c r="Q43" s="9"/>
      <c r="R43" s="9"/>
      <c r="S43" s="9"/>
      <c r="T43" s="9"/>
      <c r="U43" s="9"/>
      <c r="V43" s="9"/>
      <c r="W43" s="9"/>
      <c r="X43" s="9" t="s">
        <v>30</v>
      </c>
      <c r="Y43" s="11"/>
    </row>
    <row r="44" spans="1:25" s="3" customFormat="1" ht="17.7" customHeight="1" x14ac:dyDescent="0.3">
      <c r="A44" s="20">
        <v>43</v>
      </c>
      <c r="B44" s="20">
        <v>8000043</v>
      </c>
      <c r="C44" s="10" t="s">
        <v>75</v>
      </c>
      <c r="D44" s="10" t="s">
        <v>25</v>
      </c>
      <c r="E44" s="10" t="s">
        <v>35</v>
      </c>
      <c r="F44" s="10">
        <v>46.25</v>
      </c>
      <c r="G44" s="10">
        <v>10</v>
      </c>
      <c r="H44" s="10"/>
      <c r="I44" s="10" t="s">
        <v>27</v>
      </c>
      <c r="J44" s="10"/>
      <c r="K44" s="10"/>
      <c r="L44" s="10"/>
      <c r="M44" s="10">
        <f t="shared" si="0"/>
        <v>38.387500000000003</v>
      </c>
      <c r="N44" s="10" t="s">
        <v>28</v>
      </c>
      <c r="O44" s="10" t="s">
        <v>29</v>
      </c>
      <c r="P44" s="10" t="s">
        <v>29</v>
      </c>
      <c r="Q44" s="10"/>
      <c r="R44" s="10"/>
      <c r="S44" s="10"/>
      <c r="T44" s="10"/>
      <c r="U44" s="10"/>
      <c r="V44" s="10"/>
      <c r="W44" s="10"/>
      <c r="X44" s="10" t="s">
        <v>30</v>
      </c>
      <c r="Y44" s="11"/>
    </row>
    <row r="45" spans="1:25" s="3" customFormat="1" ht="17.7" customHeight="1" x14ac:dyDescent="0.3">
      <c r="A45" s="21">
        <v>44</v>
      </c>
      <c r="B45" s="21">
        <v>8000044</v>
      </c>
      <c r="C45" s="9" t="s">
        <v>76</v>
      </c>
      <c r="D45" s="9" t="s">
        <v>25</v>
      </c>
      <c r="E45" s="9" t="s">
        <v>35</v>
      </c>
      <c r="F45" s="9">
        <v>152</v>
      </c>
      <c r="G45" s="9">
        <v>100</v>
      </c>
      <c r="H45" s="9"/>
      <c r="I45" s="9" t="s">
        <v>27</v>
      </c>
      <c r="J45" s="9"/>
      <c r="K45" s="9"/>
      <c r="L45" s="9"/>
      <c r="M45" s="9">
        <f t="shared" si="0"/>
        <v>126.16</v>
      </c>
      <c r="N45" s="9" t="s">
        <v>28</v>
      </c>
      <c r="O45" s="9" t="s">
        <v>29</v>
      </c>
      <c r="P45" s="9" t="s">
        <v>29</v>
      </c>
      <c r="Q45" s="9"/>
      <c r="R45" s="9"/>
      <c r="S45" s="9"/>
      <c r="T45" s="9"/>
      <c r="U45" s="9"/>
      <c r="V45" s="9"/>
      <c r="W45" s="9"/>
      <c r="X45" s="9" t="s">
        <v>30</v>
      </c>
      <c r="Y45" s="11"/>
    </row>
    <row r="46" spans="1:25" s="3" customFormat="1" ht="17.7" customHeight="1" x14ac:dyDescent="0.3">
      <c r="A46" s="20">
        <v>45</v>
      </c>
      <c r="B46" s="20">
        <v>8000045</v>
      </c>
      <c r="C46" s="10" t="s">
        <v>77</v>
      </c>
      <c r="D46" s="10" t="s">
        <v>25</v>
      </c>
      <c r="E46" s="10" t="s">
        <v>35</v>
      </c>
      <c r="F46" s="10">
        <v>252</v>
      </c>
      <c r="G46" s="10">
        <v>50</v>
      </c>
      <c r="H46" s="10"/>
      <c r="I46" s="10" t="s">
        <v>27</v>
      </c>
      <c r="J46" s="10"/>
      <c r="K46" s="10"/>
      <c r="L46" s="10"/>
      <c r="M46" s="10">
        <f t="shared" si="0"/>
        <v>209.16</v>
      </c>
      <c r="N46" s="10" t="s">
        <v>28</v>
      </c>
      <c r="O46" s="10" t="s">
        <v>29</v>
      </c>
      <c r="P46" s="10" t="s">
        <v>29</v>
      </c>
      <c r="Q46" s="10"/>
      <c r="R46" s="10"/>
      <c r="S46" s="10"/>
      <c r="T46" s="10"/>
      <c r="U46" s="10"/>
      <c r="V46" s="10"/>
      <c r="W46" s="10"/>
      <c r="X46" s="10" t="s">
        <v>30</v>
      </c>
      <c r="Y46" s="11"/>
    </row>
    <row r="47" spans="1:25" s="3" customFormat="1" ht="17.7" customHeight="1" x14ac:dyDescent="0.3">
      <c r="A47" s="21">
        <v>46</v>
      </c>
      <c r="B47" s="21">
        <v>8000046</v>
      </c>
      <c r="C47" s="9" t="s">
        <v>78</v>
      </c>
      <c r="D47" s="9" t="s">
        <v>25</v>
      </c>
      <c r="E47" s="9" t="s">
        <v>35</v>
      </c>
      <c r="F47" s="9">
        <v>346.25</v>
      </c>
      <c r="G47" s="9">
        <v>10</v>
      </c>
      <c r="H47" s="9"/>
      <c r="I47" s="9" t="s">
        <v>27</v>
      </c>
      <c r="J47" s="9"/>
      <c r="K47" s="9"/>
      <c r="L47" s="9"/>
      <c r="M47" s="9">
        <f t="shared" si="0"/>
        <v>287.38749999999999</v>
      </c>
      <c r="N47" s="9" t="s">
        <v>28</v>
      </c>
      <c r="O47" s="9" t="s">
        <v>29</v>
      </c>
      <c r="P47" s="9" t="s">
        <v>29</v>
      </c>
      <c r="Q47" s="9"/>
      <c r="R47" s="9"/>
      <c r="S47" s="9"/>
      <c r="T47" s="9"/>
      <c r="U47" s="9"/>
      <c r="V47" s="9"/>
      <c r="W47" s="9"/>
      <c r="X47" s="9" t="s">
        <v>30</v>
      </c>
      <c r="Y47" s="11"/>
    </row>
    <row r="48" spans="1:25" s="3" customFormat="1" ht="17.7" customHeight="1" x14ac:dyDescent="0.3">
      <c r="A48" s="20">
        <v>47</v>
      </c>
      <c r="B48" s="20">
        <v>8000047</v>
      </c>
      <c r="C48" s="10" t="s">
        <v>79</v>
      </c>
      <c r="D48" s="10" t="s">
        <v>25</v>
      </c>
      <c r="E48" s="10" t="s">
        <v>35</v>
      </c>
      <c r="F48" s="10">
        <v>163.75</v>
      </c>
      <c r="G48" s="10">
        <v>10</v>
      </c>
      <c r="H48" s="10"/>
      <c r="I48" s="10" t="s">
        <v>27</v>
      </c>
      <c r="J48" s="10"/>
      <c r="K48" s="10"/>
      <c r="L48" s="10"/>
      <c r="M48" s="10">
        <f t="shared" si="0"/>
        <v>135.91249999999999</v>
      </c>
      <c r="N48" s="10" t="s">
        <v>28</v>
      </c>
      <c r="O48" s="10" t="s">
        <v>29</v>
      </c>
      <c r="P48" s="10" t="s">
        <v>29</v>
      </c>
      <c r="Q48" s="10"/>
      <c r="R48" s="10"/>
      <c r="S48" s="10"/>
      <c r="T48" s="10"/>
      <c r="U48" s="10"/>
      <c r="V48" s="10"/>
      <c r="W48" s="10"/>
      <c r="X48" s="10" t="s">
        <v>30</v>
      </c>
      <c r="Y48" s="11"/>
    </row>
    <row r="49" spans="1:25" s="3" customFormat="1" ht="17.7" customHeight="1" x14ac:dyDescent="0.3">
      <c r="A49" s="21">
        <v>48</v>
      </c>
      <c r="B49" s="21">
        <v>8000048</v>
      </c>
      <c r="C49" s="9" t="s">
        <v>80</v>
      </c>
      <c r="D49" s="9" t="s">
        <v>25</v>
      </c>
      <c r="E49" s="9" t="s">
        <v>35</v>
      </c>
      <c r="F49" s="9">
        <v>168.75</v>
      </c>
      <c r="G49" s="9">
        <v>30</v>
      </c>
      <c r="H49" s="9"/>
      <c r="I49" s="9" t="s">
        <v>27</v>
      </c>
      <c r="J49" s="9"/>
      <c r="K49" s="9"/>
      <c r="L49" s="9"/>
      <c r="M49" s="9">
        <f t="shared" si="0"/>
        <v>140.0625</v>
      </c>
      <c r="N49" s="9" t="s">
        <v>28</v>
      </c>
      <c r="O49" s="9" t="s">
        <v>29</v>
      </c>
      <c r="P49" s="9" t="s">
        <v>29</v>
      </c>
      <c r="Q49" s="9"/>
      <c r="R49" s="9"/>
      <c r="S49" s="9"/>
      <c r="T49" s="9"/>
      <c r="U49" s="9"/>
      <c r="V49" s="9"/>
      <c r="W49" s="9"/>
      <c r="X49" s="9" t="s">
        <v>30</v>
      </c>
      <c r="Y49" s="11"/>
    </row>
    <row r="50" spans="1:25" s="3" customFormat="1" ht="17.7" customHeight="1" x14ac:dyDescent="0.3">
      <c r="A50" s="20">
        <v>49</v>
      </c>
      <c r="B50" s="20">
        <v>8000049</v>
      </c>
      <c r="C50" s="10" t="s">
        <v>81</v>
      </c>
      <c r="D50" s="10" t="s">
        <v>25</v>
      </c>
      <c r="E50" s="10" t="s">
        <v>35</v>
      </c>
      <c r="F50" s="10">
        <v>265.75</v>
      </c>
      <c r="G50" s="10">
        <v>10</v>
      </c>
      <c r="H50" s="10"/>
      <c r="I50" s="10" t="s">
        <v>27</v>
      </c>
      <c r="J50" s="10"/>
      <c r="K50" s="10"/>
      <c r="L50" s="10"/>
      <c r="M50" s="10">
        <f t="shared" si="0"/>
        <v>220.57249999999999</v>
      </c>
      <c r="N50" s="10" t="s">
        <v>28</v>
      </c>
      <c r="O50" s="10" t="s">
        <v>29</v>
      </c>
      <c r="P50" s="10" t="s">
        <v>29</v>
      </c>
      <c r="Q50" s="10"/>
      <c r="R50" s="10"/>
      <c r="S50" s="10"/>
      <c r="T50" s="10"/>
      <c r="U50" s="10"/>
      <c r="V50" s="10"/>
      <c r="W50" s="10"/>
      <c r="X50" s="10" t="s">
        <v>30</v>
      </c>
      <c r="Y50" s="11"/>
    </row>
    <row r="51" spans="1:25" s="3" customFormat="1" ht="17.7" customHeight="1" x14ac:dyDescent="0.3">
      <c r="A51" s="21">
        <v>50</v>
      </c>
      <c r="B51" s="21">
        <v>8000050</v>
      </c>
      <c r="C51" s="9" t="s">
        <v>82</v>
      </c>
      <c r="D51" s="9" t="s">
        <v>25</v>
      </c>
      <c r="E51" s="9" t="s">
        <v>35</v>
      </c>
      <c r="F51" s="9">
        <v>206</v>
      </c>
      <c r="G51" s="9">
        <v>10</v>
      </c>
      <c r="H51" s="9"/>
      <c r="I51" s="9" t="s">
        <v>27</v>
      </c>
      <c r="J51" s="9"/>
      <c r="K51" s="9"/>
      <c r="L51" s="9"/>
      <c r="M51" s="9">
        <f t="shared" si="0"/>
        <v>170.98</v>
      </c>
      <c r="N51" s="9" t="s">
        <v>28</v>
      </c>
      <c r="O51" s="9" t="s">
        <v>29</v>
      </c>
      <c r="P51" s="9" t="s">
        <v>29</v>
      </c>
      <c r="Q51" s="9"/>
      <c r="R51" s="9"/>
      <c r="S51" s="9"/>
      <c r="T51" s="9"/>
      <c r="U51" s="9"/>
      <c r="V51" s="9"/>
      <c r="W51" s="9"/>
      <c r="X51" s="9" t="s">
        <v>30</v>
      </c>
      <c r="Y51" s="11"/>
    </row>
    <row r="52" spans="1:25" s="3" customFormat="1" ht="17.7" customHeight="1" x14ac:dyDescent="0.3">
      <c r="A52" s="20">
        <v>51</v>
      </c>
      <c r="B52" s="20">
        <v>8000051</v>
      </c>
      <c r="C52" s="10" t="s">
        <v>83</v>
      </c>
      <c r="D52" s="10" t="s">
        <v>25</v>
      </c>
      <c r="E52" s="10" t="s">
        <v>35</v>
      </c>
      <c r="F52" s="10">
        <v>388.5</v>
      </c>
      <c r="G52" s="10">
        <v>5</v>
      </c>
      <c r="H52" s="10"/>
      <c r="I52" s="10" t="s">
        <v>27</v>
      </c>
      <c r="J52" s="10"/>
      <c r="K52" s="10"/>
      <c r="L52" s="10"/>
      <c r="M52" s="10">
        <f t="shared" si="0"/>
        <v>322.45499999999998</v>
      </c>
      <c r="N52" s="10" t="s">
        <v>28</v>
      </c>
      <c r="O52" s="10" t="s">
        <v>29</v>
      </c>
      <c r="P52" s="10" t="s">
        <v>29</v>
      </c>
      <c r="Q52" s="10"/>
      <c r="R52" s="10"/>
      <c r="S52" s="10"/>
      <c r="T52" s="10"/>
      <c r="U52" s="10"/>
      <c r="V52" s="10"/>
      <c r="W52" s="10"/>
      <c r="X52" s="10" t="s">
        <v>30</v>
      </c>
      <c r="Y52" s="11"/>
    </row>
    <row r="53" spans="1:25" s="3" customFormat="1" ht="17.7" customHeight="1" x14ac:dyDescent="0.3">
      <c r="A53" s="21">
        <v>52</v>
      </c>
      <c r="B53" s="21">
        <v>8000052</v>
      </c>
      <c r="C53" s="9" t="s">
        <v>84</v>
      </c>
      <c r="D53" s="9" t="s">
        <v>25</v>
      </c>
      <c r="E53" s="9" t="s">
        <v>35</v>
      </c>
      <c r="F53" s="9">
        <v>188.25</v>
      </c>
      <c r="G53" s="9">
        <v>50</v>
      </c>
      <c r="H53" s="9"/>
      <c r="I53" s="9" t="s">
        <v>27</v>
      </c>
      <c r="J53" s="9"/>
      <c r="K53" s="9"/>
      <c r="L53" s="9"/>
      <c r="M53" s="9">
        <f t="shared" si="0"/>
        <v>156.2475</v>
      </c>
      <c r="N53" s="9" t="s">
        <v>28</v>
      </c>
      <c r="O53" s="9" t="s">
        <v>29</v>
      </c>
      <c r="P53" s="9" t="s">
        <v>29</v>
      </c>
      <c r="Q53" s="9"/>
      <c r="R53" s="9"/>
      <c r="S53" s="9"/>
      <c r="T53" s="9"/>
      <c r="U53" s="9"/>
      <c r="V53" s="9"/>
      <c r="W53" s="9"/>
      <c r="X53" s="9" t="s">
        <v>30</v>
      </c>
      <c r="Y53" s="11"/>
    </row>
    <row r="54" spans="1:25" s="3" customFormat="1" ht="17.7" customHeight="1" x14ac:dyDescent="0.3">
      <c r="A54" s="20">
        <v>53</v>
      </c>
      <c r="B54" s="20">
        <v>8000053</v>
      </c>
      <c r="C54" s="10" t="s">
        <v>85</v>
      </c>
      <c r="D54" s="10" t="s">
        <v>25</v>
      </c>
      <c r="E54" s="10" t="s">
        <v>35</v>
      </c>
      <c r="F54" s="10">
        <v>444.75</v>
      </c>
      <c r="G54" s="10">
        <v>5</v>
      </c>
      <c r="H54" s="10"/>
      <c r="I54" s="10" t="s">
        <v>27</v>
      </c>
      <c r="J54" s="10"/>
      <c r="K54" s="10"/>
      <c r="L54" s="10"/>
      <c r="M54" s="10">
        <f t="shared" si="0"/>
        <v>369.14249999999998</v>
      </c>
      <c r="N54" s="10" t="s">
        <v>28</v>
      </c>
      <c r="O54" s="10" t="s">
        <v>29</v>
      </c>
      <c r="P54" s="10" t="s">
        <v>29</v>
      </c>
      <c r="Q54" s="10"/>
      <c r="R54" s="10"/>
      <c r="S54" s="10"/>
      <c r="T54" s="10"/>
      <c r="U54" s="10"/>
      <c r="V54" s="10"/>
      <c r="W54" s="10"/>
      <c r="X54" s="10" t="s">
        <v>30</v>
      </c>
      <c r="Y54" s="11"/>
    </row>
    <row r="55" spans="1:25" s="3" customFormat="1" ht="17.7" customHeight="1" x14ac:dyDescent="0.3">
      <c r="A55" s="21">
        <v>54</v>
      </c>
      <c r="B55" s="21">
        <v>8000054</v>
      </c>
      <c r="C55" s="9" t="s">
        <v>86</v>
      </c>
      <c r="D55" s="9" t="s">
        <v>25</v>
      </c>
      <c r="E55" s="9" t="s">
        <v>35</v>
      </c>
      <c r="F55" s="9">
        <v>202.5</v>
      </c>
      <c r="G55" s="9">
        <v>3</v>
      </c>
      <c r="H55" s="9"/>
      <c r="I55" s="9" t="s">
        <v>27</v>
      </c>
      <c r="J55" s="9"/>
      <c r="K55" s="9"/>
      <c r="L55" s="9"/>
      <c r="M55" s="9">
        <f t="shared" si="0"/>
        <v>168.07499999999999</v>
      </c>
      <c r="N55" s="9" t="s">
        <v>28</v>
      </c>
      <c r="O55" s="9" t="s">
        <v>29</v>
      </c>
      <c r="P55" s="9" t="s">
        <v>29</v>
      </c>
      <c r="Q55" s="9"/>
      <c r="R55" s="9"/>
      <c r="S55" s="9"/>
      <c r="T55" s="9"/>
      <c r="U55" s="9"/>
      <c r="V55" s="9"/>
      <c r="W55" s="9"/>
      <c r="X55" s="9" t="s">
        <v>30</v>
      </c>
      <c r="Y55" s="11"/>
    </row>
    <row r="56" spans="1:25" s="3" customFormat="1" ht="17.7" customHeight="1" x14ac:dyDescent="0.3">
      <c r="A56" s="20">
        <v>55</v>
      </c>
      <c r="B56" s="20">
        <v>8000055</v>
      </c>
      <c r="C56" s="10" t="s">
        <v>87</v>
      </c>
      <c r="D56" s="10" t="s">
        <v>25</v>
      </c>
      <c r="E56" s="10" t="s">
        <v>35</v>
      </c>
      <c r="F56" s="10">
        <v>280</v>
      </c>
      <c r="G56" s="10">
        <v>10</v>
      </c>
      <c r="H56" s="10"/>
      <c r="I56" s="10" t="s">
        <v>27</v>
      </c>
      <c r="J56" s="10"/>
      <c r="K56" s="10"/>
      <c r="L56" s="10"/>
      <c r="M56" s="10">
        <f t="shared" si="0"/>
        <v>232.4</v>
      </c>
      <c r="N56" s="10" t="s">
        <v>28</v>
      </c>
      <c r="O56" s="10" t="s">
        <v>29</v>
      </c>
      <c r="P56" s="10" t="s">
        <v>29</v>
      </c>
      <c r="Q56" s="10"/>
      <c r="R56" s="10"/>
      <c r="S56" s="10"/>
      <c r="T56" s="10"/>
      <c r="U56" s="10"/>
      <c r="V56" s="10"/>
      <c r="W56" s="10"/>
      <c r="X56" s="10" t="s">
        <v>30</v>
      </c>
      <c r="Y56" s="11"/>
    </row>
    <row r="57" spans="1:25" s="3" customFormat="1" ht="17.7" customHeight="1" x14ac:dyDescent="0.3">
      <c r="A57" s="21">
        <v>56</v>
      </c>
      <c r="B57" s="21">
        <v>8000056</v>
      </c>
      <c r="C57" s="9" t="s">
        <v>88</v>
      </c>
      <c r="D57" s="9" t="s">
        <v>25</v>
      </c>
      <c r="E57" s="9" t="s">
        <v>35</v>
      </c>
      <c r="F57" s="9">
        <v>320.5</v>
      </c>
      <c r="G57" s="9">
        <v>10</v>
      </c>
      <c r="H57" s="9"/>
      <c r="I57" s="9" t="s">
        <v>27</v>
      </c>
      <c r="J57" s="9"/>
      <c r="K57" s="9"/>
      <c r="L57" s="9"/>
      <c r="M57" s="9">
        <f t="shared" si="0"/>
        <v>266.01499999999999</v>
      </c>
      <c r="N57" s="9" t="s">
        <v>28</v>
      </c>
      <c r="O57" s="9" t="s">
        <v>29</v>
      </c>
      <c r="P57" s="9" t="s">
        <v>29</v>
      </c>
      <c r="Q57" s="9"/>
      <c r="R57" s="9"/>
      <c r="S57" s="9"/>
      <c r="T57" s="9"/>
      <c r="U57" s="9"/>
      <c r="V57" s="9"/>
      <c r="W57" s="9"/>
      <c r="X57" s="9" t="s">
        <v>30</v>
      </c>
      <c r="Y57" s="11"/>
    </row>
    <row r="58" spans="1:25" s="3" customFormat="1" ht="17.7" customHeight="1" x14ac:dyDescent="0.3">
      <c r="A58" s="20">
        <v>57</v>
      </c>
      <c r="B58" s="20">
        <v>8000057</v>
      </c>
      <c r="C58" s="10" t="s">
        <v>89</v>
      </c>
      <c r="D58" s="10" t="s">
        <v>25</v>
      </c>
      <c r="E58" s="10" t="s">
        <v>35</v>
      </c>
      <c r="F58" s="10">
        <v>212.5</v>
      </c>
      <c r="G58" s="10">
        <v>5</v>
      </c>
      <c r="H58" s="10"/>
      <c r="I58" s="10" t="s">
        <v>27</v>
      </c>
      <c r="J58" s="10"/>
      <c r="K58" s="10"/>
      <c r="L58" s="10"/>
      <c r="M58" s="10">
        <f t="shared" si="0"/>
        <v>176.375</v>
      </c>
      <c r="N58" s="10" t="s">
        <v>28</v>
      </c>
      <c r="O58" s="10" t="s">
        <v>29</v>
      </c>
      <c r="P58" s="10" t="s">
        <v>29</v>
      </c>
      <c r="Q58" s="10"/>
      <c r="R58" s="10"/>
      <c r="S58" s="10"/>
      <c r="T58" s="10"/>
      <c r="U58" s="10"/>
      <c r="V58" s="10"/>
      <c r="W58" s="10"/>
      <c r="X58" s="10" t="s">
        <v>30</v>
      </c>
      <c r="Y58" s="11"/>
    </row>
    <row r="59" spans="1:25" s="3" customFormat="1" ht="17.7" customHeight="1" x14ac:dyDescent="0.3">
      <c r="A59" s="21">
        <v>58</v>
      </c>
      <c r="B59" s="21">
        <v>8000058</v>
      </c>
      <c r="C59" s="9" t="s">
        <v>90</v>
      </c>
      <c r="D59" s="9" t="s">
        <v>25</v>
      </c>
      <c r="E59" s="9" t="s">
        <v>35</v>
      </c>
      <c r="F59" s="9">
        <v>181.25</v>
      </c>
      <c r="G59" s="9">
        <v>2</v>
      </c>
      <c r="H59" s="9"/>
      <c r="I59" s="9" t="s">
        <v>27</v>
      </c>
      <c r="J59" s="9"/>
      <c r="K59" s="9"/>
      <c r="L59" s="9"/>
      <c r="M59" s="9">
        <f t="shared" si="0"/>
        <v>150.4375</v>
      </c>
      <c r="N59" s="9" t="s">
        <v>28</v>
      </c>
      <c r="O59" s="9" t="s">
        <v>29</v>
      </c>
      <c r="P59" s="9" t="s">
        <v>29</v>
      </c>
      <c r="Q59" s="9"/>
      <c r="R59" s="9"/>
      <c r="S59" s="9"/>
      <c r="T59" s="9"/>
      <c r="U59" s="9"/>
      <c r="V59" s="9"/>
      <c r="W59" s="9"/>
      <c r="X59" s="9" t="s">
        <v>30</v>
      </c>
      <c r="Y59" s="11"/>
    </row>
    <row r="60" spans="1:25" s="3" customFormat="1" ht="17.7" customHeight="1" x14ac:dyDescent="0.3">
      <c r="A60" s="20">
        <v>59</v>
      </c>
      <c r="B60" s="20">
        <v>8000059</v>
      </c>
      <c r="C60" s="10" t="s">
        <v>91</v>
      </c>
      <c r="D60" s="10" t="s">
        <v>25</v>
      </c>
      <c r="E60" s="10" t="s">
        <v>35</v>
      </c>
      <c r="F60" s="10">
        <v>236</v>
      </c>
      <c r="G60" s="10">
        <v>2</v>
      </c>
      <c r="H60" s="10"/>
      <c r="I60" s="10" t="s">
        <v>27</v>
      </c>
      <c r="J60" s="10"/>
      <c r="K60" s="10"/>
      <c r="L60" s="10"/>
      <c r="M60" s="10">
        <f t="shared" si="0"/>
        <v>195.88</v>
      </c>
      <c r="N60" s="10" t="s">
        <v>28</v>
      </c>
      <c r="O60" s="10" t="s">
        <v>29</v>
      </c>
      <c r="P60" s="10" t="s">
        <v>29</v>
      </c>
      <c r="Q60" s="10"/>
      <c r="R60" s="10"/>
      <c r="S60" s="10"/>
      <c r="T60" s="10"/>
      <c r="U60" s="10"/>
      <c r="V60" s="10"/>
      <c r="W60" s="10"/>
      <c r="X60" s="10" t="s">
        <v>30</v>
      </c>
      <c r="Y60" s="11"/>
    </row>
    <row r="61" spans="1:25" s="3" customFormat="1" ht="17.7" customHeight="1" x14ac:dyDescent="0.3">
      <c r="A61" s="21">
        <v>60</v>
      </c>
      <c r="B61" s="21">
        <v>8000060</v>
      </c>
      <c r="C61" s="9" t="s">
        <v>92</v>
      </c>
      <c r="D61" s="9" t="s">
        <v>25</v>
      </c>
      <c r="E61" s="9" t="s">
        <v>35</v>
      </c>
      <c r="F61" s="9">
        <v>438.5</v>
      </c>
      <c r="G61" s="9">
        <v>1</v>
      </c>
      <c r="H61" s="9"/>
      <c r="I61" s="9" t="s">
        <v>27</v>
      </c>
      <c r="J61" s="9"/>
      <c r="K61" s="9"/>
      <c r="L61" s="9"/>
      <c r="M61" s="9">
        <f t="shared" si="0"/>
        <v>363.95499999999998</v>
      </c>
      <c r="N61" s="9" t="s">
        <v>28</v>
      </c>
      <c r="O61" s="9" t="s">
        <v>29</v>
      </c>
      <c r="P61" s="9" t="s">
        <v>29</v>
      </c>
      <c r="Q61" s="9"/>
      <c r="R61" s="9"/>
      <c r="S61" s="9"/>
      <c r="T61" s="9"/>
      <c r="U61" s="9"/>
      <c r="V61" s="9"/>
      <c r="W61" s="9"/>
      <c r="X61" s="9" t="s">
        <v>30</v>
      </c>
      <c r="Y61" s="11"/>
    </row>
    <row r="62" spans="1:25" s="3" customFormat="1" ht="17.7" customHeight="1" x14ac:dyDescent="0.3">
      <c r="A62" s="20">
        <v>61</v>
      </c>
      <c r="B62" s="20">
        <v>8000061</v>
      </c>
      <c r="C62" s="10" t="s">
        <v>93</v>
      </c>
      <c r="D62" s="10" t="s">
        <v>25</v>
      </c>
      <c r="E62" s="10" t="s">
        <v>35</v>
      </c>
      <c r="F62" s="10">
        <v>601.5</v>
      </c>
      <c r="G62" s="10">
        <v>5</v>
      </c>
      <c r="H62" s="10"/>
      <c r="I62" s="10" t="s">
        <v>27</v>
      </c>
      <c r="J62" s="10"/>
      <c r="K62" s="10"/>
      <c r="L62" s="10"/>
      <c r="M62" s="10">
        <f t="shared" si="0"/>
        <v>499.245</v>
      </c>
      <c r="N62" s="10" t="s">
        <v>28</v>
      </c>
      <c r="O62" s="10" t="s">
        <v>29</v>
      </c>
      <c r="P62" s="10" t="s">
        <v>29</v>
      </c>
      <c r="Q62" s="10"/>
      <c r="R62" s="10"/>
      <c r="S62" s="10"/>
      <c r="T62" s="10"/>
      <c r="U62" s="10"/>
      <c r="V62" s="10"/>
      <c r="W62" s="10"/>
      <c r="X62" s="10" t="s">
        <v>30</v>
      </c>
      <c r="Y62" s="11"/>
    </row>
    <row r="63" spans="1:25" s="3" customFormat="1" ht="17.7" customHeight="1" x14ac:dyDescent="0.3">
      <c r="A63" s="21">
        <v>62</v>
      </c>
      <c r="B63" s="21">
        <v>8000062</v>
      </c>
      <c r="C63" s="9" t="s">
        <v>94</v>
      </c>
      <c r="D63" s="9" t="s">
        <v>25</v>
      </c>
      <c r="E63" s="9" t="s">
        <v>35</v>
      </c>
      <c r="F63" s="9">
        <v>818.75</v>
      </c>
      <c r="G63" s="9">
        <v>7</v>
      </c>
      <c r="H63" s="9"/>
      <c r="I63" s="9" t="s">
        <v>27</v>
      </c>
      <c r="J63" s="9"/>
      <c r="K63" s="9"/>
      <c r="L63" s="9"/>
      <c r="M63" s="9">
        <f t="shared" si="0"/>
        <v>679.5625</v>
      </c>
      <c r="N63" s="9" t="s">
        <v>28</v>
      </c>
      <c r="O63" s="9" t="s">
        <v>29</v>
      </c>
      <c r="P63" s="9" t="s">
        <v>29</v>
      </c>
      <c r="Q63" s="9"/>
      <c r="R63" s="9"/>
      <c r="S63" s="9"/>
      <c r="T63" s="9"/>
      <c r="U63" s="9"/>
      <c r="V63" s="9"/>
      <c r="W63" s="9"/>
      <c r="X63" s="9" t="s">
        <v>30</v>
      </c>
      <c r="Y63" s="11"/>
    </row>
    <row r="64" spans="1:25" s="3" customFormat="1" ht="17.7" customHeight="1" x14ac:dyDescent="0.3">
      <c r="A64" s="20">
        <v>63</v>
      </c>
      <c r="B64" s="20">
        <v>8000063</v>
      </c>
      <c r="C64" s="10" t="s">
        <v>95</v>
      </c>
      <c r="D64" s="10" t="s">
        <v>25</v>
      </c>
      <c r="E64" s="10" t="s">
        <v>35</v>
      </c>
      <c r="F64" s="10">
        <v>1369.25</v>
      </c>
      <c r="G64" s="10">
        <v>1</v>
      </c>
      <c r="H64" s="10"/>
      <c r="I64" s="10" t="s">
        <v>27</v>
      </c>
      <c r="J64" s="10"/>
      <c r="K64" s="10"/>
      <c r="L64" s="10"/>
      <c r="M64" s="10">
        <f t="shared" si="0"/>
        <v>1136.4775</v>
      </c>
      <c r="N64" s="10" t="s">
        <v>28</v>
      </c>
      <c r="O64" s="10" t="s">
        <v>29</v>
      </c>
      <c r="P64" s="10" t="s">
        <v>29</v>
      </c>
      <c r="Q64" s="10"/>
      <c r="R64" s="10"/>
      <c r="S64" s="10"/>
      <c r="T64" s="10"/>
      <c r="U64" s="10"/>
      <c r="V64" s="10"/>
      <c r="W64" s="10"/>
      <c r="X64" s="10" t="s">
        <v>30</v>
      </c>
      <c r="Y64" s="11"/>
    </row>
    <row r="65" spans="1:25" s="3" customFormat="1" ht="17.7" customHeight="1" x14ac:dyDescent="0.3">
      <c r="A65" s="21">
        <v>64</v>
      </c>
      <c r="B65" s="21">
        <v>8000064</v>
      </c>
      <c r="C65" s="9" t="s">
        <v>96</v>
      </c>
      <c r="D65" s="9" t="s">
        <v>25</v>
      </c>
      <c r="E65" s="9" t="s">
        <v>35</v>
      </c>
      <c r="F65" s="9">
        <v>2033.5</v>
      </c>
      <c r="G65" s="9">
        <v>1</v>
      </c>
      <c r="H65" s="9"/>
      <c r="I65" s="9" t="s">
        <v>27</v>
      </c>
      <c r="J65" s="9"/>
      <c r="K65" s="9"/>
      <c r="L65" s="9"/>
      <c r="M65" s="9">
        <f t="shared" si="0"/>
        <v>1687.8049999999998</v>
      </c>
      <c r="N65" s="9" t="s">
        <v>28</v>
      </c>
      <c r="O65" s="9" t="s">
        <v>29</v>
      </c>
      <c r="P65" s="9" t="s">
        <v>29</v>
      </c>
      <c r="Q65" s="9"/>
      <c r="R65" s="9"/>
      <c r="S65" s="9"/>
      <c r="T65" s="9"/>
      <c r="U65" s="9"/>
      <c r="V65" s="9"/>
      <c r="W65" s="9"/>
      <c r="X65" s="9" t="s">
        <v>30</v>
      </c>
      <c r="Y65" s="11"/>
    </row>
    <row r="66" spans="1:25" s="3" customFormat="1" ht="17.7" customHeight="1" x14ac:dyDescent="0.3">
      <c r="A66" s="20">
        <v>65</v>
      </c>
      <c r="B66" s="20">
        <v>8000065</v>
      </c>
      <c r="C66" s="10" t="s">
        <v>97</v>
      </c>
      <c r="D66" s="10" t="s">
        <v>25</v>
      </c>
      <c r="E66" s="10" t="s">
        <v>35</v>
      </c>
      <c r="F66" s="10">
        <v>3394.5</v>
      </c>
      <c r="G66" s="10">
        <v>1</v>
      </c>
      <c r="H66" s="10"/>
      <c r="I66" s="10" t="s">
        <v>27</v>
      </c>
      <c r="J66" s="10"/>
      <c r="K66" s="10"/>
      <c r="L66" s="10"/>
      <c r="M66" s="10">
        <f t="shared" ref="M66:M129" si="1">F66-F66*17%</f>
        <v>2817.4349999999999</v>
      </c>
      <c r="N66" s="10" t="s">
        <v>28</v>
      </c>
      <c r="O66" s="10" t="s">
        <v>29</v>
      </c>
      <c r="P66" s="10" t="s">
        <v>29</v>
      </c>
      <c r="Q66" s="10"/>
      <c r="R66" s="10"/>
      <c r="S66" s="10"/>
      <c r="T66" s="10"/>
      <c r="U66" s="10"/>
      <c r="V66" s="10"/>
      <c r="W66" s="10"/>
      <c r="X66" s="10" t="s">
        <v>30</v>
      </c>
      <c r="Y66" s="11"/>
    </row>
    <row r="67" spans="1:25" s="3" customFormat="1" ht="17.7" customHeight="1" x14ac:dyDescent="0.3">
      <c r="A67" s="21">
        <v>66</v>
      </c>
      <c r="B67" s="21">
        <v>8000066</v>
      </c>
      <c r="C67" s="9" t="s">
        <v>98</v>
      </c>
      <c r="D67" s="9" t="s">
        <v>25</v>
      </c>
      <c r="E67" s="9" t="s">
        <v>35</v>
      </c>
      <c r="F67" s="9">
        <v>544.25</v>
      </c>
      <c r="G67" s="9">
        <v>5</v>
      </c>
      <c r="H67" s="9"/>
      <c r="I67" s="9" t="s">
        <v>27</v>
      </c>
      <c r="J67" s="9"/>
      <c r="K67" s="9"/>
      <c r="L67" s="9"/>
      <c r="M67" s="9">
        <f t="shared" si="1"/>
        <v>451.72749999999996</v>
      </c>
      <c r="N67" s="9" t="s">
        <v>28</v>
      </c>
      <c r="O67" s="9" t="s">
        <v>29</v>
      </c>
      <c r="P67" s="9" t="s">
        <v>29</v>
      </c>
      <c r="Q67" s="9"/>
      <c r="R67" s="9"/>
      <c r="S67" s="9"/>
      <c r="T67" s="9"/>
      <c r="U67" s="9"/>
      <c r="V67" s="9"/>
      <c r="W67" s="9"/>
      <c r="X67" s="9" t="s">
        <v>30</v>
      </c>
      <c r="Y67" s="11"/>
    </row>
    <row r="68" spans="1:25" s="3" customFormat="1" ht="17.7" customHeight="1" x14ac:dyDescent="0.3">
      <c r="A68" s="20">
        <v>67</v>
      </c>
      <c r="B68" s="20">
        <v>8000067</v>
      </c>
      <c r="C68" s="10" t="s">
        <v>99</v>
      </c>
      <c r="D68" s="10" t="s">
        <v>25</v>
      </c>
      <c r="E68" s="10" t="s">
        <v>35</v>
      </c>
      <c r="F68" s="10">
        <v>645.5</v>
      </c>
      <c r="G68" s="10">
        <v>3</v>
      </c>
      <c r="H68" s="10"/>
      <c r="I68" s="10" t="s">
        <v>27</v>
      </c>
      <c r="J68" s="10"/>
      <c r="K68" s="10"/>
      <c r="L68" s="10"/>
      <c r="M68" s="10">
        <f t="shared" si="1"/>
        <v>535.76499999999999</v>
      </c>
      <c r="N68" s="10" t="s">
        <v>28</v>
      </c>
      <c r="O68" s="10" t="s">
        <v>29</v>
      </c>
      <c r="P68" s="10" t="s">
        <v>29</v>
      </c>
      <c r="Q68" s="10"/>
      <c r="R68" s="10"/>
      <c r="S68" s="10"/>
      <c r="T68" s="10"/>
      <c r="U68" s="10"/>
      <c r="V68" s="10"/>
      <c r="W68" s="10"/>
      <c r="X68" s="10" t="s">
        <v>30</v>
      </c>
      <c r="Y68" s="11"/>
    </row>
    <row r="69" spans="1:25" s="3" customFormat="1" ht="17.7" customHeight="1" x14ac:dyDescent="0.3">
      <c r="A69" s="21">
        <v>68</v>
      </c>
      <c r="B69" s="21">
        <v>8000068</v>
      </c>
      <c r="C69" s="9" t="s">
        <v>100</v>
      </c>
      <c r="D69" s="9" t="s">
        <v>25</v>
      </c>
      <c r="E69" s="9" t="s">
        <v>35</v>
      </c>
      <c r="F69" s="9">
        <v>1317.5</v>
      </c>
      <c r="G69" s="9">
        <v>2</v>
      </c>
      <c r="H69" s="9"/>
      <c r="I69" s="9" t="s">
        <v>27</v>
      </c>
      <c r="J69" s="9"/>
      <c r="K69" s="9"/>
      <c r="L69" s="9"/>
      <c r="M69" s="9">
        <f t="shared" si="1"/>
        <v>1093.5250000000001</v>
      </c>
      <c r="N69" s="9" t="s">
        <v>28</v>
      </c>
      <c r="O69" s="9" t="s">
        <v>29</v>
      </c>
      <c r="P69" s="9" t="s">
        <v>29</v>
      </c>
      <c r="Q69" s="9"/>
      <c r="R69" s="9"/>
      <c r="S69" s="9"/>
      <c r="T69" s="9"/>
      <c r="U69" s="9"/>
      <c r="V69" s="9"/>
      <c r="W69" s="9"/>
      <c r="X69" s="9" t="s">
        <v>30</v>
      </c>
      <c r="Y69" s="11"/>
    </row>
    <row r="70" spans="1:25" s="3" customFormat="1" ht="17.7" customHeight="1" x14ac:dyDescent="0.3">
      <c r="A70" s="20">
        <v>69</v>
      </c>
      <c r="B70" s="20">
        <v>8000069</v>
      </c>
      <c r="C70" s="10" t="s">
        <v>101</v>
      </c>
      <c r="D70" s="10" t="s">
        <v>25</v>
      </c>
      <c r="E70" s="10" t="s">
        <v>35</v>
      </c>
      <c r="F70" s="10">
        <v>8.25</v>
      </c>
      <c r="G70" s="10">
        <v>4</v>
      </c>
      <c r="H70" s="10"/>
      <c r="I70" s="10" t="s">
        <v>27</v>
      </c>
      <c r="J70" s="10"/>
      <c r="K70" s="10"/>
      <c r="L70" s="10"/>
      <c r="M70" s="10">
        <f t="shared" si="1"/>
        <v>6.8475000000000001</v>
      </c>
      <c r="N70" s="10" t="s">
        <v>28</v>
      </c>
      <c r="O70" s="10" t="s">
        <v>29</v>
      </c>
      <c r="P70" s="10" t="s">
        <v>29</v>
      </c>
      <c r="Q70" s="10"/>
      <c r="R70" s="10"/>
      <c r="S70" s="10"/>
      <c r="T70" s="10"/>
      <c r="U70" s="10"/>
      <c r="V70" s="10"/>
      <c r="W70" s="10"/>
      <c r="X70" s="10" t="s">
        <v>30</v>
      </c>
      <c r="Y70" s="11"/>
    </row>
    <row r="71" spans="1:25" s="3" customFormat="1" ht="17.7" customHeight="1" x14ac:dyDescent="0.3">
      <c r="A71" s="21">
        <v>70</v>
      </c>
      <c r="B71" s="21">
        <v>8000070</v>
      </c>
      <c r="C71" s="9" t="s">
        <v>102</v>
      </c>
      <c r="D71" s="9" t="s">
        <v>25</v>
      </c>
      <c r="E71" s="9" t="s">
        <v>35</v>
      </c>
      <c r="F71" s="9">
        <v>12</v>
      </c>
      <c r="G71" s="9">
        <v>10</v>
      </c>
      <c r="H71" s="9"/>
      <c r="I71" s="9" t="s">
        <v>27</v>
      </c>
      <c r="J71" s="9"/>
      <c r="K71" s="9"/>
      <c r="L71" s="9"/>
      <c r="M71" s="9">
        <f t="shared" si="1"/>
        <v>9.9600000000000009</v>
      </c>
      <c r="N71" s="9" t="s">
        <v>28</v>
      </c>
      <c r="O71" s="9" t="s">
        <v>29</v>
      </c>
      <c r="P71" s="9" t="s">
        <v>29</v>
      </c>
      <c r="Q71" s="9"/>
      <c r="R71" s="9"/>
      <c r="S71" s="9"/>
      <c r="T71" s="9"/>
      <c r="U71" s="9"/>
      <c r="V71" s="9"/>
      <c r="W71" s="9"/>
      <c r="X71" s="9" t="s">
        <v>30</v>
      </c>
      <c r="Y71" s="11"/>
    </row>
    <row r="72" spans="1:25" s="3" customFormat="1" ht="17.7" customHeight="1" x14ac:dyDescent="0.3">
      <c r="A72" s="20">
        <v>71</v>
      </c>
      <c r="B72" s="20">
        <v>8000071</v>
      </c>
      <c r="C72" s="10" t="s">
        <v>103</v>
      </c>
      <c r="D72" s="10" t="s">
        <v>25</v>
      </c>
      <c r="E72" s="10" t="s">
        <v>35</v>
      </c>
      <c r="F72" s="10">
        <v>5.75</v>
      </c>
      <c r="G72" s="10">
        <v>10</v>
      </c>
      <c r="H72" s="10"/>
      <c r="I72" s="10" t="s">
        <v>27</v>
      </c>
      <c r="J72" s="10"/>
      <c r="K72" s="10"/>
      <c r="L72" s="10"/>
      <c r="M72" s="10">
        <f t="shared" si="1"/>
        <v>4.7725</v>
      </c>
      <c r="N72" s="10" t="s">
        <v>28</v>
      </c>
      <c r="O72" s="10" t="s">
        <v>29</v>
      </c>
      <c r="P72" s="10" t="s">
        <v>29</v>
      </c>
      <c r="Q72" s="10"/>
      <c r="R72" s="10"/>
      <c r="S72" s="10"/>
      <c r="T72" s="10"/>
      <c r="U72" s="10"/>
      <c r="V72" s="10"/>
      <c r="W72" s="10"/>
      <c r="X72" s="10" t="s">
        <v>30</v>
      </c>
      <c r="Y72" s="11"/>
    </row>
    <row r="73" spans="1:25" s="3" customFormat="1" ht="17.7" customHeight="1" x14ac:dyDescent="0.3">
      <c r="A73" s="21">
        <v>72</v>
      </c>
      <c r="B73" s="21">
        <v>8000072</v>
      </c>
      <c r="C73" s="9" t="s">
        <v>104</v>
      </c>
      <c r="D73" s="9" t="s">
        <v>25</v>
      </c>
      <c r="E73" s="9" t="s">
        <v>35</v>
      </c>
      <c r="F73" s="9">
        <v>7.5</v>
      </c>
      <c r="G73" s="9">
        <v>20</v>
      </c>
      <c r="H73" s="9"/>
      <c r="I73" s="9" t="s">
        <v>27</v>
      </c>
      <c r="J73" s="9"/>
      <c r="K73" s="9"/>
      <c r="L73" s="9"/>
      <c r="M73" s="9">
        <f t="shared" si="1"/>
        <v>6.2249999999999996</v>
      </c>
      <c r="N73" s="9" t="s">
        <v>28</v>
      </c>
      <c r="O73" s="9" t="s">
        <v>29</v>
      </c>
      <c r="P73" s="9" t="s">
        <v>29</v>
      </c>
      <c r="Q73" s="9"/>
      <c r="R73" s="9"/>
      <c r="S73" s="9"/>
      <c r="T73" s="9"/>
      <c r="U73" s="9"/>
      <c r="V73" s="9"/>
      <c r="W73" s="9"/>
      <c r="X73" s="9" t="s">
        <v>30</v>
      </c>
      <c r="Y73" s="11"/>
    </row>
    <row r="74" spans="1:25" s="3" customFormat="1" ht="17.7" customHeight="1" x14ac:dyDescent="0.3">
      <c r="A74" s="20">
        <v>73</v>
      </c>
      <c r="B74" s="20">
        <v>8000073</v>
      </c>
      <c r="C74" s="10" t="s">
        <v>105</v>
      </c>
      <c r="D74" s="10" t="s">
        <v>25</v>
      </c>
      <c r="E74" s="10" t="s">
        <v>35</v>
      </c>
      <c r="F74" s="10">
        <v>9.5</v>
      </c>
      <c r="G74" s="10">
        <v>20</v>
      </c>
      <c r="H74" s="10"/>
      <c r="I74" s="10" t="s">
        <v>27</v>
      </c>
      <c r="J74" s="10"/>
      <c r="K74" s="10"/>
      <c r="L74" s="10"/>
      <c r="M74" s="10">
        <f t="shared" si="1"/>
        <v>7.8849999999999998</v>
      </c>
      <c r="N74" s="10" t="s">
        <v>28</v>
      </c>
      <c r="O74" s="10" t="s">
        <v>29</v>
      </c>
      <c r="P74" s="10" t="s">
        <v>29</v>
      </c>
      <c r="Q74" s="10"/>
      <c r="R74" s="10"/>
      <c r="S74" s="10"/>
      <c r="T74" s="10"/>
      <c r="U74" s="10"/>
      <c r="V74" s="10"/>
      <c r="W74" s="10"/>
      <c r="X74" s="10" t="s">
        <v>30</v>
      </c>
      <c r="Y74" s="11"/>
    </row>
    <row r="75" spans="1:25" s="3" customFormat="1" ht="17.7" customHeight="1" x14ac:dyDescent="0.3">
      <c r="A75" s="21">
        <v>74</v>
      </c>
      <c r="B75" s="21">
        <v>8000074</v>
      </c>
      <c r="C75" s="9" t="s">
        <v>106</v>
      </c>
      <c r="D75" s="9" t="s">
        <v>25</v>
      </c>
      <c r="E75" s="9" t="s">
        <v>35</v>
      </c>
      <c r="F75" s="9"/>
      <c r="G75" s="9">
        <v>50</v>
      </c>
      <c r="H75" s="9"/>
      <c r="I75" s="9" t="s">
        <v>27</v>
      </c>
      <c r="J75" s="9"/>
      <c r="K75" s="9"/>
      <c r="L75" s="9"/>
      <c r="M75" s="9">
        <f t="shared" si="1"/>
        <v>0</v>
      </c>
      <c r="N75" s="9" t="s">
        <v>28</v>
      </c>
      <c r="O75" s="9" t="s">
        <v>29</v>
      </c>
      <c r="P75" s="9" t="s">
        <v>29</v>
      </c>
      <c r="Q75" s="9"/>
      <c r="R75" s="9"/>
      <c r="S75" s="9"/>
      <c r="T75" s="9"/>
      <c r="U75" s="9"/>
      <c r="V75" s="9"/>
      <c r="W75" s="9"/>
      <c r="X75" s="9" t="s">
        <v>30</v>
      </c>
      <c r="Y75" s="11"/>
    </row>
    <row r="76" spans="1:25" s="3" customFormat="1" ht="17.7" customHeight="1" x14ac:dyDescent="0.3">
      <c r="A76" s="20">
        <v>75</v>
      </c>
      <c r="B76" s="20">
        <v>8000075</v>
      </c>
      <c r="C76" s="10" t="s">
        <v>107</v>
      </c>
      <c r="D76" s="10" t="s">
        <v>25</v>
      </c>
      <c r="E76" s="10" t="s">
        <v>26</v>
      </c>
      <c r="F76" s="10">
        <v>100.25</v>
      </c>
      <c r="G76" s="10">
        <v>100</v>
      </c>
      <c r="H76" s="10"/>
      <c r="I76" s="10" t="s">
        <v>27</v>
      </c>
      <c r="J76" s="10"/>
      <c r="K76" s="10"/>
      <c r="L76" s="10"/>
      <c r="M76" s="10">
        <f t="shared" si="1"/>
        <v>83.207499999999996</v>
      </c>
      <c r="N76" s="10" t="s">
        <v>28</v>
      </c>
      <c r="O76" s="10" t="s">
        <v>29</v>
      </c>
      <c r="P76" s="10" t="s">
        <v>29</v>
      </c>
      <c r="Q76" s="10"/>
      <c r="R76" s="10"/>
      <c r="S76" s="10"/>
      <c r="T76" s="10"/>
      <c r="U76" s="10"/>
      <c r="V76" s="10"/>
      <c r="W76" s="10"/>
      <c r="X76" s="10" t="s">
        <v>30</v>
      </c>
      <c r="Y76" s="11"/>
    </row>
    <row r="77" spans="1:25" s="3" customFormat="1" ht="17.7" customHeight="1" x14ac:dyDescent="0.3">
      <c r="A77" s="21">
        <v>76</v>
      </c>
      <c r="B77" s="21">
        <v>8000076</v>
      </c>
      <c r="C77" s="9" t="s">
        <v>108</v>
      </c>
      <c r="D77" s="9" t="s">
        <v>25</v>
      </c>
      <c r="E77" s="9" t="s">
        <v>26</v>
      </c>
      <c r="F77" s="9">
        <v>146.25</v>
      </c>
      <c r="G77" s="9">
        <v>36</v>
      </c>
      <c r="H77" s="9"/>
      <c r="I77" s="9" t="s">
        <v>27</v>
      </c>
      <c r="J77" s="9"/>
      <c r="K77" s="9"/>
      <c r="L77" s="9"/>
      <c r="M77" s="9">
        <f t="shared" si="1"/>
        <v>121.3875</v>
      </c>
      <c r="N77" s="9" t="s">
        <v>28</v>
      </c>
      <c r="O77" s="9" t="s">
        <v>29</v>
      </c>
      <c r="P77" s="9" t="s">
        <v>29</v>
      </c>
      <c r="Q77" s="9"/>
      <c r="R77" s="9"/>
      <c r="S77" s="9"/>
      <c r="T77" s="9"/>
      <c r="U77" s="9"/>
      <c r="V77" s="9"/>
      <c r="W77" s="9"/>
      <c r="X77" s="9" t="s">
        <v>30</v>
      </c>
      <c r="Y77" s="11"/>
    </row>
    <row r="78" spans="1:25" s="3" customFormat="1" ht="17.7" customHeight="1" x14ac:dyDescent="0.3">
      <c r="A78" s="20">
        <v>77</v>
      </c>
      <c r="B78" s="20">
        <v>8000077</v>
      </c>
      <c r="C78" s="10" t="s">
        <v>109</v>
      </c>
      <c r="D78" s="10" t="s">
        <v>25</v>
      </c>
      <c r="E78" s="10" t="s">
        <v>35</v>
      </c>
      <c r="F78" s="10">
        <v>36.25</v>
      </c>
      <c r="G78" s="10">
        <v>100</v>
      </c>
      <c r="H78" s="10"/>
      <c r="I78" s="10" t="s">
        <v>27</v>
      </c>
      <c r="J78" s="10"/>
      <c r="K78" s="10"/>
      <c r="L78" s="10"/>
      <c r="M78" s="10">
        <f t="shared" si="1"/>
        <v>30.087499999999999</v>
      </c>
      <c r="N78" s="10" t="s">
        <v>28</v>
      </c>
      <c r="O78" s="10" t="s">
        <v>29</v>
      </c>
      <c r="P78" s="10" t="s">
        <v>29</v>
      </c>
      <c r="Q78" s="10"/>
      <c r="R78" s="10"/>
      <c r="S78" s="10"/>
      <c r="T78" s="10"/>
      <c r="U78" s="10"/>
      <c r="V78" s="10"/>
      <c r="W78" s="10"/>
      <c r="X78" s="10" t="s">
        <v>30</v>
      </c>
      <c r="Y78" s="11"/>
    </row>
    <row r="79" spans="1:25" s="3" customFormat="1" ht="17.7" customHeight="1" x14ac:dyDescent="0.3">
      <c r="A79" s="21">
        <v>78</v>
      </c>
      <c r="B79" s="21">
        <v>8000078</v>
      </c>
      <c r="C79" s="9" t="s">
        <v>110</v>
      </c>
      <c r="D79" s="9" t="s">
        <v>25</v>
      </c>
      <c r="E79" s="9" t="s">
        <v>35</v>
      </c>
      <c r="F79" s="9">
        <v>61</v>
      </c>
      <c r="G79" s="9">
        <v>100</v>
      </c>
      <c r="H79" s="9"/>
      <c r="I79" s="9" t="s">
        <v>27</v>
      </c>
      <c r="J79" s="9"/>
      <c r="K79" s="9"/>
      <c r="L79" s="9"/>
      <c r="M79" s="9">
        <f t="shared" si="1"/>
        <v>50.629999999999995</v>
      </c>
      <c r="N79" s="9" t="s">
        <v>28</v>
      </c>
      <c r="O79" s="9" t="s">
        <v>29</v>
      </c>
      <c r="P79" s="9" t="s">
        <v>29</v>
      </c>
      <c r="Q79" s="9"/>
      <c r="R79" s="9"/>
      <c r="S79" s="9"/>
      <c r="T79" s="9"/>
      <c r="U79" s="9"/>
      <c r="V79" s="9"/>
      <c r="W79" s="9"/>
      <c r="X79" s="9" t="s">
        <v>30</v>
      </c>
      <c r="Y79" s="11"/>
    </row>
    <row r="80" spans="1:25" s="3" customFormat="1" ht="17.7" customHeight="1" x14ac:dyDescent="0.3">
      <c r="A80" s="20">
        <v>79</v>
      </c>
      <c r="B80" s="20">
        <v>8000079</v>
      </c>
      <c r="C80" s="10" t="s">
        <v>111</v>
      </c>
      <c r="D80" s="10" t="s">
        <v>25</v>
      </c>
      <c r="E80" s="10" t="s">
        <v>35</v>
      </c>
      <c r="F80" s="10">
        <v>27.25</v>
      </c>
      <c r="G80" s="10">
        <v>50</v>
      </c>
      <c r="H80" s="10"/>
      <c r="I80" s="10" t="s">
        <v>27</v>
      </c>
      <c r="J80" s="10"/>
      <c r="K80" s="10"/>
      <c r="L80" s="10"/>
      <c r="M80" s="10">
        <f t="shared" si="1"/>
        <v>22.6175</v>
      </c>
      <c r="N80" s="10" t="s">
        <v>28</v>
      </c>
      <c r="O80" s="10" t="s">
        <v>29</v>
      </c>
      <c r="P80" s="10" t="s">
        <v>29</v>
      </c>
      <c r="Q80" s="10"/>
      <c r="R80" s="10"/>
      <c r="S80" s="10"/>
      <c r="T80" s="10"/>
      <c r="U80" s="10"/>
      <c r="V80" s="10"/>
      <c r="W80" s="10"/>
      <c r="X80" s="10" t="s">
        <v>30</v>
      </c>
      <c r="Y80" s="11"/>
    </row>
    <row r="81" spans="1:349" s="3" customFormat="1" ht="17.7" customHeight="1" x14ac:dyDescent="0.3">
      <c r="A81" s="21">
        <v>80</v>
      </c>
      <c r="B81" s="21">
        <v>8000080</v>
      </c>
      <c r="C81" s="9" t="s">
        <v>112</v>
      </c>
      <c r="D81" s="9" t="s">
        <v>25</v>
      </c>
      <c r="E81" s="9" t="s">
        <v>35</v>
      </c>
      <c r="F81" s="9">
        <v>35.25</v>
      </c>
      <c r="G81" s="9">
        <v>50</v>
      </c>
      <c r="H81" s="9"/>
      <c r="I81" s="9" t="s">
        <v>27</v>
      </c>
      <c r="J81" s="9"/>
      <c r="K81" s="9"/>
      <c r="L81" s="9"/>
      <c r="M81" s="9">
        <f t="shared" si="1"/>
        <v>29.2575</v>
      </c>
      <c r="N81" s="9" t="s">
        <v>28</v>
      </c>
      <c r="O81" s="9" t="s">
        <v>29</v>
      </c>
      <c r="P81" s="9" t="s">
        <v>29</v>
      </c>
      <c r="Q81" s="9"/>
      <c r="R81" s="9"/>
      <c r="S81" s="9"/>
      <c r="T81" s="9"/>
      <c r="U81" s="9"/>
      <c r="V81" s="9"/>
      <c r="W81" s="9"/>
      <c r="X81" s="9" t="s">
        <v>30</v>
      </c>
      <c r="Y81" s="11"/>
    </row>
    <row r="82" spans="1:349" s="3" customFormat="1" ht="17.7" customHeight="1" x14ac:dyDescent="0.3">
      <c r="A82" s="20">
        <v>81</v>
      </c>
      <c r="B82" s="20">
        <v>8000081</v>
      </c>
      <c r="C82" s="10" t="s">
        <v>113</v>
      </c>
      <c r="D82" s="10" t="s">
        <v>25</v>
      </c>
      <c r="E82" s="10" t="s">
        <v>35</v>
      </c>
      <c r="F82" s="10">
        <v>28.75</v>
      </c>
      <c r="G82" s="10">
        <v>10</v>
      </c>
      <c r="H82" s="10"/>
      <c r="I82" s="10" t="s">
        <v>27</v>
      </c>
      <c r="J82" s="10"/>
      <c r="K82" s="10"/>
      <c r="L82" s="10"/>
      <c r="M82" s="10">
        <f t="shared" si="1"/>
        <v>23.862500000000001</v>
      </c>
      <c r="N82" s="10" t="s">
        <v>28</v>
      </c>
      <c r="O82" s="10" t="s">
        <v>29</v>
      </c>
      <c r="P82" s="10" t="s">
        <v>29</v>
      </c>
      <c r="Q82" s="10"/>
      <c r="R82" s="10"/>
      <c r="S82" s="10"/>
      <c r="T82" s="10"/>
      <c r="U82" s="10"/>
      <c r="V82" s="10"/>
      <c r="W82" s="10"/>
      <c r="X82" s="10" t="s">
        <v>30</v>
      </c>
      <c r="Y82" s="11"/>
    </row>
    <row r="83" spans="1:349" s="3" customFormat="1" ht="17.7" customHeight="1" x14ac:dyDescent="0.3">
      <c r="A83" s="21">
        <v>82</v>
      </c>
      <c r="B83" s="21">
        <v>8000082</v>
      </c>
      <c r="C83" s="9" t="s">
        <v>114</v>
      </c>
      <c r="D83" s="9" t="s">
        <v>25</v>
      </c>
      <c r="E83" s="9" t="s">
        <v>35</v>
      </c>
      <c r="F83" s="9">
        <v>40</v>
      </c>
      <c r="G83" s="9">
        <v>10</v>
      </c>
      <c r="H83" s="9"/>
      <c r="I83" s="9" t="s">
        <v>27</v>
      </c>
      <c r="J83" s="9"/>
      <c r="K83" s="9"/>
      <c r="L83" s="9"/>
      <c r="M83" s="9">
        <f t="shared" si="1"/>
        <v>33.200000000000003</v>
      </c>
      <c r="N83" s="9" t="s">
        <v>28</v>
      </c>
      <c r="O83" s="9" t="s">
        <v>29</v>
      </c>
      <c r="P83" s="9" t="s">
        <v>29</v>
      </c>
      <c r="Q83" s="9"/>
      <c r="R83" s="9"/>
      <c r="S83" s="9"/>
      <c r="T83" s="9"/>
      <c r="U83" s="9"/>
      <c r="V83" s="9"/>
      <c r="W83" s="9"/>
      <c r="X83" s="9" t="s">
        <v>30</v>
      </c>
      <c r="Y83" s="11"/>
    </row>
    <row r="84" spans="1:349" s="4" customFormat="1" ht="17.7" customHeight="1" x14ac:dyDescent="0.3">
      <c r="A84" s="20">
        <v>83</v>
      </c>
      <c r="B84" s="20">
        <v>8100001</v>
      </c>
      <c r="C84" s="10" t="s">
        <v>115</v>
      </c>
      <c r="D84" s="10" t="s">
        <v>25</v>
      </c>
      <c r="E84" s="10" t="s">
        <v>26</v>
      </c>
      <c r="F84" s="10">
        <v>57.75</v>
      </c>
      <c r="G84" s="10">
        <v>5</v>
      </c>
      <c r="H84" s="10"/>
      <c r="I84" s="10" t="s">
        <v>116</v>
      </c>
      <c r="J84" s="10"/>
      <c r="K84" s="10"/>
      <c r="L84" s="10"/>
      <c r="M84" s="10">
        <f t="shared" si="1"/>
        <v>47.932499999999997</v>
      </c>
      <c r="N84" s="10" t="s">
        <v>28</v>
      </c>
      <c r="O84" s="10" t="s">
        <v>29</v>
      </c>
      <c r="P84" s="10" t="s">
        <v>29</v>
      </c>
      <c r="Q84" s="10"/>
      <c r="R84" s="10"/>
      <c r="S84" s="10"/>
      <c r="T84" s="10"/>
      <c r="U84" s="10"/>
      <c r="V84" s="10"/>
      <c r="W84" s="10"/>
      <c r="X84" s="10" t="s">
        <v>30</v>
      </c>
      <c r="Y84" s="12"/>
    </row>
    <row r="85" spans="1:349" s="2" customFormat="1" ht="17.7" customHeight="1" x14ac:dyDescent="0.3">
      <c r="A85" s="21">
        <v>84</v>
      </c>
      <c r="B85" s="21">
        <v>8100002</v>
      </c>
      <c r="C85" s="9" t="s">
        <v>117</v>
      </c>
      <c r="D85" s="9" t="s">
        <v>25</v>
      </c>
      <c r="E85" s="9" t="s">
        <v>26</v>
      </c>
      <c r="F85" s="9">
        <v>73.5</v>
      </c>
      <c r="G85" s="9">
        <v>5</v>
      </c>
      <c r="H85" s="9"/>
      <c r="I85" s="9" t="s">
        <v>116</v>
      </c>
      <c r="J85" s="9"/>
      <c r="K85" s="9"/>
      <c r="L85" s="9"/>
      <c r="M85" s="9">
        <f t="shared" si="1"/>
        <v>61.004999999999995</v>
      </c>
      <c r="N85" s="9" t="s">
        <v>28</v>
      </c>
      <c r="O85" s="9" t="s">
        <v>29</v>
      </c>
      <c r="P85" s="9" t="s">
        <v>29</v>
      </c>
      <c r="Q85" s="9"/>
      <c r="R85" s="9"/>
      <c r="S85" s="9"/>
      <c r="T85" s="9"/>
      <c r="U85" s="9"/>
      <c r="V85" s="9"/>
      <c r="W85" s="9"/>
      <c r="X85" s="9" t="s">
        <v>30</v>
      </c>
      <c r="Y85" s="13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  <c r="DE85" s="5"/>
      <c r="DF85" s="5"/>
      <c r="DG85" s="5"/>
      <c r="DH85" s="5"/>
      <c r="DI85" s="5"/>
      <c r="DJ85" s="5"/>
      <c r="DK85" s="5"/>
      <c r="DL85" s="5"/>
      <c r="DM85" s="5"/>
      <c r="DN85" s="5"/>
      <c r="DO85" s="5"/>
      <c r="DP85" s="5"/>
      <c r="DQ85" s="5"/>
      <c r="DR85" s="5"/>
      <c r="DS85" s="5"/>
      <c r="DT85" s="5"/>
      <c r="DU85" s="5"/>
      <c r="DV85" s="5"/>
      <c r="DW85" s="5"/>
      <c r="DX85" s="5"/>
      <c r="DY85" s="5"/>
      <c r="DZ85" s="5"/>
      <c r="EA85" s="5"/>
      <c r="EB85" s="5"/>
      <c r="EC85" s="5"/>
      <c r="ED85" s="5"/>
      <c r="EE85" s="5"/>
      <c r="EF85" s="5"/>
      <c r="EG85" s="5"/>
      <c r="EH85" s="5"/>
      <c r="EI85" s="5"/>
      <c r="EJ85" s="5"/>
      <c r="EK85" s="5"/>
      <c r="EL85" s="5"/>
      <c r="EM85" s="5"/>
      <c r="EN85" s="5"/>
      <c r="EO85" s="5"/>
      <c r="EP85" s="5"/>
      <c r="EQ85" s="5"/>
      <c r="ER85" s="5"/>
      <c r="ES85" s="5"/>
      <c r="ET85" s="5"/>
      <c r="EU85" s="5"/>
      <c r="EV85" s="5"/>
      <c r="EW85" s="5"/>
      <c r="EX85" s="5"/>
      <c r="EY85" s="5"/>
      <c r="EZ85" s="5"/>
      <c r="FA85" s="5"/>
      <c r="FB85" s="5"/>
      <c r="FC85" s="5"/>
      <c r="FD85" s="5"/>
      <c r="FE85" s="5"/>
      <c r="FF85" s="5"/>
      <c r="FG85" s="5"/>
      <c r="FH85" s="5"/>
      <c r="FI85" s="5"/>
      <c r="FJ85" s="5"/>
      <c r="FK85" s="5"/>
      <c r="FL85" s="5"/>
      <c r="FM85" s="5"/>
      <c r="FN85" s="5"/>
      <c r="FO85" s="5"/>
      <c r="FP85" s="5"/>
      <c r="FQ85" s="5"/>
      <c r="FR85" s="5"/>
      <c r="FS85" s="5"/>
      <c r="FT85" s="5"/>
      <c r="FU85" s="5"/>
      <c r="FV85" s="5"/>
      <c r="FW85" s="5"/>
      <c r="FX85" s="5"/>
      <c r="FY85" s="5"/>
      <c r="FZ85" s="5"/>
      <c r="GA85" s="5"/>
      <c r="GB85" s="5"/>
      <c r="GC85" s="5"/>
      <c r="GD85" s="5"/>
      <c r="GE85" s="5"/>
      <c r="GF85" s="5"/>
      <c r="GG85" s="5"/>
      <c r="GH85" s="5"/>
      <c r="GI85" s="5"/>
      <c r="GJ85" s="5"/>
      <c r="GK85" s="5"/>
      <c r="GL85" s="5"/>
      <c r="GM85" s="5"/>
      <c r="GN85" s="5"/>
      <c r="GO85" s="5"/>
      <c r="GP85" s="5"/>
      <c r="GQ85" s="5"/>
      <c r="GR85" s="5"/>
      <c r="GS85" s="5"/>
      <c r="GT85" s="5"/>
      <c r="GU85" s="5"/>
      <c r="GV85" s="5"/>
      <c r="GW85" s="5"/>
      <c r="GX85" s="5"/>
      <c r="GY85" s="5"/>
      <c r="GZ85" s="5"/>
      <c r="HA85" s="5"/>
      <c r="HB85" s="5"/>
      <c r="HC85" s="5"/>
      <c r="HD85" s="5"/>
      <c r="HE85" s="5"/>
      <c r="HF85" s="5"/>
      <c r="HG85" s="5"/>
      <c r="HH85" s="5"/>
      <c r="HI85" s="5"/>
      <c r="HJ85" s="5"/>
      <c r="HK85" s="5"/>
      <c r="HL85" s="5"/>
      <c r="HM85" s="5"/>
      <c r="HN85" s="5"/>
      <c r="HO85" s="5"/>
      <c r="HP85" s="5"/>
      <c r="HQ85" s="5"/>
      <c r="HR85" s="5"/>
      <c r="HS85" s="5"/>
      <c r="HT85" s="5"/>
      <c r="HU85" s="5"/>
      <c r="HV85" s="5"/>
      <c r="HW85" s="5"/>
      <c r="HX85" s="5"/>
      <c r="HY85" s="5"/>
      <c r="HZ85" s="5"/>
      <c r="IA85" s="5"/>
      <c r="IB85" s="5"/>
      <c r="IC85" s="5"/>
      <c r="ID85" s="5"/>
      <c r="IE85" s="5"/>
      <c r="IF85" s="5"/>
      <c r="IG85" s="5"/>
      <c r="IH85" s="5"/>
      <c r="II85" s="5"/>
      <c r="IJ85" s="5"/>
      <c r="IK85" s="5"/>
      <c r="IL85" s="5"/>
      <c r="IM85" s="5"/>
      <c r="IN85" s="5"/>
      <c r="IO85" s="5"/>
      <c r="IP85" s="5"/>
      <c r="IQ85" s="5"/>
      <c r="IR85" s="5"/>
      <c r="IS85" s="5"/>
      <c r="IT85" s="5"/>
      <c r="IU85" s="5"/>
      <c r="IV85" s="5"/>
      <c r="IW85" s="5"/>
      <c r="IX85" s="5"/>
      <c r="IY85" s="5"/>
      <c r="IZ85" s="5"/>
      <c r="JA85" s="5"/>
      <c r="JB85" s="5"/>
      <c r="JC85" s="5"/>
      <c r="JD85" s="5"/>
      <c r="JE85" s="5"/>
      <c r="JF85" s="5"/>
      <c r="JG85" s="5"/>
      <c r="JH85" s="5"/>
      <c r="JI85" s="5"/>
      <c r="JJ85" s="5"/>
      <c r="JK85" s="5"/>
      <c r="JL85" s="5"/>
      <c r="JM85" s="5"/>
      <c r="JN85" s="5"/>
      <c r="JO85" s="5"/>
      <c r="JP85" s="5"/>
      <c r="JQ85" s="5"/>
      <c r="JR85" s="5"/>
      <c r="JS85" s="5"/>
      <c r="JT85" s="5"/>
      <c r="JU85" s="5"/>
      <c r="JV85" s="5"/>
      <c r="JW85" s="5"/>
      <c r="JX85" s="5"/>
      <c r="JY85" s="5"/>
      <c r="JZ85" s="5"/>
      <c r="KA85" s="5"/>
      <c r="KB85" s="5"/>
      <c r="KC85" s="5"/>
      <c r="KD85" s="5"/>
      <c r="KE85" s="5"/>
      <c r="KF85" s="5"/>
      <c r="KG85" s="5"/>
      <c r="KH85" s="5"/>
      <c r="KI85" s="5"/>
      <c r="KJ85" s="5"/>
      <c r="KK85" s="5"/>
      <c r="KL85" s="5"/>
      <c r="KM85" s="5"/>
      <c r="KN85" s="5"/>
      <c r="KO85" s="5"/>
      <c r="KP85" s="5"/>
      <c r="KQ85" s="5"/>
      <c r="KR85" s="5"/>
      <c r="KS85" s="5"/>
      <c r="KT85" s="5"/>
      <c r="KU85" s="5"/>
      <c r="KV85" s="5"/>
      <c r="KW85" s="5"/>
      <c r="KX85" s="5"/>
      <c r="KY85" s="5"/>
      <c r="KZ85" s="5"/>
      <c r="LA85" s="5"/>
      <c r="LB85" s="5"/>
      <c r="LC85" s="5"/>
      <c r="LD85" s="5"/>
      <c r="LE85" s="5"/>
      <c r="LF85" s="5"/>
      <c r="LG85" s="5"/>
      <c r="LH85" s="5"/>
      <c r="LI85" s="5"/>
      <c r="LJ85" s="5"/>
      <c r="LK85" s="5"/>
      <c r="LL85" s="5"/>
      <c r="LM85" s="5"/>
      <c r="LN85" s="5"/>
      <c r="LO85" s="5"/>
      <c r="LP85" s="5"/>
      <c r="LQ85" s="5"/>
      <c r="LR85" s="5"/>
      <c r="LS85" s="5"/>
      <c r="LT85" s="5"/>
      <c r="LU85" s="5"/>
      <c r="LV85" s="5"/>
      <c r="LW85" s="5"/>
      <c r="LX85" s="5"/>
      <c r="LY85" s="5"/>
      <c r="LZ85" s="5"/>
      <c r="MA85" s="5"/>
      <c r="MB85" s="5"/>
      <c r="MC85" s="5"/>
      <c r="MD85" s="5"/>
      <c r="ME85" s="5"/>
      <c r="MF85" s="5"/>
      <c r="MG85" s="5"/>
      <c r="MH85" s="5"/>
      <c r="MI85" s="5"/>
      <c r="MJ85" s="5"/>
      <c r="MK85" s="5"/>
    </row>
    <row r="86" spans="1:349" s="2" customFormat="1" ht="17.7" customHeight="1" x14ac:dyDescent="0.3">
      <c r="A86" s="20">
        <v>85</v>
      </c>
      <c r="B86" s="20">
        <v>8100003</v>
      </c>
      <c r="C86" s="10" t="s">
        <v>118</v>
      </c>
      <c r="D86" s="10" t="s">
        <v>25</v>
      </c>
      <c r="E86" s="10" t="s">
        <v>26</v>
      </c>
      <c r="F86" s="10">
        <v>88.5</v>
      </c>
      <c r="G86" s="10">
        <v>5</v>
      </c>
      <c r="H86" s="10"/>
      <c r="I86" s="10" t="s">
        <v>116</v>
      </c>
      <c r="J86" s="10"/>
      <c r="K86" s="10"/>
      <c r="L86" s="10"/>
      <c r="M86" s="10">
        <f t="shared" si="1"/>
        <v>73.454999999999998</v>
      </c>
      <c r="N86" s="10" t="s">
        <v>28</v>
      </c>
      <c r="O86" s="10" t="s">
        <v>29</v>
      </c>
      <c r="P86" s="10" t="s">
        <v>29</v>
      </c>
      <c r="Q86" s="10"/>
      <c r="R86" s="10"/>
      <c r="S86" s="10"/>
      <c r="T86" s="10"/>
      <c r="U86" s="10"/>
      <c r="V86" s="10"/>
      <c r="W86" s="10"/>
      <c r="X86" s="10" t="s">
        <v>30</v>
      </c>
      <c r="Y86" s="13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  <c r="DE86" s="5"/>
      <c r="DF86" s="5"/>
      <c r="DG86" s="5"/>
      <c r="DH86" s="5"/>
      <c r="DI86" s="5"/>
      <c r="DJ86" s="5"/>
      <c r="DK86" s="5"/>
      <c r="DL86" s="5"/>
      <c r="DM86" s="5"/>
      <c r="DN86" s="5"/>
      <c r="DO86" s="5"/>
      <c r="DP86" s="5"/>
      <c r="DQ86" s="5"/>
      <c r="DR86" s="5"/>
      <c r="DS86" s="5"/>
      <c r="DT86" s="5"/>
      <c r="DU86" s="5"/>
      <c r="DV86" s="5"/>
      <c r="DW86" s="5"/>
      <c r="DX86" s="5"/>
      <c r="DY86" s="5"/>
      <c r="DZ86" s="5"/>
      <c r="EA86" s="5"/>
      <c r="EB86" s="5"/>
      <c r="EC86" s="5"/>
      <c r="ED86" s="5"/>
      <c r="EE86" s="5"/>
      <c r="EF86" s="5"/>
      <c r="EG86" s="5"/>
      <c r="EH86" s="5"/>
      <c r="EI86" s="5"/>
      <c r="EJ86" s="5"/>
      <c r="EK86" s="5"/>
      <c r="EL86" s="5"/>
      <c r="EM86" s="5"/>
      <c r="EN86" s="5"/>
      <c r="EO86" s="5"/>
      <c r="EP86" s="5"/>
      <c r="EQ86" s="5"/>
      <c r="ER86" s="5"/>
      <c r="ES86" s="5"/>
      <c r="ET86" s="5"/>
      <c r="EU86" s="5"/>
      <c r="EV86" s="5"/>
      <c r="EW86" s="5"/>
      <c r="EX86" s="5"/>
      <c r="EY86" s="5"/>
      <c r="EZ86" s="5"/>
      <c r="FA86" s="5"/>
      <c r="FB86" s="5"/>
      <c r="FC86" s="5"/>
      <c r="FD86" s="5"/>
      <c r="FE86" s="5"/>
      <c r="FF86" s="5"/>
      <c r="FG86" s="5"/>
      <c r="FH86" s="5"/>
      <c r="FI86" s="5"/>
      <c r="FJ86" s="5"/>
      <c r="FK86" s="5"/>
      <c r="FL86" s="5"/>
      <c r="FM86" s="5"/>
      <c r="FN86" s="5"/>
      <c r="FO86" s="5"/>
      <c r="FP86" s="5"/>
      <c r="FQ86" s="5"/>
      <c r="FR86" s="5"/>
      <c r="FS86" s="5"/>
      <c r="FT86" s="5"/>
      <c r="FU86" s="5"/>
      <c r="FV86" s="5"/>
      <c r="FW86" s="5"/>
      <c r="FX86" s="5"/>
      <c r="FY86" s="5"/>
      <c r="FZ86" s="5"/>
      <c r="GA86" s="5"/>
      <c r="GB86" s="5"/>
      <c r="GC86" s="5"/>
      <c r="GD86" s="5"/>
      <c r="GE86" s="5"/>
      <c r="GF86" s="5"/>
      <c r="GG86" s="5"/>
      <c r="GH86" s="5"/>
      <c r="GI86" s="5"/>
      <c r="GJ86" s="5"/>
      <c r="GK86" s="5"/>
      <c r="GL86" s="5"/>
      <c r="GM86" s="5"/>
      <c r="GN86" s="5"/>
      <c r="GO86" s="5"/>
      <c r="GP86" s="5"/>
      <c r="GQ86" s="5"/>
      <c r="GR86" s="5"/>
      <c r="GS86" s="5"/>
      <c r="GT86" s="5"/>
      <c r="GU86" s="5"/>
      <c r="GV86" s="5"/>
      <c r="GW86" s="5"/>
      <c r="GX86" s="5"/>
      <c r="GY86" s="5"/>
      <c r="GZ86" s="5"/>
      <c r="HA86" s="5"/>
      <c r="HB86" s="5"/>
      <c r="HC86" s="5"/>
      <c r="HD86" s="5"/>
      <c r="HE86" s="5"/>
      <c r="HF86" s="5"/>
      <c r="HG86" s="5"/>
      <c r="HH86" s="5"/>
      <c r="HI86" s="5"/>
      <c r="HJ86" s="5"/>
      <c r="HK86" s="5"/>
      <c r="HL86" s="5"/>
      <c r="HM86" s="5"/>
      <c r="HN86" s="5"/>
      <c r="HO86" s="5"/>
      <c r="HP86" s="5"/>
      <c r="HQ86" s="5"/>
      <c r="HR86" s="5"/>
      <c r="HS86" s="5"/>
      <c r="HT86" s="5"/>
      <c r="HU86" s="5"/>
      <c r="HV86" s="5"/>
      <c r="HW86" s="5"/>
      <c r="HX86" s="5"/>
      <c r="HY86" s="5"/>
      <c r="HZ86" s="5"/>
      <c r="IA86" s="5"/>
      <c r="IB86" s="5"/>
      <c r="IC86" s="5"/>
      <c r="ID86" s="5"/>
      <c r="IE86" s="5"/>
      <c r="IF86" s="5"/>
      <c r="IG86" s="5"/>
      <c r="IH86" s="5"/>
      <c r="II86" s="5"/>
      <c r="IJ86" s="5"/>
      <c r="IK86" s="5"/>
      <c r="IL86" s="5"/>
      <c r="IM86" s="5"/>
      <c r="IN86" s="5"/>
      <c r="IO86" s="5"/>
      <c r="IP86" s="5"/>
      <c r="IQ86" s="5"/>
      <c r="IR86" s="5"/>
      <c r="IS86" s="5"/>
      <c r="IT86" s="5"/>
      <c r="IU86" s="5"/>
      <c r="IV86" s="5"/>
      <c r="IW86" s="5"/>
      <c r="IX86" s="5"/>
      <c r="IY86" s="5"/>
      <c r="IZ86" s="5"/>
      <c r="JA86" s="5"/>
      <c r="JB86" s="5"/>
      <c r="JC86" s="5"/>
      <c r="JD86" s="5"/>
      <c r="JE86" s="5"/>
      <c r="JF86" s="5"/>
      <c r="JG86" s="5"/>
      <c r="JH86" s="5"/>
      <c r="JI86" s="5"/>
      <c r="JJ86" s="5"/>
      <c r="JK86" s="5"/>
      <c r="JL86" s="5"/>
      <c r="JM86" s="5"/>
      <c r="JN86" s="5"/>
      <c r="JO86" s="5"/>
      <c r="JP86" s="5"/>
      <c r="JQ86" s="5"/>
      <c r="JR86" s="5"/>
      <c r="JS86" s="5"/>
      <c r="JT86" s="5"/>
      <c r="JU86" s="5"/>
      <c r="JV86" s="5"/>
      <c r="JW86" s="5"/>
      <c r="JX86" s="5"/>
      <c r="JY86" s="5"/>
      <c r="JZ86" s="5"/>
      <c r="KA86" s="5"/>
      <c r="KB86" s="5"/>
      <c r="KC86" s="5"/>
      <c r="KD86" s="5"/>
      <c r="KE86" s="5"/>
      <c r="KF86" s="5"/>
      <c r="KG86" s="5"/>
      <c r="KH86" s="5"/>
      <c r="KI86" s="5"/>
      <c r="KJ86" s="5"/>
      <c r="KK86" s="5"/>
      <c r="KL86" s="5"/>
      <c r="KM86" s="5"/>
      <c r="KN86" s="5"/>
      <c r="KO86" s="5"/>
      <c r="KP86" s="5"/>
      <c r="KQ86" s="5"/>
      <c r="KR86" s="5"/>
      <c r="KS86" s="5"/>
      <c r="KT86" s="5"/>
      <c r="KU86" s="5"/>
      <c r="KV86" s="5"/>
      <c r="KW86" s="5"/>
      <c r="KX86" s="5"/>
      <c r="KY86" s="5"/>
      <c r="KZ86" s="5"/>
      <c r="LA86" s="5"/>
      <c r="LB86" s="5"/>
      <c r="LC86" s="5"/>
      <c r="LD86" s="5"/>
      <c r="LE86" s="5"/>
      <c r="LF86" s="5"/>
      <c r="LG86" s="5"/>
      <c r="LH86" s="5"/>
      <c r="LI86" s="5"/>
      <c r="LJ86" s="5"/>
      <c r="LK86" s="5"/>
      <c r="LL86" s="5"/>
      <c r="LM86" s="5"/>
      <c r="LN86" s="5"/>
      <c r="LO86" s="5"/>
      <c r="LP86" s="5"/>
      <c r="LQ86" s="5"/>
      <c r="LR86" s="5"/>
      <c r="LS86" s="5"/>
      <c r="LT86" s="5"/>
      <c r="LU86" s="5"/>
      <c r="LV86" s="5"/>
      <c r="LW86" s="5"/>
      <c r="LX86" s="5"/>
      <c r="LY86" s="5"/>
      <c r="LZ86" s="5"/>
      <c r="MA86" s="5"/>
      <c r="MB86" s="5"/>
      <c r="MC86" s="5"/>
      <c r="MD86" s="5"/>
      <c r="ME86" s="5"/>
      <c r="MF86" s="5"/>
      <c r="MG86" s="5"/>
      <c r="MH86" s="5"/>
      <c r="MI86" s="5"/>
      <c r="MJ86" s="5"/>
      <c r="MK86" s="5"/>
    </row>
    <row r="87" spans="1:349" s="2" customFormat="1" ht="17.7" customHeight="1" x14ac:dyDescent="0.3">
      <c r="A87" s="21">
        <v>86</v>
      </c>
      <c r="B87" s="21">
        <v>8100004</v>
      </c>
      <c r="C87" s="9" t="s">
        <v>119</v>
      </c>
      <c r="D87" s="9" t="s">
        <v>25</v>
      </c>
      <c r="E87" s="9" t="s">
        <v>26</v>
      </c>
      <c r="F87" s="9">
        <v>103.75</v>
      </c>
      <c r="G87" s="9">
        <v>5</v>
      </c>
      <c r="H87" s="9"/>
      <c r="I87" s="9" t="s">
        <v>116</v>
      </c>
      <c r="J87" s="9"/>
      <c r="K87" s="9"/>
      <c r="L87" s="9"/>
      <c r="M87" s="9">
        <f t="shared" si="1"/>
        <v>86.112499999999997</v>
      </c>
      <c r="N87" s="9" t="s">
        <v>28</v>
      </c>
      <c r="O87" s="9" t="s">
        <v>29</v>
      </c>
      <c r="P87" s="9" t="s">
        <v>29</v>
      </c>
      <c r="Q87" s="9"/>
      <c r="R87" s="9"/>
      <c r="S87" s="9"/>
      <c r="T87" s="9"/>
      <c r="U87" s="9"/>
      <c r="V87" s="9"/>
      <c r="W87" s="9"/>
      <c r="X87" s="9" t="s">
        <v>30</v>
      </c>
      <c r="Y87" s="13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  <c r="DE87" s="5"/>
      <c r="DF87" s="5"/>
      <c r="DG87" s="5"/>
      <c r="DH87" s="5"/>
      <c r="DI87" s="5"/>
      <c r="DJ87" s="5"/>
      <c r="DK87" s="5"/>
      <c r="DL87" s="5"/>
      <c r="DM87" s="5"/>
      <c r="DN87" s="5"/>
      <c r="DO87" s="5"/>
      <c r="DP87" s="5"/>
      <c r="DQ87" s="5"/>
      <c r="DR87" s="5"/>
      <c r="DS87" s="5"/>
      <c r="DT87" s="5"/>
      <c r="DU87" s="5"/>
      <c r="DV87" s="5"/>
      <c r="DW87" s="5"/>
      <c r="DX87" s="5"/>
      <c r="DY87" s="5"/>
      <c r="DZ87" s="5"/>
      <c r="EA87" s="5"/>
      <c r="EB87" s="5"/>
      <c r="EC87" s="5"/>
      <c r="ED87" s="5"/>
      <c r="EE87" s="5"/>
      <c r="EF87" s="5"/>
      <c r="EG87" s="5"/>
      <c r="EH87" s="5"/>
      <c r="EI87" s="5"/>
      <c r="EJ87" s="5"/>
      <c r="EK87" s="5"/>
      <c r="EL87" s="5"/>
      <c r="EM87" s="5"/>
      <c r="EN87" s="5"/>
      <c r="EO87" s="5"/>
      <c r="EP87" s="5"/>
      <c r="EQ87" s="5"/>
      <c r="ER87" s="5"/>
      <c r="ES87" s="5"/>
      <c r="ET87" s="5"/>
      <c r="EU87" s="5"/>
      <c r="EV87" s="5"/>
      <c r="EW87" s="5"/>
      <c r="EX87" s="5"/>
      <c r="EY87" s="5"/>
      <c r="EZ87" s="5"/>
      <c r="FA87" s="5"/>
      <c r="FB87" s="5"/>
      <c r="FC87" s="5"/>
      <c r="FD87" s="5"/>
      <c r="FE87" s="5"/>
      <c r="FF87" s="5"/>
      <c r="FG87" s="5"/>
      <c r="FH87" s="5"/>
      <c r="FI87" s="5"/>
      <c r="FJ87" s="5"/>
      <c r="FK87" s="5"/>
      <c r="FL87" s="5"/>
      <c r="FM87" s="5"/>
      <c r="FN87" s="5"/>
      <c r="FO87" s="5"/>
      <c r="FP87" s="5"/>
      <c r="FQ87" s="5"/>
      <c r="FR87" s="5"/>
      <c r="FS87" s="5"/>
      <c r="FT87" s="5"/>
      <c r="FU87" s="5"/>
      <c r="FV87" s="5"/>
      <c r="FW87" s="5"/>
      <c r="FX87" s="5"/>
      <c r="FY87" s="5"/>
      <c r="FZ87" s="5"/>
      <c r="GA87" s="5"/>
      <c r="GB87" s="5"/>
      <c r="GC87" s="5"/>
      <c r="GD87" s="5"/>
      <c r="GE87" s="5"/>
      <c r="GF87" s="5"/>
      <c r="GG87" s="5"/>
      <c r="GH87" s="5"/>
      <c r="GI87" s="5"/>
      <c r="GJ87" s="5"/>
      <c r="GK87" s="5"/>
      <c r="GL87" s="5"/>
      <c r="GM87" s="5"/>
      <c r="GN87" s="5"/>
      <c r="GO87" s="5"/>
      <c r="GP87" s="5"/>
      <c r="GQ87" s="5"/>
      <c r="GR87" s="5"/>
      <c r="GS87" s="5"/>
      <c r="GT87" s="5"/>
      <c r="GU87" s="5"/>
      <c r="GV87" s="5"/>
      <c r="GW87" s="5"/>
      <c r="GX87" s="5"/>
      <c r="GY87" s="5"/>
      <c r="GZ87" s="5"/>
      <c r="HA87" s="5"/>
      <c r="HB87" s="5"/>
      <c r="HC87" s="5"/>
      <c r="HD87" s="5"/>
      <c r="HE87" s="5"/>
      <c r="HF87" s="5"/>
      <c r="HG87" s="5"/>
      <c r="HH87" s="5"/>
      <c r="HI87" s="5"/>
      <c r="HJ87" s="5"/>
      <c r="HK87" s="5"/>
      <c r="HL87" s="5"/>
      <c r="HM87" s="5"/>
      <c r="HN87" s="5"/>
      <c r="HO87" s="5"/>
      <c r="HP87" s="5"/>
      <c r="HQ87" s="5"/>
      <c r="HR87" s="5"/>
      <c r="HS87" s="5"/>
      <c r="HT87" s="5"/>
      <c r="HU87" s="5"/>
      <c r="HV87" s="5"/>
      <c r="HW87" s="5"/>
      <c r="HX87" s="5"/>
      <c r="HY87" s="5"/>
      <c r="HZ87" s="5"/>
      <c r="IA87" s="5"/>
      <c r="IB87" s="5"/>
      <c r="IC87" s="5"/>
      <c r="ID87" s="5"/>
      <c r="IE87" s="5"/>
      <c r="IF87" s="5"/>
      <c r="IG87" s="5"/>
      <c r="IH87" s="5"/>
      <c r="II87" s="5"/>
      <c r="IJ87" s="5"/>
      <c r="IK87" s="5"/>
      <c r="IL87" s="5"/>
      <c r="IM87" s="5"/>
      <c r="IN87" s="5"/>
      <c r="IO87" s="5"/>
      <c r="IP87" s="5"/>
      <c r="IQ87" s="5"/>
      <c r="IR87" s="5"/>
      <c r="IS87" s="5"/>
      <c r="IT87" s="5"/>
      <c r="IU87" s="5"/>
      <c r="IV87" s="5"/>
      <c r="IW87" s="5"/>
      <c r="IX87" s="5"/>
      <c r="IY87" s="5"/>
      <c r="IZ87" s="5"/>
      <c r="JA87" s="5"/>
      <c r="JB87" s="5"/>
      <c r="JC87" s="5"/>
      <c r="JD87" s="5"/>
      <c r="JE87" s="5"/>
      <c r="JF87" s="5"/>
      <c r="JG87" s="5"/>
      <c r="JH87" s="5"/>
      <c r="JI87" s="5"/>
      <c r="JJ87" s="5"/>
      <c r="JK87" s="5"/>
      <c r="JL87" s="5"/>
      <c r="JM87" s="5"/>
      <c r="JN87" s="5"/>
      <c r="JO87" s="5"/>
      <c r="JP87" s="5"/>
      <c r="JQ87" s="5"/>
      <c r="JR87" s="5"/>
      <c r="JS87" s="5"/>
      <c r="JT87" s="5"/>
      <c r="JU87" s="5"/>
      <c r="JV87" s="5"/>
      <c r="JW87" s="5"/>
      <c r="JX87" s="5"/>
      <c r="JY87" s="5"/>
      <c r="JZ87" s="5"/>
      <c r="KA87" s="5"/>
      <c r="KB87" s="5"/>
      <c r="KC87" s="5"/>
      <c r="KD87" s="5"/>
      <c r="KE87" s="5"/>
      <c r="KF87" s="5"/>
      <c r="KG87" s="5"/>
      <c r="KH87" s="5"/>
      <c r="KI87" s="5"/>
      <c r="KJ87" s="5"/>
      <c r="KK87" s="5"/>
      <c r="KL87" s="5"/>
      <c r="KM87" s="5"/>
      <c r="KN87" s="5"/>
      <c r="KO87" s="5"/>
      <c r="KP87" s="5"/>
      <c r="KQ87" s="5"/>
      <c r="KR87" s="5"/>
      <c r="KS87" s="5"/>
      <c r="KT87" s="5"/>
      <c r="KU87" s="5"/>
      <c r="KV87" s="5"/>
      <c r="KW87" s="5"/>
      <c r="KX87" s="5"/>
      <c r="KY87" s="5"/>
      <c r="KZ87" s="5"/>
      <c r="LA87" s="5"/>
      <c r="LB87" s="5"/>
      <c r="LC87" s="5"/>
      <c r="LD87" s="5"/>
      <c r="LE87" s="5"/>
      <c r="LF87" s="5"/>
      <c r="LG87" s="5"/>
      <c r="LH87" s="5"/>
      <c r="LI87" s="5"/>
      <c r="LJ87" s="5"/>
      <c r="LK87" s="5"/>
      <c r="LL87" s="5"/>
      <c r="LM87" s="5"/>
      <c r="LN87" s="5"/>
      <c r="LO87" s="5"/>
      <c r="LP87" s="5"/>
      <c r="LQ87" s="5"/>
      <c r="LR87" s="5"/>
      <c r="LS87" s="5"/>
      <c r="LT87" s="5"/>
      <c r="LU87" s="5"/>
      <c r="LV87" s="5"/>
      <c r="LW87" s="5"/>
      <c r="LX87" s="5"/>
      <c r="LY87" s="5"/>
      <c r="LZ87" s="5"/>
      <c r="MA87" s="5"/>
      <c r="MB87" s="5"/>
      <c r="MC87" s="5"/>
      <c r="MD87" s="5"/>
      <c r="ME87" s="5"/>
      <c r="MF87" s="5"/>
      <c r="MG87" s="5"/>
      <c r="MH87" s="5"/>
      <c r="MI87" s="5"/>
      <c r="MJ87" s="5"/>
      <c r="MK87" s="5"/>
    </row>
    <row r="88" spans="1:349" s="1" customFormat="1" ht="17.7" customHeight="1" x14ac:dyDescent="0.3">
      <c r="A88" s="20">
        <v>87</v>
      </c>
      <c r="B88" s="20">
        <v>8100005</v>
      </c>
      <c r="C88" s="10" t="s">
        <v>120</v>
      </c>
      <c r="D88" s="10" t="s">
        <v>25</v>
      </c>
      <c r="E88" s="10" t="s">
        <v>26</v>
      </c>
      <c r="F88" s="10">
        <v>201.75</v>
      </c>
      <c r="G88" s="10">
        <v>3</v>
      </c>
      <c r="H88" s="10"/>
      <c r="I88" s="10" t="s">
        <v>116</v>
      </c>
      <c r="J88" s="10"/>
      <c r="K88" s="10"/>
      <c r="L88" s="10"/>
      <c r="M88" s="10">
        <f t="shared" si="1"/>
        <v>167.45249999999999</v>
      </c>
      <c r="N88" s="10" t="s">
        <v>28</v>
      </c>
      <c r="O88" s="10" t="s">
        <v>29</v>
      </c>
      <c r="P88" s="10" t="s">
        <v>29</v>
      </c>
      <c r="Q88" s="10"/>
      <c r="R88" s="10"/>
      <c r="S88" s="10"/>
      <c r="T88" s="10"/>
      <c r="U88" s="10"/>
      <c r="V88" s="10"/>
      <c r="W88" s="10"/>
      <c r="X88" s="10" t="s">
        <v>30</v>
      </c>
      <c r="Y88" s="14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  <c r="BP88" s="6"/>
      <c r="BQ88" s="6"/>
      <c r="BR88" s="6"/>
      <c r="BS88" s="6"/>
      <c r="BT88" s="6"/>
      <c r="BU88" s="6"/>
      <c r="BV88" s="6"/>
      <c r="BW88" s="6"/>
      <c r="BX88" s="6"/>
      <c r="BY88" s="6"/>
      <c r="BZ88" s="6"/>
      <c r="CA88" s="6"/>
      <c r="CB88" s="6"/>
      <c r="CC88" s="6"/>
      <c r="CD88" s="6"/>
      <c r="CE88" s="6"/>
      <c r="CF88" s="6"/>
      <c r="CG88" s="6"/>
      <c r="CH88" s="6"/>
      <c r="CI88" s="6"/>
      <c r="CJ88" s="6"/>
      <c r="CK88" s="6"/>
      <c r="CL88" s="6"/>
      <c r="CM88" s="6"/>
      <c r="CN88" s="6"/>
      <c r="CO88" s="6"/>
      <c r="CP88" s="6"/>
      <c r="CQ88" s="6"/>
      <c r="CR88" s="6"/>
      <c r="CS88" s="6"/>
      <c r="CT88" s="6"/>
      <c r="CU88" s="6"/>
      <c r="CV88" s="6"/>
      <c r="CW88" s="6"/>
      <c r="CX88" s="6"/>
      <c r="CY88" s="6"/>
      <c r="CZ88" s="6"/>
      <c r="DA88" s="6"/>
      <c r="DB88" s="6"/>
      <c r="DC88" s="6"/>
      <c r="DD88" s="6"/>
      <c r="DE88" s="6"/>
      <c r="DF88" s="6"/>
      <c r="DG88" s="6"/>
      <c r="DH88" s="6"/>
      <c r="DI88" s="6"/>
      <c r="DJ88" s="6"/>
      <c r="DK88" s="6"/>
      <c r="DL88" s="6"/>
      <c r="DM88" s="6"/>
      <c r="DN88" s="6"/>
      <c r="DO88" s="6"/>
      <c r="DP88" s="6"/>
      <c r="DQ88" s="6"/>
      <c r="DR88" s="6"/>
      <c r="DS88" s="6"/>
      <c r="DT88" s="6"/>
      <c r="DU88" s="6"/>
      <c r="DV88" s="6"/>
      <c r="DW88" s="6"/>
      <c r="DX88" s="6"/>
      <c r="DY88" s="6"/>
      <c r="DZ88" s="6"/>
      <c r="EA88" s="6"/>
      <c r="EB88" s="6"/>
      <c r="EC88" s="6"/>
      <c r="ED88" s="6"/>
      <c r="EE88" s="6"/>
      <c r="EF88" s="6"/>
      <c r="EG88" s="6"/>
      <c r="EH88" s="6"/>
      <c r="EI88" s="6"/>
      <c r="EJ88" s="6"/>
      <c r="EK88" s="6"/>
      <c r="EL88" s="6"/>
      <c r="EM88" s="6"/>
      <c r="EN88" s="6"/>
      <c r="EO88" s="6"/>
      <c r="EP88" s="6"/>
      <c r="EQ88" s="6"/>
      <c r="ER88" s="6"/>
      <c r="ES88" s="6"/>
      <c r="ET88" s="6"/>
      <c r="EU88" s="6"/>
      <c r="EV88" s="6"/>
      <c r="EW88" s="6"/>
      <c r="EX88" s="6"/>
      <c r="EY88" s="6"/>
      <c r="EZ88" s="6"/>
      <c r="FA88" s="6"/>
      <c r="FB88" s="6"/>
      <c r="FC88" s="6"/>
      <c r="FD88" s="6"/>
      <c r="FE88" s="6"/>
      <c r="FF88" s="6"/>
      <c r="FG88" s="6"/>
      <c r="FH88" s="6"/>
      <c r="FI88" s="6"/>
      <c r="FJ88" s="6"/>
      <c r="FK88" s="6"/>
      <c r="FL88" s="6"/>
      <c r="FM88" s="6"/>
      <c r="FN88" s="6"/>
      <c r="FO88" s="6"/>
      <c r="FP88" s="6"/>
      <c r="FQ88" s="6"/>
      <c r="FR88" s="6"/>
      <c r="FS88" s="6"/>
      <c r="FT88" s="6"/>
      <c r="FU88" s="6"/>
      <c r="FV88" s="6"/>
      <c r="FW88" s="6"/>
      <c r="FX88" s="6"/>
      <c r="FY88" s="6"/>
      <c r="FZ88" s="6"/>
      <c r="GA88" s="6"/>
      <c r="GB88" s="6"/>
      <c r="GC88" s="6"/>
      <c r="GD88" s="6"/>
      <c r="GE88" s="6"/>
      <c r="GF88" s="6"/>
      <c r="GG88" s="6"/>
      <c r="GH88" s="6"/>
      <c r="GI88" s="6"/>
      <c r="GJ88" s="6"/>
      <c r="GK88" s="6"/>
      <c r="GL88" s="6"/>
      <c r="GM88" s="6"/>
      <c r="GN88" s="6"/>
      <c r="GO88" s="6"/>
      <c r="GP88" s="6"/>
      <c r="GQ88" s="6"/>
      <c r="GR88" s="6"/>
      <c r="GS88" s="6"/>
      <c r="GT88" s="6"/>
      <c r="GU88" s="6"/>
      <c r="GV88" s="6"/>
      <c r="GW88" s="6"/>
      <c r="GX88" s="6"/>
      <c r="GY88" s="6"/>
      <c r="GZ88" s="6"/>
      <c r="HA88" s="6"/>
      <c r="HB88" s="6"/>
      <c r="HC88" s="6"/>
      <c r="HD88" s="6"/>
      <c r="HE88" s="6"/>
      <c r="HF88" s="6"/>
      <c r="HG88" s="6"/>
      <c r="HH88" s="6"/>
      <c r="HI88" s="6"/>
      <c r="HJ88" s="6"/>
      <c r="HK88" s="6"/>
      <c r="HL88" s="6"/>
      <c r="HM88" s="6"/>
      <c r="HN88" s="6"/>
      <c r="HO88" s="6"/>
      <c r="HP88" s="6"/>
      <c r="HQ88" s="6"/>
      <c r="HR88" s="6"/>
      <c r="HS88" s="6"/>
      <c r="HT88" s="6"/>
      <c r="HU88" s="6"/>
      <c r="HV88" s="6"/>
      <c r="HW88" s="6"/>
      <c r="HX88" s="6"/>
      <c r="HY88" s="6"/>
      <c r="HZ88" s="6"/>
      <c r="IA88" s="6"/>
      <c r="IB88" s="6"/>
      <c r="IC88" s="6"/>
      <c r="ID88" s="6"/>
      <c r="IE88" s="6"/>
      <c r="IF88" s="6"/>
      <c r="IG88" s="6"/>
      <c r="IH88" s="6"/>
      <c r="II88" s="6"/>
      <c r="IJ88" s="6"/>
      <c r="IK88" s="6"/>
      <c r="IL88" s="6"/>
      <c r="IM88" s="6"/>
      <c r="IN88" s="6"/>
      <c r="IO88" s="6"/>
      <c r="IP88" s="6"/>
      <c r="IQ88" s="6"/>
      <c r="IR88" s="6"/>
      <c r="IS88" s="6"/>
      <c r="IT88" s="6"/>
      <c r="IU88" s="6"/>
      <c r="IV88" s="6"/>
      <c r="IW88" s="6"/>
      <c r="IX88" s="6"/>
      <c r="IY88" s="6"/>
      <c r="IZ88" s="6"/>
      <c r="JA88" s="6"/>
      <c r="JB88" s="6"/>
      <c r="JC88" s="6"/>
      <c r="JD88" s="6"/>
      <c r="JE88" s="6"/>
      <c r="JF88" s="6"/>
      <c r="JG88" s="6"/>
      <c r="JH88" s="6"/>
      <c r="JI88" s="6"/>
      <c r="JJ88" s="6"/>
      <c r="JK88" s="6"/>
      <c r="JL88" s="6"/>
      <c r="JM88" s="6"/>
      <c r="JN88" s="6"/>
      <c r="JO88" s="6"/>
      <c r="JP88" s="6"/>
      <c r="JQ88" s="6"/>
      <c r="JR88" s="6"/>
      <c r="JS88" s="6"/>
      <c r="JT88" s="6"/>
      <c r="JU88" s="6"/>
      <c r="JV88" s="6"/>
      <c r="JW88" s="6"/>
      <c r="JX88" s="6"/>
      <c r="JY88" s="6"/>
      <c r="JZ88" s="6"/>
      <c r="KA88" s="6"/>
      <c r="KB88" s="6"/>
      <c r="KC88" s="6"/>
      <c r="KD88" s="6"/>
      <c r="KE88" s="6"/>
      <c r="KF88" s="6"/>
      <c r="KG88" s="6"/>
      <c r="KH88" s="6"/>
      <c r="KI88" s="6"/>
      <c r="KJ88" s="6"/>
      <c r="KK88" s="6"/>
      <c r="KL88" s="6"/>
      <c r="KM88" s="6"/>
      <c r="KN88" s="6"/>
      <c r="KO88" s="6"/>
      <c r="KP88" s="6"/>
      <c r="KQ88" s="6"/>
      <c r="KR88" s="6"/>
      <c r="KS88" s="6"/>
      <c r="KT88" s="6"/>
      <c r="KU88" s="6"/>
      <c r="KV88" s="6"/>
      <c r="KW88" s="6"/>
      <c r="KX88" s="6"/>
      <c r="KY88" s="6"/>
      <c r="KZ88" s="6"/>
      <c r="LA88" s="6"/>
      <c r="LB88" s="6"/>
      <c r="LC88" s="6"/>
      <c r="LD88" s="6"/>
      <c r="LE88" s="6"/>
      <c r="LF88" s="6"/>
      <c r="LG88" s="6"/>
      <c r="LH88" s="6"/>
      <c r="LI88" s="6"/>
      <c r="LJ88" s="6"/>
      <c r="LK88" s="6"/>
      <c r="LL88" s="6"/>
      <c r="LM88" s="6"/>
      <c r="LN88" s="6"/>
      <c r="LO88" s="6"/>
      <c r="LP88" s="6"/>
      <c r="LQ88" s="6"/>
      <c r="LR88" s="6"/>
      <c r="LS88" s="6"/>
      <c r="LT88" s="6"/>
      <c r="LU88" s="6"/>
      <c r="LV88" s="6"/>
      <c r="LW88" s="6"/>
      <c r="LX88" s="6"/>
      <c r="LY88" s="6"/>
      <c r="LZ88" s="6"/>
      <c r="MA88" s="6"/>
      <c r="MB88" s="6"/>
      <c r="MC88" s="6"/>
      <c r="MD88" s="6"/>
      <c r="ME88" s="6"/>
      <c r="MF88" s="6"/>
      <c r="MG88" s="6"/>
      <c r="MH88" s="6"/>
      <c r="MI88" s="6"/>
      <c r="MJ88" s="6"/>
      <c r="MK88" s="6"/>
    </row>
    <row r="89" spans="1:349" s="2" customFormat="1" ht="17.7" customHeight="1" x14ac:dyDescent="0.3">
      <c r="A89" s="21">
        <v>88</v>
      </c>
      <c r="B89" s="21">
        <v>8100006</v>
      </c>
      <c r="C89" s="9" t="s">
        <v>121</v>
      </c>
      <c r="D89" s="9" t="s">
        <v>25</v>
      </c>
      <c r="E89" s="9" t="s">
        <v>26</v>
      </c>
      <c r="F89" s="9">
        <v>413.5</v>
      </c>
      <c r="G89" s="9">
        <v>2</v>
      </c>
      <c r="H89" s="9"/>
      <c r="I89" s="9" t="s">
        <v>116</v>
      </c>
      <c r="J89" s="9"/>
      <c r="K89" s="9"/>
      <c r="L89" s="9"/>
      <c r="M89" s="9">
        <f t="shared" si="1"/>
        <v>343.20499999999998</v>
      </c>
      <c r="N89" s="9" t="s">
        <v>28</v>
      </c>
      <c r="O89" s="9" t="s">
        <v>29</v>
      </c>
      <c r="P89" s="9" t="s">
        <v>29</v>
      </c>
      <c r="Q89" s="9"/>
      <c r="R89" s="9"/>
      <c r="S89" s="9"/>
      <c r="T89" s="9"/>
      <c r="U89" s="9"/>
      <c r="V89" s="9"/>
      <c r="W89" s="9"/>
      <c r="X89" s="9" t="s">
        <v>30</v>
      </c>
      <c r="Y89" s="13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  <c r="DE89" s="5"/>
      <c r="DF89" s="5"/>
      <c r="DG89" s="5"/>
      <c r="DH89" s="5"/>
      <c r="DI89" s="5"/>
      <c r="DJ89" s="5"/>
      <c r="DK89" s="5"/>
      <c r="DL89" s="5"/>
      <c r="DM89" s="5"/>
      <c r="DN89" s="5"/>
      <c r="DO89" s="5"/>
      <c r="DP89" s="5"/>
      <c r="DQ89" s="5"/>
      <c r="DR89" s="5"/>
      <c r="DS89" s="5"/>
      <c r="DT89" s="5"/>
      <c r="DU89" s="5"/>
      <c r="DV89" s="5"/>
      <c r="DW89" s="5"/>
      <c r="DX89" s="5"/>
      <c r="DY89" s="5"/>
      <c r="DZ89" s="5"/>
      <c r="EA89" s="5"/>
      <c r="EB89" s="5"/>
      <c r="EC89" s="5"/>
      <c r="ED89" s="5"/>
      <c r="EE89" s="5"/>
      <c r="EF89" s="5"/>
      <c r="EG89" s="5"/>
      <c r="EH89" s="5"/>
      <c r="EI89" s="5"/>
      <c r="EJ89" s="5"/>
      <c r="EK89" s="5"/>
      <c r="EL89" s="5"/>
      <c r="EM89" s="5"/>
      <c r="EN89" s="5"/>
      <c r="EO89" s="5"/>
      <c r="EP89" s="5"/>
      <c r="EQ89" s="5"/>
      <c r="ER89" s="5"/>
      <c r="ES89" s="5"/>
      <c r="ET89" s="5"/>
      <c r="EU89" s="5"/>
      <c r="EV89" s="5"/>
      <c r="EW89" s="5"/>
      <c r="EX89" s="5"/>
      <c r="EY89" s="5"/>
      <c r="EZ89" s="5"/>
      <c r="FA89" s="5"/>
      <c r="FB89" s="5"/>
      <c r="FC89" s="5"/>
      <c r="FD89" s="5"/>
      <c r="FE89" s="5"/>
      <c r="FF89" s="5"/>
      <c r="FG89" s="5"/>
      <c r="FH89" s="5"/>
      <c r="FI89" s="5"/>
      <c r="FJ89" s="5"/>
      <c r="FK89" s="5"/>
      <c r="FL89" s="5"/>
      <c r="FM89" s="5"/>
      <c r="FN89" s="5"/>
      <c r="FO89" s="5"/>
      <c r="FP89" s="5"/>
      <c r="FQ89" s="5"/>
      <c r="FR89" s="5"/>
      <c r="FS89" s="5"/>
      <c r="FT89" s="5"/>
      <c r="FU89" s="5"/>
      <c r="FV89" s="5"/>
      <c r="FW89" s="5"/>
      <c r="FX89" s="5"/>
      <c r="FY89" s="5"/>
      <c r="FZ89" s="5"/>
      <c r="GA89" s="5"/>
      <c r="GB89" s="5"/>
      <c r="GC89" s="5"/>
      <c r="GD89" s="5"/>
      <c r="GE89" s="5"/>
      <c r="GF89" s="5"/>
      <c r="GG89" s="5"/>
      <c r="GH89" s="5"/>
      <c r="GI89" s="5"/>
      <c r="GJ89" s="5"/>
      <c r="GK89" s="5"/>
      <c r="GL89" s="5"/>
      <c r="GM89" s="5"/>
      <c r="GN89" s="5"/>
      <c r="GO89" s="5"/>
      <c r="GP89" s="5"/>
      <c r="GQ89" s="5"/>
      <c r="GR89" s="5"/>
      <c r="GS89" s="5"/>
      <c r="GT89" s="5"/>
      <c r="GU89" s="5"/>
      <c r="GV89" s="5"/>
      <c r="GW89" s="5"/>
      <c r="GX89" s="5"/>
      <c r="GY89" s="5"/>
      <c r="GZ89" s="5"/>
      <c r="HA89" s="5"/>
      <c r="HB89" s="5"/>
      <c r="HC89" s="5"/>
      <c r="HD89" s="5"/>
      <c r="HE89" s="5"/>
      <c r="HF89" s="5"/>
      <c r="HG89" s="5"/>
      <c r="HH89" s="5"/>
      <c r="HI89" s="5"/>
      <c r="HJ89" s="5"/>
      <c r="HK89" s="5"/>
      <c r="HL89" s="5"/>
      <c r="HM89" s="5"/>
      <c r="HN89" s="5"/>
      <c r="HO89" s="5"/>
      <c r="HP89" s="5"/>
      <c r="HQ89" s="5"/>
      <c r="HR89" s="5"/>
      <c r="HS89" s="5"/>
      <c r="HT89" s="5"/>
      <c r="HU89" s="5"/>
      <c r="HV89" s="5"/>
      <c r="HW89" s="5"/>
      <c r="HX89" s="5"/>
      <c r="HY89" s="5"/>
      <c r="HZ89" s="5"/>
      <c r="IA89" s="5"/>
      <c r="IB89" s="5"/>
      <c r="IC89" s="5"/>
      <c r="ID89" s="5"/>
      <c r="IE89" s="5"/>
      <c r="IF89" s="5"/>
      <c r="IG89" s="5"/>
      <c r="IH89" s="5"/>
      <c r="II89" s="5"/>
      <c r="IJ89" s="5"/>
      <c r="IK89" s="5"/>
      <c r="IL89" s="5"/>
      <c r="IM89" s="5"/>
      <c r="IN89" s="5"/>
      <c r="IO89" s="5"/>
      <c r="IP89" s="5"/>
      <c r="IQ89" s="5"/>
      <c r="IR89" s="5"/>
      <c r="IS89" s="5"/>
      <c r="IT89" s="5"/>
      <c r="IU89" s="5"/>
      <c r="IV89" s="5"/>
      <c r="IW89" s="5"/>
      <c r="IX89" s="5"/>
      <c r="IY89" s="5"/>
      <c r="IZ89" s="5"/>
      <c r="JA89" s="5"/>
      <c r="JB89" s="5"/>
      <c r="JC89" s="5"/>
      <c r="JD89" s="5"/>
      <c r="JE89" s="5"/>
      <c r="JF89" s="5"/>
      <c r="JG89" s="5"/>
      <c r="JH89" s="5"/>
      <c r="JI89" s="5"/>
      <c r="JJ89" s="5"/>
      <c r="JK89" s="5"/>
      <c r="JL89" s="5"/>
      <c r="JM89" s="5"/>
      <c r="JN89" s="5"/>
      <c r="JO89" s="5"/>
      <c r="JP89" s="5"/>
      <c r="JQ89" s="5"/>
      <c r="JR89" s="5"/>
      <c r="JS89" s="5"/>
      <c r="JT89" s="5"/>
      <c r="JU89" s="5"/>
      <c r="JV89" s="5"/>
      <c r="JW89" s="5"/>
      <c r="JX89" s="5"/>
      <c r="JY89" s="5"/>
      <c r="JZ89" s="5"/>
      <c r="KA89" s="5"/>
      <c r="KB89" s="5"/>
      <c r="KC89" s="5"/>
      <c r="KD89" s="5"/>
      <c r="KE89" s="5"/>
      <c r="KF89" s="5"/>
      <c r="KG89" s="5"/>
      <c r="KH89" s="5"/>
      <c r="KI89" s="5"/>
      <c r="KJ89" s="5"/>
      <c r="KK89" s="5"/>
      <c r="KL89" s="5"/>
      <c r="KM89" s="5"/>
      <c r="KN89" s="5"/>
      <c r="KO89" s="5"/>
      <c r="KP89" s="5"/>
      <c r="KQ89" s="5"/>
      <c r="KR89" s="5"/>
      <c r="KS89" s="5"/>
      <c r="KT89" s="5"/>
      <c r="KU89" s="5"/>
      <c r="KV89" s="5"/>
      <c r="KW89" s="5"/>
      <c r="KX89" s="5"/>
      <c r="KY89" s="5"/>
      <c r="KZ89" s="5"/>
      <c r="LA89" s="5"/>
      <c r="LB89" s="5"/>
      <c r="LC89" s="5"/>
      <c r="LD89" s="5"/>
      <c r="LE89" s="5"/>
      <c r="LF89" s="5"/>
      <c r="LG89" s="5"/>
      <c r="LH89" s="5"/>
      <c r="LI89" s="5"/>
      <c r="LJ89" s="5"/>
      <c r="LK89" s="5"/>
      <c r="LL89" s="5"/>
      <c r="LM89" s="5"/>
      <c r="LN89" s="5"/>
      <c r="LO89" s="5"/>
      <c r="LP89" s="5"/>
      <c r="LQ89" s="5"/>
      <c r="LR89" s="5"/>
      <c r="LS89" s="5"/>
      <c r="LT89" s="5"/>
      <c r="LU89" s="5"/>
      <c r="LV89" s="5"/>
      <c r="LW89" s="5"/>
      <c r="LX89" s="5"/>
      <c r="LY89" s="5"/>
      <c r="LZ89" s="5"/>
      <c r="MA89" s="5"/>
      <c r="MB89" s="5"/>
      <c r="MC89" s="5"/>
      <c r="MD89" s="5"/>
      <c r="ME89" s="5"/>
      <c r="MF89" s="5"/>
      <c r="MG89" s="5"/>
      <c r="MH89" s="5"/>
      <c r="MI89" s="5"/>
      <c r="MJ89" s="5"/>
      <c r="MK89" s="5"/>
    </row>
    <row r="90" spans="1:349" s="2" customFormat="1" ht="17.7" customHeight="1" x14ac:dyDescent="0.3">
      <c r="A90" s="20">
        <v>89</v>
      </c>
      <c r="B90" s="20">
        <v>8100007</v>
      </c>
      <c r="C90" s="10" t="s">
        <v>122</v>
      </c>
      <c r="D90" s="10" t="s">
        <v>25</v>
      </c>
      <c r="E90" s="10" t="s">
        <v>35</v>
      </c>
      <c r="F90" s="10">
        <v>94.25</v>
      </c>
      <c r="G90" s="10">
        <v>2</v>
      </c>
      <c r="H90" s="10"/>
      <c r="I90" s="10" t="s">
        <v>116</v>
      </c>
      <c r="J90" s="10"/>
      <c r="K90" s="10"/>
      <c r="L90" s="10"/>
      <c r="M90" s="10">
        <f t="shared" si="1"/>
        <v>78.227499999999992</v>
      </c>
      <c r="N90" s="10" t="s">
        <v>28</v>
      </c>
      <c r="O90" s="10" t="s">
        <v>29</v>
      </c>
      <c r="P90" s="10" t="s">
        <v>29</v>
      </c>
      <c r="Q90" s="10"/>
      <c r="R90" s="10"/>
      <c r="S90" s="10"/>
      <c r="T90" s="10"/>
      <c r="U90" s="10"/>
      <c r="V90" s="10"/>
      <c r="W90" s="10"/>
      <c r="X90" s="10" t="s">
        <v>30</v>
      </c>
      <c r="Y90" s="13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  <c r="DE90" s="5"/>
      <c r="DF90" s="5"/>
      <c r="DG90" s="5"/>
      <c r="DH90" s="5"/>
      <c r="DI90" s="5"/>
      <c r="DJ90" s="5"/>
      <c r="DK90" s="5"/>
      <c r="DL90" s="5"/>
      <c r="DM90" s="5"/>
      <c r="DN90" s="5"/>
      <c r="DO90" s="5"/>
      <c r="DP90" s="5"/>
      <c r="DQ90" s="5"/>
      <c r="DR90" s="5"/>
      <c r="DS90" s="5"/>
      <c r="DT90" s="5"/>
      <c r="DU90" s="5"/>
      <c r="DV90" s="5"/>
      <c r="DW90" s="5"/>
      <c r="DX90" s="5"/>
      <c r="DY90" s="5"/>
      <c r="DZ90" s="5"/>
      <c r="EA90" s="5"/>
      <c r="EB90" s="5"/>
      <c r="EC90" s="5"/>
      <c r="ED90" s="5"/>
      <c r="EE90" s="5"/>
      <c r="EF90" s="5"/>
      <c r="EG90" s="5"/>
      <c r="EH90" s="5"/>
      <c r="EI90" s="5"/>
      <c r="EJ90" s="5"/>
      <c r="EK90" s="5"/>
      <c r="EL90" s="5"/>
      <c r="EM90" s="5"/>
      <c r="EN90" s="5"/>
      <c r="EO90" s="5"/>
      <c r="EP90" s="5"/>
      <c r="EQ90" s="5"/>
      <c r="ER90" s="5"/>
      <c r="ES90" s="5"/>
      <c r="ET90" s="5"/>
      <c r="EU90" s="5"/>
      <c r="EV90" s="5"/>
      <c r="EW90" s="5"/>
      <c r="EX90" s="5"/>
      <c r="EY90" s="5"/>
      <c r="EZ90" s="5"/>
      <c r="FA90" s="5"/>
      <c r="FB90" s="5"/>
      <c r="FC90" s="5"/>
      <c r="FD90" s="5"/>
      <c r="FE90" s="5"/>
      <c r="FF90" s="5"/>
      <c r="FG90" s="5"/>
      <c r="FH90" s="5"/>
      <c r="FI90" s="5"/>
      <c r="FJ90" s="5"/>
      <c r="FK90" s="5"/>
      <c r="FL90" s="5"/>
      <c r="FM90" s="5"/>
      <c r="FN90" s="5"/>
      <c r="FO90" s="5"/>
      <c r="FP90" s="5"/>
      <c r="FQ90" s="5"/>
      <c r="FR90" s="5"/>
      <c r="FS90" s="5"/>
      <c r="FT90" s="5"/>
      <c r="FU90" s="5"/>
      <c r="FV90" s="5"/>
      <c r="FW90" s="5"/>
      <c r="FX90" s="5"/>
      <c r="FY90" s="5"/>
      <c r="FZ90" s="5"/>
      <c r="GA90" s="5"/>
      <c r="GB90" s="5"/>
      <c r="GC90" s="5"/>
      <c r="GD90" s="5"/>
      <c r="GE90" s="5"/>
      <c r="GF90" s="5"/>
      <c r="GG90" s="5"/>
      <c r="GH90" s="5"/>
      <c r="GI90" s="5"/>
      <c r="GJ90" s="5"/>
      <c r="GK90" s="5"/>
      <c r="GL90" s="5"/>
      <c r="GM90" s="5"/>
      <c r="GN90" s="5"/>
      <c r="GO90" s="5"/>
      <c r="GP90" s="5"/>
      <c r="GQ90" s="5"/>
      <c r="GR90" s="5"/>
      <c r="GS90" s="5"/>
      <c r="GT90" s="5"/>
      <c r="GU90" s="5"/>
      <c r="GV90" s="5"/>
      <c r="GW90" s="5"/>
      <c r="GX90" s="5"/>
      <c r="GY90" s="5"/>
      <c r="GZ90" s="5"/>
      <c r="HA90" s="5"/>
      <c r="HB90" s="5"/>
      <c r="HC90" s="5"/>
      <c r="HD90" s="5"/>
      <c r="HE90" s="5"/>
      <c r="HF90" s="5"/>
      <c r="HG90" s="5"/>
      <c r="HH90" s="5"/>
      <c r="HI90" s="5"/>
      <c r="HJ90" s="5"/>
      <c r="HK90" s="5"/>
      <c r="HL90" s="5"/>
      <c r="HM90" s="5"/>
      <c r="HN90" s="5"/>
      <c r="HO90" s="5"/>
      <c r="HP90" s="5"/>
      <c r="HQ90" s="5"/>
      <c r="HR90" s="5"/>
      <c r="HS90" s="5"/>
      <c r="HT90" s="5"/>
      <c r="HU90" s="5"/>
      <c r="HV90" s="5"/>
      <c r="HW90" s="5"/>
      <c r="HX90" s="5"/>
      <c r="HY90" s="5"/>
      <c r="HZ90" s="5"/>
      <c r="IA90" s="5"/>
      <c r="IB90" s="5"/>
      <c r="IC90" s="5"/>
      <c r="ID90" s="5"/>
      <c r="IE90" s="5"/>
      <c r="IF90" s="5"/>
      <c r="IG90" s="5"/>
      <c r="IH90" s="5"/>
      <c r="II90" s="5"/>
      <c r="IJ90" s="5"/>
      <c r="IK90" s="5"/>
      <c r="IL90" s="5"/>
      <c r="IM90" s="5"/>
      <c r="IN90" s="5"/>
      <c r="IO90" s="5"/>
      <c r="IP90" s="5"/>
      <c r="IQ90" s="5"/>
      <c r="IR90" s="5"/>
      <c r="IS90" s="5"/>
      <c r="IT90" s="5"/>
      <c r="IU90" s="5"/>
      <c r="IV90" s="5"/>
      <c r="IW90" s="5"/>
      <c r="IX90" s="5"/>
      <c r="IY90" s="5"/>
      <c r="IZ90" s="5"/>
      <c r="JA90" s="5"/>
      <c r="JB90" s="5"/>
      <c r="JC90" s="5"/>
      <c r="JD90" s="5"/>
      <c r="JE90" s="5"/>
      <c r="JF90" s="5"/>
      <c r="JG90" s="5"/>
      <c r="JH90" s="5"/>
      <c r="JI90" s="5"/>
      <c r="JJ90" s="5"/>
      <c r="JK90" s="5"/>
      <c r="JL90" s="5"/>
      <c r="JM90" s="5"/>
      <c r="JN90" s="5"/>
      <c r="JO90" s="5"/>
      <c r="JP90" s="5"/>
      <c r="JQ90" s="5"/>
      <c r="JR90" s="5"/>
      <c r="JS90" s="5"/>
      <c r="JT90" s="5"/>
      <c r="JU90" s="5"/>
      <c r="JV90" s="5"/>
      <c r="JW90" s="5"/>
      <c r="JX90" s="5"/>
      <c r="JY90" s="5"/>
      <c r="JZ90" s="5"/>
      <c r="KA90" s="5"/>
      <c r="KB90" s="5"/>
      <c r="KC90" s="5"/>
      <c r="KD90" s="5"/>
      <c r="KE90" s="5"/>
      <c r="KF90" s="5"/>
      <c r="KG90" s="5"/>
      <c r="KH90" s="5"/>
      <c r="KI90" s="5"/>
      <c r="KJ90" s="5"/>
      <c r="KK90" s="5"/>
      <c r="KL90" s="5"/>
      <c r="KM90" s="5"/>
      <c r="KN90" s="5"/>
      <c r="KO90" s="5"/>
      <c r="KP90" s="5"/>
      <c r="KQ90" s="5"/>
      <c r="KR90" s="5"/>
      <c r="KS90" s="5"/>
      <c r="KT90" s="5"/>
      <c r="KU90" s="5"/>
      <c r="KV90" s="5"/>
      <c r="KW90" s="5"/>
      <c r="KX90" s="5"/>
      <c r="KY90" s="5"/>
      <c r="KZ90" s="5"/>
      <c r="LA90" s="5"/>
      <c r="LB90" s="5"/>
      <c r="LC90" s="5"/>
      <c r="LD90" s="5"/>
      <c r="LE90" s="5"/>
      <c r="LF90" s="5"/>
      <c r="LG90" s="5"/>
      <c r="LH90" s="5"/>
      <c r="LI90" s="5"/>
      <c r="LJ90" s="5"/>
      <c r="LK90" s="5"/>
      <c r="LL90" s="5"/>
      <c r="LM90" s="5"/>
      <c r="LN90" s="5"/>
      <c r="LO90" s="5"/>
      <c r="LP90" s="5"/>
      <c r="LQ90" s="5"/>
      <c r="LR90" s="5"/>
      <c r="LS90" s="5"/>
      <c r="LT90" s="5"/>
      <c r="LU90" s="5"/>
      <c r="LV90" s="5"/>
      <c r="LW90" s="5"/>
      <c r="LX90" s="5"/>
      <c r="LY90" s="5"/>
      <c r="LZ90" s="5"/>
      <c r="MA90" s="5"/>
      <c r="MB90" s="5"/>
      <c r="MC90" s="5"/>
      <c r="MD90" s="5"/>
      <c r="ME90" s="5"/>
      <c r="MF90" s="5"/>
      <c r="MG90" s="5"/>
      <c r="MH90" s="5"/>
      <c r="MI90" s="5"/>
      <c r="MJ90" s="5"/>
      <c r="MK90" s="5"/>
    </row>
    <row r="91" spans="1:349" s="2" customFormat="1" ht="17.7" customHeight="1" x14ac:dyDescent="0.3">
      <c r="A91" s="21">
        <v>90</v>
      </c>
      <c r="B91" s="21">
        <v>8100008</v>
      </c>
      <c r="C91" s="9" t="s">
        <v>123</v>
      </c>
      <c r="D91" s="9" t="s">
        <v>25</v>
      </c>
      <c r="E91" s="9" t="s">
        <v>35</v>
      </c>
      <c r="F91" s="9">
        <v>107.75</v>
      </c>
      <c r="G91" s="9">
        <v>2</v>
      </c>
      <c r="H91" s="9"/>
      <c r="I91" s="9" t="s">
        <v>116</v>
      </c>
      <c r="J91" s="9"/>
      <c r="K91" s="9"/>
      <c r="L91" s="9"/>
      <c r="M91" s="9">
        <f t="shared" si="1"/>
        <v>89.432500000000005</v>
      </c>
      <c r="N91" s="9" t="s">
        <v>28</v>
      </c>
      <c r="O91" s="9" t="s">
        <v>29</v>
      </c>
      <c r="P91" s="9" t="s">
        <v>29</v>
      </c>
      <c r="Q91" s="9"/>
      <c r="R91" s="9"/>
      <c r="S91" s="9"/>
      <c r="T91" s="9"/>
      <c r="U91" s="9"/>
      <c r="V91" s="9"/>
      <c r="W91" s="9"/>
      <c r="X91" s="9" t="s">
        <v>30</v>
      </c>
      <c r="Y91" s="13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  <c r="DE91" s="5"/>
      <c r="DF91" s="5"/>
      <c r="DG91" s="5"/>
      <c r="DH91" s="5"/>
      <c r="DI91" s="5"/>
      <c r="DJ91" s="5"/>
      <c r="DK91" s="5"/>
      <c r="DL91" s="5"/>
      <c r="DM91" s="5"/>
      <c r="DN91" s="5"/>
      <c r="DO91" s="5"/>
      <c r="DP91" s="5"/>
      <c r="DQ91" s="5"/>
      <c r="DR91" s="5"/>
      <c r="DS91" s="5"/>
      <c r="DT91" s="5"/>
      <c r="DU91" s="5"/>
      <c r="DV91" s="5"/>
      <c r="DW91" s="5"/>
      <c r="DX91" s="5"/>
      <c r="DY91" s="5"/>
      <c r="DZ91" s="5"/>
      <c r="EA91" s="5"/>
      <c r="EB91" s="5"/>
      <c r="EC91" s="5"/>
      <c r="ED91" s="5"/>
      <c r="EE91" s="5"/>
      <c r="EF91" s="5"/>
      <c r="EG91" s="5"/>
      <c r="EH91" s="5"/>
      <c r="EI91" s="5"/>
      <c r="EJ91" s="5"/>
      <c r="EK91" s="5"/>
      <c r="EL91" s="5"/>
      <c r="EM91" s="5"/>
      <c r="EN91" s="5"/>
      <c r="EO91" s="5"/>
      <c r="EP91" s="5"/>
      <c r="EQ91" s="5"/>
      <c r="ER91" s="5"/>
      <c r="ES91" s="5"/>
      <c r="ET91" s="5"/>
      <c r="EU91" s="5"/>
      <c r="EV91" s="5"/>
      <c r="EW91" s="5"/>
      <c r="EX91" s="5"/>
      <c r="EY91" s="5"/>
      <c r="EZ91" s="5"/>
      <c r="FA91" s="5"/>
      <c r="FB91" s="5"/>
      <c r="FC91" s="5"/>
      <c r="FD91" s="5"/>
      <c r="FE91" s="5"/>
      <c r="FF91" s="5"/>
      <c r="FG91" s="5"/>
      <c r="FH91" s="5"/>
      <c r="FI91" s="5"/>
      <c r="FJ91" s="5"/>
      <c r="FK91" s="5"/>
      <c r="FL91" s="5"/>
      <c r="FM91" s="5"/>
      <c r="FN91" s="5"/>
      <c r="FO91" s="5"/>
      <c r="FP91" s="5"/>
      <c r="FQ91" s="5"/>
      <c r="FR91" s="5"/>
      <c r="FS91" s="5"/>
      <c r="FT91" s="5"/>
      <c r="FU91" s="5"/>
      <c r="FV91" s="5"/>
      <c r="FW91" s="5"/>
      <c r="FX91" s="5"/>
      <c r="FY91" s="5"/>
      <c r="FZ91" s="5"/>
      <c r="GA91" s="5"/>
      <c r="GB91" s="5"/>
      <c r="GC91" s="5"/>
      <c r="GD91" s="5"/>
      <c r="GE91" s="5"/>
      <c r="GF91" s="5"/>
      <c r="GG91" s="5"/>
      <c r="GH91" s="5"/>
      <c r="GI91" s="5"/>
      <c r="GJ91" s="5"/>
      <c r="GK91" s="5"/>
      <c r="GL91" s="5"/>
      <c r="GM91" s="5"/>
      <c r="GN91" s="5"/>
      <c r="GO91" s="5"/>
      <c r="GP91" s="5"/>
      <c r="GQ91" s="5"/>
      <c r="GR91" s="5"/>
      <c r="GS91" s="5"/>
      <c r="GT91" s="5"/>
      <c r="GU91" s="5"/>
      <c r="GV91" s="5"/>
      <c r="GW91" s="5"/>
      <c r="GX91" s="5"/>
      <c r="GY91" s="5"/>
      <c r="GZ91" s="5"/>
      <c r="HA91" s="5"/>
      <c r="HB91" s="5"/>
      <c r="HC91" s="5"/>
      <c r="HD91" s="5"/>
      <c r="HE91" s="5"/>
      <c r="HF91" s="5"/>
      <c r="HG91" s="5"/>
      <c r="HH91" s="5"/>
      <c r="HI91" s="5"/>
      <c r="HJ91" s="5"/>
      <c r="HK91" s="5"/>
      <c r="HL91" s="5"/>
      <c r="HM91" s="5"/>
      <c r="HN91" s="5"/>
      <c r="HO91" s="5"/>
      <c r="HP91" s="5"/>
      <c r="HQ91" s="5"/>
      <c r="HR91" s="5"/>
      <c r="HS91" s="5"/>
      <c r="HT91" s="5"/>
      <c r="HU91" s="5"/>
      <c r="HV91" s="5"/>
      <c r="HW91" s="5"/>
      <c r="HX91" s="5"/>
      <c r="HY91" s="5"/>
      <c r="HZ91" s="5"/>
      <c r="IA91" s="5"/>
      <c r="IB91" s="5"/>
      <c r="IC91" s="5"/>
      <c r="ID91" s="5"/>
      <c r="IE91" s="5"/>
      <c r="IF91" s="5"/>
      <c r="IG91" s="5"/>
      <c r="IH91" s="5"/>
      <c r="II91" s="5"/>
      <c r="IJ91" s="5"/>
      <c r="IK91" s="5"/>
      <c r="IL91" s="5"/>
      <c r="IM91" s="5"/>
      <c r="IN91" s="5"/>
      <c r="IO91" s="5"/>
      <c r="IP91" s="5"/>
      <c r="IQ91" s="5"/>
      <c r="IR91" s="5"/>
      <c r="IS91" s="5"/>
      <c r="IT91" s="5"/>
      <c r="IU91" s="5"/>
      <c r="IV91" s="5"/>
      <c r="IW91" s="5"/>
      <c r="IX91" s="5"/>
      <c r="IY91" s="5"/>
      <c r="IZ91" s="5"/>
      <c r="JA91" s="5"/>
      <c r="JB91" s="5"/>
      <c r="JC91" s="5"/>
      <c r="JD91" s="5"/>
      <c r="JE91" s="5"/>
      <c r="JF91" s="5"/>
      <c r="JG91" s="5"/>
      <c r="JH91" s="5"/>
      <c r="JI91" s="5"/>
      <c r="JJ91" s="5"/>
      <c r="JK91" s="5"/>
      <c r="JL91" s="5"/>
      <c r="JM91" s="5"/>
      <c r="JN91" s="5"/>
      <c r="JO91" s="5"/>
      <c r="JP91" s="5"/>
      <c r="JQ91" s="5"/>
      <c r="JR91" s="5"/>
      <c r="JS91" s="5"/>
      <c r="JT91" s="5"/>
      <c r="JU91" s="5"/>
      <c r="JV91" s="5"/>
      <c r="JW91" s="5"/>
      <c r="JX91" s="5"/>
      <c r="JY91" s="5"/>
      <c r="JZ91" s="5"/>
      <c r="KA91" s="5"/>
      <c r="KB91" s="5"/>
      <c r="KC91" s="5"/>
      <c r="KD91" s="5"/>
      <c r="KE91" s="5"/>
      <c r="KF91" s="5"/>
      <c r="KG91" s="5"/>
      <c r="KH91" s="5"/>
      <c r="KI91" s="5"/>
      <c r="KJ91" s="5"/>
      <c r="KK91" s="5"/>
      <c r="KL91" s="5"/>
      <c r="KM91" s="5"/>
      <c r="KN91" s="5"/>
      <c r="KO91" s="5"/>
      <c r="KP91" s="5"/>
      <c r="KQ91" s="5"/>
      <c r="KR91" s="5"/>
      <c r="KS91" s="5"/>
      <c r="KT91" s="5"/>
      <c r="KU91" s="5"/>
      <c r="KV91" s="5"/>
      <c r="KW91" s="5"/>
      <c r="KX91" s="5"/>
      <c r="KY91" s="5"/>
      <c r="KZ91" s="5"/>
      <c r="LA91" s="5"/>
      <c r="LB91" s="5"/>
      <c r="LC91" s="5"/>
      <c r="LD91" s="5"/>
      <c r="LE91" s="5"/>
      <c r="LF91" s="5"/>
      <c r="LG91" s="5"/>
      <c r="LH91" s="5"/>
      <c r="LI91" s="5"/>
      <c r="LJ91" s="5"/>
      <c r="LK91" s="5"/>
      <c r="LL91" s="5"/>
      <c r="LM91" s="5"/>
      <c r="LN91" s="5"/>
      <c r="LO91" s="5"/>
      <c r="LP91" s="5"/>
      <c r="LQ91" s="5"/>
      <c r="LR91" s="5"/>
      <c r="LS91" s="5"/>
      <c r="LT91" s="5"/>
      <c r="LU91" s="5"/>
      <c r="LV91" s="5"/>
      <c r="LW91" s="5"/>
      <c r="LX91" s="5"/>
      <c r="LY91" s="5"/>
      <c r="LZ91" s="5"/>
      <c r="MA91" s="5"/>
      <c r="MB91" s="5"/>
      <c r="MC91" s="5"/>
      <c r="MD91" s="5"/>
      <c r="ME91" s="5"/>
      <c r="MF91" s="5"/>
      <c r="MG91" s="5"/>
      <c r="MH91" s="5"/>
      <c r="MI91" s="5"/>
      <c r="MJ91" s="5"/>
      <c r="MK91" s="5"/>
    </row>
    <row r="92" spans="1:349" s="1" customFormat="1" ht="17.7" customHeight="1" x14ac:dyDescent="0.3">
      <c r="A92" s="20">
        <v>91</v>
      </c>
      <c r="B92" s="20">
        <v>8100009</v>
      </c>
      <c r="C92" s="10" t="s">
        <v>124</v>
      </c>
      <c r="D92" s="10" t="s">
        <v>25</v>
      </c>
      <c r="E92" s="10" t="s">
        <v>35</v>
      </c>
      <c r="F92" s="10">
        <v>219.5</v>
      </c>
      <c r="G92" s="10">
        <v>2</v>
      </c>
      <c r="H92" s="10"/>
      <c r="I92" s="10" t="s">
        <v>116</v>
      </c>
      <c r="J92" s="10"/>
      <c r="K92" s="10"/>
      <c r="L92" s="10"/>
      <c r="M92" s="10">
        <f t="shared" si="1"/>
        <v>182.185</v>
      </c>
      <c r="N92" s="10" t="s">
        <v>28</v>
      </c>
      <c r="O92" s="10" t="s">
        <v>29</v>
      </c>
      <c r="P92" s="10" t="s">
        <v>29</v>
      </c>
      <c r="Q92" s="10"/>
      <c r="R92" s="10"/>
      <c r="S92" s="10"/>
      <c r="T92" s="10"/>
      <c r="U92" s="10"/>
      <c r="V92" s="10"/>
      <c r="W92" s="10"/>
      <c r="X92" s="10" t="s">
        <v>30</v>
      </c>
      <c r="Y92" s="14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  <c r="BI92" s="6"/>
      <c r="BJ92" s="6"/>
      <c r="BK92" s="6"/>
      <c r="BL92" s="6"/>
      <c r="BM92" s="6"/>
      <c r="BN92" s="6"/>
      <c r="BO92" s="6"/>
      <c r="BP92" s="6"/>
      <c r="BQ92" s="6"/>
      <c r="BR92" s="6"/>
      <c r="BS92" s="6"/>
      <c r="BT92" s="6"/>
      <c r="BU92" s="6"/>
      <c r="BV92" s="6"/>
      <c r="BW92" s="6"/>
      <c r="BX92" s="6"/>
      <c r="BY92" s="6"/>
      <c r="BZ92" s="6"/>
      <c r="CA92" s="6"/>
      <c r="CB92" s="6"/>
      <c r="CC92" s="6"/>
      <c r="CD92" s="6"/>
      <c r="CE92" s="6"/>
      <c r="CF92" s="6"/>
      <c r="CG92" s="6"/>
      <c r="CH92" s="6"/>
      <c r="CI92" s="6"/>
      <c r="CJ92" s="6"/>
      <c r="CK92" s="6"/>
      <c r="CL92" s="6"/>
      <c r="CM92" s="6"/>
      <c r="CN92" s="6"/>
      <c r="CO92" s="6"/>
      <c r="CP92" s="6"/>
      <c r="CQ92" s="6"/>
      <c r="CR92" s="6"/>
      <c r="CS92" s="6"/>
      <c r="CT92" s="6"/>
      <c r="CU92" s="6"/>
      <c r="CV92" s="6"/>
      <c r="CW92" s="6"/>
      <c r="CX92" s="6"/>
      <c r="CY92" s="6"/>
      <c r="CZ92" s="6"/>
      <c r="DA92" s="6"/>
      <c r="DB92" s="6"/>
      <c r="DC92" s="6"/>
      <c r="DD92" s="6"/>
      <c r="DE92" s="6"/>
      <c r="DF92" s="6"/>
      <c r="DG92" s="6"/>
      <c r="DH92" s="6"/>
      <c r="DI92" s="6"/>
      <c r="DJ92" s="6"/>
      <c r="DK92" s="6"/>
      <c r="DL92" s="6"/>
      <c r="DM92" s="6"/>
      <c r="DN92" s="6"/>
      <c r="DO92" s="6"/>
      <c r="DP92" s="6"/>
      <c r="DQ92" s="6"/>
      <c r="DR92" s="6"/>
      <c r="DS92" s="6"/>
      <c r="DT92" s="6"/>
      <c r="DU92" s="6"/>
      <c r="DV92" s="6"/>
      <c r="DW92" s="6"/>
      <c r="DX92" s="6"/>
      <c r="DY92" s="6"/>
      <c r="DZ92" s="6"/>
      <c r="EA92" s="6"/>
      <c r="EB92" s="6"/>
      <c r="EC92" s="6"/>
      <c r="ED92" s="6"/>
      <c r="EE92" s="6"/>
      <c r="EF92" s="6"/>
      <c r="EG92" s="6"/>
      <c r="EH92" s="6"/>
      <c r="EI92" s="6"/>
      <c r="EJ92" s="6"/>
      <c r="EK92" s="6"/>
      <c r="EL92" s="6"/>
      <c r="EM92" s="6"/>
      <c r="EN92" s="6"/>
      <c r="EO92" s="6"/>
      <c r="EP92" s="6"/>
      <c r="EQ92" s="6"/>
      <c r="ER92" s="6"/>
      <c r="ES92" s="6"/>
      <c r="ET92" s="6"/>
      <c r="EU92" s="6"/>
      <c r="EV92" s="6"/>
      <c r="EW92" s="6"/>
      <c r="EX92" s="6"/>
      <c r="EY92" s="6"/>
      <c r="EZ92" s="6"/>
      <c r="FA92" s="6"/>
      <c r="FB92" s="6"/>
      <c r="FC92" s="6"/>
      <c r="FD92" s="6"/>
      <c r="FE92" s="6"/>
      <c r="FF92" s="6"/>
      <c r="FG92" s="6"/>
      <c r="FH92" s="6"/>
      <c r="FI92" s="6"/>
      <c r="FJ92" s="6"/>
      <c r="FK92" s="6"/>
      <c r="FL92" s="6"/>
      <c r="FM92" s="6"/>
      <c r="FN92" s="6"/>
      <c r="FO92" s="6"/>
      <c r="FP92" s="6"/>
      <c r="FQ92" s="6"/>
      <c r="FR92" s="6"/>
      <c r="FS92" s="6"/>
      <c r="FT92" s="6"/>
      <c r="FU92" s="6"/>
      <c r="FV92" s="6"/>
      <c r="FW92" s="6"/>
      <c r="FX92" s="6"/>
      <c r="FY92" s="6"/>
      <c r="FZ92" s="6"/>
      <c r="GA92" s="6"/>
      <c r="GB92" s="6"/>
      <c r="GC92" s="6"/>
      <c r="GD92" s="6"/>
      <c r="GE92" s="6"/>
      <c r="GF92" s="6"/>
      <c r="GG92" s="6"/>
      <c r="GH92" s="6"/>
      <c r="GI92" s="6"/>
      <c r="GJ92" s="6"/>
      <c r="GK92" s="6"/>
      <c r="GL92" s="6"/>
      <c r="GM92" s="6"/>
      <c r="GN92" s="6"/>
      <c r="GO92" s="6"/>
      <c r="GP92" s="6"/>
      <c r="GQ92" s="6"/>
      <c r="GR92" s="6"/>
      <c r="GS92" s="6"/>
      <c r="GT92" s="6"/>
      <c r="GU92" s="6"/>
      <c r="GV92" s="6"/>
      <c r="GW92" s="6"/>
      <c r="GX92" s="6"/>
      <c r="GY92" s="6"/>
      <c r="GZ92" s="6"/>
      <c r="HA92" s="6"/>
      <c r="HB92" s="6"/>
      <c r="HC92" s="6"/>
      <c r="HD92" s="6"/>
      <c r="HE92" s="6"/>
      <c r="HF92" s="6"/>
      <c r="HG92" s="6"/>
      <c r="HH92" s="6"/>
      <c r="HI92" s="6"/>
      <c r="HJ92" s="6"/>
      <c r="HK92" s="6"/>
      <c r="HL92" s="6"/>
      <c r="HM92" s="6"/>
      <c r="HN92" s="6"/>
      <c r="HO92" s="6"/>
      <c r="HP92" s="6"/>
      <c r="HQ92" s="6"/>
      <c r="HR92" s="6"/>
      <c r="HS92" s="6"/>
      <c r="HT92" s="6"/>
      <c r="HU92" s="6"/>
      <c r="HV92" s="6"/>
      <c r="HW92" s="6"/>
      <c r="HX92" s="6"/>
      <c r="HY92" s="6"/>
      <c r="HZ92" s="6"/>
      <c r="IA92" s="6"/>
      <c r="IB92" s="6"/>
      <c r="IC92" s="6"/>
      <c r="ID92" s="6"/>
      <c r="IE92" s="6"/>
      <c r="IF92" s="6"/>
      <c r="IG92" s="6"/>
      <c r="IH92" s="6"/>
      <c r="II92" s="6"/>
      <c r="IJ92" s="6"/>
      <c r="IK92" s="6"/>
      <c r="IL92" s="6"/>
      <c r="IM92" s="6"/>
      <c r="IN92" s="6"/>
      <c r="IO92" s="6"/>
      <c r="IP92" s="6"/>
      <c r="IQ92" s="6"/>
      <c r="IR92" s="6"/>
      <c r="IS92" s="6"/>
      <c r="IT92" s="6"/>
      <c r="IU92" s="6"/>
      <c r="IV92" s="6"/>
      <c r="IW92" s="6"/>
      <c r="IX92" s="6"/>
      <c r="IY92" s="6"/>
      <c r="IZ92" s="6"/>
      <c r="JA92" s="6"/>
      <c r="JB92" s="6"/>
      <c r="JC92" s="6"/>
      <c r="JD92" s="6"/>
      <c r="JE92" s="6"/>
      <c r="JF92" s="6"/>
      <c r="JG92" s="6"/>
      <c r="JH92" s="6"/>
      <c r="JI92" s="6"/>
      <c r="JJ92" s="6"/>
      <c r="JK92" s="6"/>
      <c r="JL92" s="6"/>
      <c r="JM92" s="6"/>
      <c r="JN92" s="6"/>
      <c r="JO92" s="6"/>
      <c r="JP92" s="6"/>
      <c r="JQ92" s="6"/>
      <c r="JR92" s="6"/>
      <c r="JS92" s="6"/>
      <c r="JT92" s="6"/>
      <c r="JU92" s="6"/>
      <c r="JV92" s="6"/>
      <c r="JW92" s="6"/>
      <c r="JX92" s="6"/>
      <c r="JY92" s="6"/>
      <c r="JZ92" s="6"/>
      <c r="KA92" s="6"/>
      <c r="KB92" s="6"/>
      <c r="KC92" s="6"/>
      <c r="KD92" s="6"/>
      <c r="KE92" s="6"/>
      <c r="KF92" s="6"/>
      <c r="KG92" s="6"/>
      <c r="KH92" s="6"/>
      <c r="KI92" s="6"/>
      <c r="KJ92" s="6"/>
      <c r="KK92" s="6"/>
      <c r="KL92" s="6"/>
      <c r="KM92" s="6"/>
      <c r="KN92" s="6"/>
      <c r="KO92" s="6"/>
      <c r="KP92" s="6"/>
      <c r="KQ92" s="6"/>
      <c r="KR92" s="6"/>
      <c r="KS92" s="6"/>
      <c r="KT92" s="6"/>
      <c r="KU92" s="6"/>
      <c r="KV92" s="6"/>
      <c r="KW92" s="6"/>
      <c r="KX92" s="6"/>
      <c r="KY92" s="6"/>
      <c r="KZ92" s="6"/>
      <c r="LA92" s="6"/>
      <c r="LB92" s="6"/>
      <c r="LC92" s="6"/>
      <c r="LD92" s="6"/>
      <c r="LE92" s="6"/>
      <c r="LF92" s="6"/>
      <c r="LG92" s="6"/>
      <c r="LH92" s="6"/>
      <c r="LI92" s="6"/>
      <c r="LJ92" s="6"/>
      <c r="LK92" s="6"/>
      <c r="LL92" s="6"/>
      <c r="LM92" s="6"/>
      <c r="LN92" s="6"/>
      <c r="LO92" s="6"/>
      <c r="LP92" s="6"/>
      <c r="LQ92" s="6"/>
      <c r="LR92" s="6"/>
      <c r="LS92" s="6"/>
      <c r="LT92" s="6"/>
      <c r="LU92" s="6"/>
      <c r="LV92" s="6"/>
      <c r="LW92" s="6"/>
      <c r="LX92" s="6"/>
      <c r="LY92" s="6"/>
      <c r="LZ92" s="6"/>
      <c r="MA92" s="6"/>
      <c r="MB92" s="6"/>
      <c r="MC92" s="6"/>
      <c r="MD92" s="6"/>
      <c r="ME92" s="6"/>
      <c r="MF92" s="6"/>
      <c r="MG92" s="6"/>
      <c r="MH92" s="6"/>
      <c r="MI92" s="6"/>
      <c r="MJ92" s="6"/>
      <c r="MK92" s="6"/>
    </row>
    <row r="93" spans="1:349" s="2" customFormat="1" ht="17.7" customHeight="1" x14ac:dyDescent="0.3">
      <c r="A93" s="21">
        <v>92</v>
      </c>
      <c r="B93" s="21">
        <v>8100010</v>
      </c>
      <c r="C93" s="9" t="s">
        <v>125</v>
      </c>
      <c r="D93" s="9" t="s">
        <v>25</v>
      </c>
      <c r="E93" s="9" t="s">
        <v>35</v>
      </c>
      <c r="F93" s="9">
        <v>33.25</v>
      </c>
      <c r="G93" s="9">
        <v>20</v>
      </c>
      <c r="H93" s="9"/>
      <c r="I93" s="9" t="s">
        <v>116</v>
      </c>
      <c r="J93" s="9"/>
      <c r="K93" s="9"/>
      <c r="L93" s="9"/>
      <c r="M93" s="9">
        <f t="shared" si="1"/>
        <v>27.5975</v>
      </c>
      <c r="N93" s="9" t="s">
        <v>28</v>
      </c>
      <c r="O93" s="9" t="s">
        <v>29</v>
      </c>
      <c r="P93" s="9" t="s">
        <v>29</v>
      </c>
      <c r="Q93" s="9"/>
      <c r="R93" s="9"/>
      <c r="S93" s="9"/>
      <c r="T93" s="9"/>
      <c r="U93" s="9"/>
      <c r="V93" s="9"/>
      <c r="W93" s="9"/>
      <c r="X93" s="9" t="s">
        <v>30</v>
      </c>
      <c r="Y93" s="13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  <c r="DE93" s="5"/>
      <c r="DF93" s="5"/>
      <c r="DG93" s="5"/>
      <c r="DH93" s="5"/>
      <c r="DI93" s="5"/>
      <c r="DJ93" s="5"/>
      <c r="DK93" s="5"/>
      <c r="DL93" s="5"/>
      <c r="DM93" s="5"/>
      <c r="DN93" s="5"/>
      <c r="DO93" s="5"/>
      <c r="DP93" s="5"/>
      <c r="DQ93" s="5"/>
      <c r="DR93" s="5"/>
      <c r="DS93" s="5"/>
      <c r="DT93" s="5"/>
      <c r="DU93" s="5"/>
      <c r="DV93" s="5"/>
      <c r="DW93" s="5"/>
      <c r="DX93" s="5"/>
      <c r="DY93" s="5"/>
      <c r="DZ93" s="5"/>
      <c r="EA93" s="5"/>
      <c r="EB93" s="5"/>
      <c r="EC93" s="5"/>
      <c r="ED93" s="5"/>
      <c r="EE93" s="5"/>
      <c r="EF93" s="5"/>
      <c r="EG93" s="5"/>
      <c r="EH93" s="5"/>
      <c r="EI93" s="5"/>
      <c r="EJ93" s="5"/>
      <c r="EK93" s="5"/>
      <c r="EL93" s="5"/>
      <c r="EM93" s="5"/>
      <c r="EN93" s="5"/>
      <c r="EO93" s="5"/>
      <c r="EP93" s="5"/>
      <c r="EQ93" s="5"/>
      <c r="ER93" s="5"/>
      <c r="ES93" s="5"/>
      <c r="ET93" s="5"/>
      <c r="EU93" s="5"/>
      <c r="EV93" s="5"/>
      <c r="EW93" s="5"/>
      <c r="EX93" s="5"/>
      <c r="EY93" s="5"/>
      <c r="EZ93" s="5"/>
      <c r="FA93" s="5"/>
      <c r="FB93" s="5"/>
      <c r="FC93" s="5"/>
      <c r="FD93" s="5"/>
      <c r="FE93" s="5"/>
      <c r="FF93" s="5"/>
      <c r="FG93" s="5"/>
      <c r="FH93" s="5"/>
      <c r="FI93" s="5"/>
      <c r="FJ93" s="5"/>
      <c r="FK93" s="5"/>
      <c r="FL93" s="5"/>
      <c r="FM93" s="5"/>
      <c r="FN93" s="5"/>
      <c r="FO93" s="5"/>
      <c r="FP93" s="5"/>
      <c r="FQ93" s="5"/>
      <c r="FR93" s="5"/>
      <c r="FS93" s="5"/>
      <c r="FT93" s="5"/>
      <c r="FU93" s="5"/>
      <c r="FV93" s="5"/>
      <c r="FW93" s="5"/>
      <c r="FX93" s="5"/>
      <c r="FY93" s="5"/>
      <c r="FZ93" s="5"/>
      <c r="GA93" s="5"/>
      <c r="GB93" s="5"/>
      <c r="GC93" s="5"/>
      <c r="GD93" s="5"/>
      <c r="GE93" s="5"/>
      <c r="GF93" s="5"/>
      <c r="GG93" s="5"/>
      <c r="GH93" s="5"/>
      <c r="GI93" s="5"/>
      <c r="GJ93" s="5"/>
      <c r="GK93" s="5"/>
      <c r="GL93" s="5"/>
      <c r="GM93" s="5"/>
      <c r="GN93" s="5"/>
      <c r="GO93" s="5"/>
      <c r="GP93" s="5"/>
      <c r="GQ93" s="5"/>
      <c r="GR93" s="5"/>
      <c r="GS93" s="5"/>
      <c r="GT93" s="5"/>
      <c r="GU93" s="5"/>
      <c r="GV93" s="5"/>
      <c r="GW93" s="5"/>
      <c r="GX93" s="5"/>
      <c r="GY93" s="5"/>
      <c r="GZ93" s="5"/>
      <c r="HA93" s="5"/>
      <c r="HB93" s="5"/>
      <c r="HC93" s="5"/>
      <c r="HD93" s="5"/>
      <c r="HE93" s="5"/>
      <c r="HF93" s="5"/>
      <c r="HG93" s="5"/>
      <c r="HH93" s="5"/>
      <c r="HI93" s="5"/>
      <c r="HJ93" s="5"/>
      <c r="HK93" s="5"/>
      <c r="HL93" s="5"/>
      <c r="HM93" s="5"/>
      <c r="HN93" s="5"/>
      <c r="HO93" s="5"/>
      <c r="HP93" s="5"/>
      <c r="HQ93" s="5"/>
      <c r="HR93" s="5"/>
      <c r="HS93" s="5"/>
      <c r="HT93" s="5"/>
      <c r="HU93" s="5"/>
      <c r="HV93" s="5"/>
      <c r="HW93" s="5"/>
      <c r="HX93" s="5"/>
      <c r="HY93" s="5"/>
      <c r="HZ93" s="5"/>
      <c r="IA93" s="5"/>
      <c r="IB93" s="5"/>
      <c r="IC93" s="5"/>
      <c r="ID93" s="5"/>
      <c r="IE93" s="5"/>
      <c r="IF93" s="5"/>
      <c r="IG93" s="5"/>
      <c r="IH93" s="5"/>
      <c r="II93" s="5"/>
      <c r="IJ93" s="5"/>
      <c r="IK93" s="5"/>
      <c r="IL93" s="5"/>
      <c r="IM93" s="5"/>
      <c r="IN93" s="5"/>
      <c r="IO93" s="5"/>
      <c r="IP93" s="5"/>
      <c r="IQ93" s="5"/>
      <c r="IR93" s="5"/>
      <c r="IS93" s="5"/>
      <c r="IT93" s="5"/>
      <c r="IU93" s="5"/>
      <c r="IV93" s="5"/>
      <c r="IW93" s="5"/>
      <c r="IX93" s="5"/>
      <c r="IY93" s="5"/>
      <c r="IZ93" s="5"/>
      <c r="JA93" s="5"/>
      <c r="JB93" s="5"/>
      <c r="JC93" s="5"/>
      <c r="JD93" s="5"/>
      <c r="JE93" s="5"/>
      <c r="JF93" s="5"/>
      <c r="JG93" s="5"/>
      <c r="JH93" s="5"/>
      <c r="JI93" s="5"/>
      <c r="JJ93" s="5"/>
      <c r="JK93" s="5"/>
      <c r="JL93" s="5"/>
      <c r="JM93" s="5"/>
      <c r="JN93" s="5"/>
      <c r="JO93" s="5"/>
      <c r="JP93" s="5"/>
      <c r="JQ93" s="5"/>
      <c r="JR93" s="5"/>
      <c r="JS93" s="5"/>
      <c r="JT93" s="5"/>
      <c r="JU93" s="5"/>
      <c r="JV93" s="5"/>
      <c r="JW93" s="5"/>
      <c r="JX93" s="5"/>
      <c r="JY93" s="5"/>
      <c r="JZ93" s="5"/>
      <c r="KA93" s="5"/>
      <c r="KB93" s="5"/>
      <c r="KC93" s="5"/>
      <c r="KD93" s="5"/>
      <c r="KE93" s="5"/>
      <c r="KF93" s="5"/>
      <c r="KG93" s="5"/>
      <c r="KH93" s="5"/>
      <c r="KI93" s="5"/>
      <c r="KJ93" s="5"/>
      <c r="KK93" s="5"/>
      <c r="KL93" s="5"/>
      <c r="KM93" s="5"/>
      <c r="KN93" s="5"/>
      <c r="KO93" s="5"/>
      <c r="KP93" s="5"/>
      <c r="KQ93" s="5"/>
      <c r="KR93" s="5"/>
      <c r="KS93" s="5"/>
      <c r="KT93" s="5"/>
      <c r="KU93" s="5"/>
      <c r="KV93" s="5"/>
      <c r="KW93" s="5"/>
      <c r="KX93" s="5"/>
      <c r="KY93" s="5"/>
      <c r="KZ93" s="5"/>
      <c r="LA93" s="5"/>
      <c r="LB93" s="5"/>
      <c r="LC93" s="5"/>
      <c r="LD93" s="5"/>
      <c r="LE93" s="5"/>
      <c r="LF93" s="5"/>
      <c r="LG93" s="5"/>
      <c r="LH93" s="5"/>
      <c r="LI93" s="5"/>
      <c r="LJ93" s="5"/>
      <c r="LK93" s="5"/>
      <c r="LL93" s="5"/>
      <c r="LM93" s="5"/>
      <c r="LN93" s="5"/>
      <c r="LO93" s="5"/>
      <c r="LP93" s="5"/>
      <c r="LQ93" s="5"/>
      <c r="LR93" s="5"/>
      <c r="LS93" s="5"/>
      <c r="LT93" s="5"/>
      <c r="LU93" s="5"/>
      <c r="LV93" s="5"/>
      <c r="LW93" s="5"/>
      <c r="LX93" s="5"/>
      <c r="LY93" s="5"/>
      <c r="LZ93" s="5"/>
      <c r="MA93" s="5"/>
      <c r="MB93" s="5"/>
      <c r="MC93" s="5"/>
      <c r="MD93" s="5"/>
      <c r="ME93" s="5"/>
      <c r="MF93" s="5"/>
      <c r="MG93" s="5"/>
      <c r="MH93" s="5"/>
      <c r="MI93" s="5"/>
      <c r="MJ93" s="5"/>
      <c r="MK93" s="5"/>
    </row>
    <row r="94" spans="1:349" s="2" customFormat="1" ht="17.7" customHeight="1" x14ac:dyDescent="0.3">
      <c r="A94" s="20">
        <v>93</v>
      </c>
      <c r="B94" s="20">
        <v>8100011</v>
      </c>
      <c r="C94" s="10" t="s">
        <v>126</v>
      </c>
      <c r="D94" s="10" t="s">
        <v>25</v>
      </c>
      <c r="E94" s="10" t="s">
        <v>35</v>
      </c>
      <c r="F94" s="10">
        <v>33.25</v>
      </c>
      <c r="G94" s="10">
        <v>20</v>
      </c>
      <c r="H94" s="10"/>
      <c r="I94" s="10" t="s">
        <v>116</v>
      </c>
      <c r="J94" s="10"/>
      <c r="K94" s="10"/>
      <c r="L94" s="10"/>
      <c r="M94" s="10">
        <f t="shared" si="1"/>
        <v>27.5975</v>
      </c>
      <c r="N94" s="10" t="s">
        <v>28</v>
      </c>
      <c r="O94" s="10" t="s">
        <v>29</v>
      </c>
      <c r="P94" s="10" t="s">
        <v>29</v>
      </c>
      <c r="Q94" s="10"/>
      <c r="R94" s="10"/>
      <c r="S94" s="10"/>
      <c r="T94" s="10"/>
      <c r="U94" s="10"/>
      <c r="V94" s="10"/>
      <c r="W94" s="10"/>
      <c r="X94" s="10" t="s">
        <v>30</v>
      </c>
      <c r="Y94" s="13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  <c r="DE94" s="5"/>
      <c r="DF94" s="5"/>
      <c r="DG94" s="5"/>
      <c r="DH94" s="5"/>
      <c r="DI94" s="5"/>
      <c r="DJ94" s="5"/>
      <c r="DK94" s="5"/>
      <c r="DL94" s="5"/>
      <c r="DM94" s="5"/>
      <c r="DN94" s="5"/>
      <c r="DO94" s="5"/>
      <c r="DP94" s="5"/>
      <c r="DQ94" s="5"/>
      <c r="DR94" s="5"/>
      <c r="DS94" s="5"/>
      <c r="DT94" s="5"/>
      <c r="DU94" s="5"/>
      <c r="DV94" s="5"/>
      <c r="DW94" s="5"/>
      <c r="DX94" s="5"/>
      <c r="DY94" s="5"/>
      <c r="DZ94" s="5"/>
      <c r="EA94" s="5"/>
      <c r="EB94" s="5"/>
      <c r="EC94" s="5"/>
      <c r="ED94" s="5"/>
      <c r="EE94" s="5"/>
      <c r="EF94" s="5"/>
      <c r="EG94" s="5"/>
      <c r="EH94" s="5"/>
      <c r="EI94" s="5"/>
      <c r="EJ94" s="5"/>
      <c r="EK94" s="5"/>
      <c r="EL94" s="5"/>
      <c r="EM94" s="5"/>
      <c r="EN94" s="5"/>
      <c r="EO94" s="5"/>
      <c r="EP94" s="5"/>
      <c r="EQ94" s="5"/>
      <c r="ER94" s="5"/>
      <c r="ES94" s="5"/>
      <c r="ET94" s="5"/>
      <c r="EU94" s="5"/>
      <c r="EV94" s="5"/>
      <c r="EW94" s="5"/>
      <c r="EX94" s="5"/>
      <c r="EY94" s="5"/>
      <c r="EZ94" s="5"/>
      <c r="FA94" s="5"/>
      <c r="FB94" s="5"/>
      <c r="FC94" s="5"/>
      <c r="FD94" s="5"/>
      <c r="FE94" s="5"/>
      <c r="FF94" s="5"/>
      <c r="FG94" s="5"/>
      <c r="FH94" s="5"/>
      <c r="FI94" s="5"/>
      <c r="FJ94" s="5"/>
      <c r="FK94" s="5"/>
      <c r="FL94" s="5"/>
      <c r="FM94" s="5"/>
      <c r="FN94" s="5"/>
      <c r="FO94" s="5"/>
      <c r="FP94" s="5"/>
      <c r="FQ94" s="5"/>
      <c r="FR94" s="5"/>
      <c r="FS94" s="5"/>
      <c r="FT94" s="5"/>
      <c r="FU94" s="5"/>
      <c r="FV94" s="5"/>
      <c r="FW94" s="5"/>
      <c r="FX94" s="5"/>
      <c r="FY94" s="5"/>
      <c r="FZ94" s="5"/>
      <c r="GA94" s="5"/>
      <c r="GB94" s="5"/>
      <c r="GC94" s="5"/>
      <c r="GD94" s="5"/>
      <c r="GE94" s="5"/>
      <c r="GF94" s="5"/>
      <c r="GG94" s="5"/>
      <c r="GH94" s="5"/>
      <c r="GI94" s="5"/>
      <c r="GJ94" s="5"/>
      <c r="GK94" s="5"/>
      <c r="GL94" s="5"/>
      <c r="GM94" s="5"/>
      <c r="GN94" s="5"/>
      <c r="GO94" s="5"/>
      <c r="GP94" s="5"/>
      <c r="GQ94" s="5"/>
      <c r="GR94" s="5"/>
      <c r="GS94" s="5"/>
      <c r="GT94" s="5"/>
      <c r="GU94" s="5"/>
      <c r="GV94" s="5"/>
      <c r="GW94" s="5"/>
      <c r="GX94" s="5"/>
      <c r="GY94" s="5"/>
      <c r="GZ94" s="5"/>
      <c r="HA94" s="5"/>
      <c r="HB94" s="5"/>
      <c r="HC94" s="5"/>
      <c r="HD94" s="5"/>
      <c r="HE94" s="5"/>
      <c r="HF94" s="5"/>
      <c r="HG94" s="5"/>
      <c r="HH94" s="5"/>
      <c r="HI94" s="5"/>
      <c r="HJ94" s="5"/>
      <c r="HK94" s="5"/>
      <c r="HL94" s="5"/>
      <c r="HM94" s="5"/>
      <c r="HN94" s="5"/>
      <c r="HO94" s="5"/>
      <c r="HP94" s="5"/>
      <c r="HQ94" s="5"/>
      <c r="HR94" s="5"/>
      <c r="HS94" s="5"/>
      <c r="HT94" s="5"/>
      <c r="HU94" s="5"/>
      <c r="HV94" s="5"/>
      <c r="HW94" s="5"/>
      <c r="HX94" s="5"/>
      <c r="HY94" s="5"/>
      <c r="HZ94" s="5"/>
      <c r="IA94" s="5"/>
      <c r="IB94" s="5"/>
      <c r="IC94" s="5"/>
      <c r="ID94" s="5"/>
      <c r="IE94" s="5"/>
      <c r="IF94" s="5"/>
      <c r="IG94" s="5"/>
      <c r="IH94" s="5"/>
      <c r="II94" s="5"/>
      <c r="IJ94" s="5"/>
      <c r="IK94" s="5"/>
      <c r="IL94" s="5"/>
      <c r="IM94" s="5"/>
      <c r="IN94" s="5"/>
      <c r="IO94" s="5"/>
      <c r="IP94" s="5"/>
      <c r="IQ94" s="5"/>
      <c r="IR94" s="5"/>
      <c r="IS94" s="5"/>
      <c r="IT94" s="5"/>
      <c r="IU94" s="5"/>
      <c r="IV94" s="5"/>
      <c r="IW94" s="5"/>
      <c r="IX94" s="5"/>
      <c r="IY94" s="5"/>
      <c r="IZ94" s="5"/>
      <c r="JA94" s="5"/>
      <c r="JB94" s="5"/>
      <c r="JC94" s="5"/>
      <c r="JD94" s="5"/>
      <c r="JE94" s="5"/>
      <c r="JF94" s="5"/>
      <c r="JG94" s="5"/>
      <c r="JH94" s="5"/>
      <c r="JI94" s="5"/>
      <c r="JJ94" s="5"/>
      <c r="JK94" s="5"/>
      <c r="JL94" s="5"/>
      <c r="JM94" s="5"/>
      <c r="JN94" s="5"/>
      <c r="JO94" s="5"/>
      <c r="JP94" s="5"/>
      <c r="JQ94" s="5"/>
      <c r="JR94" s="5"/>
      <c r="JS94" s="5"/>
      <c r="JT94" s="5"/>
      <c r="JU94" s="5"/>
      <c r="JV94" s="5"/>
      <c r="JW94" s="5"/>
      <c r="JX94" s="5"/>
      <c r="JY94" s="5"/>
      <c r="JZ94" s="5"/>
      <c r="KA94" s="5"/>
      <c r="KB94" s="5"/>
      <c r="KC94" s="5"/>
      <c r="KD94" s="5"/>
      <c r="KE94" s="5"/>
      <c r="KF94" s="5"/>
      <c r="KG94" s="5"/>
      <c r="KH94" s="5"/>
      <c r="KI94" s="5"/>
      <c r="KJ94" s="5"/>
      <c r="KK94" s="5"/>
      <c r="KL94" s="5"/>
      <c r="KM94" s="5"/>
      <c r="KN94" s="5"/>
      <c r="KO94" s="5"/>
      <c r="KP94" s="5"/>
      <c r="KQ94" s="5"/>
      <c r="KR94" s="5"/>
      <c r="KS94" s="5"/>
      <c r="KT94" s="5"/>
      <c r="KU94" s="5"/>
      <c r="KV94" s="5"/>
      <c r="KW94" s="5"/>
      <c r="KX94" s="5"/>
      <c r="KY94" s="5"/>
      <c r="KZ94" s="5"/>
      <c r="LA94" s="5"/>
      <c r="LB94" s="5"/>
      <c r="LC94" s="5"/>
      <c r="LD94" s="5"/>
      <c r="LE94" s="5"/>
      <c r="LF94" s="5"/>
      <c r="LG94" s="5"/>
      <c r="LH94" s="5"/>
      <c r="LI94" s="5"/>
      <c r="LJ94" s="5"/>
      <c r="LK94" s="5"/>
      <c r="LL94" s="5"/>
      <c r="LM94" s="5"/>
      <c r="LN94" s="5"/>
      <c r="LO94" s="5"/>
      <c r="LP94" s="5"/>
      <c r="LQ94" s="5"/>
      <c r="LR94" s="5"/>
      <c r="LS94" s="5"/>
      <c r="LT94" s="5"/>
      <c r="LU94" s="5"/>
      <c r="LV94" s="5"/>
      <c r="LW94" s="5"/>
      <c r="LX94" s="5"/>
      <c r="LY94" s="5"/>
      <c r="LZ94" s="5"/>
      <c r="MA94" s="5"/>
      <c r="MB94" s="5"/>
      <c r="MC94" s="5"/>
      <c r="MD94" s="5"/>
      <c r="ME94" s="5"/>
      <c r="MF94" s="5"/>
      <c r="MG94" s="5"/>
      <c r="MH94" s="5"/>
      <c r="MI94" s="5"/>
      <c r="MJ94" s="5"/>
      <c r="MK94" s="5"/>
    </row>
    <row r="95" spans="1:349" s="2" customFormat="1" ht="17.7" customHeight="1" x14ac:dyDescent="0.3">
      <c r="A95" s="21">
        <v>94</v>
      </c>
      <c r="B95" s="21">
        <v>8100012</v>
      </c>
      <c r="C95" s="9" t="s">
        <v>127</v>
      </c>
      <c r="D95" s="9" t="s">
        <v>25</v>
      </c>
      <c r="E95" s="9" t="s">
        <v>35</v>
      </c>
      <c r="F95" s="9">
        <v>67.75</v>
      </c>
      <c r="G95" s="9">
        <v>10</v>
      </c>
      <c r="H95" s="9"/>
      <c r="I95" s="9" t="s">
        <v>116</v>
      </c>
      <c r="J95" s="9"/>
      <c r="K95" s="9"/>
      <c r="L95" s="9"/>
      <c r="M95" s="9">
        <f t="shared" si="1"/>
        <v>56.232500000000002</v>
      </c>
      <c r="N95" s="9" t="s">
        <v>28</v>
      </c>
      <c r="O95" s="9" t="s">
        <v>29</v>
      </c>
      <c r="P95" s="9" t="s">
        <v>29</v>
      </c>
      <c r="Q95" s="9"/>
      <c r="R95" s="9"/>
      <c r="S95" s="9"/>
      <c r="T95" s="9"/>
      <c r="U95" s="9"/>
      <c r="V95" s="9"/>
      <c r="W95" s="9"/>
      <c r="X95" s="9" t="s">
        <v>30</v>
      </c>
      <c r="Y95" s="13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  <c r="DE95" s="5"/>
      <c r="DF95" s="5"/>
      <c r="DG95" s="5"/>
      <c r="DH95" s="5"/>
      <c r="DI95" s="5"/>
      <c r="DJ95" s="5"/>
      <c r="DK95" s="5"/>
      <c r="DL95" s="5"/>
      <c r="DM95" s="5"/>
      <c r="DN95" s="5"/>
      <c r="DO95" s="5"/>
      <c r="DP95" s="5"/>
      <c r="DQ95" s="5"/>
      <c r="DR95" s="5"/>
      <c r="DS95" s="5"/>
      <c r="DT95" s="5"/>
      <c r="DU95" s="5"/>
      <c r="DV95" s="5"/>
      <c r="DW95" s="5"/>
      <c r="DX95" s="5"/>
      <c r="DY95" s="5"/>
      <c r="DZ95" s="5"/>
      <c r="EA95" s="5"/>
      <c r="EB95" s="5"/>
      <c r="EC95" s="5"/>
      <c r="ED95" s="5"/>
      <c r="EE95" s="5"/>
      <c r="EF95" s="5"/>
      <c r="EG95" s="5"/>
      <c r="EH95" s="5"/>
      <c r="EI95" s="5"/>
      <c r="EJ95" s="5"/>
      <c r="EK95" s="5"/>
      <c r="EL95" s="5"/>
      <c r="EM95" s="5"/>
      <c r="EN95" s="5"/>
      <c r="EO95" s="5"/>
      <c r="EP95" s="5"/>
      <c r="EQ95" s="5"/>
      <c r="ER95" s="5"/>
      <c r="ES95" s="5"/>
      <c r="ET95" s="5"/>
      <c r="EU95" s="5"/>
      <c r="EV95" s="5"/>
      <c r="EW95" s="5"/>
      <c r="EX95" s="5"/>
      <c r="EY95" s="5"/>
      <c r="EZ95" s="5"/>
      <c r="FA95" s="5"/>
      <c r="FB95" s="5"/>
      <c r="FC95" s="5"/>
      <c r="FD95" s="5"/>
      <c r="FE95" s="5"/>
      <c r="FF95" s="5"/>
      <c r="FG95" s="5"/>
      <c r="FH95" s="5"/>
      <c r="FI95" s="5"/>
      <c r="FJ95" s="5"/>
      <c r="FK95" s="5"/>
      <c r="FL95" s="5"/>
      <c r="FM95" s="5"/>
      <c r="FN95" s="5"/>
      <c r="FO95" s="5"/>
      <c r="FP95" s="5"/>
      <c r="FQ95" s="5"/>
      <c r="FR95" s="5"/>
      <c r="FS95" s="5"/>
      <c r="FT95" s="5"/>
      <c r="FU95" s="5"/>
      <c r="FV95" s="5"/>
      <c r="FW95" s="5"/>
      <c r="FX95" s="5"/>
      <c r="FY95" s="5"/>
      <c r="FZ95" s="5"/>
      <c r="GA95" s="5"/>
      <c r="GB95" s="5"/>
      <c r="GC95" s="5"/>
      <c r="GD95" s="5"/>
      <c r="GE95" s="5"/>
      <c r="GF95" s="5"/>
      <c r="GG95" s="5"/>
      <c r="GH95" s="5"/>
      <c r="GI95" s="5"/>
      <c r="GJ95" s="5"/>
      <c r="GK95" s="5"/>
      <c r="GL95" s="5"/>
      <c r="GM95" s="5"/>
      <c r="GN95" s="5"/>
      <c r="GO95" s="5"/>
      <c r="GP95" s="5"/>
      <c r="GQ95" s="5"/>
      <c r="GR95" s="5"/>
      <c r="GS95" s="5"/>
      <c r="GT95" s="5"/>
      <c r="GU95" s="5"/>
      <c r="GV95" s="5"/>
      <c r="GW95" s="5"/>
      <c r="GX95" s="5"/>
      <c r="GY95" s="5"/>
      <c r="GZ95" s="5"/>
      <c r="HA95" s="5"/>
      <c r="HB95" s="5"/>
      <c r="HC95" s="5"/>
      <c r="HD95" s="5"/>
      <c r="HE95" s="5"/>
      <c r="HF95" s="5"/>
      <c r="HG95" s="5"/>
      <c r="HH95" s="5"/>
      <c r="HI95" s="5"/>
      <c r="HJ95" s="5"/>
      <c r="HK95" s="5"/>
      <c r="HL95" s="5"/>
      <c r="HM95" s="5"/>
      <c r="HN95" s="5"/>
      <c r="HO95" s="5"/>
      <c r="HP95" s="5"/>
      <c r="HQ95" s="5"/>
      <c r="HR95" s="5"/>
      <c r="HS95" s="5"/>
      <c r="HT95" s="5"/>
      <c r="HU95" s="5"/>
      <c r="HV95" s="5"/>
      <c r="HW95" s="5"/>
      <c r="HX95" s="5"/>
      <c r="HY95" s="5"/>
      <c r="HZ95" s="5"/>
      <c r="IA95" s="5"/>
      <c r="IB95" s="5"/>
      <c r="IC95" s="5"/>
      <c r="ID95" s="5"/>
      <c r="IE95" s="5"/>
      <c r="IF95" s="5"/>
      <c r="IG95" s="5"/>
      <c r="IH95" s="5"/>
      <c r="II95" s="5"/>
      <c r="IJ95" s="5"/>
      <c r="IK95" s="5"/>
      <c r="IL95" s="5"/>
      <c r="IM95" s="5"/>
      <c r="IN95" s="5"/>
      <c r="IO95" s="5"/>
      <c r="IP95" s="5"/>
      <c r="IQ95" s="5"/>
      <c r="IR95" s="5"/>
      <c r="IS95" s="5"/>
      <c r="IT95" s="5"/>
      <c r="IU95" s="5"/>
      <c r="IV95" s="5"/>
      <c r="IW95" s="5"/>
      <c r="IX95" s="5"/>
      <c r="IY95" s="5"/>
      <c r="IZ95" s="5"/>
      <c r="JA95" s="5"/>
      <c r="JB95" s="5"/>
      <c r="JC95" s="5"/>
      <c r="JD95" s="5"/>
      <c r="JE95" s="5"/>
      <c r="JF95" s="5"/>
      <c r="JG95" s="5"/>
      <c r="JH95" s="5"/>
      <c r="JI95" s="5"/>
      <c r="JJ95" s="5"/>
      <c r="JK95" s="5"/>
      <c r="JL95" s="5"/>
      <c r="JM95" s="5"/>
      <c r="JN95" s="5"/>
      <c r="JO95" s="5"/>
      <c r="JP95" s="5"/>
      <c r="JQ95" s="5"/>
      <c r="JR95" s="5"/>
      <c r="JS95" s="5"/>
      <c r="JT95" s="5"/>
      <c r="JU95" s="5"/>
      <c r="JV95" s="5"/>
      <c r="JW95" s="5"/>
      <c r="JX95" s="5"/>
      <c r="JY95" s="5"/>
      <c r="JZ95" s="5"/>
      <c r="KA95" s="5"/>
      <c r="KB95" s="5"/>
      <c r="KC95" s="5"/>
      <c r="KD95" s="5"/>
      <c r="KE95" s="5"/>
      <c r="KF95" s="5"/>
      <c r="KG95" s="5"/>
      <c r="KH95" s="5"/>
      <c r="KI95" s="5"/>
      <c r="KJ95" s="5"/>
      <c r="KK95" s="5"/>
      <c r="KL95" s="5"/>
      <c r="KM95" s="5"/>
      <c r="KN95" s="5"/>
      <c r="KO95" s="5"/>
      <c r="KP95" s="5"/>
      <c r="KQ95" s="5"/>
      <c r="KR95" s="5"/>
      <c r="KS95" s="5"/>
      <c r="KT95" s="5"/>
      <c r="KU95" s="5"/>
      <c r="KV95" s="5"/>
      <c r="KW95" s="5"/>
      <c r="KX95" s="5"/>
      <c r="KY95" s="5"/>
      <c r="KZ95" s="5"/>
      <c r="LA95" s="5"/>
      <c r="LB95" s="5"/>
      <c r="LC95" s="5"/>
      <c r="LD95" s="5"/>
      <c r="LE95" s="5"/>
      <c r="LF95" s="5"/>
      <c r="LG95" s="5"/>
      <c r="LH95" s="5"/>
      <c r="LI95" s="5"/>
      <c r="LJ95" s="5"/>
      <c r="LK95" s="5"/>
      <c r="LL95" s="5"/>
      <c r="LM95" s="5"/>
      <c r="LN95" s="5"/>
      <c r="LO95" s="5"/>
      <c r="LP95" s="5"/>
      <c r="LQ95" s="5"/>
      <c r="LR95" s="5"/>
      <c r="LS95" s="5"/>
      <c r="LT95" s="5"/>
      <c r="LU95" s="5"/>
      <c r="LV95" s="5"/>
      <c r="LW95" s="5"/>
      <c r="LX95" s="5"/>
      <c r="LY95" s="5"/>
      <c r="LZ95" s="5"/>
      <c r="MA95" s="5"/>
      <c r="MB95" s="5"/>
      <c r="MC95" s="5"/>
      <c r="MD95" s="5"/>
      <c r="ME95" s="5"/>
      <c r="MF95" s="5"/>
      <c r="MG95" s="5"/>
      <c r="MH95" s="5"/>
      <c r="MI95" s="5"/>
      <c r="MJ95" s="5"/>
      <c r="MK95" s="5"/>
    </row>
    <row r="96" spans="1:349" s="1" customFormat="1" ht="17.7" customHeight="1" x14ac:dyDescent="0.3">
      <c r="A96" s="20">
        <v>95</v>
      </c>
      <c r="B96" s="20">
        <v>8100013</v>
      </c>
      <c r="C96" s="10" t="s">
        <v>128</v>
      </c>
      <c r="D96" s="10" t="s">
        <v>25</v>
      </c>
      <c r="E96" s="10" t="s">
        <v>35</v>
      </c>
      <c r="F96" s="10">
        <v>67.75</v>
      </c>
      <c r="G96" s="10">
        <v>10</v>
      </c>
      <c r="H96" s="10"/>
      <c r="I96" s="10" t="s">
        <v>116</v>
      </c>
      <c r="J96" s="10"/>
      <c r="K96" s="10"/>
      <c r="L96" s="10"/>
      <c r="M96" s="10">
        <f t="shared" si="1"/>
        <v>56.232500000000002</v>
      </c>
      <c r="N96" s="10" t="s">
        <v>28</v>
      </c>
      <c r="O96" s="10" t="s">
        <v>29</v>
      </c>
      <c r="P96" s="10" t="s">
        <v>29</v>
      </c>
      <c r="Q96" s="10"/>
      <c r="R96" s="10"/>
      <c r="S96" s="10"/>
      <c r="T96" s="10"/>
      <c r="U96" s="10"/>
      <c r="V96" s="10"/>
      <c r="W96" s="10"/>
      <c r="X96" s="10" t="s">
        <v>30</v>
      </c>
      <c r="Y96" s="14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  <c r="BJ96" s="6"/>
      <c r="BK96" s="6"/>
      <c r="BL96" s="6"/>
      <c r="BM96" s="6"/>
      <c r="BN96" s="6"/>
      <c r="BO96" s="6"/>
      <c r="BP96" s="6"/>
      <c r="BQ96" s="6"/>
      <c r="BR96" s="6"/>
      <c r="BS96" s="6"/>
      <c r="BT96" s="6"/>
      <c r="BU96" s="6"/>
      <c r="BV96" s="6"/>
      <c r="BW96" s="6"/>
      <c r="BX96" s="6"/>
      <c r="BY96" s="6"/>
      <c r="BZ96" s="6"/>
      <c r="CA96" s="6"/>
      <c r="CB96" s="6"/>
      <c r="CC96" s="6"/>
      <c r="CD96" s="6"/>
      <c r="CE96" s="6"/>
      <c r="CF96" s="6"/>
      <c r="CG96" s="6"/>
      <c r="CH96" s="6"/>
      <c r="CI96" s="6"/>
      <c r="CJ96" s="6"/>
      <c r="CK96" s="6"/>
      <c r="CL96" s="6"/>
      <c r="CM96" s="6"/>
      <c r="CN96" s="6"/>
      <c r="CO96" s="6"/>
      <c r="CP96" s="6"/>
      <c r="CQ96" s="6"/>
      <c r="CR96" s="6"/>
      <c r="CS96" s="6"/>
      <c r="CT96" s="6"/>
      <c r="CU96" s="6"/>
      <c r="CV96" s="6"/>
      <c r="CW96" s="6"/>
      <c r="CX96" s="6"/>
      <c r="CY96" s="6"/>
      <c r="CZ96" s="6"/>
      <c r="DA96" s="6"/>
      <c r="DB96" s="6"/>
      <c r="DC96" s="6"/>
      <c r="DD96" s="6"/>
      <c r="DE96" s="6"/>
      <c r="DF96" s="6"/>
      <c r="DG96" s="6"/>
      <c r="DH96" s="6"/>
      <c r="DI96" s="6"/>
      <c r="DJ96" s="6"/>
      <c r="DK96" s="6"/>
      <c r="DL96" s="6"/>
      <c r="DM96" s="6"/>
      <c r="DN96" s="6"/>
      <c r="DO96" s="6"/>
      <c r="DP96" s="6"/>
      <c r="DQ96" s="6"/>
      <c r="DR96" s="6"/>
      <c r="DS96" s="6"/>
      <c r="DT96" s="6"/>
      <c r="DU96" s="6"/>
      <c r="DV96" s="6"/>
      <c r="DW96" s="6"/>
      <c r="DX96" s="6"/>
      <c r="DY96" s="6"/>
      <c r="DZ96" s="6"/>
      <c r="EA96" s="6"/>
      <c r="EB96" s="6"/>
      <c r="EC96" s="6"/>
      <c r="ED96" s="6"/>
      <c r="EE96" s="6"/>
      <c r="EF96" s="6"/>
      <c r="EG96" s="6"/>
      <c r="EH96" s="6"/>
      <c r="EI96" s="6"/>
      <c r="EJ96" s="6"/>
      <c r="EK96" s="6"/>
      <c r="EL96" s="6"/>
      <c r="EM96" s="6"/>
      <c r="EN96" s="6"/>
      <c r="EO96" s="6"/>
      <c r="EP96" s="6"/>
      <c r="EQ96" s="6"/>
      <c r="ER96" s="6"/>
      <c r="ES96" s="6"/>
      <c r="ET96" s="6"/>
      <c r="EU96" s="6"/>
      <c r="EV96" s="6"/>
      <c r="EW96" s="6"/>
      <c r="EX96" s="6"/>
      <c r="EY96" s="6"/>
      <c r="EZ96" s="6"/>
      <c r="FA96" s="6"/>
      <c r="FB96" s="6"/>
      <c r="FC96" s="6"/>
      <c r="FD96" s="6"/>
      <c r="FE96" s="6"/>
      <c r="FF96" s="6"/>
      <c r="FG96" s="6"/>
      <c r="FH96" s="6"/>
      <c r="FI96" s="6"/>
      <c r="FJ96" s="6"/>
      <c r="FK96" s="6"/>
      <c r="FL96" s="6"/>
      <c r="FM96" s="6"/>
      <c r="FN96" s="6"/>
      <c r="FO96" s="6"/>
      <c r="FP96" s="6"/>
      <c r="FQ96" s="6"/>
      <c r="FR96" s="6"/>
      <c r="FS96" s="6"/>
      <c r="FT96" s="6"/>
      <c r="FU96" s="6"/>
      <c r="FV96" s="6"/>
      <c r="FW96" s="6"/>
      <c r="FX96" s="6"/>
      <c r="FY96" s="6"/>
      <c r="FZ96" s="6"/>
      <c r="GA96" s="6"/>
      <c r="GB96" s="6"/>
      <c r="GC96" s="6"/>
      <c r="GD96" s="6"/>
      <c r="GE96" s="6"/>
      <c r="GF96" s="6"/>
      <c r="GG96" s="6"/>
      <c r="GH96" s="6"/>
      <c r="GI96" s="6"/>
      <c r="GJ96" s="6"/>
      <c r="GK96" s="6"/>
      <c r="GL96" s="6"/>
      <c r="GM96" s="6"/>
      <c r="GN96" s="6"/>
      <c r="GO96" s="6"/>
      <c r="GP96" s="6"/>
      <c r="GQ96" s="6"/>
      <c r="GR96" s="6"/>
      <c r="GS96" s="6"/>
      <c r="GT96" s="6"/>
      <c r="GU96" s="6"/>
      <c r="GV96" s="6"/>
      <c r="GW96" s="6"/>
      <c r="GX96" s="6"/>
      <c r="GY96" s="6"/>
      <c r="GZ96" s="6"/>
      <c r="HA96" s="6"/>
      <c r="HB96" s="6"/>
      <c r="HC96" s="6"/>
      <c r="HD96" s="6"/>
      <c r="HE96" s="6"/>
      <c r="HF96" s="6"/>
      <c r="HG96" s="6"/>
      <c r="HH96" s="6"/>
      <c r="HI96" s="6"/>
      <c r="HJ96" s="6"/>
      <c r="HK96" s="6"/>
      <c r="HL96" s="6"/>
      <c r="HM96" s="6"/>
      <c r="HN96" s="6"/>
      <c r="HO96" s="6"/>
      <c r="HP96" s="6"/>
      <c r="HQ96" s="6"/>
      <c r="HR96" s="6"/>
      <c r="HS96" s="6"/>
      <c r="HT96" s="6"/>
      <c r="HU96" s="6"/>
      <c r="HV96" s="6"/>
      <c r="HW96" s="6"/>
      <c r="HX96" s="6"/>
      <c r="HY96" s="6"/>
      <c r="HZ96" s="6"/>
      <c r="IA96" s="6"/>
      <c r="IB96" s="6"/>
      <c r="IC96" s="6"/>
      <c r="ID96" s="6"/>
      <c r="IE96" s="6"/>
      <c r="IF96" s="6"/>
      <c r="IG96" s="6"/>
      <c r="IH96" s="6"/>
      <c r="II96" s="6"/>
      <c r="IJ96" s="6"/>
      <c r="IK96" s="6"/>
      <c r="IL96" s="6"/>
      <c r="IM96" s="6"/>
      <c r="IN96" s="6"/>
      <c r="IO96" s="6"/>
      <c r="IP96" s="6"/>
      <c r="IQ96" s="6"/>
      <c r="IR96" s="6"/>
      <c r="IS96" s="6"/>
      <c r="IT96" s="6"/>
      <c r="IU96" s="6"/>
      <c r="IV96" s="6"/>
      <c r="IW96" s="6"/>
      <c r="IX96" s="6"/>
      <c r="IY96" s="6"/>
      <c r="IZ96" s="6"/>
      <c r="JA96" s="6"/>
      <c r="JB96" s="6"/>
      <c r="JC96" s="6"/>
      <c r="JD96" s="6"/>
      <c r="JE96" s="6"/>
      <c r="JF96" s="6"/>
      <c r="JG96" s="6"/>
      <c r="JH96" s="6"/>
      <c r="JI96" s="6"/>
      <c r="JJ96" s="6"/>
      <c r="JK96" s="6"/>
      <c r="JL96" s="6"/>
      <c r="JM96" s="6"/>
      <c r="JN96" s="6"/>
      <c r="JO96" s="6"/>
      <c r="JP96" s="6"/>
      <c r="JQ96" s="6"/>
      <c r="JR96" s="6"/>
      <c r="JS96" s="6"/>
      <c r="JT96" s="6"/>
      <c r="JU96" s="6"/>
      <c r="JV96" s="6"/>
      <c r="JW96" s="6"/>
      <c r="JX96" s="6"/>
      <c r="JY96" s="6"/>
      <c r="JZ96" s="6"/>
      <c r="KA96" s="6"/>
      <c r="KB96" s="6"/>
      <c r="KC96" s="6"/>
      <c r="KD96" s="6"/>
      <c r="KE96" s="6"/>
      <c r="KF96" s="6"/>
      <c r="KG96" s="6"/>
      <c r="KH96" s="6"/>
      <c r="KI96" s="6"/>
      <c r="KJ96" s="6"/>
      <c r="KK96" s="6"/>
      <c r="KL96" s="6"/>
      <c r="KM96" s="6"/>
      <c r="KN96" s="6"/>
      <c r="KO96" s="6"/>
      <c r="KP96" s="6"/>
      <c r="KQ96" s="6"/>
      <c r="KR96" s="6"/>
      <c r="KS96" s="6"/>
      <c r="KT96" s="6"/>
      <c r="KU96" s="6"/>
      <c r="KV96" s="6"/>
      <c r="KW96" s="6"/>
      <c r="KX96" s="6"/>
      <c r="KY96" s="6"/>
      <c r="KZ96" s="6"/>
      <c r="LA96" s="6"/>
      <c r="LB96" s="6"/>
      <c r="LC96" s="6"/>
      <c r="LD96" s="6"/>
      <c r="LE96" s="6"/>
      <c r="LF96" s="6"/>
      <c r="LG96" s="6"/>
      <c r="LH96" s="6"/>
      <c r="LI96" s="6"/>
      <c r="LJ96" s="6"/>
      <c r="LK96" s="6"/>
      <c r="LL96" s="6"/>
      <c r="LM96" s="6"/>
      <c r="LN96" s="6"/>
      <c r="LO96" s="6"/>
      <c r="LP96" s="6"/>
      <c r="LQ96" s="6"/>
      <c r="LR96" s="6"/>
      <c r="LS96" s="6"/>
      <c r="LT96" s="6"/>
      <c r="LU96" s="6"/>
      <c r="LV96" s="6"/>
      <c r="LW96" s="6"/>
      <c r="LX96" s="6"/>
      <c r="LY96" s="6"/>
      <c r="LZ96" s="6"/>
      <c r="MA96" s="6"/>
      <c r="MB96" s="6"/>
      <c r="MC96" s="6"/>
      <c r="MD96" s="6"/>
      <c r="ME96" s="6"/>
      <c r="MF96" s="6"/>
      <c r="MG96" s="6"/>
      <c r="MH96" s="6"/>
      <c r="MI96" s="6"/>
      <c r="MJ96" s="6"/>
      <c r="MK96" s="6"/>
    </row>
    <row r="97" spans="1:349" s="2" customFormat="1" ht="17.7" customHeight="1" x14ac:dyDescent="0.3">
      <c r="A97" s="21">
        <v>96</v>
      </c>
      <c r="B97" s="21">
        <v>8100014</v>
      </c>
      <c r="C97" s="9" t="s">
        <v>129</v>
      </c>
      <c r="D97" s="9" t="s">
        <v>25</v>
      </c>
      <c r="E97" s="9" t="s">
        <v>35</v>
      </c>
      <c r="F97" s="9">
        <v>83</v>
      </c>
      <c r="G97" s="9">
        <v>10</v>
      </c>
      <c r="H97" s="9"/>
      <c r="I97" s="9" t="s">
        <v>116</v>
      </c>
      <c r="J97" s="9"/>
      <c r="K97" s="9"/>
      <c r="L97" s="9"/>
      <c r="M97" s="9">
        <f t="shared" si="1"/>
        <v>68.89</v>
      </c>
      <c r="N97" s="9" t="s">
        <v>28</v>
      </c>
      <c r="O97" s="9" t="s">
        <v>29</v>
      </c>
      <c r="P97" s="9" t="s">
        <v>29</v>
      </c>
      <c r="Q97" s="9"/>
      <c r="R97" s="9"/>
      <c r="S97" s="9"/>
      <c r="T97" s="9"/>
      <c r="U97" s="9"/>
      <c r="V97" s="9"/>
      <c r="W97" s="9"/>
      <c r="X97" s="9" t="s">
        <v>30</v>
      </c>
      <c r="Y97" s="13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  <c r="DE97" s="5"/>
      <c r="DF97" s="5"/>
      <c r="DG97" s="5"/>
      <c r="DH97" s="5"/>
      <c r="DI97" s="5"/>
      <c r="DJ97" s="5"/>
      <c r="DK97" s="5"/>
      <c r="DL97" s="5"/>
      <c r="DM97" s="5"/>
      <c r="DN97" s="5"/>
      <c r="DO97" s="5"/>
      <c r="DP97" s="5"/>
      <c r="DQ97" s="5"/>
      <c r="DR97" s="5"/>
      <c r="DS97" s="5"/>
      <c r="DT97" s="5"/>
      <c r="DU97" s="5"/>
      <c r="DV97" s="5"/>
      <c r="DW97" s="5"/>
      <c r="DX97" s="5"/>
      <c r="DY97" s="5"/>
      <c r="DZ97" s="5"/>
      <c r="EA97" s="5"/>
      <c r="EB97" s="5"/>
      <c r="EC97" s="5"/>
      <c r="ED97" s="5"/>
      <c r="EE97" s="5"/>
      <c r="EF97" s="5"/>
      <c r="EG97" s="5"/>
      <c r="EH97" s="5"/>
      <c r="EI97" s="5"/>
      <c r="EJ97" s="5"/>
      <c r="EK97" s="5"/>
      <c r="EL97" s="5"/>
      <c r="EM97" s="5"/>
      <c r="EN97" s="5"/>
      <c r="EO97" s="5"/>
      <c r="EP97" s="5"/>
      <c r="EQ97" s="5"/>
      <c r="ER97" s="5"/>
      <c r="ES97" s="5"/>
      <c r="ET97" s="5"/>
      <c r="EU97" s="5"/>
      <c r="EV97" s="5"/>
      <c r="EW97" s="5"/>
      <c r="EX97" s="5"/>
      <c r="EY97" s="5"/>
      <c r="EZ97" s="5"/>
      <c r="FA97" s="5"/>
      <c r="FB97" s="5"/>
      <c r="FC97" s="5"/>
      <c r="FD97" s="5"/>
      <c r="FE97" s="5"/>
      <c r="FF97" s="5"/>
      <c r="FG97" s="5"/>
      <c r="FH97" s="5"/>
      <c r="FI97" s="5"/>
      <c r="FJ97" s="5"/>
      <c r="FK97" s="5"/>
      <c r="FL97" s="5"/>
      <c r="FM97" s="5"/>
      <c r="FN97" s="5"/>
      <c r="FO97" s="5"/>
      <c r="FP97" s="5"/>
      <c r="FQ97" s="5"/>
      <c r="FR97" s="5"/>
      <c r="FS97" s="5"/>
      <c r="FT97" s="5"/>
      <c r="FU97" s="5"/>
      <c r="FV97" s="5"/>
      <c r="FW97" s="5"/>
      <c r="FX97" s="5"/>
      <c r="FY97" s="5"/>
      <c r="FZ97" s="5"/>
      <c r="GA97" s="5"/>
      <c r="GB97" s="5"/>
      <c r="GC97" s="5"/>
      <c r="GD97" s="5"/>
      <c r="GE97" s="5"/>
      <c r="GF97" s="5"/>
      <c r="GG97" s="5"/>
      <c r="GH97" s="5"/>
      <c r="GI97" s="5"/>
      <c r="GJ97" s="5"/>
      <c r="GK97" s="5"/>
      <c r="GL97" s="5"/>
      <c r="GM97" s="5"/>
      <c r="GN97" s="5"/>
      <c r="GO97" s="5"/>
      <c r="GP97" s="5"/>
      <c r="GQ97" s="5"/>
      <c r="GR97" s="5"/>
      <c r="GS97" s="5"/>
      <c r="GT97" s="5"/>
      <c r="GU97" s="5"/>
      <c r="GV97" s="5"/>
      <c r="GW97" s="5"/>
      <c r="GX97" s="5"/>
      <c r="GY97" s="5"/>
      <c r="GZ97" s="5"/>
      <c r="HA97" s="5"/>
      <c r="HB97" s="5"/>
      <c r="HC97" s="5"/>
      <c r="HD97" s="5"/>
      <c r="HE97" s="5"/>
      <c r="HF97" s="5"/>
      <c r="HG97" s="5"/>
      <c r="HH97" s="5"/>
      <c r="HI97" s="5"/>
      <c r="HJ97" s="5"/>
      <c r="HK97" s="5"/>
      <c r="HL97" s="5"/>
      <c r="HM97" s="5"/>
      <c r="HN97" s="5"/>
      <c r="HO97" s="5"/>
      <c r="HP97" s="5"/>
      <c r="HQ97" s="5"/>
      <c r="HR97" s="5"/>
      <c r="HS97" s="5"/>
      <c r="HT97" s="5"/>
      <c r="HU97" s="5"/>
      <c r="HV97" s="5"/>
      <c r="HW97" s="5"/>
      <c r="HX97" s="5"/>
      <c r="HY97" s="5"/>
      <c r="HZ97" s="5"/>
      <c r="IA97" s="5"/>
      <c r="IB97" s="5"/>
      <c r="IC97" s="5"/>
      <c r="ID97" s="5"/>
      <c r="IE97" s="5"/>
      <c r="IF97" s="5"/>
      <c r="IG97" s="5"/>
      <c r="IH97" s="5"/>
      <c r="II97" s="5"/>
      <c r="IJ97" s="5"/>
      <c r="IK97" s="5"/>
      <c r="IL97" s="5"/>
      <c r="IM97" s="5"/>
      <c r="IN97" s="5"/>
      <c r="IO97" s="5"/>
      <c r="IP97" s="5"/>
      <c r="IQ97" s="5"/>
      <c r="IR97" s="5"/>
      <c r="IS97" s="5"/>
      <c r="IT97" s="5"/>
      <c r="IU97" s="5"/>
      <c r="IV97" s="5"/>
      <c r="IW97" s="5"/>
      <c r="IX97" s="5"/>
      <c r="IY97" s="5"/>
      <c r="IZ97" s="5"/>
      <c r="JA97" s="5"/>
      <c r="JB97" s="5"/>
      <c r="JC97" s="5"/>
      <c r="JD97" s="5"/>
      <c r="JE97" s="5"/>
      <c r="JF97" s="5"/>
      <c r="JG97" s="5"/>
      <c r="JH97" s="5"/>
      <c r="JI97" s="5"/>
      <c r="JJ97" s="5"/>
      <c r="JK97" s="5"/>
      <c r="JL97" s="5"/>
      <c r="JM97" s="5"/>
      <c r="JN97" s="5"/>
      <c r="JO97" s="5"/>
      <c r="JP97" s="5"/>
      <c r="JQ97" s="5"/>
      <c r="JR97" s="5"/>
      <c r="JS97" s="5"/>
      <c r="JT97" s="5"/>
      <c r="JU97" s="5"/>
      <c r="JV97" s="5"/>
      <c r="JW97" s="5"/>
      <c r="JX97" s="5"/>
      <c r="JY97" s="5"/>
      <c r="JZ97" s="5"/>
      <c r="KA97" s="5"/>
      <c r="KB97" s="5"/>
      <c r="KC97" s="5"/>
      <c r="KD97" s="5"/>
      <c r="KE97" s="5"/>
      <c r="KF97" s="5"/>
      <c r="KG97" s="5"/>
      <c r="KH97" s="5"/>
      <c r="KI97" s="5"/>
      <c r="KJ97" s="5"/>
      <c r="KK97" s="5"/>
      <c r="KL97" s="5"/>
      <c r="KM97" s="5"/>
      <c r="KN97" s="5"/>
      <c r="KO97" s="5"/>
      <c r="KP97" s="5"/>
      <c r="KQ97" s="5"/>
      <c r="KR97" s="5"/>
      <c r="KS97" s="5"/>
      <c r="KT97" s="5"/>
      <c r="KU97" s="5"/>
      <c r="KV97" s="5"/>
      <c r="KW97" s="5"/>
      <c r="KX97" s="5"/>
      <c r="KY97" s="5"/>
      <c r="KZ97" s="5"/>
      <c r="LA97" s="5"/>
      <c r="LB97" s="5"/>
      <c r="LC97" s="5"/>
      <c r="LD97" s="5"/>
      <c r="LE97" s="5"/>
      <c r="LF97" s="5"/>
      <c r="LG97" s="5"/>
      <c r="LH97" s="5"/>
      <c r="LI97" s="5"/>
      <c r="LJ97" s="5"/>
      <c r="LK97" s="5"/>
      <c r="LL97" s="5"/>
      <c r="LM97" s="5"/>
      <c r="LN97" s="5"/>
      <c r="LO97" s="5"/>
      <c r="LP97" s="5"/>
      <c r="LQ97" s="5"/>
      <c r="LR97" s="5"/>
      <c r="LS97" s="5"/>
      <c r="LT97" s="5"/>
      <c r="LU97" s="5"/>
      <c r="LV97" s="5"/>
      <c r="LW97" s="5"/>
      <c r="LX97" s="5"/>
      <c r="LY97" s="5"/>
      <c r="LZ97" s="5"/>
      <c r="MA97" s="5"/>
      <c r="MB97" s="5"/>
      <c r="MC97" s="5"/>
      <c r="MD97" s="5"/>
      <c r="ME97" s="5"/>
      <c r="MF97" s="5"/>
      <c r="MG97" s="5"/>
      <c r="MH97" s="5"/>
      <c r="MI97" s="5"/>
      <c r="MJ97" s="5"/>
      <c r="MK97" s="5"/>
    </row>
    <row r="98" spans="1:349" s="2" customFormat="1" ht="17.7" customHeight="1" x14ac:dyDescent="0.3">
      <c r="A98" s="20">
        <v>97</v>
      </c>
      <c r="B98" s="20">
        <v>8100015</v>
      </c>
      <c r="C98" s="10" t="s">
        <v>130</v>
      </c>
      <c r="D98" s="10" t="s">
        <v>25</v>
      </c>
      <c r="E98" s="10" t="s">
        <v>35</v>
      </c>
      <c r="F98" s="10">
        <v>196.5</v>
      </c>
      <c r="G98" s="10">
        <v>3</v>
      </c>
      <c r="H98" s="10"/>
      <c r="I98" s="10" t="s">
        <v>116</v>
      </c>
      <c r="J98" s="10"/>
      <c r="K98" s="10"/>
      <c r="L98" s="10"/>
      <c r="M98" s="10">
        <f t="shared" si="1"/>
        <v>163.095</v>
      </c>
      <c r="N98" s="10" t="s">
        <v>28</v>
      </c>
      <c r="O98" s="10" t="s">
        <v>29</v>
      </c>
      <c r="P98" s="10" t="s">
        <v>29</v>
      </c>
      <c r="Q98" s="10"/>
      <c r="R98" s="10"/>
      <c r="S98" s="10"/>
      <c r="T98" s="10"/>
      <c r="U98" s="10"/>
      <c r="V98" s="10"/>
      <c r="W98" s="10"/>
      <c r="X98" s="10" t="s">
        <v>30</v>
      </c>
      <c r="Y98" s="13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  <c r="DE98" s="5"/>
      <c r="DF98" s="5"/>
      <c r="DG98" s="5"/>
      <c r="DH98" s="5"/>
      <c r="DI98" s="5"/>
      <c r="DJ98" s="5"/>
      <c r="DK98" s="5"/>
      <c r="DL98" s="5"/>
      <c r="DM98" s="5"/>
      <c r="DN98" s="5"/>
      <c r="DO98" s="5"/>
      <c r="DP98" s="5"/>
      <c r="DQ98" s="5"/>
      <c r="DR98" s="5"/>
      <c r="DS98" s="5"/>
      <c r="DT98" s="5"/>
      <c r="DU98" s="5"/>
      <c r="DV98" s="5"/>
      <c r="DW98" s="5"/>
      <c r="DX98" s="5"/>
      <c r="DY98" s="5"/>
      <c r="DZ98" s="5"/>
      <c r="EA98" s="5"/>
      <c r="EB98" s="5"/>
      <c r="EC98" s="5"/>
      <c r="ED98" s="5"/>
      <c r="EE98" s="5"/>
      <c r="EF98" s="5"/>
      <c r="EG98" s="5"/>
      <c r="EH98" s="5"/>
      <c r="EI98" s="5"/>
      <c r="EJ98" s="5"/>
      <c r="EK98" s="5"/>
      <c r="EL98" s="5"/>
      <c r="EM98" s="5"/>
      <c r="EN98" s="5"/>
      <c r="EO98" s="5"/>
      <c r="EP98" s="5"/>
      <c r="EQ98" s="5"/>
      <c r="ER98" s="5"/>
      <c r="ES98" s="5"/>
      <c r="ET98" s="5"/>
      <c r="EU98" s="5"/>
      <c r="EV98" s="5"/>
      <c r="EW98" s="5"/>
      <c r="EX98" s="5"/>
      <c r="EY98" s="5"/>
      <c r="EZ98" s="5"/>
      <c r="FA98" s="5"/>
      <c r="FB98" s="5"/>
      <c r="FC98" s="5"/>
      <c r="FD98" s="5"/>
      <c r="FE98" s="5"/>
      <c r="FF98" s="5"/>
      <c r="FG98" s="5"/>
      <c r="FH98" s="5"/>
      <c r="FI98" s="5"/>
      <c r="FJ98" s="5"/>
      <c r="FK98" s="5"/>
      <c r="FL98" s="5"/>
      <c r="FM98" s="5"/>
      <c r="FN98" s="5"/>
      <c r="FO98" s="5"/>
      <c r="FP98" s="5"/>
      <c r="FQ98" s="5"/>
      <c r="FR98" s="5"/>
      <c r="FS98" s="5"/>
      <c r="FT98" s="5"/>
      <c r="FU98" s="5"/>
      <c r="FV98" s="5"/>
      <c r="FW98" s="5"/>
      <c r="FX98" s="5"/>
      <c r="FY98" s="5"/>
      <c r="FZ98" s="5"/>
      <c r="GA98" s="5"/>
      <c r="GB98" s="5"/>
      <c r="GC98" s="5"/>
      <c r="GD98" s="5"/>
      <c r="GE98" s="5"/>
      <c r="GF98" s="5"/>
      <c r="GG98" s="5"/>
      <c r="GH98" s="5"/>
      <c r="GI98" s="5"/>
      <c r="GJ98" s="5"/>
      <c r="GK98" s="5"/>
      <c r="GL98" s="5"/>
      <c r="GM98" s="5"/>
      <c r="GN98" s="5"/>
      <c r="GO98" s="5"/>
      <c r="GP98" s="5"/>
      <c r="GQ98" s="5"/>
      <c r="GR98" s="5"/>
      <c r="GS98" s="5"/>
      <c r="GT98" s="5"/>
      <c r="GU98" s="5"/>
      <c r="GV98" s="5"/>
      <c r="GW98" s="5"/>
      <c r="GX98" s="5"/>
      <c r="GY98" s="5"/>
      <c r="GZ98" s="5"/>
      <c r="HA98" s="5"/>
      <c r="HB98" s="5"/>
      <c r="HC98" s="5"/>
      <c r="HD98" s="5"/>
      <c r="HE98" s="5"/>
      <c r="HF98" s="5"/>
      <c r="HG98" s="5"/>
      <c r="HH98" s="5"/>
      <c r="HI98" s="5"/>
      <c r="HJ98" s="5"/>
      <c r="HK98" s="5"/>
      <c r="HL98" s="5"/>
      <c r="HM98" s="5"/>
      <c r="HN98" s="5"/>
      <c r="HO98" s="5"/>
      <c r="HP98" s="5"/>
      <c r="HQ98" s="5"/>
      <c r="HR98" s="5"/>
      <c r="HS98" s="5"/>
      <c r="HT98" s="5"/>
      <c r="HU98" s="5"/>
      <c r="HV98" s="5"/>
      <c r="HW98" s="5"/>
      <c r="HX98" s="5"/>
      <c r="HY98" s="5"/>
      <c r="HZ98" s="5"/>
      <c r="IA98" s="5"/>
      <c r="IB98" s="5"/>
      <c r="IC98" s="5"/>
      <c r="ID98" s="5"/>
      <c r="IE98" s="5"/>
      <c r="IF98" s="5"/>
      <c r="IG98" s="5"/>
      <c r="IH98" s="5"/>
      <c r="II98" s="5"/>
      <c r="IJ98" s="5"/>
      <c r="IK98" s="5"/>
      <c r="IL98" s="5"/>
      <c r="IM98" s="5"/>
      <c r="IN98" s="5"/>
      <c r="IO98" s="5"/>
      <c r="IP98" s="5"/>
      <c r="IQ98" s="5"/>
      <c r="IR98" s="5"/>
      <c r="IS98" s="5"/>
      <c r="IT98" s="5"/>
      <c r="IU98" s="5"/>
      <c r="IV98" s="5"/>
      <c r="IW98" s="5"/>
      <c r="IX98" s="5"/>
      <c r="IY98" s="5"/>
      <c r="IZ98" s="5"/>
      <c r="JA98" s="5"/>
      <c r="JB98" s="5"/>
      <c r="JC98" s="5"/>
      <c r="JD98" s="5"/>
      <c r="JE98" s="5"/>
      <c r="JF98" s="5"/>
      <c r="JG98" s="5"/>
      <c r="JH98" s="5"/>
      <c r="JI98" s="5"/>
      <c r="JJ98" s="5"/>
      <c r="JK98" s="5"/>
      <c r="JL98" s="5"/>
      <c r="JM98" s="5"/>
      <c r="JN98" s="5"/>
      <c r="JO98" s="5"/>
      <c r="JP98" s="5"/>
      <c r="JQ98" s="5"/>
      <c r="JR98" s="5"/>
      <c r="JS98" s="5"/>
      <c r="JT98" s="5"/>
      <c r="JU98" s="5"/>
      <c r="JV98" s="5"/>
      <c r="JW98" s="5"/>
      <c r="JX98" s="5"/>
      <c r="JY98" s="5"/>
      <c r="JZ98" s="5"/>
      <c r="KA98" s="5"/>
      <c r="KB98" s="5"/>
      <c r="KC98" s="5"/>
      <c r="KD98" s="5"/>
      <c r="KE98" s="5"/>
      <c r="KF98" s="5"/>
      <c r="KG98" s="5"/>
      <c r="KH98" s="5"/>
      <c r="KI98" s="5"/>
      <c r="KJ98" s="5"/>
      <c r="KK98" s="5"/>
      <c r="KL98" s="5"/>
      <c r="KM98" s="5"/>
      <c r="KN98" s="5"/>
      <c r="KO98" s="5"/>
      <c r="KP98" s="5"/>
      <c r="KQ98" s="5"/>
      <c r="KR98" s="5"/>
      <c r="KS98" s="5"/>
      <c r="KT98" s="5"/>
      <c r="KU98" s="5"/>
      <c r="KV98" s="5"/>
      <c r="KW98" s="5"/>
      <c r="KX98" s="5"/>
      <c r="KY98" s="5"/>
      <c r="KZ98" s="5"/>
      <c r="LA98" s="5"/>
      <c r="LB98" s="5"/>
      <c r="LC98" s="5"/>
      <c r="LD98" s="5"/>
      <c r="LE98" s="5"/>
      <c r="LF98" s="5"/>
      <c r="LG98" s="5"/>
      <c r="LH98" s="5"/>
      <c r="LI98" s="5"/>
      <c r="LJ98" s="5"/>
      <c r="LK98" s="5"/>
      <c r="LL98" s="5"/>
      <c r="LM98" s="5"/>
      <c r="LN98" s="5"/>
      <c r="LO98" s="5"/>
      <c r="LP98" s="5"/>
      <c r="LQ98" s="5"/>
      <c r="LR98" s="5"/>
      <c r="LS98" s="5"/>
      <c r="LT98" s="5"/>
      <c r="LU98" s="5"/>
      <c r="LV98" s="5"/>
      <c r="LW98" s="5"/>
      <c r="LX98" s="5"/>
      <c r="LY98" s="5"/>
      <c r="LZ98" s="5"/>
      <c r="MA98" s="5"/>
      <c r="MB98" s="5"/>
      <c r="MC98" s="5"/>
      <c r="MD98" s="5"/>
      <c r="ME98" s="5"/>
      <c r="MF98" s="5"/>
      <c r="MG98" s="5"/>
      <c r="MH98" s="5"/>
      <c r="MI98" s="5"/>
      <c r="MJ98" s="5"/>
      <c r="MK98" s="5"/>
    </row>
    <row r="99" spans="1:349" s="2" customFormat="1" ht="17.7" customHeight="1" x14ac:dyDescent="0.3">
      <c r="A99" s="21">
        <v>98</v>
      </c>
      <c r="B99" s="21">
        <v>8100016</v>
      </c>
      <c r="C99" s="9" t="s">
        <v>131</v>
      </c>
      <c r="D99" s="9" t="s">
        <v>25</v>
      </c>
      <c r="E99" s="9" t="s">
        <v>35</v>
      </c>
      <c r="F99" s="9">
        <v>23.5</v>
      </c>
      <c r="G99" s="9">
        <v>20</v>
      </c>
      <c r="H99" s="9"/>
      <c r="I99" s="9" t="s">
        <v>116</v>
      </c>
      <c r="J99" s="9"/>
      <c r="K99" s="9"/>
      <c r="L99" s="9"/>
      <c r="M99" s="9">
        <f t="shared" si="1"/>
        <v>19.504999999999999</v>
      </c>
      <c r="N99" s="9" t="s">
        <v>28</v>
      </c>
      <c r="O99" s="9" t="s">
        <v>29</v>
      </c>
      <c r="P99" s="9" t="s">
        <v>29</v>
      </c>
      <c r="Q99" s="9"/>
      <c r="R99" s="9"/>
      <c r="S99" s="9"/>
      <c r="T99" s="9"/>
      <c r="U99" s="9"/>
      <c r="V99" s="9"/>
      <c r="W99" s="9"/>
      <c r="X99" s="9" t="s">
        <v>30</v>
      </c>
      <c r="Y99" s="13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  <c r="DE99" s="5"/>
      <c r="DF99" s="5"/>
      <c r="DG99" s="5"/>
      <c r="DH99" s="5"/>
      <c r="DI99" s="5"/>
      <c r="DJ99" s="5"/>
      <c r="DK99" s="5"/>
      <c r="DL99" s="5"/>
      <c r="DM99" s="5"/>
      <c r="DN99" s="5"/>
      <c r="DO99" s="5"/>
      <c r="DP99" s="5"/>
      <c r="DQ99" s="5"/>
      <c r="DR99" s="5"/>
      <c r="DS99" s="5"/>
      <c r="DT99" s="5"/>
      <c r="DU99" s="5"/>
      <c r="DV99" s="5"/>
      <c r="DW99" s="5"/>
      <c r="DX99" s="5"/>
      <c r="DY99" s="5"/>
      <c r="DZ99" s="5"/>
      <c r="EA99" s="5"/>
      <c r="EB99" s="5"/>
      <c r="EC99" s="5"/>
      <c r="ED99" s="5"/>
      <c r="EE99" s="5"/>
      <c r="EF99" s="5"/>
      <c r="EG99" s="5"/>
      <c r="EH99" s="5"/>
      <c r="EI99" s="5"/>
      <c r="EJ99" s="5"/>
      <c r="EK99" s="5"/>
      <c r="EL99" s="5"/>
      <c r="EM99" s="5"/>
      <c r="EN99" s="5"/>
      <c r="EO99" s="5"/>
      <c r="EP99" s="5"/>
      <c r="EQ99" s="5"/>
      <c r="ER99" s="5"/>
      <c r="ES99" s="5"/>
      <c r="ET99" s="5"/>
      <c r="EU99" s="5"/>
      <c r="EV99" s="5"/>
      <c r="EW99" s="5"/>
      <c r="EX99" s="5"/>
      <c r="EY99" s="5"/>
      <c r="EZ99" s="5"/>
      <c r="FA99" s="5"/>
      <c r="FB99" s="5"/>
      <c r="FC99" s="5"/>
      <c r="FD99" s="5"/>
      <c r="FE99" s="5"/>
      <c r="FF99" s="5"/>
      <c r="FG99" s="5"/>
      <c r="FH99" s="5"/>
      <c r="FI99" s="5"/>
      <c r="FJ99" s="5"/>
      <c r="FK99" s="5"/>
      <c r="FL99" s="5"/>
      <c r="FM99" s="5"/>
      <c r="FN99" s="5"/>
      <c r="FO99" s="5"/>
      <c r="FP99" s="5"/>
      <c r="FQ99" s="5"/>
      <c r="FR99" s="5"/>
      <c r="FS99" s="5"/>
      <c r="FT99" s="5"/>
      <c r="FU99" s="5"/>
      <c r="FV99" s="5"/>
      <c r="FW99" s="5"/>
      <c r="FX99" s="5"/>
      <c r="FY99" s="5"/>
      <c r="FZ99" s="5"/>
      <c r="GA99" s="5"/>
      <c r="GB99" s="5"/>
      <c r="GC99" s="5"/>
      <c r="GD99" s="5"/>
      <c r="GE99" s="5"/>
      <c r="GF99" s="5"/>
      <c r="GG99" s="5"/>
      <c r="GH99" s="5"/>
      <c r="GI99" s="5"/>
      <c r="GJ99" s="5"/>
      <c r="GK99" s="5"/>
      <c r="GL99" s="5"/>
      <c r="GM99" s="5"/>
      <c r="GN99" s="5"/>
      <c r="GO99" s="5"/>
      <c r="GP99" s="5"/>
      <c r="GQ99" s="5"/>
      <c r="GR99" s="5"/>
      <c r="GS99" s="5"/>
      <c r="GT99" s="5"/>
      <c r="GU99" s="5"/>
      <c r="GV99" s="5"/>
      <c r="GW99" s="5"/>
      <c r="GX99" s="5"/>
      <c r="GY99" s="5"/>
      <c r="GZ99" s="5"/>
      <c r="HA99" s="5"/>
      <c r="HB99" s="5"/>
      <c r="HC99" s="5"/>
      <c r="HD99" s="5"/>
      <c r="HE99" s="5"/>
      <c r="HF99" s="5"/>
      <c r="HG99" s="5"/>
      <c r="HH99" s="5"/>
      <c r="HI99" s="5"/>
      <c r="HJ99" s="5"/>
      <c r="HK99" s="5"/>
      <c r="HL99" s="5"/>
      <c r="HM99" s="5"/>
      <c r="HN99" s="5"/>
      <c r="HO99" s="5"/>
      <c r="HP99" s="5"/>
      <c r="HQ99" s="5"/>
      <c r="HR99" s="5"/>
      <c r="HS99" s="5"/>
      <c r="HT99" s="5"/>
      <c r="HU99" s="5"/>
      <c r="HV99" s="5"/>
      <c r="HW99" s="5"/>
      <c r="HX99" s="5"/>
      <c r="HY99" s="5"/>
      <c r="HZ99" s="5"/>
      <c r="IA99" s="5"/>
      <c r="IB99" s="5"/>
      <c r="IC99" s="5"/>
      <c r="ID99" s="5"/>
      <c r="IE99" s="5"/>
      <c r="IF99" s="5"/>
      <c r="IG99" s="5"/>
      <c r="IH99" s="5"/>
      <c r="II99" s="5"/>
      <c r="IJ99" s="5"/>
      <c r="IK99" s="5"/>
      <c r="IL99" s="5"/>
      <c r="IM99" s="5"/>
      <c r="IN99" s="5"/>
      <c r="IO99" s="5"/>
      <c r="IP99" s="5"/>
      <c r="IQ99" s="5"/>
      <c r="IR99" s="5"/>
      <c r="IS99" s="5"/>
      <c r="IT99" s="5"/>
      <c r="IU99" s="5"/>
      <c r="IV99" s="5"/>
      <c r="IW99" s="5"/>
      <c r="IX99" s="5"/>
      <c r="IY99" s="5"/>
      <c r="IZ99" s="5"/>
      <c r="JA99" s="5"/>
      <c r="JB99" s="5"/>
      <c r="JC99" s="5"/>
      <c r="JD99" s="5"/>
      <c r="JE99" s="5"/>
      <c r="JF99" s="5"/>
      <c r="JG99" s="5"/>
      <c r="JH99" s="5"/>
      <c r="JI99" s="5"/>
      <c r="JJ99" s="5"/>
      <c r="JK99" s="5"/>
      <c r="JL99" s="5"/>
      <c r="JM99" s="5"/>
      <c r="JN99" s="5"/>
      <c r="JO99" s="5"/>
      <c r="JP99" s="5"/>
      <c r="JQ99" s="5"/>
      <c r="JR99" s="5"/>
      <c r="JS99" s="5"/>
      <c r="JT99" s="5"/>
      <c r="JU99" s="5"/>
      <c r="JV99" s="5"/>
      <c r="JW99" s="5"/>
      <c r="JX99" s="5"/>
      <c r="JY99" s="5"/>
      <c r="JZ99" s="5"/>
      <c r="KA99" s="5"/>
      <c r="KB99" s="5"/>
      <c r="KC99" s="5"/>
      <c r="KD99" s="5"/>
      <c r="KE99" s="5"/>
      <c r="KF99" s="5"/>
      <c r="KG99" s="5"/>
      <c r="KH99" s="5"/>
      <c r="KI99" s="5"/>
      <c r="KJ99" s="5"/>
      <c r="KK99" s="5"/>
      <c r="KL99" s="5"/>
      <c r="KM99" s="5"/>
      <c r="KN99" s="5"/>
      <c r="KO99" s="5"/>
      <c r="KP99" s="5"/>
      <c r="KQ99" s="5"/>
      <c r="KR99" s="5"/>
      <c r="KS99" s="5"/>
      <c r="KT99" s="5"/>
      <c r="KU99" s="5"/>
      <c r="KV99" s="5"/>
      <c r="KW99" s="5"/>
      <c r="KX99" s="5"/>
      <c r="KY99" s="5"/>
      <c r="KZ99" s="5"/>
      <c r="LA99" s="5"/>
      <c r="LB99" s="5"/>
      <c r="LC99" s="5"/>
      <c r="LD99" s="5"/>
      <c r="LE99" s="5"/>
      <c r="LF99" s="5"/>
      <c r="LG99" s="5"/>
      <c r="LH99" s="5"/>
      <c r="LI99" s="5"/>
      <c r="LJ99" s="5"/>
      <c r="LK99" s="5"/>
      <c r="LL99" s="5"/>
      <c r="LM99" s="5"/>
      <c r="LN99" s="5"/>
      <c r="LO99" s="5"/>
      <c r="LP99" s="5"/>
      <c r="LQ99" s="5"/>
      <c r="LR99" s="5"/>
      <c r="LS99" s="5"/>
      <c r="LT99" s="5"/>
      <c r="LU99" s="5"/>
      <c r="LV99" s="5"/>
      <c r="LW99" s="5"/>
      <c r="LX99" s="5"/>
      <c r="LY99" s="5"/>
      <c r="LZ99" s="5"/>
      <c r="MA99" s="5"/>
      <c r="MB99" s="5"/>
      <c r="MC99" s="5"/>
      <c r="MD99" s="5"/>
      <c r="ME99" s="5"/>
      <c r="MF99" s="5"/>
      <c r="MG99" s="5"/>
      <c r="MH99" s="5"/>
      <c r="MI99" s="5"/>
      <c r="MJ99" s="5"/>
      <c r="MK99" s="5"/>
    </row>
    <row r="100" spans="1:349" s="1" customFormat="1" ht="17.7" customHeight="1" x14ac:dyDescent="0.3">
      <c r="A100" s="20">
        <v>99</v>
      </c>
      <c r="B100" s="20">
        <v>8100017</v>
      </c>
      <c r="C100" s="10" t="s">
        <v>132</v>
      </c>
      <c r="D100" s="10" t="s">
        <v>25</v>
      </c>
      <c r="E100" s="10" t="s">
        <v>35</v>
      </c>
      <c r="F100" s="10">
        <v>51.5</v>
      </c>
      <c r="G100" s="10">
        <v>20</v>
      </c>
      <c r="H100" s="10"/>
      <c r="I100" s="10" t="s">
        <v>116</v>
      </c>
      <c r="J100" s="10"/>
      <c r="K100" s="10"/>
      <c r="L100" s="10"/>
      <c r="M100" s="10">
        <f t="shared" si="1"/>
        <v>42.744999999999997</v>
      </c>
      <c r="N100" s="10" t="s">
        <v>28</v>
      </c>
      <c r="O100" s="10" t="s">
        <v>29</v>
      </c>
      <c r="P100" s="10" t="s">
        <v>29</v>
      </c>
      <c r="Q100" s="10"/>
      <c r="R100" s="10"/>
      <c r="S100" s="10"/>
      <c r="T100" s="10"/>
      <c r="U100" s="10"/>
      <c r="V100" s="10"/>
      <c r="W100" s="10"/>
      <c r="X100" s="10" t="s">
        <v>30</v>
      </c>
      <c r="Y100" s="14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  <c r="BP100" s="6"/>
      <c r="BQ100" s="6"/>
      <c r="BR100" s="6"/>
      <c r="BS100" s="6"/>
      <c r="BT100" s="6"/>
      <c r="BU100" s="6"/>
      <c r="BV100" s="6"/>
      <c r="BW100" s="6"/>
      <c r="BX100" s="6"/>
      <c r="BY100" s="6"/>
      <c r="BZ100" s="6"/>
      <c r="CA100" s="6"/>
      <c r="CB100" s="6"/>
      <c r="CC100" s="6"/>
      <c r="CD100" s="6"/>
      <c r="CE100" s="6"/>
      <c r="CF100" s="6"/>
      <c r="CG100" s="6"/>
      <c r="CH100" s="6"/>
      <c r="CI100" s="6"/>
      <c r="CJ100" s="6"/>
      <c r="CK100" s="6"/>
      <c r="CL100" s="6"/>
      <c r="CM100" s="6"/>
      <c r="CN100" s="6"/>
      <c r="CO100" s="6"/>
      <c r="CP100" s="6"/>
      <c r="CQ100" s="6"/>
      <c r="CR100" s="6"/>
      <c r="CS100" s="6"/>
      <c r="CT100" s="6"/>
      <c r="CU100" s="6"/>
      <c r="CV100" s="6"/>
      <c r="CW100" s="6"/>
      <c r="CX100" s="6"/>
      <c r="CY100" s="6"/>
      <c r="CZ100" s="6"/>
      <c r="DA100" s="6"/>
      <c r="DB100" s="6"/>
      <c r="DC100" s="6"/>
      <c r="DD100" s="6"/>
      <c r="DE100" s="6"/>
      <c r="DF100" s="6"/>
      <c r="DG100" s="6"/>
      <c r="DH100" s="6"/>
      <c r="DI100" s="6"/>
      <c r="DJ100" s="6"/>
      <c r="DK100" s="6"/>
      <c r="DL100" s="6"/>
      <c r="DM100" s="6"/>
      <c r="DN100" s="6"/>
      <c r="DO100" s="6"/>
      <c r="DP100" s="6"/>
      <c r="DQ100" s="6"/>
      <c r="DR100" s="6"/>
      <c r="DS100" s="6"/>
      <c r="DT100" s="6"/>
      <c r="DU100" s="6"/>
      <c r="DV100" s="6"/>
      <c r="DW100" s="6"/>
      <c r="DX100" s="6"/>
      <c r="DY100" s="6"/>
      <c r="DZ100" s="6"/>
      <c r="EA100" s="6"/>
      <c r="EB100" s="6"/>
      <c r="EC100" s="6"/>
      <c r="ED100" s="6"/>
      <c r="EE100" s="6"/>
      <c r="EF100" s="6"/>
      <c r="EG100" s="6"/>
      <c r="EH100" s="6"/>
      <c r="EI100" s="6"/>
      <c r="EJ100" s="6"/>
      <c r="EK100" s="6"/>
      <c r="EL100" s="6"/>
      <c r="EM100" s="6"/>
      <c r="EN100" s="6"/>
      <c r="EO100" s="6"/>
      <c r="EP100" s="6"/>
      <c r="EQ100" s="6"/>
      <c r="ER100" s="6"/>
      <c r="ES100" s="6"/>
      <c r="ET100" s="6"/>
      <c r="EU100" s="6"/>
      <c r="EV100" s="6"/>
      <c r="EW100" s="6"/>
      <c r="EX100" s="6"/>
      <c r="EY100" s="6"/>
      <c r="EZ100" s="6"/>
      <c r="FA100" s="6"/>
      <c r="FB100" s="6"/>
      <c r="FC100" s="6"/>
      <c r="FD100" s="6"/>
      <c r="FE100" s="6"/>
      <c r="FF100" s="6"/>
      <c r="FG100" s="6"/>
      <c r="FH100" s="6"/>
      <c r="FI100" s="6"/>
      <c r="FJ100" s="6"/>
      <c r="FK100" s="6"/>
      <c r="FL100" s="6"/>
      <c r="FM100" s="6"/>
      <c r="FN100" s="6"/>
      <c r="FO100" s="6"/>
      <c r="FP100" s="6"/>
      <c r="FQ100" s="6"/>
      <c r="FR100" s="6"/>
      <c r="FS100" s="6"/>
      <c r="FT100" s="6"/>
      <c r="FU100" s="6"/>
      <c r="FV100" s="6"/>
      <c r="FW100" s="6"/>
      <c r="FX100" s="6"/>
      <c r="FY100" s="6"/>
      <c r="FZ100" s="6"/>
      <c r="GA100" s="6"/>
      <c r="GB100" s="6"/>
      <c r="GC100" s="6"/>
      <c r="GD100" s="6"/>
      <c r="GE100" s="6"/>
      <c r="GF100" s="6"/>
      <c r="GG100" s="6"/>
      <c r="GH100" s="6"/>
      <c r="GI100" s="6"/>
      <c r="GJ100" s="6"/>
      <c r="GK100" s="6"/>
      <c r="GL100" s="6"/>
      <c r="GM100" s="6"/>
      <c r="GN100" s="6"/>
      <c r="GO100" s="6"/>
      <c r="GP100" s="6"/>
      <c r="GQ100" s="6"/>
      <c r="GR100" s="6"/>
      <c r="GS100" s="6"/>
      <c r="GT100" s="6"/>
      <c r="GU100" s="6"/>
      <c r="GV100" s="6"/>
      <c r="GW100" s="6"/>
      <c r="GX100" s="6"/>
      <c r="GY100" s="6"/>
      <c r="GZ100" s="6"/>
      <c r="HA100" s="6"/>
      <c r="HB100" s="6"/>
      <c r="HC100" s="6"/>
      <c r="HD100" s="6"/>
      <c r="HE100" s="6"/>
      <c r="HF100" s="6"/>
      <c r="HG100" s="6"/>
      <c r="HH100" s="6"/>
      <c r="HI100" s="6"/>
      <c r="HJ100" s="6"/>
      <c r="HK100" s="6"/>
      <c r="HL100" s="6"/>
      <c r="HM100" s="6"/>
      <c r="HN100" s="6"/>
      <c r="HO100" s="6"/>
      <c r="HP100" s="6"/>
      <c r="HQ100" s="6"/>
      <c r="HR100" s="6"/>
      <c r="HS100" s="6"/>
      <c r="HT100" s="6"/>
      <c r="HU100" s="6"/>
      <c r="HV100" s="6"/>
      <c r="HW100" s="6"/>
      <c r="HX100" s="6"/>
      <c r="HY100" s="6"/>
      <c r="HZ100" s="6"/>
      <c r="IA100" s="6"/>
      <c r="IB100" s="6"/>
      <c r="IC100" s="6"/>
      <c r="ID100" s="6"/>
      <c r="IE100" s="6"/>
      <c r="IF100" s="6"/>
      <c r="IG100" s="6"/>
      <c r="IH100" s="6"/>
      <c r="II100" s="6"/>
      <c r="IJ100" s="6"/>
      <c r="IK100" s="6"/>
      <c r="IL100" s="6"/>
      <c r="IM100" s="6"/>
      <c r="IN100" s="6"/>
      <c r="IO100" s="6"/>
      <c r="IP100" s="6"/>
      <c r="IQ100" s="6"/>
      <c r="IR100" s="6"/>
      <c r="IS100" s="6"/>
      <c r="IT100" s="6"/>
      <c r="IU100" s="6"/>
      <c r="IV100" s="6"/>
      <c r="IW100" s="6"/>
      <c r="IX100" s="6"/>
      <c r="IY100" s="6"/>
      <c r="IZ100" s="6"/>
      <c r="JA100" s="6"/>
      <c r="JB100" s="6"/>
      <c r="JC100" s="6"/>
      <c r="JD100" s="6"/>
      <c r="JE100" s="6"/>
      <c r="JF100" s="6"/>
      <c r="JG100" s="6"/>
      <c r="JH100" s="6"/>
      <c r="JI100" s="6"/>
      <c r="JJ100" s="6"/>
      <c r="JK100" s="6"/>
      <c r="JL100" s="6"/>
      <c r="JM100" s="6"/>
      <c r="JN100" s="6"/>
      <c r="JO100" s="6"/>
      <c r="JP100" s="6"/>
      <c r="JQ100" s="6"/>
      <c r="JR100" s="6"/>
      <c r="JS100" s="6"/>
      <c r="JT100" s="6"/>
      <c r="JU100" s="6"/>
      <c r="JV100" s="6"/>
      <c r="JW100" s="6"/>
      <c r="JX100" s="6"/>
      <c r="JY100" s="6"/>
      <c r="JZ100" s="6"/>
      <c r="KA100" s="6"/>
      <c r="KB100" s="6"/>
      <c r="KC100" s="6"/>
      <c r="KD100" s="6"/>
      <c r="KE100" s="6"/>
      <c r="KF100" s="6"/>
      <c r="KG100" s="6"/>
      <c r="KH100" s="6"/>
      <c r="KI100" s="6"/>
      <c r="KJ100" s="6"/>
      <c r="KK100" s="6"/>
      <c r="KL100" s="6"/>
      <c r="KM100" s="6"/>
      <c r="KN100" s="6"/>
      <c r="KO100" s="6"/>
      <c r="KP100" s="6"/>
      <c r="KQ100" s="6"/>
      <c r="KR100" s="6"/>
      <c r="KS100" s="6"/>
      <c r="KT100" s="6"/>
      <c r="KU100" s="6"/>
      <c r="KV100" s="6"/>
      <c r="KW100" s="6"/>
      <c r="KX100" s="6"/>
      <c r="KY100" s="6"/>
      <c r="KZ100" s="6"/>
      <c r="LA100" s="6"/>
      <c r="LB100" s="6"/>
      <c r="LC100" s="6"/>
      <c r="LD100" s="6"/>
      <c r="LE100" s="6"/>
      <c r="LF100" s="6"/>
      <c r="LG100" s="6"/>
      <c r="LH100" s="6"/>
      <c r="LI100" s="6"/>
      <c r="LJ100" s="6"/>
      <c r="LK100" s="6"/>
      <c r="LL100" s="6"/>
      <c r="LM100" s="6"/>
      <c r="LN100" s="6"/>
      <c r="LO100" s="6"/>
      <c r="LP100" s="6"/>
      <c r="LQ100" s="6"/>
      <c r="LR100" s="6"/>
      <c r="LS100" s="6"/>
      <c r="LT100" s="6"/>
      <c r="LU100" s="6"/>
      <c r="LV100" s="6"/>
      <c r="LW100" s="6"/>
      <c r="LX100" s="6"/>
      <c r="LY100" s="6"/>
      <c r="LZ100" s="6"/>
      <c r="MA100" s="6"/>
      <c r="MB100" s="6"/>
      <c r="MC100" s="6"/>
      <c r="MD100" s="6"/>
      <c r="ME100" s="6"/>
      <c r="MF100" s="6"/>
      <c r="MG100" s="6"/>
      <c r="MH100" s="6"/>
      <c r="MI100" s="6"/>
      <c r="MJ100" s="6"/>
      <c r="MK100" s="6"/>
    </row>
    <row r="101" spans="1:349" s="2" customFormat="1" ht="17.7" customHeight="1" x14ac:dyDescent="0.3">
      <c r="A101" s="21">
        <v>100</v>
      </c>
      <c r="B101" s="21">
        <v>8100018</v>
      </c>
      <c r="C101" s="9" t="s">
        <v>133</v>
      </c>
      <c r="D101" s="9" t="s">
        <v>25</v>
      </c>
      <c r="E101" s="9" t="s">
        <v>35</v>
      </c>
      <c r="F101" s="9">
        <v>25.5</v>
      </c>
      <c r="G101" s="9">
        <v>20</v>
      </c>
      <c r="H101" s="9"/>
      <c r="I101" s="9" t="s">
        <v>116</v>
      </c>
      <c r="J101" s="9"/>
      <c r="K101" s="9"/>
      <c r="L101" s="9"/>
      <c r="M101" s="9">
        <f t="shared" si="1"/>
        <v>21.164999999999999</v>
      </c>
      <c r="N101" s="9" t="s">
        <v>28</v>
      </c>
      <c r="O101" s="9" t="s">
        <v>29</v>
      </c>
      <c r="P101" s="9" t="s">
        <v>29</v>
      </c>
      <c r="Q101" s="9"/>
      <c r="R101" s="9"/>
      <c r="S101" s="9"/>
      <c r="T101" s="9"/>
      <c r="U101" s="9"/>
      <c r="V101" s="9"/>
      <c r="W101" s="9"/>
      <c r="X101" s="9" t="s">
        <v>30</v>
      </c>
      <c r="Y101" s="13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  <c r="DE101" s="5"/>
      <c r="DF101" s="5"/>
      <c r="DG101" s="5"/>
      <c r="DH101" s="5"/>
      <c r="DI101" s="5"/>
      <c r="DJ101" s="5"/>
      <c r="DK101" s="5"/>
      <c r="DL101" s="5"/>
      <c r="DM101" s="5"/>
      <c r="DN101" s="5"/>
      <c r="DO101" s="5"/>
      <c r="DP101" s="5"/>
      <c r="DQ101" s="5"/>
      <c r="DR101" s="5"/>
      <c r="DS101" s="5"/>
      <c r="DT101" s="5"/>
      <c r="DU101" s="5"/>
      <c r="DV101" s="5"/>
      <c r="DW101" s="5"/>
      <c r="DX101" s="5"/>
      <c r="DY101" s="5"/>
      <c r="DZ101" s="5"/>
      <c r="EA101" s="5"/>
      <c r="EB101" s="5"/>
      <c r="EC101" s="5"/>
      <c r="ED101" s="5"/>
      <c r="EE101" s="5"/>
      <c r="EF101" s="5"/>
      <c r="EG101" s="5"/>
      <c r="EH101" s="5"/>
      <c r="EI101" s="5"/>
      <c r="EJ101" s="5"/>
      <c r="EK101" s="5"/>
      <c r="EL101" s="5"/>
      <c r="EM101" s="5"/>
      <c r="EN101" s="5"/>
      <c r="EO101" s="5"/>
      <c r="EP101" s="5"/>
      <c r="EQ101" s="5"/>
      <c r="ER101" s="5"/>
      <c r="ES101" s="5"/>
      <c r="ET101" s="5"/>
      <c r="EU101" s="5"/>
      <c r="EV101" s="5"/>
      <c r="EW101" s="5"/>
      <c r="EX101" s="5"/>
      <c r="EY101" s="5"/>
      <c r="EZ101" s="5"/>
      <c r="FA101" s="5"/>
      <c r="FB101" s="5"/>
      <c r="FC101" s="5"/>
      <c r="FD101" s="5"/>
      <c r="FE101" s="5"/>
      <c r="FF101" s="5"/>
      <c r="FG101" s="5"/>
      <c r="FH101" s="5"/>
      <c r="FI101" s="5"/>
      <c r="FJ101" s="5"/>
      <c r="FK101" s="5"/>
      <c r="FL101" s="5"/>
      <c r="FM101" s="5"/>
      <c r="FN101" s="5"/>
      <c r="FO101" s="5"/>
      <c r="FP101" s="5"/>
      <c r="FQ101" s="5"/>
      <c r="FR101" s="5"/>
      <c r="FS101" s="5"/>
      <c r="FT101" s="5"/>
      <c r="FU101" s="5"/>
      <c r="FV101" s="5"/>
      <c r="FW101" s="5"/>
      <c r="FX101" s="5"/>
      <c r="FY101" s="5"/>
      <c r="FZ101" s="5"/>
      <c r="GA101" s="5"/>
      <c r="GB101" s="5"/>
      <c r="GC101" s="5"/>
      <c r="GD101" s="5"/>
      <c r="GE101" s="5"/>
      <c r="GF101" s="5"/>
      <c r="GG101" s="5"/>
      <c r="GH101" s="5"/>
      <c r="GI101" s="5"/>
      <c r="GJ101" s="5"/>
      <c r="GK101" s="5"/>
      <c r="GL101" s="5"/>
      <c r="GM101" s="5"/>
      <c r="GN101" s="5"/>
      <c r="GO101" s="5"/>
      <c r="GP101" s="5"/>
      <c r="GQ101" s="5"/>
      <c r="GR101" s="5"/>
      <c r="GS101" s="5"/>
      <c r="GT101" s="5"/>
      <c r="GU101" s="5"/>
      <c r="GV101" s="5"/>
      <c r="GW101" s="5"/>
      <c r="GX101" s="5"/>
      <c r="GY101" s="5"/>
      <c r="GZ101" s="5"/>
      <c r="HA101" s="5"/>
      <c r="HB101" s="5"/>
      <c r="HC101" s="5"/>
      <c r="HD101" s="5"/>
      <c r="HE101" s="5"/>
      <c r="HF101" s="5"/>
      <c r="HG101" s="5"/>
      <c r="HH101" s="5"/>
      <c r="HI101" s="5"/>
      <c r="HJ101" s="5"/>
      <c r="HK101" s="5"/>
      <c r="HL101" s="5"/>
      <c r="HM101" s="5"/>
      <c r="HN101" s="5"/>
      <c r="HO101" s="5"/>
      <c r="HP101" s="5"/>
      <c r="HQ101" s="5"/>
      <c r="HR101" s="5"/>
      <c r="HS101" s="5"/>
      <c r="HT101" s="5"/>
      <c r="HU101" s="5"/>
      <c r="HV101" s="5"/>
      <c r="HW101" s="5"/>
      <c r="HX101" s="5"/>
      <c r="HY101" s="5"/>
      <c r="HZ101" s="5"/>
      <c r="IA101" s="5"/>
      <c r="IB101" s="5"/>
      <c r="IC101" s="5"/>
      <c r="ID101" s="5"/>
      <c r="IE101" s="5"/>
      <c r="IF101" s="5"/>
      <c r="IG101" s="5"/>
      <c r="IH101" s="5"/>
      <c r="II101" s="5"/>
      <c r="IJ101" s="5"/>
      <c r="IK101" s="5"/>
      <c r="IL101" s="5"/>
      <c r="IM101" s="5"/>
      <c r="IN101" s="5"/>
      <c r="IO101" s="5"/>
      <c r="IP101" s="5"/>
      <c r="IQ101" s="5"/>
      <c r="IR101" s="5"/>
      <c r="IS101" s="5"/>
      <c r="IT101" s="5"/>
      <c r="IU101" s="5"/>
      <c r="IV101" s="5"/>
      <c r="IW101" s="5"/>
      <c r="IX101" s="5"/>
      <c r="IY101" s="5"/>
      <c r="IZ101" s="5"/>
      <c r="JA101" s="5"/>
      <c r="JB101" s="5"/>
      <c r="JC101" s="5"/>
      <c r="JD101" s="5"/>
      <c r="JE101" s="5"/>
      <c r="JF101" s="5"/>
      <c r="JG101" s="5"/>
      <c r="JH101" s="5"/>
      <c r="JI101" s="5"/>
      <c r="JJ101" s="5"/>
      <c r="JK101" s="5"/>
      <c r="JL101" s="5"/>
      <c r="JM101" s="5"/>
      <c r="JN101" s="5"/>
      <c r="JO101" s="5"/>
      <c r="JP101" s="5"/>
      <c r="JQ101" s="5"/>
      <c r="JR101" s="5"/>
      <c r="JS101" s="5"/>
      <c r="JT101" s="5"/>
      <c r="JU101" s="5"/>
      <c r="JV101" s="5"/>
      <c r="JW101" s="5"/>
      <c r="JX101" s="5"/>
      <c r="JY101" s="5"/>
      <c r="JZ101" s="5"/>
      <c r="KA101" s="5"/>
      <c r="KB101" s="5"/>
      <c r="KC101" s="5"/>
      <c r="KD101" s="5"/>
      <c r="KE101" s="5"/>
      <c r="KF101" s="5"/>
      <c r="KG101" s="5"/>
      <c r="KH101" s="5"/>
      <c r="KI101" s="5"/>
      <c r="KJ101" s="5"/>
      <c r="KK101" s="5"/>
      <c r="KL101" s="5"/>
      <c r="KM101" s="5"/>
      <c r="KN101" s="5"/>
      <c r="KO101" s="5"/>
      <c r="KP101" s="5"/>
      <c r="KQ101" s="5"/>
      <c r="KR101" s="5"/>
      <c r="KS101" s="5"/>
      <c r="KT101" s="5"/>
      <c r="KU101" s="5"/>
      <c r="KV101" s="5"/>
      <c r="KW101" s="5"/>
      <c r="KX101" s="5"/>
      <c r="KY101" s="5"/>
      <c r="KZ101" s="5"/>
      <c r="LA101" s="5"/>
      <c r="LB101" s="5"/>
      <c r="LC101" s="5"/>
      <c r="LD101" s="5"/>
      <c r="LE101" s="5"/>
      <c r="LF101" s="5"/>
      <c r="LG101" s="5"/>
      <c r="LH101" s="5"/>
      <c r="LI101" s="5"/>
      <c r="LJ101" s="5"/>
      <c r="LK101" s="5"/>
      <c r="LL101" s="5"/>
      <c r="LM101" s="5"/>
      <c r="LN101" s="5"/>
      <c r="LO101" s="5"/>
      <c r="LP101" s="5"/>
      <c r="LQ101" s="5"/>
      <c r="LR101" s="5"/>
      <c r="LS101" s="5"/>
      <c r="LT101" s="5"/>
      <c r="LU101" s="5"/>
      <c r="LV101" s="5"/>
      <c r="LW101" s="5"/>
      <c r="LX101" s="5"/>
      <c r="LY101" s="5"/>
      <c r="LZ101" s="5"/>
      <c r="MA101" s="5"/>
      <c r="MB101" s="5"/>
      <c r="MC101" s="5"/>
      <c r="MD101" s="5"/>
      <c r="ME101" s="5"/>
      <c r="MF101" s="5"/>
      <c r="MG101" s="5"/>
      <c r="MH101" s="5"/>
      <c r="MI101" s="5"/>
      <c r="MJ101" s="5"/>
      <c r="MK101" s="5"/>
    </row>
    <row r="102" spans="1:349" s="2" customFormat="1" ht="17.7" customHeight="1" x14ac:dyDescent="0.3">
      <c r="A102" s="20">
        <v>101</v>
      </c>
      <c r="B102" s="20">
        <v>8100019</v>
      </c>
      <c r="C102" s="10" t="s">
        <v>134</v>
      </c>
      <c r="D102" s="10" t="s">
        <v>25</v>
      </c>
      <c r="E102" s="10" t="s">
        <v>35</v>
      </c>
      <c r="F102" s="10">
        <v>34.5</v>
      </c>
      <c r="G102" s="10">
        <v>20</v>
      </c>
      <c r="H102" s="10"/>
      <c r="I102" s="10" t="s">
        <v>116</v>
      </c>
      <c r="J102" s="10"/>
      <c r="K102" s="10"/>
      <c r="L102" s="10"/>
      <c r="M102" s="10">
        <f t="shared" si="1"/>
        <v>28.634999999999998</v>
      </c>
      <c r="N102" s="10" t="s">
        <v>28</v>
      </c>
      <c r="O102" s="10" t="s">
        <v>29</v>
      </c>
      <c r="P102" s="10" t="s">
        <v>29</v>
      </c>
      <c r="Q102" s="10"/>
      <c r="R102" s="10"/>
      <c r="S102" s="10"/>
      <c r="T102" s="10"/>
      <c r="U102" s="10"/>
      <c r="V102" s="10"/>
      <c r="W102" s="10"/>
      <c r="X102" s="10" t="s">
        <v>30</v>
      </c>
      <c r="Y102" s="13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  <c r="DE102" s="5"/>
      <c r="DF102" s="5"/>
      <c r="DG102" s="5"/>
      <c r="DH102" s="5"/>
      <c r="DI102" s="5"/>
      <c r="DJ102" s="5"/>
      <c r="DK102" s="5"/>
      <c r="DL102" s="5"/>
      <c r="DM102" s="5"/>
      <c r="DN102" s="5"/>
      <c r="DO102" s="5"/>
      <c r="DP102" s="5"/>
      <c r="DQ102" s="5"/>
      <c r="DR102" s="5"/>
      <c r="DS102" s="5"/>
      <c r="DT102" s="5"/>
      <c r="DU102" s="5"/>
      <c r="DV102" s="5"/>
      <c r="DW102" s="5"/>
      <c r="DX102" s="5"/>
      <c r="DY102" s="5"/>
      <c r="DZ102" s="5"/>
      <c r="EA102" s="5"/>
      <c r="EB102" s="5"/>
      <c r="EC102" s="5"/>
      <c r="ED102" s="5"/>
      <c r="EE102" s="5"/>
      <c r="EF102" s="5"/>
      <c r="EG102" s="5"/>
      <c r="EH102" s="5"/>
      <c r="EI102" s="5"/>
      <c r="EJ102" s="5"/>
      <c r="EK102" s="5"/>
      <c r="EL102" s="5"/>
      <c r="EM102" s="5"/>
      <c r="EN102" s="5"/>
      <c r="EO102" s="5"/>
      <c r="EP102" s="5"/>
      <c r="EQ102" s="5"/>
      <c r="ER102" s="5"/>
      <c r="ES102" s="5"/>
      <c r="ET102" s="5"/>
      <c r="EU102" s="5"/>
      <c r="EV102" s="5"/>
      <c r="EW102" s="5"/>
      <c r="EX102" s="5"/>
      <c r="EY102" s="5"/>
      <c r="EZ102" s="5"/>
      <c r="FA102" s="5"/>
      <c r="FB102" s="5"/>
      <c r="FC102" s="5"/>
      <c r="FD102" s="5"/>
      <c r="FE102" s="5"/>
      <c r="FF102" s="5"/>
      <c r="FG102" s="5"/>
      <c r="FH102" s="5"/>
      <c r="FI102" s="5"/>
      <c r="FJ102" s="5"/>
      <c r="FK102" s="5"/>
      <c r="FL102" s="5"/>
      <c r="FM102" s="5"/>
      <c r="FN102" s="5"/>
      <c r="FO102" s="5"/>
      <c r="FP102" s="5"/>
      <c r="FQ102" s="5"/>
      <c r="FR102" s="5"/>
      <c r="FS102" s="5"/>
      <c r="FT102" s="5"/>
      <c r="FU102" s="5"/>
      <c r="FV102" s="5"/>
      <c r="FW102" s="5"/>
      <c r="FX102" s="5"/>
      <c r="FY102" s="5"/>
      <c r="FZ102" s="5"/>
      <c r="GA102" s="5"/>
      <c r="GB102" s="5"/>
      <c r="GC102" s="5"/>
      <c r="GD102" s="5"/>
      <c r="GE102" s="5"/>
      <c r="GF102" s="5"/>
      <c r="GG102" s="5"/>
      <c r="GH102" s="5"/>
      <c r="GI102" s="5"/>
      <c r="GJ102" s="5"/>
      <c r="GK102" s="5"/>
      <c r="GL102" s="5"/>
      <c r="GM102" s="5"/>
      <c r="GN102" s="5"/>
      <c r="GO102" s="5"/>
      <c r="GP102" s="5"/>
      <c r="GQ102" s="5"/>
      <c r="GR102" s="5"/>
      <c r="GS102" s="5"/>
      <c r="GT102" s="5"/>
      <c r="GU102" s="5"/>
      <c r="GV102" s="5"/>
      <c r="GW102" s="5"/>
      <c r="GX102" s="5"/>
      <c r="GY102" s="5"/>
      <c r="GZ102" s="5"/>
      <c r="HA102" s="5"/>
      <c r="HB102" s="5"/>
      <c r="HC102" s="5"/>
      <c r="HD102" s="5"/>
      <c r="HE102" s="5"/>
      <c r="HF102" s="5"/>
      <c r="HG102" s="5"/>
      <c r="HH102" s="5"/>
      <c r="HI102" s="5"/>
      <c r="HJ102" s="5"/>
      <c r="HK102" s="5"/>
      <c r="HL102" s="5"/>
      <c r="HM102" s="5"/>
      <c r="HN102" s="5"/>
      <c r="HO102" s="5"/>
      <c r="HP102" s="5"/>
      <c r="HQ102" s="5"/>
      <c r="HR102" s="5"/>
      <c r="HS102" s="5"/>
      <c r="HT102" s="5"/>
      <c r="HU102" s="5"/>
      <c r="HV102" s="5"/>
      <c r="HW102" s="5"/>
      <c r="HX102" s="5"/>
      <c r="HY102" s="5"/>
      <c r="HZ102" s="5"/>
      <c r="IA102" s="5"/>
      <c r="IB102" s="5"/>
      <c r="IC102" s="5"/>
      <c r="ID102" s="5"/>
      <c r="IE102" s="5"/>
      <c r="IF102" s="5"/>
      <c r="IG102" s="5"/>
      <c r="IH102" s="5"/>
      <c r="II102" s="5"/>
      <c r="IJ102" s="5"/>
      <c r="IK102" s="5"/>
      <c r="IL102" s="5"/>
      <c r="IM102" s="5"/>
      <c r="IN102" s="5"/>
      <c r="IO102" s="5"/>
      <c r="IP102" s="5"/>
      <c r="IQ102" s="5"/>
      <c r="IR102" s="5"/>
      <c r="IS102" s="5"/>
      <c r="IT102" s="5"/>
      <c r="IU102" s="5"/>
      <c r="IV102" s="5"/>
      <c r="IW102" s="5"/>
      <c r="IX102" s="5"/>
      <c r="IY102" s="5"/>
      <c r="IZ102" s="5"/>
      <c r="JA102" s="5"/>
      <c r="JB102" s="5"/>
      <c r="JC102" s="5"/>
      <c r="JD102" s="5"/>
      <c r="JE102" s="5"/>
      <c r="JF102" s="5"/>
      <c r="JG102" s="5"/>
      <c r="JH102" s="5"/>
      <c r="JI102" s="5"/>
      <c r="JJ102" s="5"/>
      <c r="JK102" s="5"/>
      <c r="JL102" s="5"/>
      <c r="JM102" s="5"/>
      <c r="JN102" s="5"/>
      <c r="JO102" s="5"/>
      <c r="JP102" s="5"/>
      <c r="JQ102" s="5"/>
      <c r="JR102" s="5"/>
      <c r="JS102" s="5"/>
      <c r="JT102" s="5"/>
      <c r="JU102" s="5"/>
      <c r="JV102" s="5"/>
      <c r="JW102" s="5"/>
      <c r="JX102" s="5"/>
      <c r="JY102" s="5"/>
      <c r="JZ102" s="5"/>
      <c r="KA102" s="5"/>
      <c r="KB102" s="5"/>
      <c r="KC102" s="5"/>
      <c r="KD102" s="5"/>
      <c r="KE102" s="5"/>
      <c r="KF102" s="5"/>
      <c r="KG102" s="5"/>
      <c r="KH102" s="5"/>
      <c r="KI102" s="5"/>
      <c r="KJ102" s="5"/>
      <c r="KK102" s="5"/>
      <c r="KL102" s="5"/>
      <c r="KM102" s="5"/>
      <c r="KN102" s="5"/>
      <c r="KO102" s="5"/>
      <c r="KP102" s="5"/>
      <c r="KQ102" s="5"/>
      <c r="KR102" s="5"/>
      <c r="KS102" s="5"/>
      <c r="KT102" s="5"/>
      <c r="KU102" s="5"/>
      <c r="KV102" s="5"/>
      <c r="KW102" s="5"/>
      <c r="KX102" s="5"/>
      <c r="KY102" s="5"/>
      <c r="KZ102" s="5"/>
      <c r="LA102" s="5"/>
      <c r="LB102" s="5"/>
      <c r="LC102" s="5"/>
      <c r="LD102" s="5"/>
      <c r="LE102" s="5"/>
      <c r="LF102" s="5"/>
      <c r="LG102" s="5"/>
      <c r="LH102" s="5"/>
      <c r="LI102" s="5"/>
      <c r="LJ102" s="5"/>
      <c r="LK102" s="5"/>
      <c r="LL102" s="5"/>
      <c r="LM102" s="5"/>
      <c r="LN102" s="5"/>
      <c r="LO102" s="5"/>
      <c r="LP102" s="5"/>
      <c r="LQ102" s="5"/>
      <c r="LR102" s="5"/>
      <c r="LS102" s="5"/>
      <c r="LT102" s="5"/>
      <c r="LU102" s="5"/>
      <c r="LV102" s="5"/>
      <c r="LW102" s="5"/>
      <c r="LX102" s="5"/>
      <c r="LY102" s="5"/>
      <c r="LZ102" s="5"/>
      <c r="MA102" s="5"/>
      <c r="MB102" s="5"/>
      <c r="MC102" s="5"/>
      <c r="MD102" s="5"/>
      <c r="ME102" s="5"/>
      <c r="MF102" s="5"/>
      <c r="MG102" s="5"/>
      <c r="MH102" s="5"/>
      <c r="MI102" s="5"/>
      <c r="MJ102" s="5"/>
      <c r="MK102" s="5"/>
    </row>
    <row r="103" spans="1:349" s="2" customFormat="1" ht="17.7" customHeight="1" x14ac:dyDescent="0.3">
      <c r="A103" s="21">
        <v>102</v>
      </c>
      <c r="B103" s="21">
        <v>8100020</v>
      </c>
      <c r="C103" s="9" t="s">
        <v>135</v>
      </c>
      <c r="D103" s="9" t="s">
        <v>25</v>
      </c>
      <c r="E103" s="9" t="s">
        <v>35</v>
      </c>
      <c r="F103" s="9">
        <v>48.5</v>
      </c>
      <c r="G103" s="9">
        <v>10</v>
      </c>
      <c r="H103" s="9"/>
      <c r="I103" s="9" t="s">
        <v>116</v>
      </c>
      <c r="J103" s="9"/>
      <c r="K103" s="9"/>
      <c r="L103" s="9"/>
      <c r="M103" s="9">
        <f t="shared" si="1"/>
        <v>40.254999999999995</v>
      </c>
      <c r="N103" s="9" t="s">
        <v>28</v>
      </c>
      <c r="O103" s="9" t="s">
        <v>29</v>
      </c>
      <c r="P103" s="9" t="s">
        <v>29</v>
      </c>
      <c r="Q103" s="9"/>
      <c r="R103" s="9"/>
      <c r="S103" s="9"/>
      <c r="T103" s="9"/>
      <c r="U103" s="9"/>
      <c r="V103" s="9"/>
      <c r="W103" s="9"/>
      <c r="X103" s="9" t="s">
        <v>30</v>
      </c>
      <c r="Y103" s="13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  <c r="DE103" s="5"/>
      <c r="DF103" s="5"/>
      <c r="DG103" s="5"/>
      <c r="DH103" s="5"/>
      <c r="DI103" s="5"/>
      <c r="DJ103" s="5"/>
      <c r="DK103" s="5"/>
      <c r="DL103" s="5"/>
      <c r="DM103" s="5"/>
      <c r="DN103" s="5"/>
      <c r="DO103" s="5"/>
      <c r="DP103" s="5"/>
      <c r="DQ103" s="5"/>
      <c r="DR103" s="5"/>
      <c r="DS103" s="5"/>
      <c r="DT103" s="5"/>
      <c r="DU103" s="5"/>
      <c r="DV103" s="5"/>
      <c r="DW103" s="5"/>
      <c r="DX103" s="5"/>
      <c r="DY103" s="5"/>
      <c r="DZ103" s="5"/>
      <c r="EA103" s="5"/>
      <c r="EB103" s="5"/>
      <c r="EC103" s="5"/>
      <c r="ED103" s="5"/>
      <c r="EE103" s="5"/>
      <c r="EF103" s="5"/>
      <c r="EG103" s="5"/>
      <c r="EH103" s="5"/>
      <c r="EI103" s="5"/>
      <c r="EJ103" s="5"/>
      <c r="EK103" s="5"/>
      <c r="EL103" s="5"/>
      <c r="EM103" s="5"/>
      <c r="EN103" s="5"/>
      <c r="EO103" s="5"/>
      <c r="EP103" s="5"/>
      <c r="EQ103" s="5"/>
      <c r="ER103" s="5"/>
      <c r="ES103" s="5"/>
      <c r="ET103" s="5"/>
      <c r="EU103" s="5"/>
      <c r="EV103" s="5"/>
      <c r="EW103" s="5"/>
      <c r="EX103" s="5"/>
      <c r="EY103" s="5"/>
      <c r="EZ103" s="5"/>
      <c r="FA103" s="5"/>
      <c r="FB103" s="5"/>
      <c r="FC103" s="5"/>
      <c r="FD103" s="5"/>
      <c r="FE103" s="5"/>
      <c r="FF103" s="5"/>
      <c r="FG103" s="5"/>
      <c r="FH103" s="5"/>
      <c r="FI103" s="5"/>
      <c r="FJ103" s="5"/>
      <c r="FK103" s="5"/>
      <c r="FL103" s="5"/>
      <c r="FM103" s="5"/>
      <c r="FN103" s="5"/>
      <c r="FO103" s="5"/>
      <c r="FP103" s="5"/>
      <c r="FQ103" s="5"/>
      <c r="FR103" s="5"/>
      <c r="FS103" s="5"/>
      <c r="FT103" s="5"/>
      <c r="FU103" s="5"/>
      <c r="FV103" s="5"/>
      <c r="FW103" s="5"/>
      <c r="FX103" s="5"/>
      <c r="FY103" s="5"/>
      <c r="FZ103" s="5"/>
      <c r="GA103" s="5"/>
      <c r="GB103" s="5"/>
      <c r="GC103" s="5"/>
      <c r="GD103" s="5"/>
      <c r="GE103" s="5"/>
      <c r="GF103" s="5"/>
      <c r="GG103" s="5"/>
      <c r="GH103" s="5"/>
      <c r="GI103" s="5"/>
      <c r="GJ103" s="5"/>
      <c r="GK103" s="5"/>
      <c r="GL103" s="5"/>
      <c r="GM103" s="5"/>
      <c r="GN103" s="5"/>
      <c r="GO103" s="5"/>
      <c r="GP103" s="5"/>
      <c r="GQ103" s="5"/>
      <c r="GR103" s="5"/>
      <c r="GS103" s="5"/>
      <c r="GT103" s="5"/>
      <c r="GU103" s="5"/>
      <c r="GV103" s="5"/>
      <c r="GW103" s="5"/>
      <c r="GX103" s="5"/>
      <c r="GY103" s="5"/>
      <c r="GZ103" s="5"/>
      <c r="HA103" s="5"/>
      <c r="HB103" s="5"/>
      <c r="HC103" s="5"/>
      <c r="HD103" s="5"/>
      <c r="HE103" s="5"/>
      <c r="HF103" s="5"/>
      <c r="HG103" s="5"/>
      <c r="HH103" s="5"/>
      <c r="HI103" s="5"/>
      <c r="HJ103" s="5"/>
      <c r="HK103" s="5"/>
      <c r="HL103" s="5"/>
      <c r="HM103" s="5"/>
      <c r="HN103" s="5"/>
      <c r="HO103" s="5"/>
      <c r="HP103" s="5"/>
      <c r="HQ103" s="5"/>
      <c r="HR103" s="5"/>
      <c r="HS103" s="5"/>
      <c r="HT103" s="5"/>
      <c r="HU103" s="5"/>
      <c r="HV103" s="5"/>
      <c r="HW103" s="5"/>
      <c r="HX103" s="5"/>
      <c r="HY103" s="5"/>
      <c r="HZ103" s="5"/>
      <c r="IA103" s="5"/>
      <c r="IB103" s="5"/>
      <c r="IC103" s="5"/>
      <c r="ID103" s="5"/>
      <c r="IE103" s="5"/>
      <c r="IF103" s="5"/>
      <c r="IG103" s="5"/>
      <c r="IH103" s="5"/>
      <c r="II103" s="5"/>
      <c r="IJ103" s="5"/>
      <c r="IK103" s="5"/>
      <c r="IL103" s="5"/>
      <c r="IM103" s="5"/>
      <c r="IN103" s="5"/>
      <c r="IO103" s="5"/>
      <c r="IP103" s="5"/>
      <c r="IQ103" s="5"/>
      <c r="IR103" s="5"/>
      <c r="IS103" s="5"/>
      <c r="IT103" s="5"/>
      <c r="IU103" s="5"/>
      <c r="IV103" s="5"/>
      <c r="IW103" s="5"/>
      <c r="IX103" s="5"/>
      <c r="IY103" s="5"/>
      <c r="IZ103" s="5"/>
      <c r="JA103" s="5"/>
      <c r="JB103" s="5"/>
      <c r="JC103" s="5"/>
      <c r="JD103" s="5"/>
      <c r="JE103" s="5"/>
      <c r="JF103" s="5"/>
      <c r="JG103" s="5"/>
      <c r="JH103" s="5"/>
      <c r="JI103" s="5"/>
      <c r="JJ103" s="5"/>
      <c r="JK103" s="5"/>
      <c r="JL103" s="5"/>
      <c r="JM103" s="5"/>
      <c r="JN103" s="5"/>
      <c r="JO103" s="5"/>
      <c r="JP103" s="5"/>
      <c r="JQ103" s="5"/>
      <c r="JR103" s="5"/>
      <c r="JS103" s="5"/>
      <c r="JT103" s="5"/>
      <c r="JU103" s="5"/>
      <c r="JV103" s="5"/>
      <c r="JW103" s="5"/>
      <c r="JX103" s="5"/>
      <c r="JY103" s="5"/>
      <c r="JZ103" s="5"/>
      <c r="KA103" s="5"/>
      <c r="KB103" s="5"/>
      <c r="KC103" s="5"/>
      <c r="KD103" s="5"/>
      <c r="KE103" s="5"/>
      <c r="KF103" s="5"/>
      <c r="KG103" s="5"/>
      <c r="KH103" s="5"/>
      <c r="KI103" s="5"/>
      <c r="KJ103" s="5"/>
      <c r="KK103" s="5"/>
      <c r="KL103" s="5"/>
      <c r="KM103" s="5"/>
      <c r="KN103" s="5"/>
      <c r="KO103" s="5"/>
      <c r="KP103" s="5"/>
      <c r="KQ103" s="5"/>
      <c r="KR103" s="5"/>
      <c r="KS103" s="5"/>
      <c r="KT103" s="5"/>
      <c r="KU103" s="5"/>
      <c r="KV103" s="5"/>
      <c r="KW103" s="5"/>
      <c r="KX103" s="5"/>
      <c r="KY103" s="5"/>
      <c r="KZ103" s="5"/>
      <c r="LA103" s="5"/>
      <c r="LB103" s="5"/>
      <c r="LC103" s="5"/>
      <c r="LD103" s="5"/>
      <c r="LE103" s="5"/>
      <c r="LF103" s="5"/>
      <c r="LG103" s="5"/>
      <c r="LH103" s="5"/>
      <c r="LI103" s="5"/>
      <c r="LJ103" s="5"/>
      <c r="LK103" s="5"/>
      <c r="LL103" s="5"/>
      <c r="LM103" s="5"/>
      <c r="LN103" s="5"/>
      <c r="LO103" s="5"/>
      <c r="LP103" s="5"/>
      <c r="LQ103" s="5"/>
      <c r="LR103" s="5"/>
      <c r="LS103" s="5"/>
      <c r="LT103" s="5"/>
      <c r="LU103" s="5"/>
      <c r="LV103" s="5"/>
      <c r="LW103" s="5"/>
      <c r="LX103" s="5"/>
      <c r="LY103" s="5"/>
      <c r="LZ103" s="5"/>
      <c r="MA103" s="5"/>
      <c r="MB103" s="5"/>
      <c r="MC103" s="5"/>
      <c r="MD103" s="5"/>
      <c r="ME103" s="5"/>
      <c r="MF103" s="5"/>
      <c r="MG103" s="5"/>
      <c r="MH103" s="5"/>
      <c r="MI103" s="5"/>
      <c r="MJ103" s="5"/>
      <c r="MK103" s="5"/>
    </row>
    <row r="104" spans="1:349" s="1" customFormat="1" ht="17.7" customHeight="1" x14ac:dyDescent="0.3">
      <c r="A104" s="20">
        <v>103</v>
      </c>
      <c r="B104" s="20">
        <v>8100021</v>
      </c>
      <c r="C104" s="10" t="s">
        <v>136</v>
      </c>
      <c r="D104" s="10" t="s">
        <v>25</v>
      </c>
      <c r="E104" s="10" t="s">
        <v>35</v>
      </c>
      <c r="F104" s="10">
        <v>53.25</v>
      </c>
      <c r="G104" s="10">
        <v>10</v>
      </c>
      <c r="H104" s="10"/>
      <c r="I104" s="10" t="s">
        <v>116</v>
      </c>
      <c r="J104" s="10"/>
      <c r="K104" s="10"/>
      <c r="L104" s="10"/>
      <c r="M104" s="10">
        <f t="shared" si="1"/>
        <v>44.197499999999998</v>
      </c>
      <c r="N104" s="10" t="s">
        <v>28</v>
      </c>
      <c r="O104" s="10" t="s">
        <v>29</v>
      </c>
      <c r="P104" s="10" t="s">
        <v>29</v>
      </c>
      <c r="Q104" s="10"/>
      <c r="R104" s="10"/>
      <c r="S104" s="10"/>
      <c r="T104" s="10"/>
      <c r="U104" s="10"/>
      <c r="V104" s="10"/>
      <c r="W104" s="10"/>
      <c r="X104" s="10" t="s">
        <v>30</v>
      </c>
      <c r="Y104" s="14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  <c r="BP104" s="6"/>
      <c r="BQ104" s="6"/>
      <c r="BR104" s="6"/>
      <c r="BS104" s="6"/>
      <c r="BT104" s="6"/>
      <c r="BU104" s="6"/>
      <c r="BV104" s="6"/>
      <c r="BW104" s="6"/>
      <c r="BX104" s="6"/>
      <c r="BY104" s="6"/>
      <c r="BZ104" s="6"/>
      <c r="CA104" s="6"/>
      <c r="CB104" s="6"/>
      <c r="CC104" s="6"/>
      <c r="CD104" s="6"/>
      <c r="CE104" s="6"/>
      <c r="CF104" s="6"/>
      <c r="CG104" s="6"/>
      <c r="CH104" s="6"/>
      <c r="CI104" s="6"/>
      <c r="CJ104" s="6"/>
      <c r="CK104" s="6"/>
      <c r="CL104" s="6"/>
      <c r="CM104" s="6"/>
      <c r="CN104" s="6"/>
      <c r="CO104" s="6"/>
      <c r="CP104" s="6"/>
      <c r="CQ104" s="6"/>
      <c r="CR104" s="6"/>
      <c r="CS104" s="6"/>
      <c r="CT104" s="6"/>
      <c r="CU104" s="6"/>
      <c r="CV104" s="6"/>
      <c r="CW104" s="6"/>
      <c r="CX104" s="6"/>
      <c r="CY104" s="6"/>
      <c r="CZ104" s="6"/>
      <c r="DA104" s="6"/>
      <c r="DB104" s="6"/>
      <c r="DC104" s="6"/>
      <c r="DD104" s="6"/>
      <c r="DE104" s="6"/>
      <c r="DF104" s="6"/>
      <c r="DG104" s="6"/>
      <c r="DH104" s="6"/>
      <c r="DI104" s="6"/>
      <c r="DJ104" s="6"/>
      <c r="DK104" s="6"/>
      <c r="DL104" s="6"/>
      <c r="DM104" s="6"/>
      <c r="DN104" s="6"/>
      <c r="DO104" s="6"/>
      <c r="DP104" s="6"/>
      <c r="DQ104" s="6"/>
      <c r="DR104" s="6"/>
      <c r="DS104" s="6"/>
      <c r="DT104" s="6"/>
      <c r="DU104" s="6"/>
      <c r="DV104" s="6"/>
      <c r="DW104" s="6"/>
      <c r="DX104" s="6"/>
      <c r="DY104" s="6"/>
      <c r="DZ104" s="6"/>
      <c r="EA104" s="6"/>
      <c r="EB104" s="6"/>
      <c r="EC104" s="6"/>
      <c r="ED104" s="6"/>
      <c r="EE104" s="6"/>
      <c r="EF104" s="6"/>
      <c r="EG104" s="6"/>
      <c r="EH104" s="6"/>
      <c r="EI104" s="6"/>
      <c r="EJ104" s="6"/>
      <c r="EK104" s="6"/>
      <c r="EL104" s="6"/>
      <c r="EM104" s="6"/>
      <c r="EN104" s="6"/>
      <c r="EO104" s="6"/>
      <c r="EP104" s="6"/>
      <c r="EQ104" s="6"/>
      <c r="ER104" s="6"/>
      <c r="ES104" s="6"/>
      <c r="ET104" s="6"/>
      <c r="EU104" s="6"/>
      <c r="EV104" s="6"/>
      <c r="EW104" s="6"/>
      <c r="EX104" s="6"/>
      <c r="EY104" s="6"/>
      <c r="EZ104" s="6"/>
      <c r="FA104" s="6"/>
      <c r="FB104" s="6"/>
      <c r="FC104" s="6"/>
      <c r="FD104" s="6"/>
      <c r="FE104" s="6"/>
      <c r="FF104" s="6"/>
      <c r="FG104" s="6"/>
      <c r="FH104" s="6"/>
      <c r="FI104" s="6"/>
      <c r="FJ104" s="6"/>
      <c r="FK104" s="6"/>
      <c r="FL104" s="6"/>
      <c r="FM104" s="6"/>
      <c r="FN104" s="6"/>
      <c r="FO104" s="6"/>
      <c r="FP104" s="6"/>
      <c r="FQ104" s="6"/>
      <c r="FR104" s="6"/>
      <c r="FS104" s="6"/>
      <c r="FT104" s="6"/>
      <c r="FU104" s="6"/>
      <c r="FV104" s="6"/>
      <c r="FW104" s="6"/>
      <c r="FX104" s="6"/>
      <c r="FY104" s="6"/>
      <c r="FZ104" s="6"/>
      <c r="GA104" s="6"/>
      <c r="GB104" s="6"/>
      <c r="GC104" s="6"/>
      <c r="GD104" s="6"/>
      <c r="GE104" s="6"/>
      <c r="GF104" s="6"/>
      <c r="GG104" s="6"/>
      <c r="GH104" s="6"/>
      <c r="GI104" s="6"/>
      <c r="GJ104" s="6"/>
      <c r="GK104" s="6"/>
      <c r="GL104" s="6"/>
      <c r="GM104" s="6"/>
      <c r="GN104" s="6"/>
      <c r="GO104" s="6"/>
      <c r="GP104" s="6"/>
      <c r="GQ104" s="6"/>
      <c r="GR104" s="6"/>
      <c r="GS104" s="6"/>
      <c r="GT104" s="6"/>
      <c r="GU104" s="6"/>
      <c r="GV104" s="6"/>
      <c r="GW104" s="6"/>
      <c r="GX104" s="6"/>
      <c r="GY104" s="6"/>
      <c r="GZ104" s="6"/>
      <c r="HA104" s="6"/>
      <c r="HB104" s="6"/>
      <c r="HC104" s="6"/>
      <c r="HD104" s="6"/>
      <c r="HE104" s="6"/>
      <c r="HF104" s="6"/>
      <c r="HG104" s="6"/>
      <c r="HH104" s="6"/>
      <c r="HI104" s="6"/>
      <c r="HJ104" s="6"/>
      <c r="HK104" s="6"/>
      <c r="HL104" s="6"/>
      <c r="HM104" s="6"/>
      <c r="HN104" s="6"/>
      <c r="HO104" s="6"/>
      <c r="HP104" s="6"/>
      <c r="HQ104" s="6"/>
      <c r="HR104" s="6"/>
      <c r="HS104" s="6"/>
      <c r="HT104" s="6"/>
      <c r="HU104" s="6"/>
      <c r="HV104" s="6"/>
      <c r="HW104" s="6"/>
      <c r="HX104" s="6"/>
      <c r="HY104" s="6"/>
      <c r="HZ104" s="6"/>
      <c r="IA104" s="6"/>
      <c r="IB104" s="6"/>
      <c r="IC104" s="6"/>
      <c r="ID104" s="6"/>
      <c r="IE104" s="6"/>
      <c r="IF104" s="6"/>
      <c r="IG104" s="6"/>
      <c r="IH104" s="6"/>
      <c r="II104" s="6"/>
      <c r="IJ104" s="6"/>
      <c r="IK104" s="6"/>
      <c r="IL104" s="6"/>
      <c r="IM104" s="6"/>
      <c r="IN104" s="6"/>
      <c r="IO104" s="6"/>
      <c r="IP104" s="6"/>
      <c r="IQ104" s="6"/>
      <c r="IR104" s="6"/>
      <c r="IS104" s="6"/>
      <c r="IT104" s="6"/>
      <c r="IU104" s="6"/>
      <c r="IV104" s="6"/>
      <c r="IW104" s="6"/>
      <c r="IX104" s="6"/>
      <c r="IY104" s="6"/>
      <c r="IZ104" s="6"/>
      <c r="JA104" s="6"/>
      <c r="JB104" s="6"/>
      <c r="JC104" s="6"/>
      <c r="JD104" s="6"/>
      <c r="JE104" s="6"/>
      <c r="JF104" s="6"/>
      <c r="JG104" s="6"/>
      <c r="JH104" s="6"/>
      <c r="JI104" s="6"/>
      <c r="JJ104" s="6"/>
      <c r="JK104" s="6"/>
      <c r="JL104" s="6"/>
      <c r="JM104" s="6"/>
      <c r="JN104" s="6"/>
      <c r="JO104" s="6"/>
      <c r="JP104" s="6"/>
      <c r="JQ104" s="6"/>
      <c r="JR104" s="6"/>
      <c r="JS104" s="6"/>
      <c r="JT104" s="6"/>
      <c r="JU104" s="6"/>
      <c r="JV104" s="6"/>
      <c r="JW104" s="6"/>
      <c r="JX104" s="6"/>
      <c r="JY104" s="6"/>
      <c r="JZ104" s="6"/>
      <c r="KA104" s="6"/>
      <c r="KB104" s="6"/>
      <c r="KC104" s="6"/>
      <c r="KD104" s="6"/>
      <c r="KE104" s="6"/>
      <c r="KF104" s="6"/>
      <c r="KG104" s="6"/>
      <c r="KH104" s="6"/>
      <c r="KI104" s="6"/>
      <c r="KJ104" s="6"/>
      <c r="KK104" s="6"/>
      <c r="KL104" s="6"/>
      <c r="KM104" s="6"/>
      <c r="KN104" s="6"/>
      <c r="KO104" s="6"/>
      <c r="KP104" s="6"/>
      <c r="KQ104" s="6"/>
      <c r="KR104" s="6"/>
      <c r="KS104" s="6"/>
      <c r="KT104" s="6"/>
      <c r="KU104" s="6"/>
      <c r="KV104" s="6"/>
      <c r="KW104" s="6"/>
      <c r="KX104" s="6"/>
      <c r="KY104" s="6"/>
      <c r="KZ104" s="6"/>
      <c r="LA104" s="6"/>
      <c r="LB104" s="6"/>
      <c r="LC104" s="6"/>
      <c r="LD104" s="6"/>
      <c r="LE104" s="6"/>
      <c r="LF104" s="6"/>
      <c r="LG104" s="6"/>
      <c r="LH104" s="6"/>
      <c r="LI104" s="6"/>
      <c r="LJ104" s="6"/>
      <c r="LK104" s="6"/>
      <c r="LL104" s="6"/>
      <c r="LM104" s="6"/>
      <c r="LN104" s="6"/>
      <c r="LO104" s="6"/>
      <c r="LP104" s="6"/>
      <c r="LQ104" s="6"/>
      <c r="LR104" s="6"/>
      <c r="LS104" s="6"/>
      <c r="LT104" s="6"/>
      <c r="LU104" s="6"/>
      <c r="LV104" s="6"/>
      <c r="LW104" s="6"/>
      <c r="LX104" s="6"/>
      <c r="LY104" s="6"/>
      <c r="LZ104" s="6"/>
      <c r="MA104" s="6"/>
      <c r="MB104" s="6"/>
      <c r="MC104" s="6"/>
      <c r="MD104" s="6"/>
      <c r="ME104" s="6"/>
      <c r="MF104" s="6"/>
      <c r="MG104" s="6"/>
      <c r="MH104" s="6"/>
      <c r="MI104" s="6"/>
      <c r="MJ104" s="6"/>
      <c r="MK104" s="6"/>
    </row>
    <row r="105" spans="1:349" s="2" customFormat="1" ht="17.7" customHeight="1" x14ac:dyDescent="0.3">
      <c r="A105" s="21">
        <v>104</v>
      </c>
      <c r="B105" s="21">
        <v>8100022</v>
      </c>
      <c r="C105" s="9" t="s">
        <v>137</v>
      </c>
      <c r="D105" s="9" t="s">
        <v>25</v>
      </c>
      <c r="E105" s="9" t="s">
        <v>35</v>
      </c>
      <c r="F105" s="9">
        <v>83.5</v>
      </c>
      <c r="G105" s="9">
        <v>10</v>
      </c>
      <c r="H105" s="9"/>
      <c r="I105" s="9" t="s">
        <v>116</v>
      </c>
      <c r="J105" s="9"/>
      <c r="K105" s="9"/>
      <c r="L105" s="9"/>
      <c r="M105" s="9">
        <f t="shared" si="1"/>
        <v>69.305000000000007</v>
      </c>
      <c r="N105" s="9" t="s">
        <v>28</v>
      </c>
      <c r="O105" s="9" t="s">
        <v>29</v>
      </c>
      <c r="P105" s="9" t="s">
        <v>29</v>
      </c>
      <c r="Q105" s="9"/>
      <c r="R105" s="9"/>
      <c r="S105" s="9"/>
      <c r="T105" s="9"/>
      <c r="U105" s="9"/>
      <c r="V105" s="9"/>
      <c r="W105" s="9"/>
      <c r="X105" s="9" t="s">
        <v>30</v>
      </c>
      <c r="Y105" s="13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  <c r="DE105" s="5"/>
      <c r="DF105" s="5"/>
      <c r="DG105" s="5"/>
      <c r="DH105" s="5"/>
      <c r="DI105" s="5"/>
      <c r="DJ105" s="5"/>
      <c r="DK105" s="5"/>
      <c r="DL105" s="5"/>
      <c r="DM105" s="5"/>
      <c r="DN105" s="5"/>
      <c r="DO105" s="5"/>
      <c r="DP105" s="5"/>
      <c r="DQ105" s="5"/>
      <c r="DR105" s="5"/>
      <c r="DS105" s="5"/>
      <c r="DT105" s="5"/>
      <c r="DU105" s="5"/>
      <c r="DV105" s="5"/>
      <c r="DW105" s="5"/>
      <c r="DX105" s="5"/>
      <c r="DY105" s="5"/>
      <c r="DZ105" s="5"/>
      <c r="EA105" s="5"/>
      <c r="EB105" s="5"/>
      <c r="EC105" s="5"/>
      <c r="ED105" s="5"/>
      <c r="EE105" s="5"/>
      <c r="EF105" s="5"/>
      <c r="EG105" s="5"/>
      <c r="EH105" s="5"/>
      <c r="EI105" s="5"/>
      <c r="EJ105" s="5"/>
      <c r="EK105" s="5"/>
      <c r="EL105" s="5"/>
      <c r="EM105" s="5"/>
      <c r="EN105" s="5"/>
      <c r="EO105" s="5"/>
      <c r="EP105" s="5"/>
      <c r="EQ105" s="5"/>
      <c r="ER105" s="5"/>
      <c r="ES105" s="5"/>
      <c r="ET105" s="5"/>
      <c r="EU105" s="5"/>
      <c r="EV105" s="5"/>
      <c r="EW105" s="5"/>
      <c r="EX105" s="5"/>
      <c r="EY105" s="5"/>
      <c r="EZ105" s="5"/>
      <c r="FA105" s="5"/>
      <c r="FB105" s="5"/>
      <c r="FC105" s="5"/>
      <c r="FD105" s="5"/>
      <c r="FE105" s="5"/>
      <c r="FF105" s="5"/>
      <c r="FG105" s="5"/>
      <c r="FH105" s="5"/>
      <c r="FI105" s="5"/>
      <c r="FJ105" s="5"/>
      <c r="FK105" s="5"/>
      <c r="FL105" s="5"/>
      <c r="FM105" s="5"/>
      <c r="FN105" s="5"/>
      <c r="FO105" s="5"/>
      <c r="FP105" s="5"/>
      <c r="FQ105" s="5"/>
      <c r="FR105" s="5"/>
      <c r="FS105" s="5"/>
      <c r="FT105" s="5"/>
      <c r="FU105" s="5"/>
      <c r="FV105" s="5"/>
      <c r="FW105" s="5"/>
      <c r="FX105" s="5"/>
      <c r="FY105" s="5"/>
      <c r="FZ105" s="5"/>
      <c r="GA105" s="5"/>
      <c r="GB105" s="5"/>
      <c r="GC105" s="5"/>
      <c r="GD105" s="5"/>
      <c r="GE105" s="5"/>
      <c r="GF105" s="5"/>
      <c r="GG105" s="5"/>
      <c r="GH105" s="5"/>
      <c r="GI105" s="5"/>
      <c r="GJ105" s="5"/>
      <c r="GK105" s="5"/>
      <c r="GL105" s="5"/>
      <c r="GM105" s="5"/>
      <c r="GN105" s="5"/>
      <c r="GO105" s="5"/>
      <c r="GP105" s="5"/>
      <c r="GQ105" s="5"/>
      <c r="GR105" s="5"/>
      <c r="GS105" s="5"/>
      <c r="GT105" s="5"/>
      <c r="GU105" s="5"/>
      <c r="GV105" s="5"/>
      <c r="GW105" s="5"/>
      <c r="GX105" s="5"/>
      <c r="GY105" s="5"/>
      <c r="GZ105" s="5"/>
      <c r="HA105" s="5"/>
      <c r="HB105" s="5"/>
      <c r="HC105" s="5"/>
      <c r="HD105" s="5"/>
      <c r="HE105" s="5"/>
      <c r="HF105" s="5"/>
      <c r="HG105" s="5"/>
      <c r="HH105" s="5"/>
      <c r="HI105" s="5"/>
      <c r="HJ105" s="5"/>
      <c r="HK105" s="5"/>
      <c r="HL105" s="5"/>
      <c r="HM105" s="5"/>
      <c r="HN105" s="5"/>
      <c r="HO105" s="5"/>
      <c r="HP105" s="5"/>
      <c r="HQ105" s="5"/>
      <c r="HR105" s="5"/>
      <c r="HS105" s="5"/>
      <c r="HT105" s="5"/>
      <c r="HU105" s="5"/>
      <c r="HV105" s="5"/>
      <c r="HW105" s="5"/>
      <c r="HX105" s="5"/>
      <c r="HY105" s="5"/>
      <c r="HZ105" s="5"/>
      <c r="IA105" s="5"/>
      <c r="IB105" s="5"/>
      <c r="IC105" s="5"/>
      <c r="ID105" s="5"/>
      <c r="IE105" s="5"/>
      <c r="IF105" s="5"/>
      <c r="IG105" s="5"/>
      <c r="IH105" s="5"/>
      <c r="II105" s="5"/>
      <c r="IJ105" s="5"/>
      <c r="IK105" s="5"/>
      <c r="IL105" s="5"/>
      <c r="IM105" s="5"/>
      <c r="IN105" s="5"/>
      <c r="IO105" s="5"/>
      <c r="IP105" s="5"/>
      <c r="IQ105" s="5"/>
      <c r="IR105" s="5"/>
      <c r="IS105" s="5"/>
      <c r="IT105" s="5"/>
      <c r="IU105" s="5"/>
      <c r="IV105" s="5"/>
      <c r="IW105" s="5"/>
      <c r="IX105" s="5"/>
      <c r="IY105" s="5"/>
      <c r="IZ105" s="5"/>
      <c r="JA105" s="5"/>
      <c r="JB105" s="5"/>
      <c r="JC105" s="5"/>
      <c r="JD105" s="5"/>
      <c r="JE105" s="5"/>
      <c r="JF105" s="5"/>
      <c r="JG105" s="5"/>
      <c r="JH105" s="5"/>
      <c r="JI105" s="5"/>
      <c r="JJ105" s="5"/>
      <c r="JK105" s="5"/>
      <c r="JL105" s="5"/>
      <c r="JM105" s="5"/>
      <c r="JN105" s="5"/>
      <c r="JO105" s="5"/>
      <c r="JP105" s="5"/>
      <c r="JQ105" s="5"/>
      <c r="JR105" s="5"/>
      <c r="JS105" s="5"/>
      <c r="JT105" s="5"/>
      <c r="JU105" s="5"/>
      <c r="JV105" s="5"/>
      <c r="JW105" s="5"/>
      <c r="JX105" s="5"/>
      <c r="JY105" s="5"/>
      <c r="JZ105" s="5"/>
      <c r="KA105" s="5"/>
      <c r="KB105" s="5"/>
      <c r="KC105" s="5"/>
      <c r="KD105" s="5"/>
      <c r="KE105" s="5"/>
      <c r="KF105" s="5"/>
      <c r="KG105" s="5"/>
      <c r="KH105" s="5"/>
      <c r="KI105" s="5"/>
      <c r="KJ105" s="5"/>
      <c r="KK105" s="5"/>
      <c r="KL105" s="5"/>
      <c r="KM105" s="5"/>
      <c r="KN105" s="5"/>
      <c r="KO105" s="5"/>
      <c r="KP105" s="5"/>
      <c r="KQ105" s="5"/>
      <c r="KR105" s="5"/>
      <c r="KS105" s="5"/>
      <c r="KT105" s="5"/>
      <c r="KU105" s="5"/>
      <c r="KV105" s="5"/>
      <c r="KW105" s="5"/>
      <c r="KX105" s="5"/>
      <c r="KY105" s="5"/>
      <c r="KZ105" s="5"/>
      <c r="LA105" s="5"/>
      <c r="LB105" s="5"/>
      <c r="LC105" s="5"/>
      <c r="LD105" s="5"/>
      <c r="LE105" s="5"/>
      <c r="LF105" s="5"/>
      <c r="LG105" s="5"/>
      <c r="LH105" s="5"/>
      <c r="LI105" s="5"/>
      <c r="LJ105" s="5"/>
      <c r="LK105" s="5"/>
      <c r="LL105" s="5"/>
      <c r="LM105" s="5"/>
      <c r="LN105" s="5"/>
      <c r="LO105" s="5"/>
      <c r="LP105" s="5"/>
      <c r="LQ105" s="5"/>
      <c r="LR105" s="5"/>
      <c r="LS105" s="5"/>
      <c r="LT105" s="5"/>
      <c r="LU105" s="5"/>
      <c r="LV105" s="5"/>
      <c r="LW105" s="5"/>
      <c r="LX105" s="5"/>
      <c r="LY105" s="5"/>
      <c r="LZ105" s="5"/>
      <c r="MA105" s="5"/>
      <c r="MB105" s="5"/>
      <c r="MC105" s="5"/>
      <c r="MD105" s="5"/>
      <c r="ME105" s="5"/>
      <c r="MF105" s="5"/>
      <c r="MG105" s="5"/>
      <c r="MH105" s="5"/>
      <c r="MI105" s="5"/>
      <c r="MJ105" s="5"/>
      <c r="MK105" s="5"/>
    </row>
    <row r="106" spans="1:349" s="2" customFormat="1" ht="17.7" customHeight="1" x14ac:dyDescent="0.3">
      <c r="A106" s="20">
        <v>105</v>
      </c>
      <c r="B106" s="20">
        <v>8100023</v>
      </c>
      <c r="C106" s="10" t="s">
        <v>138</v>
      </c>
      <c r="D106" s="10" t="s">
        <v>25</v>
      </c>
      <c r="E106" s="10" t="s">
        <v>35</v>
      </c>
      <c r="F106" s="10">
        <v>184.25</v>
      </c>
      <c r="G106" s="10">
        <v>3</v>
      </c>
      <c r="H106" s="10"/>
      <c r="I106" s="10" t="s">
        <v>116</v>
      </c>
      <c r="J106" s="10"/>
      <c r="K106" s="10"/>
      <c r="L106" s="10"/>
      <c r="M106" s="10">
        <f t="shared" si="1"/>
        <v>152.92750000000001</v>
      </c>
      <c r="N106" s="10" t="s">
        <v>28</v>
      </c>
      <c r="O106" s="10" t="s">
        <v>29</v>
      </c>
      <c r="P106" s="10" t="s">
        <v>29</v>
      </c>
      <c r="Q106" s="10"/>
      <c r="R106" s="10"/>
      <c r="S106" s="10"/>
      <c r="T106" s="10"/>
      <c r="U106" s="10"/>
      <c r="V106" s="10"/>
      <c r="W106" s="10"/>
      <c r="X106" s="10" t="s">
        <v>30</v>
      </c>
      <c r="Y106" s="13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  <c r="DE106" s="5"/>
      <c r="DF106" s="5"/>
      <c r="DG106" s="5"/>
      <c r="DH106" s="5"/>
      <c r="DI106" s="5"/>
      <c r="DJ106" s="5"/>
      <c r="DK106" s="5"/>
      <c r="DL106" s="5"/>
      <c r="DM106" s="5"/>
      <c r="DN106" s="5"/>
      <c r="DO106" s="5"/>
      <c r="DP106" s="5"/>
      <c r="DQ106" s="5"/>
      <c r="DR106" s="5"/>
      <c r="DS106" s="5"/>
      <c r="DT106" s="5"/>
      <c r="DU106" s="5"/>
      <c r="DV106" s="5"/>
      <c r="DW106" s="5"/>
      <c r="DX106" s="5"/>
      <c r="DY106" s="5"/>
      <c r="DZ106" s="5"/>
      <c r="EA106" s="5"/>
      <c r="EB106" s="5"/>
      <c r="EC106" s="5"/>
      <c r="ED106" s="5"/>
      <c r="EE106" s="5"/>
      <c r="EF106" s="5"/>
      <c r="EG106" s="5"/>
      <c r="EH106" s="5"/>
      <c r="EI106" s="5"/>
      <c r="EJ106" s="5"/>
      <c r="EK106" s="5"/>
      <c r="EL106" s="5"/>
      <c r="EM106" s="5"/>
      <c r="EN106" s="5"/>
      <c r="EO106" s="5"/>
      <c r="EP106" s="5"/>
      <c r="EQ106" s="5"/>
      <c r="ER106" s="5"/>
      <c r="ES106" s="5"/>
      <c r="ET106" s="5"/>
      <c r="EU106" s="5"/>
      <c r="EV106" s="5"/>
      <c r="EW106" s="5"/>
      <c r="EX106" s="5"/>
      <c r="EY106" s="5"/>
      <c r="EZ106" s="5"/>
      <c r="FA106" s="5"/>
      <c r="FB106" s="5"/>
      <c r="FC106" s="5"/>
      <c r="FD106" s="5"/>
      <c r="FE106" s="5"/>
      <c r="FF106" s="5"/>
      <c r="FG106" s="5"/>
      <c r="FH106" s="5"/>
      <c r="FI106" s="5"/>
      <c r="FJ106" s="5"/>
      <c r="FK106" s="5"/>
      <c r="FL106" s="5"/>
      <c r="FM106" s="5"/>
      <c r="FN106" s="5"/>
      <c r="FO106" s="5"/>
      <c r="FP106" s="5"/>
      <c r="FQ106" s="5"/>
      <c r="FR106" s="5"/>
      <c r="FS106" s="5"/>
      <c r="FT106" s="5"/>
      <c r="FU106" s="5"/>
      <c r="FV106" s="5"/>
      <c r="FW106" s="5"/>
      <c r="FX106" s="5"/>
      <c r="FY106" s="5"/>
      <c r="FZ106" s="5"/>
      <c r="GA106" s="5"/>
      <c r="GB106" s="5"/>
      <c r="GC106" s="5"/>
      <c r="GD106" s="5"/>
      <c r="GE106" s="5"/>
      <c r="GF106" s="5"/>
      <c r="GG106" s="5"/>
      <c r="GH106" s="5"/>
      <c r="GI106" s="5"/>
      <c r="GJ106" s="5"/>
      <c r="GK106" s="5"/>
      <c r="GL106" s="5"/>
      <c r="GM106" s="5"/>
      <c r="GN106" s="5"/>
      <c r="GO106" s="5"/>
      <c r="GP106" s="5"/>
      <c r="GQ106" s="5"/>
      <c r="GR106" s="5"/>
      <c r="GS106" s="5"/>
      <c r="GT106" s="5"/>
      <c r="GU106" s="5"/>
      <c r="GV106" s="5"/>
      <c r="GW106" s="5"/>
      <c r="GX106" s="5"/>
      <c r="GY106" s="5"/>
      <c r="GZ106" s="5"/>
      <c r="HA106" s="5"/>
      <c r="HB106" s="5"/>
      <c r="HC106" s="5"/>
      <c r="HD106" s="5"/>
      <c r="HE106" s="5"/>
      <c r="HF106" s="5"/>
      <c r="HG106" s="5"/>
      <c r="HH106" s="5"/>
      <c r="HI106" s="5"/>
      <c r="HJ106" s="5"/>
      <c r="HK106" s="5"/>
      <c r="HL106" s="5"/>
      <c r="HM106" s="5"/>
      <c r="HN106" s="5"/>
      <c r="HO106" s="5"/>
      <c r="HP106" s="5"/>
      <c r="HQ106" s="5"/>
      <c r="HR106" s="5"/>
      <c r="HS106" s="5"/>
      <c r="HT106" s="5"/>
      <c r="HU106" s="5"/>
      <c r="HV106" s="5"/>
      <c r="HW106" s="5"/>
      <c r="HX106" s="5"/>
      <c r="HY106" s="5"/>
      <c r="HZ106" s="5"/>
      <c r="IA106" s="5"/>
      <c r="IB106" s="5"/>
      <c r="IC106" s="5"/>
      <c r="ID106" s="5"/>
      <c r="IE106" s="5"/>
      <c r="IF106" s="5"/>
      <c r="IG106" s="5"/>
      <c r="IH106" s="5"/>
      <c r="II106" s="5"/>
      <c r="IJ106" s="5"/>
      <c r="IK106" s="5"/>
      <c r="IL106" s="5"/>
      <c r="IM106" s="5"/>
      <c r="IN106" s="5"/>
      <c r="IO106" s="5"/>
      <c r="IP106" s="5"/>
      <c r="IQ106" s="5"/>
      <c r="IR106" s="5"/>
      <c r="IS106" s="5"/>
      <c r="IT106" s="5"/>
      <c r="IU106" s="5"/>
      <c r="IV106" s="5"/>
      <c r="IW106" s="5"/>
      <c r="IX106" s="5"/>
      <c r="IY106" s="5"/>
      <c r="IZ106" s="5"/>
      <c r="JA106" s="5"/>
      <c r="JB106" s="5"/>
      <c r="JC106" s="5"/>
      <c r="JD106" s="5"/>
      <c r="JE106" s="5"/>
      <c r="JF106" s="5"/>
      <c r="JG106" s="5"/>
      <c r="JH106" s="5"/>
      <c r="JI106" s="5"/>
      <c r="JJ106" s="5"/>
      <c r="JK106" s="5"/>
      <c r="JL106" s="5"/>
      <c r="JM106" s="5"/>
      <c r="JN106" s="5"/>
      <c r="JO106" s="5"/>
      <c r="JP106" s="5"/>
      <c r="JQ106" s="5"/>
      <c r="JR106" s="5"/>
      <c r="JS106" s="5"/>
      <c r="JT106" s="5"/>
      <c r="JU106" s="5"/>
      <c r="JV106" s="5"/>
      <c r="JW106" s="5"/>
      <c r="JX106" s="5"/>
      <c r="JY106" s="5"/>
      <c r="JZ106" s="5"/>
      <c r="KA106" s="5"/>
      <c r="KB106" s="5"/>
      <c r="KC106" s="5"/>
      <c r="KD106" s="5"/>
      <c r="KE106" s="5"/>
      <c r="KF106" s="5"/>
      <c r="KG106" s="5"/>
      <c r="KH106" s="5"/>
      <c r="KI106" s="5"/>
      <c r="KJ106" s="5"/>
      <c r="KK106" s="5"/>
      <c r="KL106" s="5"/>
      <c r="KM106" s="5"/>
      <c r="KN106" s="5"/>
      <c r="KO106" s="5"/>
      <c r="KP106" s="5"/>
      <c r="KQ106" s="5"/>
      <c r="KR106" s="5"/>
      <c r="KS106" s="5"/>
      <c r="KT106" s="5"/>
      <c r="KU106" s="5"/>
      <c r="KV106" s="5"/>
      <c r="KW106" s="5"/>
      <c r="KX106" s="5"/>
      <c r="KY106" s="5"/>
      <c r="KZ106" s="5"/>
      <c r="LA106" s="5"/>
      <c r="LB106" s="5"/>
      <c r="LC106" s="5"/>
      <c r="LD106" s="5"/>
      <c r="LE106" s="5"/>
      <c r="LF106" s="5"/>
      <c r="LG106" s="5"/>
      <c r="LH106" s="5"/>
      <c r="LI106" s="5"/>
      <c r="LJ106" s="5"/>
      <c r="LK106" s="5"/>
      <c r="LL106" s="5"/>
      <c r="LM106" s="5"/>
      <c r="LN106" s="5"/>
      <c r="LO106" s="5"/>
      <c r="LP106" s="5"/>
      <c r="LQ106" s="5"/>
      <c r="LR106" s="5"/>
      <c r="LS106" s="5"/>
      <c r="LT106" s="5"/>
      <c r="LU106" s="5"/>
      <c r="LV106" s="5"/>
      <c r="LW106" s="5"/>
      <c r="LX106" s="5"/>
      <c r="LY106" s="5"/>
      <c r="LZ106" s="5"/>
      <c r="MA106" s="5"/>
      <c r="MB106" s="5"/>
      <c r="MC106" s="5"/>
      <c r="MD106" s="5"/>
      <c r="ME106" s="5"/>
      <c r="MF106" s="5"/>
      <c r="MG106" s="5"/>
      <c r="MH106" s="5"/>
      <c r="MI106" s="5"/>
      <c r="MJ106" s="5"/>
      <c r="MK106" s="5"/>
    </row>
    <row r="107" spans="1:349" s="2" customFormat="1" ht="17.7" customHeight="1" x14ac:dyDescent="0.3">
      <c r="A107" s="21">
        <v>106</v>
      </c>
      <c r="B107" s="21">
        <v>8100024</v>
      </c>
      <c r="C107" s="9" t="s">
        <v>139</v>
      </c>
      <c r="D107" s="9" t="s">
        <v>25</v>
      </c>
      <c r="E107" s="9" t="s">
        <v>35</v>
      </c>
      <c r="F107" s="9">
        <v>30.5</v>
      </c>
      <c r="G107" s="9">
        <v>20</v>
      </c>
      <c r="H107" s="9"/>
      <c r="I107" s="9" t="s">
        <v>116</v>
      </c>
      <c r="J107" s="9"/>
      <c r="K107" s="9"/>
      <c r="L107" s="9"/>
      <c r="M107" s="9">
        <f t="shared" si="1"/>
        <v>25.314999999999998</v>
      </c>
      <c r="N107" s="9" t="s">
        <v>28</v>
      </c>
      <c r="O107" s="9" t="s">
        <v>29</v>
      </c>
      <c r="P107" s="9" t="s">
        <v>29</v>
      </c>
      <c r="Q107" s="9"/>
      <c r="R107" s="9"/>
      <c r="S107" s="9"/>
      <c r="T107" s="9"/>
      <c r="U107" s="9"/>
      <c r="V107" s="9"/>
      <c r="W107" s="9"/>
      <c r="X107" s="9" t="s">
        <v>30</v>
      </c>
      <c r="Y107" s="13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  <c r="DE107" s="5"/>
      <c r="DF107" s="5"/>
      <c r="DG107" s="5"/>
      <c r="DH107" s="5"/>
      <c r="DI107" s="5"/>
      <c r="DJ107" s="5"/>
      <c r="DK107" s="5"/>
      <c r="DL107" s="5"/>
      <c r="DM107" s="5"/>
      <c r="DN107" s="5"/>
      <c r="DO107" s="5"/>
      <c r="DP107" s="5"/>
      <c r="DQ107" s="5"/>
      <c r="DR107" s="5"/>
      <c r="DS107" s="5"/>
      <c r="DT107" s="5"/>
      <c r="DU107" s="5"/>
      <c r="DV107" s="5"/>
      <c r="DW107" s="5"/>
      <c r="DX107" s="5"/>
      <c r="DY107" s="5"/>
      <c r="DZ107" s="5"/>
      <c r="EA107" s="5"/>
      <c r="EB107" s="5"/>
      <c r="EC107" s="5"/>
      <c r="ED107" s="5"/>
      <c r="EE107" s="5"/>
      <c r="EF107" s="5"/>
      <c r="EG107" s="5"/>
      <c r="EH107" s="5"/>
      <c r="EI107" s="5"/>
      <c r="EJ107" s="5"/>
      <c r="EK107" s="5"/>
      <c r="EL107" s="5"/>
      <c r="EM107" s="5"/>
      <c r="EN107" s="5"/>
      <c r="EO107" s="5"/>
      <c r="EP107" s="5"/>
      <c r="EQ107" s="5"/>
      <c r="ER107" s="5"/>
      <c r="ES107" s="5"/>
      <c r="ET107" s="5"/>
      <c r="EU107" s="5"/>
      <c r="EV107" s="5"/>
      <c r="EW107" s="5"/>
      <c r="EX107" s="5"/>
      <c r="EY107" s="5"/>
      <c r="EZ107" s="5"/>
      <c r="FA107" s="5"/>
      <c r="FB107" s="5"/>
      <c r="FC107" s="5"/>
      <c r="FD107" s="5"/>
      <c r="FE107" s="5"/>
      <c r="FF107" s="5"/>
      <c r="FG107" s="5"/>
      <c r="FH107" s="5"/>
      <c r="FI107" s="5"/>
      <c r="FJ107" s="5"/>
      <c r="FK107" s="5"/>
      <c r="FL107" s="5"/>
      <c r="FM107" s="5"/>
      <c r="FN107" s="5"/>
      <c r="FO107" s="5"/>
      <c r="FP107" s="5"/>
      <c r="FQ107" s="5"/>
      <c r="FR107" s="5"/>
      <c r="FS107" s="5"/>
      <c r="FT107" s="5"/>
      <c r="FU107" s="5"/>
      <c r="FV107" s="5"/>
      <c r="FW107" s="5"/>
      <c r="FX107" s="5"/>
      <c r="FY107" s="5"/>
      <c r="FZ107" s="5"/>
      <c r="GA107" s="5"/>
      <c r="GB107" s="5"/>
      <c r="GC107" s="5"/>
      <c r="GD107" s="5"/>
      <c r="GE107" s="5"/>
      <c r="GF107" s="5"/>
      <c r="GG107" s="5"/>
      <c r="GH107" s="5"/>
      <c r="GI107" s="5"/>
      <c r="GJ107" s="5"/>
      <c r="GK107" s="5"/>
      <c r="GL107" s="5"/>
      <c r="GM107" s="5"/>
      <c r="GN107" s="5"/>
      <c r="GO107" s="5"/>
      <c r="GP107" s="5"/>
      <c r="GQ107" s="5"/>
      <c r="GR107" s="5"/>
      <c r="GS107" s="5"/>
      <c r="GT107" s="5"/>
      <c r="GU107" s="5"/>
      <c r="GV107" s="5"/>
      <c r="GW107" s="5"/>
      <c r="GX107" s="5"/>
      <c r="GY107" s="5"/>
      <c r="GZ107" s="5"/>
      <c r="HA107" s="5"/>
      <c r="HB107" s="5"/>
      <c r="HC107" s="5"/>
      <c r="HD107" s="5"/>
      <c r="HE107" s="5"/>
      <c r="HF107" s="5"/>
      <c r="HG107" s="5"/>
      <c r="HH107" s="5"/>
      <c r="HI107" s="5"/>
      <c r="HJ107" s="5"/>
      <c r="HK107" s="5"/>
      <c r="HL107" s="5"/>
      <c r="HM107" s="5"/>
      <c r="HN107" s="5"/>
      <c r="HO107" s="5"/>
      <c r="HP107" s="5"/>
      <c r="HQ107" s="5"/>
      <c r="HR107" s="5"/>
      <c r="HS107" s="5"/>
      <c r="HT107" s="5"/>
      <c r="HU107" s="5"/>
      <c r="HV107" s="5"/>
      <c r="HW107" s="5"/>
      <c r="HX107" s="5"/>
      <c r="HY107" s="5"/>
      <c r="HZ107" s="5"/>
      <c r="IA107" s="5"/>
      <c r="IB107" s="5"/>
      <c r="IC107" s="5"/>
      <c r="ID107" s="5"/>
      <c r="IE107" s="5"/>
      <c r="IF107" s="5"/>
      <c r="IG107" s="5"/>
      <c r="IH107" s="5"/>
      <c r="II107" s="5"/>
      <c r="IJ107" s="5"/>
      <c r="IK107" s="5"/>
      <c r="IL107" s="5"/>
      <c r="IM107" s="5"/>
      <c r="IN107" s="5"/>
      <c r="IO107" s="5"/>
      <c r="IP107" s="5"/>
      <c r="IQ107" s="5"/>
      <c r="IR107" s="5"/>
      <c r="IS107" s="5"/>
      <c r="IT107" s="5"/>
      <c r="IU107" s="5"/>
      <c r="IV107" s="5"/>
      <c r="IW107" s="5"/>
      <c r="IX107" s="5"/>
      <c r="IY107" s="5"/>
      <c r="IZ107" s="5"/>
      <c r="JA107" s="5"/>
      <c r="JB107" s="5"/>
      <c r="JC107" s="5"/>
      <c r="JD107" s="5"/>
      <c r="JE107" s="5"/>
      <c r="JF107" s="5"/>
      <c r="JG107" s="5"/>
      <c r="JH107" s="5"/>
      <c r="JI107" s="5"/>
      <c r="JJ107" s="5"/>
      <c r="JK107" s="5"/>
      <c r="JL107" s="5"/>
      <c r="JM107" s="5"/>
      <c r="JN107" s="5"/>
      <c r="JO107" s="5"/>
      <c r="JP107" s="5"/>
      <c r="JQ107" s="5"/>
      <c r="JR107" s="5"/>
      <c r="JS107" s="5"/>
      <c r="JT107" s="5"/>
      <c r="JU107" s="5"/>
      <c r="JV107" s="5"/>
      <c r="JW107" s="5"/>
      <c r="JX107" s="5"/>
      <c r="JY107" s="5"/>
      <c r="JZ107" s="5"/>
      <c r="KA107" s="5"/>
      <c r="KB107" s="5"/>
      <c r="KC107" s="5"/>
      <c r="KD107" s="5"/>
      <c r="KE107" s="5"/>
      <c r="KF107" s="5"/>
      <c r="KG107" s="5"/>
      <c r="KH107" s="5"/>
      <c r="KI107" s="5"/>
      <c r="KJ107" s="5"/>
      <c r="KK107" s="5"/>
      <c r="KL107" s="5"/>
      <c r="KM107" s="5"/>
      <c r="KN107" s="5"/>
      <c r="KO107" s="5"/>
      <c r="KP107" s="5"/>
      <c r="KQ107" s="5"/>
      <c r="KR107" s="5"/>
      <c r="KS107" s="5"/>
      <c r="KT107" s="5"/>
      <c r="KU107" s="5"/>
      <c r="KV107" s="5"/>
      <c r="KW107" s="5"/>
      <c r="KX107" s="5"/>
      <c r="KY107" s="5"/>
      <c r="KZ107" s="5"/>
      <c r="LA107" s="5"/>
      <c r="LB107" s="5"/>
      <c r="LC107" s="5"/>
      <c r="LD107" s="5"/>
      <c r="LE107" s="5"/>
      <c r="LF107" s="5"/>
      <c r="LG107" s="5"/>
      <c r="LH107" s="5"/>
      <c r="LI107" s="5"/>
      <c r="LJ107" s="5"/>
      <c r="LK107" s="5"/>
      <c r="LL107" s="5"/>
      <c r="LM107" s="5"/>
      <c r="LN107" s="5"/>
      <c r="LO107" s="5"/>
      <c r="LP107" s="5"/>
      <c r="LQ107" s="5"/>
      <c r="LR107" s="5"/>
      <c r="LS107" s="5"/>
      <c r="LT107" s="5"/>
      <c r="LU107" s="5"/>
      <c r="LV107" s="5"/>
      <c r="LW107" s="5"/>
      <c r="LX107" s="5"/>
      <c r="LY107" s="5"/>
      <c r="LZ107" s="5"/>
      <c r="MA107" s="5"/>
      <c r="MB107" s="5"/>
      <c r="MC107" s="5"/>
      <c r="MD107" s="5"/>
      <c r="ME107" s="5"/>
      <c r="MF107" s="5"/>
      <c r="MG107" s="5"/>
      <c r="MH107" s="5"/>
      <c r="MI107" s="5"/>
      <c r="MJ107" s="5"/>
      <c r="MK107" s="5"/>
    </row>
    <row r="108" spans="1:349" s="1" customFormat="1" ht="17.7" customHeight="1" x14ac:dyDescent="0.3">
      <c r="A108" s="20">
        <v>107</v>
      </c>
      <c r="B108" s="20">
        <v>8100025</v>
      </c>
      <c r="C108" s="10" t="s">
        <v>140</v>
      </c>
      <c r="D108" s="10" t="s">
        <v>25</v>
      </c>
      <c r="E108" s="10" t="s">
        <v>35</v>
      </c>
      <c r="F108" s="10">
        <v>40.5</v>
      </c>
      <c r="G108" s="10">
        <v>20</v>
      </c>
      <c r="H108" s="10"/>
      <c r="I108" s="10" t="s">
        <v>116</v>
      </c>
      <c r="J108" s="10"/>
      <c r="K108" s="10"/>
      <c r="L108" s="10"/>
      <c r="M108" s="10">
        <f t="shared" si="1"/>
        <v>33.615000000000002</v>
      </c>
      <c r="N108" s="10" t="s">
        <v>28</v>
      </c>
      <c r="O108" s="10" t="s">
        <v>29</v>
      </c>
      <c r="P108" s="10" t="s">
        <v>29</v>
      </c>
      <c r="Q108" s="10"/>
      <c r="R108" s="10"/>
      <c r="S108" s="10"/>
      <c r="T108" s="10"/>
      <c r="U108" s="10"/>
      <c r="V108" s="10"/>
      <c r="W108" s="10"/>
      <c r="X108" s="10" t="s">
        <v>30</v>
      </c>
      <c r="Y108" s="14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  <c r="BP108" s="6"/>
      <c r="BQ108" s="6"/>
      <c r="BR108" s="6"/>
      <c r="BS108" s="6"/>
      <c r="BT108" s="6"/>
      <c r="BU108" s="6"/>
      <c r="BV108" s="6"/>
      <c r="BW108" s="6"/>
      <c r="BX108" s="6"/>
      <c r="BY108" s="6"/>
      <c r="BZ108" s="6"/>
      <c r="CA108" s="6"/>
      <c r="CB108" s="6"/>
      <c r="CC108" s="6"/>
      <c r="CD108" s="6"/>
      <c r="CE108" s="6"/>
      <c r="CF108" s="6"/>
      <c r="CG108" s="6"/>
      <c r="CH108" s="6"/>
      <c r="CI108" s="6"/>
      <c r="CJ108" s="6"/>
      <c r="CK108" s="6"/>
      <c r="CL108" s="6"/>
      <c r="CM108" s="6"/>
      <c r="CN108" s="6"/>
      <c r="CO108" s="6"/>
      <c r="CP108" s="6"/>
      <c r="CQ108" s="6"/>
      <c r="CR108" s="6"/>
      <c r="CS108" s="6"/>
      <c r="CT108" s="6"/>
      <c r="CU108" s="6"/>
      <c r="CV108" s="6"/>
      <c r="CW108" s="6"/>
      <c r="CX108" s="6"/>
      <c r="CY108" s="6"/>
      <c r="CZ108" s="6"/>
      <c r="DA108" s="6"/>
      <c r="DB108" s="6"/>
      <c r="DC108" s="6"/>
      <c r="DD108" s="6"/>
      <c r="DE108" s="6"/>
      <c r="DF108" s="6"/>
      <c r="DG108" s="6"/>
      <c r="DH108" s="6"/>
      <c r="DI108" s="6"/>
      <c r="DJ108" s="6"/>
      <c r="DK108" s="6"/>
      <c r="DL108" s="6"/>
      <c r="DM108" s="6"/>
      <c r="DN108" s="6"/>
      <c r="DO108" s="6"/>
      <c r="DP108" s="6"/>
      <c r="DQ108" s="6"/>
      <c r="DR108" s="6"/>
      <c r="DS108" s="6"/>
      <c r="DT108" s="6"/>
      <c r="DU108" s="6"/>
      <c r="DV108" s="6"/>
      <c r="DW108" s="6"/>
      <c r="DX108" s="6"/>
      <c r="DY108" s="6"/>
      <c r="DZ108" s="6"/>
      <c r="EA108" s="6"/>
      <c r="EB108" s="6"/>
      <c r="EC108" s="6"/>
      <c r="ED108" s="6"/>
      <c r="EE108" s="6"/>
      <c r="EF108" s="6"/>
      <c r="EG108" s="6"/>
      <c r="EH108" s="6"/>
      <c r="EI108" s="6"/>
      <c r="EJ108" s="6"/>
      <c r="EK108" s="6"/>
      <c r="EL108" s="6"/>
      <c r="EM108" s="6"/>
      <c r="EN108" s="6"/>
      <c r="EO108" s="6"/>
      <c r="EP108" s="6"/>
      <c r="EQ108" s="6"/>
      <c r="ER108" s="6"/>
      <c r="ES108" s="6"/>
      <c r="ET108" s="6"/>
      <c r="EU108" s="6"/>
      <c r="EV108" s="6"/>
      <c r="EW108" s="6"/>
      <c r="EX108" s="6"/>
      <c r="EY108" s="6"/>
      <c r="EZ108" s="6"/>
      <c r="FA108" s="6"/>
      <c r="FB108" s="6"/>
      <c r="FC108" s="6"/>
      <c r="FD108" s="6"/>
      <c r="FE108" s="6"/>
      <c r="FF108" s="6"/>
      <c r="FG108" s="6"/>
      <c r="FH108" s="6"/>
      <c r="FI108" s="6"/>
      <c r="FJ108" s="6"/>
      <c r="FK108" s="6"/>
      <c r="FL108" s="6"/>
      <c r="FM108" s="6"/>
      <c r="FN108" s="6"/>
      <c r="FO108" s="6"/>
      <c r="FP108" s="6"/>
      <c r="FQ108" s="6"/>
      <c r="FR108" s="6"/>
      <c r="FS108" s="6"/>
      <c r="FT108" s="6"/>
      <c r="FU108" s="6"/>
      <c r="FV108" s="6"/>
      <c r="FW108" s="6"/>
      <c r="FX108" s="6"/>
      <c r="FY108" s="6"/>
      <c r="FZ108" s="6"/>
      <c r="GA108" s="6"/>
      <c r="GB108" s="6"/>
      <c r="GC108" s="6"/>
      <c r="GD108" s="6"/>
      <c r="GE108" s="6"/>
      <c r="GF108" s="6"/>
      <c r="GG108" s="6"/>
      <c r="GH108" s="6"/>
      <c r="GI108" s="6"/>
      <c r="GJ108" s="6"/>
      <c r="GK108" s="6"/>
      <c r="GL108" s="6"/>
      <c r="GM108" s="6"/>
      <c r="GN108" s="6"/>
      <c r="GO108" s="6"/>
      <c r="GP108" s="6"/>
      <c r="GQ108" s="6"/>
      <c r="GR108" s="6"/>
      <c r="GS108" s="6"/>
      <c r="GT108" s="6"/>
      <c r="GU108" s="6"/>
      <c r="GV108" s="6"/>
      <c r="GW108" s="6"/>
      <c r="GX108" s="6"/>
      <c r="GY108" s="6"/>
      <c r="GZ108" s="6"/>
      <c r="HA108" s="6"/>
      <c r="HB108" s="6"/>
      <c r="HC108" s="6"/>
      <c r="HD108" s="6"/>
      <c r="HE108" s="6"/>
      <c r="HF108" s="6"/>
      <c r="HG108" s="6"/>
      <c r="HH108" s="6"/>
      <c r="HI108" s="6"/>
      <c r="HJ108" s="6"/>
      <c r="HK108" s="6"/>
      <c r="HL108" s="6"/>
      <c r="HM108" s="6"/>
      <c r="HN108" s="6"/>
      <c r="HO108" s="6"/>
      <c r="HP108" s="6"/>
      <c r="HQ108" s="6"/>
      <c r="HR108" s="6"/>
      <c r="HS108" s="6"/>
      <c r="HT108" s="6"/>
      <c r="HU108" s="6"/>
      <c r="HV108" s="6"/>
      <c r="HW108" s="6"/>
      <c r="HX108" s="6"/>
      <c r="HY108" s="6"/>
      <c r="HZ108" s="6"/>
      <c r="IA108" s="6"/>
      <c r="IB108" s="6"/>
      <c r="IC108" s="6"/>
      <c r="ID108" s="6"/>
      <c r="IE108" s="6"/>
      <c r="IF108" s="6"/>
      <c r="IG108" s="6"/>
      <c r="IH108" s="6"/>
      <c r="II108" s="6"/>
      <c r="IJ108" s="6"/>
      <c r="IK108" s="6"/>
      <c r="IL108" s="6"/>
      <c r="IM108" s="6"/>
      <c r="IN108" s="6"/>
      <c r="IO108" s="6"/>
      <c r="IP108" s="6"/>
      <c r="IQ108" s="6"/>
      <c r="IR108" s="6"/>
      <c r="IS108" s="6"/>
      <c r="IT108" s="6"/>
      <c r="IU108" s="6"/>
      <c r="IV108" s="6"/>
      <c r="IW108" s="6"/>
      <c r="IX108" s="6"/>
      <c r="IY108" s="6"/>
      <c r="IZ108" s="6"/>
      <c r="JA108" s="6"/>
      <c r="JB108" s="6"/>
      <c r="JC108" s="6"/>
      <c r="JD108" s="6"/>
      <c r="JE108" s="6"/>
      <c r="JF108" s="6"/>
      <c r="JG108" s="6"/>
      <c r="JH108" s="6"/>
      <c r="JI108" s="6"/>
      <c r="JJ108" s="6"/>
      <c r="JK108" s="6"/>
      <c r="JL108" s="6"/>
      <c r="JM108" s="6"/>
      <c r="JN108" s="6"/>
      <c r="JO108" s="6"/>
      <c r="JP108" s="6"/>
      <c r="JQ108" s="6"/>
      <c r="JR108" s="6"/>
      <c r="JS108" s="6"/>
      <c r="JT108" s="6"/>
      <c r="JU108" s="6"/>
      <c r="JV108" s="6"/>
      <c r="JW108" s="6"/>
      <c r="JX108" s="6"/>
      <c r="JY108" s="6"/>
      <c r="JZ108" s="6"/>
      <c r="KA108" s="6"/>
      <c r="KB108" s="6"/>
      <c r="KC108" s="6"/>
      <c r="KD108" s="6"/>
      <c r="KE108" s="6"/>
      <c r="KF108" s="6"/>
      <c r="KG108" s="6"/>
      <c r="KH108" s="6"/>
      <c r="KI108" s="6"/>
      <c r="KJ108" s="6"/>
      <c r="KK108" s="6"/>
      <c r="KL108" s="6"/>
      <c r="KM108" s="6"/>
      <c r="KN108" s="6"/>
      <c r="KO108" s="6"/>
      <c r="KP108" s="6"/>
      <c r="KQ108" s="6"/>
      <c r="KR108" s="6"/>
      <c r="KS108" s="6"/>
      <c r="KT108" s="6"/>
      <c r="KU108" s="6"/>
      <c r="KV108" s="6"/>
      <c r="KW108" s="6"/>
      <c r="KX108" s="6"/>
      <c r="KY108" s="6"/>
      <c r="KZ108" s="6"/>
      <c r="LA108" s="6"/>
      <c r="LB108" s="6"/>
      <c r="LC108" s="6"/>
      <c r="LD108" s="6"/>
      <c r="LE108" s="6"/>
      <c r="LF108" s="6"/>
      <c r="LG108" s="6"/>
      <c r="LH108" s="6"/>
      <c r="LI108" s="6"/>
      <c r="LJ108" s="6"/>
      <c r="LK108" s="6"/>
      <c r="LL108" s="6"/>
      <c r="LM108" s="6"/>
      <c r="LN108" s="6"/>
      <c r="LO108" s="6"/>
      <c r="LP108" s="6"/>
      <c r="LQ108" s="6"/>
      <c r="LR108" s="6"/>
      <c r="LS108" s="6"/>
      <c r="LT108" s="6"/>
      <c r="LU108" s="6"/>
      <c r="LV108" s="6"/>
      <c r="LW108" s="6"/>
      <c r="LX108" s="6"/>
      <c r="LY108" s="6"/>
      <c r="LZ108" s="6"/>
      <c r="MA108" s="6"/>
      <c r="MB108" s="6"/>
      <c r="MC108" s="6"/>
      <c r="MD108" s="6"/>
      <c r="ME108" s="6"/>
      <c r="MF108" s="6"/>
      <c r="MG108" s="6"/>
      <c r="MH108" s="6"/>
      <c r="MI108" s="6"/>
      <c r="MJ108" s="6"/>
      <c r="MK108" s="6"/>
    </row>
    <row r="109" spans="1:349" s="2" customFormat="1" ht="17.7" customHeight="1" x14ac:dyDescent="0.3">
      <c r="A109" s="21">
        <v>108</v>
      </c>
      <c r="B109" s="21">
        <v>8100026</v>
      </c>
      <c r="C109" s="9" t="s">
        <v>141</v>
      </c>
      <c r="D109" s="9" t="s">
        <v>25</v>
      </c>
      <c r="E109" s="9" t="s">
        <v>35</v>
      </c>
      <c r="F109" s="9">
        <v>61</v>
      </c>
      <c r="G109" s="9">
        <v>10</v>
      </c>
      <c r="H109" s="9"/>
      <c r="I109" s="9" t="s">
        <v>116</v>
      </c>
      <c r="J109" s="9"/>
      <c r="K109" s="9"/>
      <c r="L109" s="9"/>
      <c r="M109" s="9">
        <f t="shared" si="1"/>
        <v>50.629999999999995</v>
      </c>
      <c r="N109" s="9" t="s">
        <v>28</v>
      </c>
      <c r="O109" s="9" t="s">
        <v>29</v>
      </c>
      <c r="P109" s="9" t="s">
        <v>29</v>
      </c>
      <c r="Q109" s="9"/>
      <c r="R109" s="9"/>
      <c r="S109" s="9"/>
      <c r="T109" s="9"/>
      <c r="U109" s="9"/>
      <c r="V109" s="9"/>
      <c r="W109" s="9"/>
      <c r="X109" s="9" t="s">
        <v>30</v>
      </c>
      <c r="Y109" s="13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  <c r="DE109" s="5"/>
      <c r="DF109" s="5"/>
      <c r="DG109" s="5"/>
      <c r="DH109" s="5"/>
      <c r="DI109" s="5"/>
      <c r="DJ109" s="5"/>
      <c r="DK109" s="5"/>
      <c r="DL109" s="5"/>
      <c r="DM109" s="5"/>
      <c r="DN109" s="5"/>
      <c r="DO109" s="5"/>
      <c r="DP109" s="5"/>
      <c r="DQ109" s="5"/>
      <c r="DR109" s="5"/>
      <c r="DS109" s="5"/>
      <c r="DT109" s="5"/>
      <c r="DU109" s="5"/>
      <c r="DV109" s="5"/>
      <c r="DW109" s="5"/>
      <c r="DX109" s="5"/>
      <c r="DY109" s="5"/>
      <c r="DZ109" s="5"/>
      <c r="EA109" s="5"/>
      <c r="EB109" s="5"/>
      <c r="EC109" s="5"/>
      <c r="ED109" s="5"/>
      <c r="EE109" s="5"/>
      <c r="EF109" s="5"/>
      <c r="EG109" s="5"/>
      <c r="EH109" s="5"/>
      <c r="EI109" s="5"/>
      <c r="EJ109" s="5"/>
      <c r="EK109" s="5"/>
      <c r="EL109" s="5"/>
      <c r="EM109" s="5"/>
      <c r="EN109" s="5"/>
      <c r="EO109" s="5"/>
      <c r="EP109" s="5"/>
      <c r="EQ109" s="5"/>
      <c r="ER109" s="5"/>
      <c r="ES109" s="5"/>
      <c r="ET109" s="5"/>
      <c r="EU109" s="5"/>
      <c r="EV109" s="5"/>
      <c r="EW109" s="5"/>
      <c r="EX109" s="5"/>
      <c r="EY109" s="5"/>
      <c r="EZ109" s="5"/>
      <c r="FA109" s="5"/>
      <c r="FB109" s="5"/>
      <c r="FC109" s="5"/>
      <c r="FD109" s="5"/>
      <c r="FE109" s="5"/>
      <c r="FF109" s="5"/>
      <c r="FG109" s="5"/>
      <c r="FH109" s="5"/>
      <c r="FI109" s="5"/>
      <c r="FJ109" s="5"/>
      <c r="FK109" s="5"/>
      <c r="FL109" s="5"/>
      <c r="FM109" s="5"/>
      <c r="FN109" s="5"/>
      <c r="FO109" s="5"/>
      <c r="FP109" s="5"/>
      <c r="FQ109" s="5"/>
      <c r="FR109" s="5"/>
      <c r="FS109" s="5"/>
      <c r="FT109" s="5"/>
      <c r="FU109" s="5"/>
      <c r="FV109" s="5"/>
      <c r="FW109" s="5"/>
      <c r="FX109" s="5"/>
      <c r="FY109" s="5"/>
      <c r="FZ109" s="5"/>
      <c r="GA109" s="5"/>
      <c r="GB109" s="5"/>
      <c r="GC109" s="5"/>
      <c r="GD109" s="5"/>
      <c r="GE109" s="5"/>
      <c r="GF109" s="5"/>
      <c r="GG109" s="5"/>
      <c r="GH109" s="5"/>
      <c r="GI109" s="5"/>
      <c r="GJ109" s="5"/>
      <c r="GK109" s="5"/>
      <c r="GL109" s="5"/>
      <c r="GM109" s="5"/>
      <c r="GN109" s="5"/>
      <c r="GO109" s="5"/>
      <c r="GP109" s="5"/>
      <c r="GQ109" s="5"/>
      <c r="GR109" s="5"/>
      <c r="GS109" s="5"/>
      <c r="GT109" s="5"/>
      <c r="GU109" s="5"/>
      <c r="GV109" s="5"/>
      <c r="GW109" s="5"/>
      <c r="GX109" s="5"/>
      <c r="GY109" s="5"/>
      <c r="GZ109" s="5"/>
      <c r="HA109" s="5"/>
      <c r="HB109" s="5"/>
      <c r="HC109" s="5"/>
      <c r="HD109" s="5"/>
      <c r="HE109" s="5"/>
      <c r="HF109" s="5"/>
      <c r="HG109" s="5"/>
      <c r="HH109" s="5"/>
      <c r="HI109" s="5"/>
      <c r="HJ109" s="5"/>
      <c r="HK109" s="5"/>
      <c r="HL109" s="5"/>
      <c r="HM109" s="5"/>
      <c r="HN109" s="5"/>
      <c r="HO109" s="5"/>
      <c r="HP109" s="5"/>
      <c r="HQ109" s="5"/>
      <c r="HR109" s="5"/>
      <c r="HS109" s="5"/>
      <c r="HT109" s="5"/>
      <c r="HU109" s="5"/>
      <c r="HV109" s="5"/>
      <c r="HW109" s="5"/>
      <c r="HX109" s="5"/>
      <c r="HY109" s="5"/>
      <c r="HZ109" s="5"/>
      <c r="IA109" s="5"/>
      <c r="IB109" s="5"/>
      <c r="IC109" s="5"/>
      <c r="ID109" s="5"/>
      <c r="IE109" s="5"/>
      <c r="IF109" s="5"/>
      <c r="IG109" s="5"/>
      <c r="IH109" s="5"/>
      <c r="II109" s="5"/>
      <c r="IJ109" s="5"/>
      <c r="IK109" s="5"/>
      <c r="IL109" s="5"/>
      <c r="IM109" s="5"/>
      <c r="IN109" s="5"/>
      <c r="IO109" s="5"/>
      <c r="IP109" s="5"/>
      <c r="IQ109" s="5"/>
      <c r="IR109" s="5"/>
      <c r="IS109" s="5"/>
      <c r="IT109" s="5"/>
      <c r="IU109" s="5"/>
      <c r="IV109" s="5"/>
      <c r="IW109" s="5"/>
      <c r="IX109" s="5"/>
      <c r="IY109" s="5"/>
      <c r="IZ109" s="5"/>
      <c r="JA109" s="5"/>
      <c r="JB109" s="5"/>
      <c r="JC109" s="5"/>
      <c r="JD109" s="5"/>
      <c r="JE109" s="5"/>
      <c r="JF109" s="5"/>
      <c r="JG109" s="5"/>
      <c r="JH109" s="5"/>
      <c r="JI109" s="5"/>
      <c r="JJ109" s="5"/>
      <c r="JK109" s="5"/>
      <c r="JL109" s="5"/>
      <c r="JM109" s="5"/>
      <c r="JN109" s="5"/>
      <c r="JO109" s="5"/>
      <c r="JP109" s="5"/>
      <c r="JQ109" s="5"/>
      <c r="JR109" s="5"/>
      <c r="JS109" s="5"/>
      <c r="JT109" s="5"/>
      <c r="JU109" s="5"/>
      <c r="JV109" s="5"/>
      <c r="JW109" s="5"/>
      <c r="JX109" s="5"/>
      <c r="JY109" s="5"/>
      <c r="JZ109" s="5"/>
      <c r="KA109" s="5"/>
      <c r="KB109" s="5"/>
      <c r="KC109" s="5"/>
      <c r="KD109" s="5"/>
      <c r="KE109" s="5"/>
      <c r="KF109" s="5"/>
      <c r="KG109" s="5"/>
      <c r="KH109" s="5"/>
      <c r="KI109" s="5"/>
      <c r="KJ109" s="5"/>
      <c r="KK109" s="5"/>
      <c r="KL109" s="5"/>
      <c r="KM109" s="5"/>
      <c r="KN109" s="5"/>
      <c r="KO109" s="5"/>
      <c r="KP109" s="5"/>
      <c r="KQ109" s="5"/>
      <c r="KR109" s="5"/>
      <c r="KS109" s="5"/>
      <c r="KT109" s="5"/>
      <c r="KU109" s="5"/>
      <c r="KV109" s="5"/>
      <c r="KW109" s="5"/>
      <c r="KX109" s="5"/>
      <c r="KY109" s="5"/>
      <c r="KZ109" s="5"/>
      <c r="LA109" s="5"/>
      <c r="LB109" s="5"/>
      <c r="LC109" s="5"/>
      <c r="LD109" s="5"/>
      <c r="LE109" s="5"/>
      <c r="LF109" s="5"/>
      <c r="LG109" s="5"/>
      <c r="LH109" s="5"/>
      <c r="LI109" s="5"/>
      <c r="LJ109" s="5"/>
      <c r="LK109" s="5"/>
      <c r="LL109" s="5"/>
      <c r="LM109" s="5"/>
      <c r="LN109" s="5"/>
      <c r="LO109" s="5"/>
      <c r="LP109" s="5"/>
      <c r="LQ109" s="5"/>
      <c r="LR109" s="5"/>
      <c r="LS109" s="5"/>
      <c r="LT109" s="5"/>
      <c r="LU109" s="5"/>
      <c r="LV109" s="5"/>
      <c r="LW109" s="5"/>
      <c r="LX109" s="5"/>
      <c r="LY109" s="5"/>
      <c r="LZ109" s="5"/>
      <c r="MA109" s="5"/>
      <c r="MB109" s="5"/>
      <c r="MC109" s="5"/>
      <c r="MD109" s="5"/>
      <c r="ME109" s="5"/>
      <c r="MF109" s="5"/>
      <c r="MG109" s="5"/>
      <c r="MH109" s="5"/>
      <c r="MI109" s="5"/>
      <c r="MJ109" s="5"/>
      <c r="MK109" s="5"/>
    </row>
    <row r="110" spans="1:349" s="2" customFormat="1" ht="17.7" customHeight="1" x14ac:dyDescent="0.3">
      <c r="A110" s="20">
        <v>109</v>
      </c>
      <c r="B110" s="20">
        <v>8100027</v>
      </c>
      <c r="C110" s="10" t="s">
        <v>142</v>
      </c>
      <c r="D110" s="10" t="s">
        <v>25</v>
      </c>
      <c r="E110" s="10" t="s">
        <v>35</v>
      </c>
      <c r="F110" s="10">
        <v>67.75</v>
      </c>
      <c r="G110" s="10">
        <v>10</v>
      </c>
      <c r="H110" s="10"/>
      <c r="I110" s="10" t="s">
        <v>116</v>
      </c>
      <c r="J110" s="10"/>
      <c r="K110" s="10"/>
      <c r="L110" s="10"/>
      <c r="M110" s="10">
        <f t="shared" si="1"/>
        <v>56.232500000000002</v>
      </c>
      <c r="N110" s="10" t="s">
        <v>28</v>
      </c>
      <c r="O110" s="10" t="s">
        <v>29</v>
      </c>
      <c r="P110" s="10" t="s">
        <v>29</v>
      </c>
      <c r="Q110" s="10"/>
      <c r="R110" s="10"/>
      <c r="S110" s="10"/>
      <c r="T110" s="10"/>
      <c r="U110" s="10"/>
      <c r="V110" s="10"/>
      <c r="W110" s="10"/>
      <c r="X110" s="10" t="s">
        <v>30</v>
      </c>
      <c r="Y110" s="13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  <c r="DE110" s="5"/>
      <c r="DF110" s="5"/>
      <c r="DG110" s="5"/>
      <c r="DH110" s="5"/>
      <c r="DI110" s="5"/>
      <c r="DJ110" s="5"/>
      <c r="DK110" s="5"/>
      <c r="DL110" s="5"/>
      <c r="DM110" s="5"/>
      <c r="DN110" s="5"/>
      <c r="DO110" s="5"/>
      <c r="DP110" s="5"/>
      <c r="DQ110" s="5"/>
      <c r="DR110" s="5"/>
      <c r="DS110" s="5"/>
      <c r="DT110" s="5"/>
      <c r="DU110" s="5"/>
      <c r="DV110" s="5"/>
      <c r="DW110" s="5"/>
      <c r="DX110" s="5"/>
      <c r="DY110" s="5"/>
      <c r="DZ110" s="5"/>
      <c r="EA110" s="5"/>
      <c r="EB110" s="5"/>
      <c r="EC110" s="5"/>
      <c r="ED110" s="5"/>
      <c r="EE110" s="5"/>
      <c r="EF110" s="5"/>
      <c r="EG110" s="5"/>
      <c r="EH110" s="5"/>
      <c r="EI110" s="5"/>
      <c r="EJ110" s="5"/>
      <c r="EK110" s="5"/>
      <c r="EL110" s="5"/>
      <c r="EM110" s="5"/>
      <c r="EN110" s="5"/>
      <c r="EO110" s="5"/>
      <c r="EP110" s="5"/>
      <c r="EQ110" s="5"/>
      <c r="ER110" s="5"/>
      <c r="ES110" s="5"/>
      <c r="ET110" s="5"/>
      <c r="EU110" s="5"/>
      <c r="EV110" s="5"/>
      <c r="EW110" s="5"/>
      <c r="EX110" s="5"/>
      <c r="EY110" s="5"/>
      <c r="EZ110" s="5"/>
      <c r="FA110" s="5"/>
      <c r="FB110" s="5"/>
      <c r="FC110" s="5"/>
      <c r="FD110" s="5"/>
      <c r="FE110" s="5"/>
      <c r="FF110" s="5"/>
      <c r="FG110" s="5"/>
      <c r="FH110" s="5"/>
      <c r="FI110" s="5"/>
      <c r="FJ110" s="5"/>
      <c r="FK110" s="5"/>
      <c r="FL110" s="5"/>
      <c r="FM110" s="5"/>
      <c r="FN110" s="5"/>
      <c r="FO110" s="5"/>
      <c r="FP110" s="5"/>
      <c r="FQ110" s="5"/>
      <c r="FR110" s="5"/>
      <c r="FS110" s="5"/>
      <c r="FT110" s="5"/>
      <c r="FU110" s="5"/>
      <c r="FV110" s="5"/>
      <c r="FW110" s="5"/>
      <c r="FX110" s="5"/>
      <c r="FY110" s="5"/>
      <c r="FZ110" s="5"/>
      <c r="GA110" s="5"/>
      <c r="GB110" s="5"/>
      <c r="GC110" s="5"/>
      <c r="GD110" s="5"/>
      <c r="GE110" s="5"/>
      <c r="GF110" s="5"/>
      <c r="GG110" s="5"/>
      <c r="GH110" s="5"/>
      <c r="GI110" s="5"/>
      <c r="GJ110" s="5"/>
      <c r="GK110" s="5"/>
      <c r="GL110" s="5"/>
      <c r="GM110" s="5"/>
      <c r="GN110" s="5"/>
      <c r="GO110" s="5"/>
      <c r="GP110" s="5"/>
      <c r="GQ110" s="5"/>
      <c r="GR110" s="5"/>
      <c r="GS110" s="5"/>
      <c r="GT110" s="5"/>
      <c r="GU110" s="5"/>
      <c r="GV110" s="5"/>
      <c r="GW110" s="5"/>
      <c r="GX110" s="5"/>
      <c r="GY110" s="5"/>
      <c r="GZ110" s="5"/>
      <c r="HA110" s="5"/>
      <c r="HB110" s="5"/>
      <c r="HC110" s="5"/>
      <c r="HD110" s="5"/>
      <c r="HE110" s="5"/>
      <c r="HF110" s="5"/>
      <c r="HG110" s="5"/>
      <c r="HH110" s="5"/>
      <c r="HI110" s="5"/>
      <c r="HJ110" s="5"/>
      <c r="HK110" s="5"/>
      <c r="HL110" s="5"/>
      <c r="HM110" s="5"/>
      <c r="HN110" s="5"/>
      <c r="HO110" s="5"/>
      <c r="HP110" s="5"/>
      <c r="HQ110" s="5"/>
      <c r="HR110" s="5"/>
      <c r="HS110" s="5"/>
      <c r="HT110" s="5"/>
      <c r="HU110" s="5"/>
      <c r="HV110" s="5"/>
      <c r="HW110" s="5"/>
      <c r="HX110" s="5"/>
      <c r="HY110" s="5"/>
      <c r="HZ110" s="5"/>
      <c r="IA110" s="5"/>
      <c r="IB110" s="5"/>
      <c r="IC110" s="5"/>
      <c r="ID110" s="5"/>
      <c r="IE110" s="5"/>
      <c r="IF110" s="5"/>
      <c r="IG110" s="5"/>
      <c r="IH110" s="5"/>
      <c r="II110" s="5"/>
      <c r="IJ110" s="5"/>
      <c r="IK110" s="5"/>
      <c r="IL110" s="5"/>
      <c r="IM110" s="5"/>
      <c r="IN110" s="5"/>
      <c r="IO110" s="5"/>
      <c r="IP110" s="5"/>
      <c r="IQ110" s="5"/>
      <c r="IR110" s="5"/>
      <c r="IS110" s="5"/>
      <c r="IT110" s="5"/>
      <c r="IU110" s="5"/>
      <c r="IV110" s="5"/>
      <c r="IW110" s="5"/>
      <c r="IX110" s="5"/>
      <c r="IY110" s="5"/>
      <c r="IZ110" s="5"/>
      <c r="JA110" s="5"/>
      <c r="JB110" s="5"/>
      <c r="JC110" s="5"/>
      <c r="JD110" s="5"/>
      <c r="JE110" s="5"/>
      <c r="JF110" s="5"/>
      <c r="JG110" s="5"/>
      <c r="JH110" s="5"/>
      <c r="JI110" s="5"/>
      <c r="JJ110" s="5"/>
      <c r="JK110" s="5"/>
      <c r="JL110" s="5"/>
      <c r="JM110" s="5"/>
      <c r="JN110" s="5"/>
      <c r="JO110" s="5"/>
      <c r="JP110" s="5"/>
      <c r="JQ110" s="5"/>
      <c r="JR110" s="5"/>
      <c r="JS110" s="5"/>
      <c r="JT110" s="5"/>
      <c r="JU110" s="5"/>
      <c r="JV110" s="5"/>
      <c r="JW110" s="5"/>
      <c r="JX110" s="5"/>
      <c r="JY110" s="5"/>
      <c r="JZ110" s="5"/>
      <c r="KA110" s="5"/>
      <c r="KB110" s="5"/>
      <c r="KC110" s="5"/>
      <c r="KD110" s="5"/>
      <c r="KE110" s="5"/>
      <c r="KF110" s="5"/>
      <c r="KG110" s="5"/>
      <c r="KH110" s="5"/>
      <c r="KI110" s="5"/>
      <c r="KJ110" s="5"/>
      <c r="KK110" s="5"/>
      <c r="KL110" s="5"/>
      <c r="KM110" s="5"/>
      <c r="KN110" s="5"/>
      <c r="KO110" s="5"/>
      <c r="KP110" s="5"/>
      <c r="KQ110" s="5"/>
      <c r="KR110" s="5"/>
      <c r="KS110" s="5"/>
      <c r="KT110" s="5"/>
      <c r="KU110" s="5"/>
      <c r="KV110" s="5"/>
      <c r="KW110" s="5"/>
      <c r="KX110" s="5"/>
      <c r="KY110" s="5"/>
      <c r="KZ110" s="5"/>
      <c r="LA110" s="5"/>
      <c r="LB110" s="5"/>
      <c r="LC110" s="5"/>
      <c r="LD110" s="5"/>
      <c r="LE110" s="5"/>
      <c r="LF110" s="5"/>
      <c r="LG110" s="5"/>
      <c r="LH110" s="5"/>
      <c r="LI110" s="5"/>
      <c r="LJ110" s="5"/>
      <c r="LK110" s="5"/>
      <c r="LL110" s="5"/>
      <c r="LM110" s="5"/>
      <c r="LN110" s="5"/>
      <c r="LO110" s="5"/>
      <c r="LP110" s="5"/>
      <c r="LQ110" s="5"/>
      <c r="LR110" s="5"/>
      <c r="LS110" s="5"/>
      <c r="LT110" s="5"/>
      <c r="LU110" s="5"/>
      <c r="LV110" s="5"/>
      <c r="LW110" s="5"/>
      <c r="LX110" s="5"/>
      <c r="LY110" s="5"/>
      <c r="LZ110" s="5"/>
      <c r="MA110" s="5"/>
      <c r="MB110" s="5"/>
      <c r="MC110" s="5"/>
      <c r="MD110" s="5"/>
      <c r="ME110" s="5"/>
      <c r="MF110" s="5"/>
      <c r="MG110" s="5"/>
      <c r="MH110" s="5"/>
      <c r="MI110" s="5"/>
      <c r="MJ110" s="5"/>
      <c r="MK110" s="5"/>
    </row>
    <row r="111" spans="1:349" s="2" customFormat="1" ht="17.7" customHeight="1" x14ac:dyDescent="0.3">
      <c r="A111" s="21">
        <v>110</v>
      </c>
      <c r="B111" s="21">
        <v>8100028</v>
      </c>
      <c r="C111" s="9" t="s">
        <v>143</v>
      </c>
      <c r="D111" s="9" t="s">
        <v>25</v>
      </c>
      <c r="E111" s="9" t="s">
        <v>35</v>
      </c>
      <c r="F111" s="9">
        <v>83.25</v>
      </c>
      <c r="G111" s="9">
        <v>10</v>
      </c>
      <c r="H111" s="9"/>
      <c r="I111" s="9" t="s">
        <v>116</v>
      </c>
      <c r="J111" s="9"/>
      <c r="K111" s="9"/>
      <c r="L111" s="9"/>
      <c r="M111" s="9">
        <f t="shared" si="1"/>
        <v>69.097499999999997</v>
      </c>
      <c r="N111" s="9" t="s">
        <v>28</v>
      </c>
      <c r="O111" s="9" t="s">
        <v>29</v>
      </c>
      <c r="P111" s="9" t="s">
        <v>29</v>
      </c>
      <c r="Q111" s="9"/>
      <c r="R111" s="9"/>
      <c r="S111" s="9"/>
      <c r="T111" s="9"/>
      <c r="U111" s="9"/>
      <c r="V111" s="9"/>
      <c r="W111" s="9"/>
      <c r="X111" s="9" t="s">
        <v>30</v>
      </c>
      <c r="Y111" s="13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  <c r="DE111" s="5"/>
      <c r="DF111" s="5"/>
      <c r="DG111" s="5"/>
      <c r="DH111" s="5"/>
      <c r="DI111" s="5"/>
      <c r="DJ111" s="5"/>
      <c r="DK111" s="5"/>
      <c r="DL111" s="5"/>
      <c r="DM111" s="5"/>
      <c r="DN111" s="5"/>
      <c r="DO111" s="5"/>
      <c r="DP111" s="5"/>
      <c r="DQ111" s="5"/>
      <c r="DR111" s="5"/>
      <c r="DS111" s="5"/>
      <c r="DT111" s="5"/>
      <c r="DU111" s="5"/>
      <c r="DV111" s="5"/>
      <c r="DW111" s="5"/>
      <c r="DX111" s="5"/>
      <c r="DY111" s="5"/>
      <c r="DZ111" s="5"/>
      <c r="EA111" s="5"/>
      <c r="EB111" s="5"/>
      <c r="EC111" s="5"/>
      <c r="ED111" s="5"/>
      <c r="EE111" s="5"/>
      <c r="EF111" s="5"/>
      <c r="EG111" s="5"/>
      <c r="EH111" s="5"/>
      <c r="EI111" s="5"/>
      <c r="EJ111" s="5"/>
      <c r="EK111" s="5"/>
      <c r="EL111" s="5"/>
      <c r="EM111" s="5"/>
      <c r="EN111" s="5"/>
      <c r="EO111" s="5"/>
      <c r="EP111" s="5"/>
      <c r="EQ111" s="5"/>
      <c r="ER111" s="5"/>
      <c r="ES111" s="5"/>
      <c r="ET111" s="5"/>
      <c r="EU111" s="5"/>
      <c r="EV111" s="5"/>
      <c r="EW111" s="5"/>
      <c r="EX111" s="5"/>
      <c r="EY111" s="5"/>
      <c r="EZ111" s="5"/>
      <c r="FA111" s="5"/>
      <c r="FB111" s="5"/>
      <c r="FC111" s="5"/>
      <c r="FD111" s="5"/>
      <c r="FE111" s="5"/>
      <c r="FF111" s="5"/>
      <c r="FG111" s="5"/>
      <c r="FH111" s="5"/>
      <c r="FI111" s="5"/>
      <c r="FJ111" s="5"/>
      <c r="FK111" s="5"/>
      <c r="FL111" s="5"/>
      <c r="FM111" s="5"/>
      <c r="FN111" s="5"/>
      <c r="FO111" s="5"/>
      <c r="FP111" s="5"/>
      <c r="FQ111" s="5"/>
      <c r="FR111" s="5"/>
      <c r="FS111" s="5"/>
      <c r="FT111" s="5"/>
      <c r="FU111" s="5"/>
      <c r="FV111" s="5"/>
      <c r="FW111" s="5"/>
      <c r="FX111" s="5"/>
      <c r="FY111" s="5"/>
      <c r="FZ111" s="5"/>
      <c r="GA111" s="5"/>
      <c r="GB111" s="5"/>
      <c r="GC111" s="5"/>
      <c r="GD111" s="5"/>
      <c r="GE111" s="5"/>
      <c r="GF111" s="5"/>
      <c r="GG111" s="5"/>
      <c r="GH111" s="5"/>
      <c r="GI111" s="5"/>
      <c r="GJ111" s="5"/>
      <c r="GK111" s="5"/>
      <c r="GL111" s="5"/>
      <c r="GM111" s="5"/>
      <c r="GN111" s="5"/>
      <c r="GO111" s="5"/>
      <c r="GP111" s="5"/>
      <c r="GQ111" s="5"/>
      <c r="GR111" s="5"/>
      <c r="GS111" s="5"/>
      <c r="GT111" s="5"/>
      <c r="GU111" s="5"/>
      <c r="GV111" s="5"/>
      <c r="GW111" s="5"/>
      <c r="GX111" s="5"/>
      <c r="GY111" s="5"/>
      <c r="GZ111" s="5"/>
      <c r="HA111" s="5"/>
      <c r="HB111" s="5"/>
      <c r="HC111" s="5"/>
      <c r="HD111" s="5"/>
      <c r="HE111" s="5"/>
      <c r="HF111" s="5"/>
      <c r="HG111" s="5"/>
      <c r="HH111" s="5"/>
      <c r="HI111" s="5"/>
      <c r="HJ111" s="5"/>
      <c r="HK111" s="5"/>
      <c r="HL111" s="5"/>
      <c r="HM111" s="5"/>
      <c r="HN111" s="5"/>
      <c r="HO111" s="5"/>
      <c r="HP111" s="5"/>
      <c r="HQ111" s="5"/>
      <c r="HR111" s="5"/>
      <c r="HS111" s="5"/>
      <c r="HT111" s="5"/>
      <c r="HU111" s="5"/>
      <c r="HV111" s="5"/>
      <c r="HW111" s="5"/>
      <c r="HX111" s="5"/>
      <c r="HY111" s="5"/>
      <c r="HZ111" s="5"/>
      <c r="IA111" s="5"/>
      <c r="IB111" s="5"/>
      <c r="IC111" s="5"/>
      <c r="ID111" s="5"/>
      <c r="IE111" s="5"/>
      <c r="IF111" s="5"/>
      <c r="IG111" s="5"/>
      <c r="IH111" s="5"/>
      <c r="II111" s="5"/>
      <c r="IJ111" s="5"/>
      <c r="IK111" s="5"/>
      <c r="IL111" s="5"/>
      <c r="IM111" s="5"/>
      <c r="IN111" s="5"/>
      <c r="IO111" s="5"/>
      <c r="IP111" s="5"/>
      <c r="IQ111" s="5"/>
      <c r="IR111" s="5"/>
      <c r="IS111" s="5"/>
      <c r="IT111" s="5"/>
      <c r="IU111" s="5"/>
      <c r="IV111" s="5"/>
      <c r="IW111" s="5"/>
      <c r="IX111" s="5"/>
      <c r="IY111" s="5"/>
      <c r="IZ111" s="5"/>
      <c r="JA111" s="5"/>
      <c r="JB111" s="5"/>
      <c r="JC111" s="5"/>
      <c r="JD111" s="5"/>
      <c r="JE111" s="5"/>
      <c r="JF111" s="5"/>
      <c r="JG111" s="5"/>
      <c r="JH111" s="5"/>
      <c r="JI111" s="5"/>
      <c r="JJ111" s="5"/>
      <c r="JK111" s="5"/>
      <c r="JL111" s="5"/>
      <c r="JM111" s="5"/>
      <c r="JN111" s="5"/>
      <c r="JO111" s="5"/>
      <c r="JP111" s="5"/>
      <c r="JQ111" s="5"/>
      <c r="JR111" s="5"/>
      <c r="JS111" s="5"/>
      <c r="JT111" s="5"/>
      <c r="JU111" s="5"/>
      <c r="JV111" s="5"/>
      <c r="JW111" s="5"/>
      <c r="JX111" s="5"/>
      <c r="JY111" s="5"/>
      <c r="JZ111" s="5"/>
      <c r="KA111" s="5"/>
      <c r="KB111" s="5"/>
      <c r="KC111" s="5"/>
      <c r="KD111" s="5"/>
      <c r="KE111" s="5"/>
      <c r="KF111" s="5"/>
      <c r="KG111" s="5"/>
      <c r="KH111" s="5"/>
      <c r="KI111" s="5"/>
      <c r="KJ111" s="5"/>
      <c r="KK111" s="5"/>
      <c r="KL111" s="5"/>
      <c r="KM111" s="5"/>
      <c r="KN111" s="5"/>
      <c r="KO111" s="5"/>
      <c r="KP111" s="5"/>
      <c r="KQ111" s="5"/>
      <c r="KR111" s="5"/>
      <c r="KS111" s="5"/>
      <c r="KT111" s="5"/>
      <c r="KU111" s="5"/>
      <c r="KV111" s="5"/>
      <c r="KW111" s="5"/>
      <c r="KX111" s="5"/>
      <c r="KY111" s="5"/>
      <c r="KZ111" s="5"/>
      <c r="LA111" s="5"/>
      <c r="LB111" s="5"/>
      <c r="LC111" s="5"/>
      <c r="LD111" s="5"/>
      <c r="LE111" s="5"/>
      <c r="LF111" s="5"/>
      <c r="LG111" s="5"/>
      <c r="LH111" s="5"/>
      <c r="LI111" s="5"/>
      <c r="LJ111" s="5"/>
      <c r="LK111" s="5"/>
      <c r="LL111" s="5"/>
      <c r="LM111" s="5"/>
      <c r="LN111" s="5"/>
      <c r="LO111" s="5"/>
      <c r="LP111" s="5"/>
      <c r="LQ111" s="5"/>
      <c r="LR111" s="5"/>
      <c r="LS111" s="5"/>
      <c r="LT111" s="5"/>
      <c r="LU111" s="5"/>
      <c r="LV111" s="5"/>
      <c r="LW111" s="5"/>
      <c r="LX111" s="5"/>
      <c r="LY111" s="5"/>
      <c r="LZ111" s="5"/>
      <c r="MA111" s="5"/>
      <c r="MB111" s="5"/>
      <c r="MC111" s="5"/>
      <c r="MD111" s="5"/>
      <c r="ME111" s="5"/>
      <c r="MF111" s="5"/>
      <c r="MG111" s="5"/>
      <c r="MH111" s="5"/>
      <c r="MI111" s="5"/>
      <c r="MJ111" s="5"/>
      <c r="MK111" s="5"/>
    </row>
    <row r="112" spans="1:349" s="1" customFormat="1" ht="17.7" customHeight="1" x14ac:dyDescent="0.3">
      <c r="A112" s="20">
        <v>111</v>
      </c>
      <c r="B112" s="20">
        <v>8100029</v>
      </c>
      <c r="C112" s="10" t="s">
        <v>144</v>
      </c>
      <c r="D112" s="10" t="s">
        <v>25</v>
      </c>
      <c r="E112" s="10" t="s">
        <v>35</v>
      </c>
      <c r="F112" s="10">
        <v>198.25</v>
      </c>
      <c r="G112" s="10">
        <v>3</v>
      </c>
      <c r="H112" s="10"/>
      <c r="I112" s="10" t="s">
        <v>116</v>
      </c>
      <c r="J112" s="10"/>
      <c r="K112" s="10"/>
      <c r="L112" s="10"/>
      <c r="M112" s="10">
        <f t="shared" si="1"/>
        <v>164.54750000000001</v>
      </c>
      <c r="N112" s="10" t="s">
        <v>28</v>
      </c>
      <c r="O112" s="10" t="s">
        <v>29</v>
      </c>
      <c r="P112" s="10" t="s">
        <v>29</v>
      </c>
      <c r="Q112" s="10"/>
      <c r="R112" s="10"/>
      <c r="S112" s="10"/>
      <c r="T112" s="10"/>
      <c r="U112" s="10"/>
      <c r="V112" s="10"/>
      <c r="W112" s="10"/>
      <c r="X112" s="10" t="s">
        <v>30</v>
      </c>
      <c r="Y112" s="14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  <c r="BJ112" s="6"/>
      <c r="BK112" s="6"/>
      <c r="BL112" s="6"/>
      <c r="BM112" s="6"/>
      <c r="BN112" s="6"/>
      <c r="BO112" s="6"/>
      <c r="BP112" s="6"/>
      <c r="BQ112" s="6"/>
      <c r="BR112" s="6"/>
      <c r="BS112" s="6"/>
      <c r="BT112" s="6"/>
      <c r="BU112" s="6"/>
      <c r="BV112" s="6"/>
      <c r="BW112" s="6"/>
      <c r="BX112" s="6"/>
      <c r="BY112" s="6"/>
      <c r="BZ112" s="6"/>
      <c r="CA112" s="6"/>
      <c r="CB112" s="6"/>
      <c r="CC112" s="6"/>
      <c r="CD112" s="6"/>
      <c r="CE112" s="6"/>
      <c r="CF112" s="6"/>
      <c r="CG112" s="6"/>
      <c r="CH112" s="6"/>
      <c r="CI112" s="6"/>
      <c r="CJ112" s="6"/>
      <c r="CK112" s="6"/>
      <c r="CL112" s="6"/>
      <c r="CM112" s="6"/>
      <c r="CN112" s="6"/>
      <c r="CO112" s="6"/>
      <c r="CP112" s="6"/>
      <c r="CQ112" s="6"/>
      <c r="CR112" s="6"/>
      <c r="CS112" s="6"/>
      <c r="CT112" s="6"/>
      <c r="CU112" s="6"/>
      <c r="CV112" s="6"/>
      <c r="CW112" s="6"/>
      <c r="CX112" s="6"/>
      <c r="CY112" s="6"/>
      <c r="CZ112" s="6"/>
      <c r="DA112" s="6"/>
      <c r="DB112" s="6"/>
      <c r="DC112" s="6"/>
      <c r="DD112" s="6"/>
      <c r="DE112" s="6"/>
      <c r="DF112" s="6"/>
      <c r="DG112" s="6"/>
      <c r="DH112" s="6"/>
      <c r="DI112" s="6"/>
      <c r="DJ112" s="6"/>
      <c r="DK112" s="6"/>
      <c r="DL112" s="6"/>
      <c r="DM112" s="6"/>
      <c r="DN112" s="6"/>
      <c r="DO112" s="6"/>
      <c r="DP112" s="6"/>
      <c r="DQ112" s="6"/>
      <c r="DR112" s="6"/>
      <c r="DS112" s="6"/>
      <c r="DT112" s="6"/>
      <c r="DU112" s="6"/>
      <c r="DV112" s="6"/>
      <c r="DW112" s="6"/>
      <c r="DX112" s="6"/>
      <c r="DY112" s="6"/>
      <c r="DZ112" s="6"/>
      <c r="EA112" s="6"/>
      <c r="EB112" s="6"/>
      <c r="EC112" s="6"/>
      <c r="ED112" s="6"/>
      <c r="EE112" s="6"/>
      <c r="EF112" s="6"/>
      <c r="EG112" s="6"/>
      <c r="EH112" s="6"/>
      <c r="EI112" s="6"/>
      <c r="EJ112" s="6"/>
      <c r="EK112" s="6"/>
      <c r="EL112" s="6"/>
      <c r="EM112" s="6"/>
      <c r="EN112" s="6"/>
      <c r="EO112" s="6"/>
      <c r="EP112" s="6"/>
      <c r="EQ112" s="6"/>
      <c r="ER112" s="6"/>
      <c r="ES112" s="6"/>
      <c r="ET112" s="6"/>
      <c r="EU112" s="6"/>
      <c r="EV112" s="6"/>
      <c r="EW112" s="6"/>
      <c r="EX112" s="6"/>
      <c r="EY112" s="6"/>
      <c r="EZ112" s="6"/>
      <c r="FA112" s="6"/>
      <c r="FB112" s="6"/>
      <c r="FC112" s="6"/>
      <c r="FD112" s="6"/>
      <c r="FE112" s="6"/>
      <c r="FF112" s="6"/>
      <c r="FG112" s="6"/>
      <c r="FH112" s="6"/>
      <c r="FI112" s="6"/>
      <c r="FJ112" s="6"/>
      <c r="FK112" s="6"/>
      <c r="FL112" s="6"/>
      <c r="FM112" s="6"/>
      <c r="FN112" s="6"/>
      <c r="FO112" s="6"/>
      <c r="FP112" s="6"/>
      <c r="FQ112" s="6"/>
      <c r="FR112" s="6"/>
      <c r="FS112" s="6"/>
      <c r="FT112" s="6"/>
      <c r="FU112" s="6"/>
      <c r="FV112" s="6"/>
      <c r="FW112" s="6"/>
      <c r="FX112" s="6"/>
      <c r="FY112" s="6"/>
      <c r="FZ112" s="6"/>
      <c r="GA112" s="6"/>
      <c r="GB112" s="6"/>
      <c r="GC112" s="6"/>
      <c r="GD112" s="6"/>
      <c r="GE112" s="6"/>
      <c r="GF112" s="6"/>
      <c r="GG112" s="6"/>
      <c r="GH112" s="6"/>
      <c r="GI112" s="6"/>
      <c r="GJ112" s="6"/>
      <c r="GK112" s="6"/>
      <c r="GL112" s="6"/>
      <c r="GM112" s="6"/>
      <c r="GN112" s="6"/>
      <c r="GO112" s="6"/>
      <c r="GP112" s="6"/>
      <c r="GQ112" s="6"/>
      <c r="GR112" s="6"/>
      <c r="GS112" s="6"/>
      <c r="GT112" s="6"/>
      <c r="GU112" s="6"/>
      <c r="GV112" s="6"/>
      <c r="GW112" s="6"/>
      <c r="GX112" s="6"/>
      <c r="GY112" s="6"/>
      <c r="GZ112" s="6"/>
      <c r="HA112" s="6"/>
      <c r="HB112" s="6"/>
      <c r="HC112" s="6"/>
      <c r="HD112" s="6"/>
      <c r="HE112" s="6"/>
      <c r="HF112" s="6"/>
      <c r="HG112" s="6"/>
      <c r="HH112" s="6"/>
      <c r="HI112" s="6"/>
      <c r="HJ112" s="6"/>
      <c r="HK112" s="6"/>
      <c r="HL112" s="6"/>
      <c r="HM112" s="6"/>
      <c r="HN112" s="6"/>
      <c r="HO112" s="6"/>
      <c r="HP112" s="6"/>
      <c r="HQ112" s="6"/>
      <c r="HR112" s="6"/>
      <c r="HS112" s="6"/>
      <c r="HT112" s="6"/>
      <c r="HU112" s="6"/>
      <c r="HV112" s="6"/>
      <c r="HW112" s="6"/>
      <c r="HX112" s="6"/>
      <c r="HY112" s="6"/>
      <c r="HZ112" s="6"/>
      <c r="IA112" s="6"/>
      <c r="IB112" s="6"/>
      <c r="IC112" s="6"/>
      <c r="ID112" s="6"/>
      <c r="IE112" s="6"/>
      <c r="IF112" s="6"/>
      <c r="IG112" s="6"/>
      <c r="IH112" s="6"/>
      <c r="II112" s="6"/>
      <c r="IJ112" s="6"/>
      <c r="IK112" s="6"/>
      <c r="IL112" s="6"/>
      <c r="IM112" s="6"/>
      <c r="IN112" s="6"/>
      <c r="IO112" s="6"/>
      <c r="IP112" s="6"/>
      <c r="IQ112" s="6"/>
      <c r="IR112" s="6"/>
      <c r="IS112" s="6"/>
      <c r="IT112" s="6"/>
      <c r="IU112" s="6"/>
      <c r="IV112" s="6"/>
      <c r="IW112" s="6"/>
      <c r="IX112" s="6"/>
      <c r="IY112" s="6"/>
      <c r="IZ112" s="6"/>
      <c r="JA112" s="6"/>
      <c r="JB112" s="6"/>
      <c r="JC112" s="6"/>
      <c r="JD112" s="6"/>
      <c r="JE112" s="6"/>
      <c r="JF112" s="6"/>
      <c r="JG112" s="6"/>
      <c r="JH112" s="6"/>
      <c r="JI112" s="6"/>
      <c r="JJ112" s="6"/>
      <c r="JK112" s="6"/>
      <c r="JL112" s="6"/>
      <c r="JM112" s="6"/>
      <c r="JN112" s="6"/>
      <c r="JO112" s="6"/>
      <c r="JP112" s="6"/>
      <c r="JQ112" s="6"/>
      <c r="JR112" s="6"/>
      <c r="JS112" s="6"/>
      <c r="JT112" s="6"/>
      <c r="JU112" s="6"/>
      <c r="JV112" s="6"/>
      <c r="JW112" s="6"/>
      <c r="JX112" s="6"/>
      <c r="JY112" s="6"/>
      <c r="JZ112" s="6"/>
      <c r="KA112" s="6"/>
      <c r="KB112" s="6"/>
      <c r="KC112" s="6"/>
      <c r="KD112" s="6"/>
      <c r="KE112" s="6"/>
      <c r="KF112" s="6"/>
      <c r="KG112" s="6"/>
      <c r="KH112" s="6"/>
      <c r="KI112" s="6"/>
      <c r="KJ112" s="6"/>
      <c r="KK112" s="6"/>
      <c r="KL112" s="6"/>
      <c r="KM112" s="6"/>
      <c r="KN112" s="6"/>
      <c r="KO112" s="6"/>
      <c r="KP112" s="6"/>
      <c r="KQ112" s="6"/>
      <c r="KR112" s="6"/>
      <c r="KS112" s="6"/>
      <c r="KT112" s="6"/>
      <c r="KU112" s="6"/>
      <c r="KV112" s="6"/>
      <c r="KW112" s="6"/>
      <c r="KX112" s="6"/>
      <c r="KY112" s="6"/>
      <c r="KZ112" s="6"/>
      <c r="LA112" s="6"/>
      <c r="LB112" s="6"/>
      <c r="LC112" s="6"/>
      <c r="LD112" s="6"/>
      <c r="LE112" s="6"/>
      <c r="LF112" s="6"/>
      <c r="LG112" s="6"/>
      <c r="LH112" s="6"/>
      <c r="LI112" s="6"/>
      <c r="LJ112" s="6"/>
      <c r="LK112" s="6"/>
      <c r="LL112" s="6"/>
      <c r="LM112" s="6"/>
      <c r="LN112" s="6"/>
      <c r="LO112" s="6"/>
      <c r="LP112" s="6"/>
      <c r="LQ112" s="6"/>
      <c r="LR112" s="6"/>
      <c r="LS112" s="6"/>
      <c r="LT112" s="6"/>
      <c r="LU112" s="6"/>
      <c r="LV112" s="6"/>
      <c r="LW112" s="6"/>
      <c r="LX112" s="6"/>
      <c r="LY112" s="6"/>
      <c r="LZ112" s="6"/>
      <c r="MA112" s="6"/>
      <c r="MB112" s="6"/>
      <c r="MC112" s="6"/>
      <c r="MD112" s="6"/>
      <c r="ME112" s="6"/>
      <c r="MF112" s="6"/>
      <c r="MG112" s="6"/>
      <c r="MH112" s="6"/>
      <c r="MI112" s="6"/>
      <c r="MJ112" s="6"/>
      <c r="MK112" s="6"/>
    </row>
    <row r="113" spans="1:349" s="2" customFormat="1" ht="17.7" customHeight="1" x14ac:dyDescent="0.3">
      <c r="A113" s="21">
        <v>112</v>
      </c>
      <c r="B113" s="21">
        <v>8100030</v>
      </c>
      <c r="C113" s="9" t="s">
        <v>145</v>
      </c>
      <c r="D113" s="9" t="s">
        <v>25</v>
      </c>
      <c r="E113" s="9" t="s">
        <v>35</v>
      </c>
      <c r="F113" s="9">
        <v>53</v>
      </c>
      <c r="G113" s="9">
        <v>20</v>
      </c>
      <c r="H113" s="9"/>
      <c r="I113" s="9" t="s">
        <v>116</v>
      </c>
      <c r="J113" s="9"/>
      <c r="K113" s="9"/>
      <c r="L113" s="9"/>
      <c r="M113" s="9">
        <f t="shared" si="1"/>
        <v>43.99</v>
      </c>
      <c r="N113" s="9" t="s">
        <v>28</v>
      </c>
      <c r="O113" s="9" t="s">
        <v>29</v>
      </c>
      <c r="P113" s="9" t="s">
        <v>29</v>
      </c>
      <c r="Q113" s="9"/>
      <c r="R113" s="9"/>
      <c r="S113" s="9"/>
      <c r="T113" s="9"/>
      <c r="U113" s="9"/>
      <c r="V113" s="9"/>
      <c r="W113" s="9"/>
      <c r="X113" s="9" t="s">
        <v>30</v>
      </c>
      <c r="Y113" s="13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  <c r="DE113" s="5"/>
      <c r="DF113" s="5"/>
      <c r="DG113" s="5"/>
      <c r="DH113" s="5"/>
      <c r="DI113" s="5"/>
      <c r="DJ113" s="5"/>
      <c r="DK113" s="5"/>
      <c r="DL113" s="5"/>
      <c r="DM113" s="5"/>
      <c r="DN113" s="5"/>
      <c r="DO113" s="5"/>
      <c r="DP113" s="5"/>
      <c r="DQ113" s="5"/>
      <c r="DR113" s="5"/>
      <c r="DS113" s="5"/>
      <c r="DT113" s="5"/>
      <c r="DU113" s="5"/>
      <c r="DV113" s="5"/>
      <c r="DW113" s="5"/>
      <c r="DX113" s="5"/>
      <c r="DY113" s="5"/>
      <c r="DZ113" s="5"/>
      <c r="EA113" s="5"/>
      <c r="EB113" s="5"/>
      <c r="EC113" s="5"/>
      <c r="ED113" s="5"/>
      <c r="EE113" s="5"/>
      <c r="EF113" s="5"/>
      <c r="EG113" s="5"/>
      <c r="EH113" s="5"/>
      <c r="EI113" s="5"/>
      <c r="EJ113" s="5"/>
      <c r="EK113" s="5"/>
      <c r="EL113" s="5"/>
      <c r="EM113" s="5"/>
      <c r="EN113" s="5"/>
      <c r="EO113" s="5"/>
      <c r="EP113" s="5"/>
      <c r="EQ113" s="5"/>
      <c r="ER113" s="5"/>
      <c r="ES113" s="5"/>
      <c r="ET113" s="5"/>
      <c r="EU113" s="5"/>
      <c r="EV113" s="5"/>
      <c r="EW113" s="5"/>
      <c r="EX113" s="5"/>
      <c r="EY113" s="5"/>
      <c r="EZ113" s="5"/>
      <c r="FA113" s="5"/>
      <c r="FB113" s="5"/>
      <c r="FC113" s="5"/>
      <c r="FD113" s="5"/>
      <c r="FE113" s="5"/>
      <c r="FF113" s="5"/>
      <c r="FG113" s="5"/>
      <c r="FH113" s="5"/>
      <c r="FI113" s="5"/>
      <c r="FJ113" s="5"/>
      <c r="FK113" s="5"/>
      <c r="FL113" s="5"/>
      <c r="FM113" s="5"/>
      <c r="FN113" s="5"/>
      <c r="FO113" s="5"/>
      <c r="FP113" s="5"/>
      <c r="FQ113" s="5"/>
      <c r="FR113" s="5"/>
      <c r="FS113" s="5"/>
      <c r="FT113" s="5"/>
      <c r="FU113" s="5"/>
      <c r="FV113" s="5"/>
      <c r="FW113" s="5"/>
      <c r="FX113" s="5"/>
      <c r="FY113" s="5"/>
      <c r="FZ113" s="5"/>
      <c r="GA113" s="5"/>
      <c r="GB113" s="5"/>
      <c r="GC113" s="5"/>
      <c r="GD113" s="5"/>
      <c r="GE113" s="5"/>
      <c r="GF113" s="5"/>
      <c r="GG113" s="5"/>
      <c r="GH113" s="5"/>
      <c r="GI113" s="5"/>
      <c r="GJ113" s="5"/>
      <c r="GK113" s="5"/>
      <c r="GL113" s="5"/>
      <c r="GM113" s="5"/>
      <c r="GN113" s="5"/>
      <c r="GO113" s="5"/>
      <c r="GP113" s="5"/>
      <c r="GQ113" s="5"/>
      <c r="GR113" s="5"/>
      <c r="GS113" s="5"/>
      <c r="GT113" s="5"/>
      <c r="GU113" s="5"/>
      <c r="GV113" s="5"/>
      <c r="GW113" s="5"/>
      <c r="GX113" s="5"/>
      <c r="GY113" s="5"/>
      <c r="GZ113" s="5"/>
      <c r="HA113" s="5"/>
      <c r="HB113" s="5"/>
      <c r="HC113" s="5"/>
      <c r="HD113" s="5"/>
      <c r="HE113" s="5"/>
      <c r="HF113" s="5"/>
      <c r="HG113" s="5"/>
      <c r="HH113" s="5"/>
      <c r="HI113" s="5"/>
      <c r="HJ113" s="5"/>
      <c r="HK113" s="5"/>
      <c r="HL113" s="5"/>
      <c r="HM113" s="5"/>
      <c r="HN113" s="5"/>
      <c r="HO113" s="5"/>
      <c r="HP113" s="5"/>
      <c r="HQ113" s="5"/>
      <c r="HR113" s="5"/>
      <c r="HS113" s="5"/>
      <c r="HT113" s="5"/>
      <c r="HU113" s="5"/>
      <c r="HV113" s="5"/>
      <c r="HW113" s="5"/>
      <c r="HX113" s="5"/>
      <c r="HY113" s="5"/>
      <c r="HZ113" s="5"/>
      <c r="IA113" s="5"/>
      <c r="IB113" s="5"/>
      <c r="IC113" s="5"/>
      <c r="ID113" s="5"/>
      <c r="IE113" s="5"/>
      <c r="IF113" s="5"/>
      <c r="IG113" s="5"/>
      <c r="IH113" s="5"/>
      <c r="II113" s="5"/>
      <c r="IJ113" s="5"/>
      <c r="IK113" s="5"/>
      <c r="IL113" s="5"/>
      <c r="IM113" s="5"/>
      <c r="IN113" s="5"/>
      <c r="IO113" s="5"/>
      <c r="IP113" s="5"/>
      <c r="IQ113" s="5"/>
      <c r="IR113" s="5"/>
      <c r="IS113" s="5"/>
      <c r="IT113" s="5"/>
      <c r="IU113" s="5"/>
      <c r="IV113" s="5"/>
      <c r="IW113" s="5"/>
      <c r="IX113" s="5"/>
      <c r="IY113" s="5"/>
      <c r="IZ113" s="5"/>
      <c r="JA113" s="5"/>
      <c r="JB113" s="5"/>
      <c r="JC113" s="5"/>
      <c r="JD113" s="5"/>
      <c r="JE113" s="5"/>
      <c r="JF113" s="5"/>
      <c r="JG113" s="5"/>
      <c r="JH113" s="5"/>
      <c r="JI113" s="5"/>
      <c r="JJ113" s="5"/>
      <c r="JK113" s="5"/>
      <c r="JL113" s="5"/>
      <c r="JM113" s="5"/>
      <c r="JN113" s="5"/>
      <c r="JO113" s="5"/>
      <c r="JP113" s="5"/>
      <c r="JQ113" s="5"/>
      <c r="JR113" s="5"/>
      <c r="JS113" s="5"/>
      <c r="JT113" s="5"/>
      <c r="JU113" s="5"/>
      <c r="JV113" s="5"/>
      <c r="JW113" s="5"/>
      <c r="JX113" s="5"/>
      <c r="JY113" s="5"/>
      <c r="JZ113" s="5"/>
      <c r="KA113" s="5"/>
      <c r="KB113" s="5"/>
      <c r="KC113" s="5"/>
      <c r="KD113" s="5"/>
      <c r="KE113" s="5"/>
      <c r="KF113" s="5"/>
      <c r="KG113" s="5"/>
      <c r="KH113" s="5"/>
      <c r="KI113" s="5"/>
      <c r="KJ113" s="5"/>
      <c r="KK113" s="5"/>
      <c r="KL113" s="5"/>
      <c r="KM113" s="5"/>
      <c r="KN113" s="5"/>
      <c r="KO113" s="5"/>
      <c r="KP113" s="5"/>
      <c r="KQ113" s="5"/>
      <c r="KR113" s="5"/>
      <c r="KS113" s="5"/>
      <c r="KT113" s="5"/>
      <c r="KU113" s="5"/>
      <c r="KV113" s="5"/>
      <c r="KW113" s="5"/>
      <c r="KX113" s="5"/>
      <c r="KY113" s="5"/>
      <c r="KZ113" s="5"/>
      <c r="LA113" s="5"/>
      <c r="LB113" s="5"/>
      <c r="LC113" s="5"/>
      <c r="LD113" s="5"/>
      <c r="LE113" s="5"/>
      <c r="LF113" s="5"/>
      <c r="LG113" s="5"/>
      <c r="LH113" s="5"/>
      <c r="LI113" s="5"/>
      <c r="LJ113" s="5"/>
      <c r="LK113" s="5"/>
      <c r="LL113" s="5"/>
      <c r="LM113" s="5"/>
      <c r="LN113" s="5"/>
      <c r="LO113" s="5"/>
      <c r="LP113" s="5"/>
      <c r="LQ113" s="5"/>
      <c r="LR113" s="5"/>
      <c r="LS113" s="5"/>
      <c r="LT113" s="5"/>
      <c r="LU113" s="5"/>
      <c r="LV113" s="5"/>
      <c r="LW113" s="5"/>
      <c r="LX113" s="5"/>
      <c r="LY113" s="5"/>
      <c r="LZ113" s="5"/>
      <c r="MA113" s="5"/>
      <c r="MB113" s="5"/>
      <c r="MC113" s="5"/>
      <c r="MD113" s="5"/>
      <c r="ME113" s="5"/>
      <c r="MF113" s="5"/>
      <c r="MG113" s="5"/>
      <c r="MH113" s="5"/>
      <c r="MI113" s="5"/>
      <c r="MJ113" s="5"/>
      <c r="MK113" s="5"/>
    </row>
    <row r="114" spans="1:349" s="2" customFormat="1" ht="17.7" customHeight="1" x14ac:dyDescent="0.3">
      <c r="A114" s="20">
        <v>113</v>
      </c>
      <c r="B114" s="20">
        <v>8100031</v>
      </c>
      <c r="C114" s="10" t="s">
        <v>146</v>
      </c>
      <c r="D114" s="10" t="s">
        <v>25</v>
      </c>
      <c r="E114" s="10" t="s">
        <v>35</v>
      </c>
      <c r="F114" s="10">
        <v>85.75</v>
      </c>
      <c r="G114" s="10">
        <v>20</v>
      </c>
      <c r="H114" s="10"/>
      <c r="I114" s="10" t="s">
        <v>116</v>
      </c>
      <c r="J114" s="10"/>
      <c r="K114" s="10"/>
      <c r="L114" s="10"/>
      <c r="M114" s="10">
        <f t="shared" si="1"/>
        <v>71.172499999999999</v>
      </c>
      <c r="N114" s="10" t="s">
        <v>28</v>
      </c>
      <c r="O114" s="10" t="s">
        <v>29</v>
      </c>
      <c r="P114" s="10" t="s">
        <v>29</v>
      </c>
      <c r="Q114" s="10"/>
      <c r="R114" s="10"/>
      <c r="S114" s="10"/>
      <c r="T114" s="10"/>
      <c r="U114" s="10"/>
      <c r="V114" s="10"/>
      <c r="W114" s="10"/>
      <c r="X114" s="10" t="s">
        <v>30</v>
      </c>
      <c r="Y114" s="13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  <c r="DE114" s="5"/>
      <c r="DF114" s="5"/>
      <c r="DG114" s="5"/>
      <c r="DH114" s="5"/>
      <c r="DI114" s="5"/>
      <c r="DJ114" s="5"/>
      <c r="DK114" s="5"/>
      <c r="DL114" s="5"/>
      <c r="DM114" s="5"/>
      <c r="DN114" s="5"/>
      <c r="DO114" s="5"/>
      <c r="DP114" s="5"/>
      <c r="DQ114" s="5"/>
      <c r="DR114" s="5"/>
      <c r="DS114" s="5"/>
      <c r="DT114" s="5"/>
      <c r="DU114" s="5"/>
      <c r="DV114" s="5"/>
      <c r="DW114" s="5"/>
      <c r="DX114" s="5"/>
      <c r="DY114" s="5"/>
      <c r="DZ114" s="5"/>
      <c r="EA114" s="5"/>
      <c r="EB114" s="5"/>
      <c r="EC114" s="5"/>
      <c r="ED114" s="5"/>
      <c r="EE114" s="5"/>
      <c r="EF114" s="5"/>
      <c r="EG114" s="5"/>
      <c r="EH114" s="5"/>
      <c r="EI114" s="5"/>
      <c r="EJ114" s="5"/>
      <c r="EK114" s="5"/>
      <c r="EL114" s="5"/>
      <c r="EM114" s="5"/>
      <c r="EN114" s="5"/>
      <c r="EO114" s="5"/>
      <c r="EP114" s="5"/>
      <c r="EQ114" s="5"/>
      <c r="ER114" s="5"/>
      <c r="ES114" s="5"/>
      <c r="ET114" s="5"/>
      <c r="EU114" s="5"/>
      <c r="EV114" s="5"/>
      <c r="EW114" s="5"/>
      <c r="EX114" s="5"/>
      <c r="EY114" s="5"/>
      <c r="EZ114" s="5"/>
      <c r="FA114" s="5"/>
      <c r="FB114" s="5"/>
      <c r="FC114" s="5"/>
      <c r="FD114" s="5"/>
      <c r="FE114" s="5"/>
      <c r="FF114" s="5"/>
      <c r="FG114" s="5"/>
      <c r="FH114" s="5"/>
      <c r="FI114" s="5"/>
      <c r="FJ114" s="5"/>
      <c r="FK114" s="5"/>
      <c r="FL114" s="5"/>
      <c r="FM114" s="5"/>
      <c r="FN114" s="5"/>
      <c r="FO114" s="5"/>
      <c r="FP114" s="5"/>
      <c r="FQ114" s="5"/>
      <c r="FR114" s="5"/>
      <c r="FS114" s="5"/>
      <c r="FT114" s="5"/>
      <c r="FU114" s="5"/>
      <c r="FV114" s="5"/>
      <c r="FW114" s="5"/>
      <c r="FX114" s="5"/>
      <c r="FY114" s="5"/>
      <c r="FZ114" s="5"/>
      <c r="GA114" s="5"/>
      <c r="GB114" s="5"/>
      <c r="GC114" s="5"/>
      <c r="GD114" s="5"/>
      <c r="GE114" s="5"/>
      <c r="GF114" s="5"/>
      <c r="GG114" s="5"/>
      <c r="GH114" s="5"/>
      <c r="GI114" s="5"/>
      <c r="GJ114" s="5"/>
      <c r="GK114" s="5"/>
      <c r="GL114" s="5"/>
      <c r="GM114" s="5"/>
      <c r="GN114" s="5"/>
      <c r="GO114" s="5"/>
      <c r="GP114" s="5"/>
      <c r="GQ114" s="5"/>
      <c r="GR114" s="5"/>
      <c r="GS114" s="5"/>
      <c r="GT114" s="5"/>
      <c r="GU114" s="5"/>
      <c r="GV114" s="5"/>
      <c r="GW114" s="5"/>
      <c r="GX114" s="5"/>
      <c r="GY114" s="5"/>
      <c r="GZ114" s="5"/>
      <c r="HA114" s="5"/>
      <c r="HB114" s="5"/>
      <c r="HC114" s="5"/>
      <c r="HD114" s="5"/>
      <c r="HE114" s="5"/>
      <c r="HF114" s="5"/>
      <c r="HG114" s="5"/>
      <c r="HH114" s="5"/>
      <c r="HI114" s="5"/>
      <c r="HJ114" s="5"/>
      <c r="HK114" s="5"/>
      <c r="HL114" s="5"/>
      <c r="HM114" s="5"/>
      <c r="HN114" s="5"/>
      <c r="HO114" s="5"/>
      <c r="HP114" s="5"/>
      <c r="HQ114" s="5"/>
      <c r="HR114" s="5"/>
      <c r="HS114" s="5"/>
      <c r="HT114" s="5"/>
      <c r="HU114" s="5"/>
      <c r="HV114" s="5"/>
      <c r="HW114" s="5"/>
      <c r="HX114" s="5"/>
      <c r="HY114" s="5"/>
      <c r="HZ114" s="5"/>
      <c r="IA114" s="5"/>
      <c r="IB114" s="5"/>
      <c r="IC114" s="5"/>
      <c r="ID114" s="5"/>
      <c r="IE114" s="5"/>
      <c r="IF114" s="5"/>
      <c r="IG114" s="5"/>
      <c r="IH114" s="5"/>
      <c r="II114" s="5"/>
      <c r="IJ114" s="5"/>
      <c r="IK114" s="5"/>
      <c r="IL114" s="5"/>
      <c r="IM114" s="5"/>
      <c r="IN114" s="5"/>
      <c r="IO114" s="5"/>
      <c r="IP114" s="5"/>
      <c r="IQ114" s="5"/>
      <c r="IR114" s="5"/>
      <c r="IS114" s="5"/>
      <c r="IT114" s="5"/>
      <c r="IU114" s="5"/>
      <c r="IV114" s="5"/>
      <c r="IW114" s="5"/>
      <c r="IX114" s="5"/>
      <c r="IY114" s="5"/>
      <c r="IZ114" s="5"/>
      <c r="JA114" s="5"/>
      <c r="JB114" s="5"/>
      <c r="JC114" s="5"/>
      <c r="JD114" s="5"/>
      <c r="JE114" s="5"/>
      <c r="JF114" s="5"/>
      <c r="JG114" s="5"/>
      <c r="JH114" s="5"/>
      <c r="JI114" s="5"/>
      <c r="JJ114" s="5"/>
      <c r="JK114" s="5"/>
      <c r="JL114" s="5"/>
      <c r="JM114" s="5"/>
      <c r="JN114" s="5"/>
      <c r="JO114" s="5"/>
      <c r="JP114" s="5"/>
      <c r="JQ114" s="5"/>
      <c r="JR114" s="5"/>
      <c r="JS114" s="5"/>
      <c r="JT114" s="5"/>
      <c r="JU114" s="5"/>
      <c r="JV114" s="5"/>
      <c r="JW114" s="5"/>
      <c r="JX114" s="5"/>
      <c r="JY114" s="5"/>
      <c r="JZ114" s="5"/>
      <c r="KA114" s="5"/>
      <c r="KB114" s="5"/>
      <c r="KC114" s="5"/>
      <c r="KD114" s="5"/>
      <c r="KE114" s="5"/>
      <c r="KF114" s="5"/>
      <c r="KG114" s="5"/>
      <c r="KH114" s="5"/>
      <c r="KI114" s="5"/>
      <c r="KJ114" s="5"/>
      <c r="KK114" s="5"/>
      <c r="KL114" s="5"/>
      <c r="KM114" s="5"/>
      <c r="KN114" s="5"/>
      <c r="KO114" s="5"/>
      <c r="KP114" s="5"/>
      <c r="KQ114" s="5"/>
      <c r="KR114" s="5"/>
      <c r="KS114" s="5"/>
      <c r="KT114" s="5"/>
      <c r="KU114" s="5"/>
      <c r="KV114" s="5"/>
      <c r="KW114" s="5"/>
      <c r="KX114" s="5"/>
      <c r="KY114" s="5"/>
      <c r="KZ114" s="5"/>
      <c r="LA114" s="5"/>
      <c r="LB114" s="5"/>
      <c r="LC114" s="5"/>
      <c r="LD114" s="5"/>
      <c r="LE114" s="5"/>
      <c r="LF114" s="5"/>
      <c r="LG114" s="5"/>
      <c r="LH114" s="5"/>
      <c r="LI114" s="5"/>
      <c r="LJ114" s="5"/>
      <c r="LK114" s="5"/>
      <c r="LL114" s="5"/>
      <c r="LM114" s="5"/>
      <c r="LN114" s="5"/>
      <c r="LO114" s="5"/>
      <c r="LP114" s="5"/>
      <c r="LQ114" s="5"/>
      <c r="LR114" s="5"/>
      <c r="LS114" s="5"/>
      <c r="LT114" s="5"/>
      <c r="LU114" s="5"/>
      <c r="LV114" s="5"/>
      <c r="LW114" s="5"/>
      <c r="LX114" s="5"/>
      <c r="LY114" s="5"/>
      <c r="LZ114" s="5"/>
      <c r="MA114" s="5"/>
      <c r="MB114" s="5"/>
      <c r="MC114" s="5"/>
      <c r="MD114" s="5"/>
      <c r="ME114" s="5"/>
      <c r="MF114" s="5"/>
      <c r="MG114" s="5"/>
      <c r="MH114" s="5"/>
      <c r="MI114" s="5"/>
      <c r="MJ114" s="5"/>
      <c r="MK114" s="5"/>
    </row>
    <row r="115" spans="1:349" s="2" customFormat="1" ht="17.7" customHeight="1" x14ac:dyDescent="0.3">
      <c r="A115" s="21">
        <v>114</v>
      </c>
      <c r="B115" s="21">
        <v>8100032</v>
      </c>
      <c r="C115" s="9" t="s">
        <v>147</v>
      </c>
      <c r="D115" s="9" t="s">
        <v>25</v>
      </c>
      <c r="E115" s="9" t="s">
        <v>35</v>
      </c>
      <c r="F115" s="9">
        <v>68.75</v>
      </c>
      <c r="G115" s="9">
        <v>20</v>
      </c>
      <c r="H115" s="9"/>
      <c r="I115" s="9" t="s">
        <v>116</v>
      </c>
      <c r="J115" s="9"/>
      <c r="K115" s="9"/>
      <c r="L115" s="9"/>
      <c r="M115" s="9">
        <f t="shared" si="1"/>
        <v>57.0625</v>
      </c>
      <c r="N115" s="9" t="s">
        <v>28</v>
      </c>
      <c r="O115" s="9" t="s">
        <v>29</v>
      </c>
      <c r="P115" s="9" t="s">
        <v>29</v>
      </c>
      <c r="Q115" s="9"/>
      <c r="R115" s="9"/>
      <c r="S115" s="9"/>
      <c r="T115" s="9"/>
      <c r="U115" s="9"/>
      <c r="V115" s="9"/>
      <c r="W115" s="9"/>
      <c r="X115" s="9" t="s">
        <v>30</v>
      </c>
      <c r="Y115" s="13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  <c r="DE115" s="5"/>
      <c r="DF115" s="5"/>
      <c r="DG115" s="5"/>
      <c r="DH115" s="5"/>
      <c r="DI115" s="5"/>
      <c r="DJ115" s="5"/>
      <c r="DK115" s="5"/>
      <c r="DL115" s="5"/>
      <c r="DM115" s="5"/>
      <c r="DN115" s="5"/>
      <c r="DO115" s="5"/>
      <c r="DP115" s="5"/>
      <c r="DQ115" s="5"/>
      <c r="DR115" s="5"/>
      <c r="DS115" s="5"/>
      <c r="DT115" s="5"/>
      <c r="DU115" s="5"/>
      <c r="DV115" s="5"/>
      <c r="DW115" s="5"/>
      <c r="DX115" s="5"/>
      <c r="DY115" s="5"/>
      <c r="DZ115" s="5"/>
      <c r="EA115" s="5"/>
      <c r="EB115" s="5"/>
      <c r="EC115" s="5"/>
      <c r="ED115" s="5"/>
      <c r="EE115" s="5"/>
      <c r="EF115" s="5"/>
      <c r="EG115" s="5"/>
      <c r="EH115" s="5"/>
      <c r="EI115" s="5"/>
      <c r="EJ115" s="5"/>
      <c r="EK115" s="5"/>
      <c r="EL115" s="5"/>
      <c r="EM115" s="5"/>
      <c r="EN115" s="5"/>
      <c r="EO115" s="5"/>
      <c r="EP115" s="5"/>
      <c r="EQ115" s="5"/>
      <c r="ER115" s="5"/>
      <c r="ES115" s="5"/>
      <c r="ET115" s="5"/>
      <c r="EU115" s="5"/>
      <c r="EV115" s="5"/>
      <c r="EW115" s="5"/>
      <c r="EX115" s="5"/>
      <c r="EY115" s="5"/>
      <c r="EZ115" s="5"/>
      <c r="FA115" s="5"/>
      <c r="FB115" s="5"/>
      <c r="FC115" s="5"/>
      <c r="FD115" s="5"/>
      <c r="FE115" s="5"/>
      <c r="FF115" s="5"/>
      <c r="FG115" s="5"/>
      <c r="FH115" s="5"/>
      <c r="FI115" s="5"/>
      <c r="FJ115" s="5"/>
      <c r="FK115" s="5"/>
      <c r="FL115" s="5"/>
      <c r="FM115" s="5"/>
      <c r="FN115" s="5"/>
      <c r="FO115" s="5"/>
      <c r="FP115" s="5"/>
      <c r="FQ115" s="5"/>
      <c r="FR115" s="5"/>
      <c r="FS115" s="5"/>
      <c r="FT115" s="5"/>
      <c r="FU115" s="5"/>
      <c r="FV115" s="5"/>
      <c r="FW115" s="5"/>
      <c r="FX115" s="5"/>
      <c r="FY115" s="5"/>
      <c r="FZ115" s="5"/>
      <c r="GA115" s="5"/>
      <c r="GB115" s="5"/>
      <c r="GC115" s="5"/>
      <c r="GD115" s="5"/>
      <c r="GE115" s="5"/>
      <c r="GF115" s="5"/>
      <c r="GG115" s="5"/>
      <c r="GH115" s="5"/>
      <c r="GI115" s="5"/>
      <c r="GJ115" s="5"/>
      <c r="GK115" s="5"/>
      <c r="GL115" s="5"/>
      <c r="GM115" s="5"/>
      <c r="GN115" s="5"/>
      <c r="GO115" s="5"/>
      <c r="GP115" s="5"/>
      <c r="GQ115" s="5"/>
      <c r="GR115" s="5"/>
      <c r="GS115" s="5"/>
      <c r="GT115" s="5"/>
      <c r="GU115" s="5"/>
      <c r="GV115" s="5"/>
      <c r="GW115" s="5"/>
      <c r="GX115" s="5"/>
      <c r="GY115" s="5"/>
      <c r="GZ115" s="5"/>
      <c r="HA115" s="5"/>
      <c r="HB115" s="5"/>
      <c r="HC115" s="5"/>
      <c r="HD115" s="5"/>
      <c r="HE115" s="5"/>
      <c r="HF115" s="5"/>
      <c r="HG115" s="5"/>
      <c r="HH115" s="5"/>
      <c r="HI115" s="5"/>
      <c r="HJ115" s="5"/>
      <c r="HK115" s="5"/>
      <c r="HL115" s="5"/>
      <c r="HM115" s="5"/>
      <c r="HN115" s="5"/>
      <c r="HO115" s="5"/>
      <c r="HP115" s="5"/>
      <c r="HQ115" s="5"/>
      <c r="HR115" s="5"/>
      <c r="HS115" s="5"/>
      <c r="HT115" s="5"/>
      <c r="HU115" s="5"/>
      <c r="HV115" s="5"/>
      <c r="HW115" s="5"/>
      <c r="HX115" s="5"/>
      <c r="HY115" s="5"/>
      <c r="HZ115" s="5"/>
      <c r="IA115" s="5"/>
      <c r="IB115" s="5"/>
      <c r="IC115" s="5"/>
      <c r="ID115" s="5"/>
      <c r="IE115" s="5"/>
      <c r="IF115" s="5"/>
      <c r="IG115" s="5"/>
      <c r="IH115" s="5"/>
      <c r="II115" s="5"/>
      <c r="IJ115" s="5"/>
      <c r="IK115" s="5"/>
      <c r="IL115" s="5"/>
      <c r="IM115" s="5"/>
      <c r="IN115" s="5"/>
      <c r="IO115" s="5"/>
      <c r="IP115" s="5"/>
      <c r="IQ115" s="5"/>
      <c r="IR115" s="5"/>
      <c r="IS115" s="5"/>
      <c r="IT115" s="5"/>
      <c r="IU115" s="5"/>
      <c r="IV115" s="5"/>
      <c r="IW115" s="5"/>
      <c r="IX115" s="5"/>
      <c r="IY115" s="5"/>
      <c r="IZ115" s="5"/>
      <c r="JA115" s="5"/>
      <c r="JB115" s="5"/>
      <c r="JC115" s="5"/>
      <c r="JD115" s="5"/>
      <c r="JE115" s="5"/>
      <c r="JF115" s="5"/>
      <c r="JG115" s="5"/>
      <c r="JH115" s="5"/>
      <c r="JI115" s="5"/>
      <c r="JJ115" s="5"/>
      <c r="JK115" s="5"/>
      <c r="JL115" s="5"/>
      <c r="JM115" s="5"/>
      <c r="JN115" s="5"/>
      <c r="JO115" s="5"/>
      <c r="JP115" s="5"/>
      <c r="JQ115" s="5"/>
      <c r="JR115" s="5"/>
      <c r="JS115" s="5"/>
      <c r="JT115" s="5"/>
      <c r="JU115" s="5"/>
      <c r="JV115" s="5"/>
      <c r="JW115" s="5"/>
      <c r="JX115" s="5"/>
      <c r="JY115" s="5"/>
      <c r="JZ115" s="5"/>
      <c r="KA115" s="5"/>
      <c r="KB115" s="5"/>
      <c r="KC115" s="5"/>
      <c r="KD115" s="5"/>
      <c r="KE115" s="5"/>
      <c r="KF115" s="5"/>
      <c r="KG115" s="5"/>
      <c r="KH115" s="5"/>
      <c r="KI115" s="5"/>
      <c r="KJ115" s="5"/>
      <c r="KK115" s="5"/>
      <c r="KL115" s="5"/>
      <c r="KM115" s="5"/>
      <c r="KN115" s="5"/>
      <c r="KO115" s="5"/>
      <c r="KP115" s="5"/>
      <c r="KQ115" s="5"/>
      <c r="KR115" s="5"/>
      <c r="KS115" s="5"/>
      <c r="KT115" s="5"/>
      <c r="KU115" s="5"/>
      <c r="KV115" s="5"/>
      <c r="KW115" s="5"/>
      <c r="KX115" s="5"/>
      <c r="KY115" s="5"/>
      <c r="KZ115" s="5"/>
      <c r="LA115" s="5"/>
      <c r="LB115" s="5"/>
      <c r="LC115" s="5"/>
      <c r="LD115" s="5"/>
      <c r="LE115" s="5"/>
      <c r="LF115" s="5"/>
      <c r="LG115" s="5"/>
      <c r="LH115" s="5"/>
      <c r="LI115" s="5"/>
      <c r="LJ115" s="5"/>
      <c r="LK115" s="5"/>
      <c r="LL115" s="5"/>
      <c r="LM115" s="5"/>
      <c r="LN115" s="5"/>
      <c r="LO115" s="5"/>
      <c r="LP115" s="5"/>
      <c r="LQ115" s="5"/>
      <c r="LR115" s="5"/>
      <c r="LS115" s="5"/>
      <c r="LT115" s="5"/>
      <c r="LU115" s="5"/>
      <c r="LV115" s="5"/>
      <c r="LW115" s="5"/>
      <c r="LX115" s="5"/>
      <c r="LY115" s="5"/>
      <c r="LZ115" s="5"/>
      <c r="MA115" s="5"/>
      <c r="MB115" s="5"/>
      <c r="MC115" s="5"/>
      <c r="MD115" s="5"/>
      <c r="ME115" s="5"/>
      <c r="MF115" s="5"/>
      <c r="MG115" s="5"/>
      <c r="MH115" s="5"/>
      <c r="MI115" s="5"/>
      <c r="MJ115" s="5"/>
      <c r="MK115" s="5"/>
    </row>
    <row r="116" spans="1:349" s="1" customFormat="1" ht="17.7" customHeight="1" x14ac:dyDescent="0.3">
      <c r="A116" s="20">
        <v>115</v>
      </c>
      <c r="B116" s="20">
        <v>8100033</v>
      </c>
      <c r="C116" s="10" t="s">
        <v>148</v>
      </c>
      <c r="D116" s="10" t="s">
        <v>25</v>
      </c>
      <c r="E116" s="10" t="s">
        <v>35</v>
      </c>
      <c r="F116" s="10">
        <v>86.5</v>
      </c>
      <c r="G116" s="10">
        <v>10</v>
      </c>
      <c r="H116" s="10"/>
      <c r="I116" s="10" t="s">
        <v>116</v>
      </c>
      <c r="J116" s="10"/>
      <c r="K116" s="10"/>
      <c r="L116" s="10"/>
      <c r="M116" s="10">
        <f t="shared" si="1"/>
        <v>71.795000000000002</v>
      </c>
      <c r="N116" s="10" t="s">
        <v>28</v>
      </c>
      <c r="O116" s="10" t="s">
        <v>29</v>
      </c>
      <c r="P116" s="10" t="s">
        <v>29</v>
      </c>
      <c r="Q116" s="10"/>
      <c r="R116" s="10"/>
      <c r="S116" s="10"/>
      <c r="T116" s="10"/>
      <c r="U116" s="10"/>
      <c r="V116" s="10"/>
      <c r="W116" s="10"/>
      <c r="X116" s="10" t="s">
        <v>30</v>
      </c>
      <c r="Y116" s="14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  <c r="CF116" s="6"/>
      <c r="CG116" s="6"/>
      <c r="CH116" s="6"/>
      <c r="CI116" s="6"/>
      <c r="CJ116" s="6"/>
      <c r="CK116" s="6"/>
      <c r="CL116" s="6"/>
      <c r="CM116" s="6"/>
      <c r="CN116" s="6"/>
      <c r="CO116" s="6"/>
      <c r="CP116" s="6"/>
      <c r="CQ116" s="6"/>
      <c r="CR116" s="6"/>
      <c r="CS116" s="6"/>
      <c r="CT116" s="6"/>
      <c r="CU116" s="6"/>
      <c r="CV116" s="6"/>
      <c r="CW116" s="6"/>
      <c r="CX116" s="6"/>
      <c r="CY116" s="6"/>
      <c r="CZ116" s="6"/>
      <c r="DA116" s="6"/>
      <c r="DB116" s="6"/>
      <c r="DC116" s="6"/>
      <c r="DD116" s="6"/>
      <c r="DE116" s="6"/>
      <c r="DF116" s="6"/>
      <c r="DG116" s="6"/>
      <c r="DH116" s="6"/>
      <c r="DI116" s="6"/>
      <c r="DJ116" s="6"/>
      <c r="DK116" s="6"/>
      <c r="DL116" s="6"/>
      <c r="DM116" s="6"/>
      <c r="DN116" s="6"/>
      <c r="DO116" s="6"/>
      <c r="DP116" s="6"/>
      <c r="DQ116" s="6"/>
      <c r="DR116" s="6"/>
      <c r="DS116" s="6"/>
      <c r="DT116" s="6"/>
      <c r="DU116" s="6"/>
      <c r="DV116" s="6"/>
      <c r="DW116" s="6"/>
      <c r="DX116" s="6"/>
      <c r="DY116" s="6"/>
      <c r="DZ116" s="6"/>
      <c r="EA116" s="6"/>
      <c r="EB116" s="6"/>
      <c r="EC116" s="6"/>
      <c r="ED116" s="6"/>
      <c r="EE116" s="6"/>
      <c r="EF116" s="6"/>
      <c r="EG116" s="6"/>
      <c r="EH116" s="6"/>
      <c r="EI116" s="6"/>
      <c r="EJ116" s="6"/>
      <c r="EK116" s="6"/>
      <c r="EL116" s="6"/>
      <c r="EM116" s="6"/>
      <c r="EN116" s="6"/>
      <c r="EO116" s="6"/>
      <c r="EP116" s="6"/>
      <c r="EQ116" s="6"/>
      <c r="ER116" s="6"/>
      <c r="ES116" s="6"/>
      <c r="ET116" s="6"/>
      <c r="EU116" s="6"/>
      <c r="EV116" s="6"/>
      <c r="EW116" s="6"/>
      <c r="EX116" s="6"/>
      <c r="EY116" s="6"/>
      <c r="EZ116" s="6"/>
      <c r="FA116" s="6"/>
      <c r="FB116" s="6"/>
      <c r="FC116" s="6"/>
      <c r="FD116" s="6"/>
      <c r="FE116" s="6"/>
      <c r="FF116" s="6"/>
      <c r="FG116" s="6"/>
      <c r="FH116" s="6"/>
      <c r="FI116" s="6"/>
      <c r="FJ116" s="6"/>
      <c r="FK116" s="6"/>
      <c r="FL116" s="6"/>
      <c r="FM116" s="6"/>
      <c r="FN116" s="6"/>
      <c r="FO116" s="6"/>
      <c r="FP116" s="6"/>
      <c r="FQ116" s="6"/>
      <c r="FR116" s="6"/>
      <c r="FS116" s="6"/>
      <c r="FT116" s="6"/>
      <c r="FU116" s="6"/>
      <c r="FV116" s="6"/>
      <c r="FW116" s="6"/>
      <c r="FX116" s="6"/>
      <c r="FY116" s="6"/>
      <c r="FZ116" s="6"/>
      <c r="GA116" s="6"/>
      <c r="GB116" s="6"/>
      <c r="GC116" s="6"/>
      <c r="GD116" s="6"/>
      <c r="GE116" s="6"/>
      <c r="GF116" s="6"/>
      <c r="GG116" s="6"/>
      <c r="GH116" s="6"/>
      <c r="GI116" s="6"/>
      <c r="GJ116" s="6"/>
      <c r="GK116" s="6"/>
      <c r="GL116" s="6"/>
      <c r="GM116" s="6"/>
      <c r="GN116" s="6"/>
      <c r="GO116" s="6"/>
      <c r="GP116" s="6"/>
      <c r="GQ116" s="6"/>
      <c r="GR116" s="6"/>
      <c r="GS116" s="6"/>
      <c r="GT116" s="6"/>
      <c r="GU116" s="6"/>
      <c r="GV116" s="6"/>
      <c r="GW116" s="6"/>
      <c r="GX116" s="6"/>
      <c r="GY116" s="6"/>
      <c r="GZ116" s="6"/>
      <c r="HA116" s="6"/>
      <c r="HB116" s="6"/>
      <c r="HC116" s="6"/>
      <c r="HD116" s="6"/>
      <c r="HE116" s="6"/>
      <c r="HF116" s="6"/>
      <c r="HG116" s="6"/>
      <c r="HH116" s="6"/>
      <c r="HI116" s="6"/>
      <c r="HJ116" s="6"/>
      <c r="HK116" s="6"/>
      <c r="HL116" s="6"/>
      <c r="HM116" s="6"/>
      <c r="HN116" s="6"/>
      <c r="HO116" s="6"/>
      <c r="HP116" s="6"/>
      <c r="HQ116" s="6"/>
      <c r="HR116" s="6"/>
      <c r="HS116" s="6"/>
      <c r="HT116" s="6"/>
      <c r="HU116" s="6"/>
      <c r="HV116" s="6"/>
      <c r="HW116" s="6"/>
      <c r="HX116" s="6"/>
      <c r="HY116" s="6"/>
      <c r="HZ116" s="6"/>
      <c r="IA116" s="6"/>
      <c r="IB116" s="6"/>
      <c r="IC116" s="6"/>
      <c r="ID116" s="6"/>
      <c r="IE116" s="6"/>
      <c r="IF116" s="6"/>
      <c r="IG116" s="6"/>
      <c r="IH116" s="6"/>
      <c r="II116" s="6"/>
      <c r="IJ116" s="6"/>
      <c r="IK116" s="6"/>
      <c r="IL116" s="6"/>
      <c r="IM116" s="6"/>
      <c r="IN116" s="6"/>
      <c r="IO116" s="6"/>
      <c r="IP116" s="6"/>
      <c r="IQ116" s="6"/>
      <c r="IR116" s="6"/>
      <c r="IS116" s="6"/>
      <c r="IT116" s="6"/>
      <c r="IU116" s="6"/>
      <c r="IV116" s="6"/>
      <c r="IW116" s="6"/>
      <c r="IX116" s="6"/>
      <c r="IY116" s="6"/>
      <c r="IZ116" s="6"/>
      <c r="JA116" s="6"/>
      <c r="JB116" s="6"/>
      <c r="JC116" s="6"/>
      <c r="JD116" s="6"/>
      <c r="JE116" s="6"/>
      <c r="JF116" s="6"/>
      <c r="JG116" s="6"/>
      <c r="JH116" s="6"/>
      <c r="JI116" s="6"/>
      <c r="JJ116" s="6"/>
      <c r="JK116" s="6"/>
      <c r="JL116" s="6"/>
      <c r="JM116" s="6"/>
      <c r="JN116" s="6"/>
      <c r="JO116" s="6"/>
      <c r="JP116" s="6"/>
      <c r="JQ116" s="6"/>
      <c r="JR116" s="6"/>
      <c r="JS116" s="6"/>
      <c r="JT116" s="6"/>
      <c r="JU116" s="6"/>
      <c r="JV116" s="6"/>
      <c r="JW116" s="6"/>
      <c r="JX116" s="6"/>
      <c r="JY116" s="6"/>
      <c r="JZ116" s="6"/>
      <c r="KA116" s="6"/>
      <c r="KB116" s="6"/>
      <c r="KC116" s="6"/>
      <c r="KD116" s="6"/>
      <c r="KE116" s="6"/>
      <c r="KF116" s="6"/>
      <c r="KG116" s="6"/>
      <c r="KH116" s="6"/>
      <c r="KI116" s="6"/>
      <c r="KJ116" s="6"/>
      <c r="KK116" s="6"/>
      <c r="KL116" s="6"/>
      <c r="KM116" s="6"/>
      <c r="KN116" s="6"/>
      <c r="KO116" s="6"/>
      <c r="KP116" s="6"/>
      <c r="KQ116" s="6"/>
      <c r="KR116" s="6"/>
      <c r="KS116" s="6"/>
      <c r="KT116" s="6"/>
      <c r="KU116" s="6"/>
      <c r="KV116" s="6"/>
      <c r="KW116" s="6"/>
      <c r="KX116" s="6"/>
      <c r="KY116" s="6"/>
      <c r="KZ116" s="6"/>
      <c r="LA116" s="6"/>
      <c r="LB116" s="6"/>
      <c r="LC116" s="6"/>
      <c r="LD116" s="6"/>
      <c r="LE116" s="6"/>
      <c r="LF116" s="6"/>
      <c r="LG116" s="6"/>
      <c r="LH116" s="6"/>
      <c r="LI116" s="6"/>
      <c r="LJ116" s="6"/>
      <c r="LK116" s="6"/>
      <c r="LL116" s="6"/>
      <c r="LM116" s="6"/>
      <c r="LN116" s="6"/>
      <c r="LO116" s="6"/>
      <c r="LP116" s="6"/>
      <c r="LQ116" s="6"/>
      <c r="LR116" s="6"/>
      <c r="LS116" s="6"/>
      <c r="LT116" s="6"/>
      <c r="LU116" s="6"/>
      <c r="LV116" s="6"/>
      <c r="LW116" s="6"/>
      <c r="LX116" s="6"/>
      <c r="LY116" s="6"/>
      <c r="LZ116" s="6"/>
      <c r="MA116" s="6"/>
      <c r="MB116" s="6"/>
      <c r="MC116" s="6"/>
      <c r="MD116" s="6"/>
      <c r="ME116" s="6"/>
      <c r="MF116" s="6"/>
      <c r="MG116" s="6"/>
      <c r="MH116" s="6"/>
      <c r="MI116" s="6"/>
      <c r="MJ116" s="6"/>
      <c r="MK116" s="6"/>
    </row>
    <row r="117" spans="1:349" s="2" customFormat="1" ht="17.7" customHeight="1" x14ac:dyDescent="0.3">
      <c r="A117" s="21">
        <v>116</v>
      </c>
      <c r="B117" s="21">
        <v>8100034</v>
      </c>
      <c r="C117" s="9" t="s">
        <v>149</v>
      </c>
      <c r="D117" s="9" t="s">
        <v>25</v>
      </c>
      <c r="E117" s="9" t="s">
        <v>35</v>
      </c>
      <c r="F117" s="9">
        <v>88.5</v>
      </c>
      <c r="G117" s="9">
        <v>10</v>
      </c>
      <c r="H117" s="9"/>
      <c r="I117" s="9" t="s">
        <v>116</v>
      </c>
      <c r="J117" s="9"/>
      <c r="K117" s="9"/>
      <c r="L117" s="9"/>
      <c r="M117" s="9">
        <f t="shared" si="1"/>
        <v>73.454999999999998</v>
      </c>
      <c r="N117" s="9" t="s">
        <v>28</v>
      </c>
      <c r="O117" s="9" t="s">
        <v>29</v>
      </c>
      <c r="P117" s="9" t="s">
        <v>29</v>
      </c>
      <c r="Q117" s="9"/>
      <c r="R117" s="9"/>
      <c r="S117" s="9"/>
      <c r="T117" s="9"/>
      <c r="U117" s="9"/>
      <c r="V117" s="9"/>
      <c r="W117" s="9"/>
      <c r="X117" s="9" t="s">
        <v>30</v>
      </c>
      <c r="Y117" s="13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  <c r="DE117" s="5"/>
      <c r="DF117" s="5"/>
      <c r="DG117" s="5"/>
      <c r="DH117" s="5"/>
      <c r="DI117" s="5"/>
      <c r="DJ117" s="5"/>
      <c r="DK117" s="5"/>
      <c r="DL117" s="5"/>
      <c r="DM117" s="5"/>
      <c r="DN117" s="5"/>
      <c r="DO117" s="5"/>
      <c r="DP117" s="5"/>
      <c r="DQ117" s="5"/>
      <c r="DR117" s="5"/>
      <c r="DS117" s="5"/>
      <c r="DT117" s="5"/>
      <c r="DU117" s="5"/>
      <c r="DV117" s="5"/>
      <c r="DW117" s="5"/>
      <c r="DX117" s="5"/>
      <c r="DY117" s="5"/>
      <c r="DZ117" s="5"/>
      <c r="EA117" s="5"/>
      <c r="EB117" s="5"/>
      <c r="EC117" s="5"/>
      <c r="ED117" s="5"/>
      <c r="EE117" s="5"/>
      <c r="EF117" s="5"/>
      <c r="EG117" s="5"/>
      <c r="EH117" s="5"/>
      <c r="EI117" s="5"/>
      <c r="EJ117" s="5"/>
      <c r="EK117" s="5"/>
      <c r="EL117" s="5"/>
      <c r="EM117" s="5"/>
      <c r="EN117" s="5"/>
      <c r="EO117" s="5"/>
      <c r="EP117" s="5"/>
      <c r="EQ117" s="5"/>
      <c r="ER117" s="5"/>
      <c r="ES117" s="5"/>
      <c r="ET117" s="5"/>
      <c r="EU117" s="5"/>
      <c r="EV117" s="5"/>
      <c r="EW117" s="5"/>
      <c r="EX117" s="5"/>
      <c r="EY117" s="5"/>
      <c r="EZ117" s="5"/>
      <c r="FA117" s="5"/>
      <c r="FB117" s="5"/>
      <c r="FC117" s="5"/>
      <c r="FD117" s="5"/>
      <c r="FE117" s="5"/>
      <c r="FF117" s="5"/>
      <c r="FG117" s="5"/>
      <c r="FH117" s="5"/>
      <c r="FI117" s="5"/>
      <c r="FJ117" s="5"/>
      <c r="FK117" s="5"/>
      <c r="FL117" s="5"/>
      <c r="FM117" s="5"/>
      <c r="FN117" s="5"/>
      <c r="FO117" s="5"/>
      <c r="FP117" s="5"/>
      <c r="FQ117" s="5"/>
      <c r="FR117" s="5"/>
      <c r="FS117" s="5"/>
      <c r="FT117" s="5"/>
      <c r="FU117" s="5"/>
      <c r="FV117" s="5"/>
      <c r="FW117" s="5"/>
      <c r="FX117" s="5"/>
      <c r="FY117" s="5"/>
      <c r="FZ117" s="5"/>
      <c r="GA117" s="5"/>
      <c r="GB117" s="5"/>
      <c r="GC117" s="5"/>
      <c r="GD117" s="5"/>
      <c r="GE117" s="5"/>
      <c r="GF117" s="5"/>
      <c r="GG117" s="5"/>
      <c r="GH117" s="5"/>
      <c r="GI117" s="5"/>
      <c r="GJ117" s="5"/>
      <c r="GK117" s="5"/>
      <c r="GL117" s="5"/>
      <c r="GM117" s="5"/>
      <c r="GN117" s="5"/>
      <c r="GO117" s="5"/>
      <c r="GP117" s="5"/>
      <c r="GQ117" s="5"/>
      <c r="GR117" s="5"/>
      <c r="GS117" s="5"/>
      <c r="GT117" s="5"/>
      <c r="GU117" s="5"/>
      <c r="GV117" s="5"/>
      <c r="GW117" s="5"/>
      <c r="GX117" s="5"/>
      <c r="GY117" s="5"/>
      <c r="GZ117" s="5"/>
      <c r="HA117" s="5"/>
      <c r="HB117" s="5"/>
      <c r="HC117" s="5"/>
      <c r="HD117" s="5"/>
      <c r="HE117" s="5"/>
      <c r="HF117" s="5"/>
      <c r="HG117" s="5"/>
      <c r="HH117" s="5"/>
      <c r="HI117" s="5"/>
      <c r="HJ117" s="5"/>
      <c r="HK117" s="5"/>
      <c r="HL117" s="5"/>
      <c r="HM117" s="5"/>
      <c r="HN117" s="5"/>
      <c r="HO117" s="5"/>
      <c r="HP117" s="5"/>
      <c r="HQ117" s="5"/>
      <c r="HR117" s="5"/>
      <c r="HS117" s="5"/>
      <c r="HT117" s="5"/>
      <c r="HU117" s="5"/>
      <c r="HV117" s="5"/>
      <c r="HW117" s="5"/>
      <c r="HX117" s="5"/>
      <c r="HY117" s="5"/>
      <c r="HZ117" s="5"/>
      <c r="IA117" s="5"/>
      <c r="IB117" s="5"/>
      <c r="IC117" s="5"/>
      <c r="ID117" s="5"/>
      <c r="IE117" s="5"/>
      <c r="IF117" s="5"/>
      <c r="IG117" s="5"/>
      <c r="IH117" s="5"/>
      <c r="II117" s="5"/>
      <c r="IJ117" s="5"/>
      <c r="IK117" s="5"/>
      <c r="IL117" s="5"/>
      <c r="IM117" s="5"/>
      <c r="IN117" s="5"/>
      <c r="IO117" s="5"/>
      <c r="IP117" s="5"/>
      <c r="IQ117" s="5"/>
      <c r="IR117" s="5"/>
      <c r="IS117" s="5"/>
      <c r="IT117" s="5"/>
      <c r="IU117" s="5"/>
      <c r="IV117" s="5"/>
      <c r="IW117" s="5"/>
      <c r="IX117" s="5"/>
      <c r="IY117" s="5"/>
      <c r="IZ117" s="5"/>
      <c r="JA117" s="5"/>
      <c r="JB117" s="5"/>
      <c r="JC117" s="5"/>
      <c r="JD117" s="5"/>
      <c r="JE117" s="5"/>
      <c r="JF117" s="5"/>
      <c r="JG117" s="5"/>
      <c r="JH117" s="5"/>
      <c r="JI117" s="5"/>
      <c r="JJ117" s="5"/>
      <c r="JK117" s="5"/>
      <c r="JL117" s="5"/>
      <c r="JM117" s="5"/>
      <c r="JN117" s="5"/>
      <c r="JO117" s="5"/>
      <c r="JP117" s="5"/>
      <c r="JQ117" s="5"/>
      <c r="JR117" s="5"/>
      <c r="JS117" s="5"/>
      <c r="JT117" s="5"/>
      <c r="JU117" s="5"/>
      <c r="JV117" s="5"/>
      <c r="JW117" s="5"/>
      <c r="JX117" s="5"/>
      <c r="JY117" s="5"/>
      <c r="JZ117" s="5"/>
      <c r="KA117" s="5"/>
      <c r="KB117" s="5"/>
      <c r="KC117" s="5"/>
      <c r="KD117" s="5"/>
      <c r="KE117" s="5"/>
      <c r="KF117" s="5"/>
      <c r="KG117" s="5"/>
      <c r="KH117" s="5"/>
      <c r="KI117" s="5"/>
      <c r="KJ117" s="5"/>
      <c r="KK117" s="5"/>
      <c r="KL117" s="5"/>
      <c r="KM117" s="5"/>
      <c r="KN117" s="5"/>
      <c r="KO117" s="5"/>
      <c r="KP117" s="5"/>
      <c r="KQ117" s="5"/>
      <c r="KR117" s="5"/>
      <c r="KS117" s="5"/>
      <c r="KT117" s="5"/>
      <c r="KU117" s="5"/>
      <c r="KV117" s="5"/>
      <c r="KW117" s="5"/>
      <c r="KX117" s="5"/>
      <c r="KY117" s="5"/>
      <c r="KZ117" s="5"/>
      <c r="LA117" s="5"/>
      <c r="LB117" s="5"/>
      <c r="LC117" s="5"/>
      <c r="LD117" s="5"/>
      <c r="LE117" s="5"/>
      <c r="LF117" s="5"/>
      <c r="LG117" s="5"/>
      <c r="LH117" s="5"/>
      <c r="LI117" s="5"/>
      <c r="LJ117" s="5"/>
      <c r="LK117" s="5"/>
      <c r="LL117" s="5"/>
      <c r="LM117" s="5"/>
      <c r="LN117" s="5"/>
      <c r="LO117" s="5"/>
      <c r="LP117" s="5"/>
      <c r="LQ117" s="5"/>
      <c r="LR117" s="5"/>
      <c r="LS117" s="5"/>
      <c r="LT117" s="5"/>
      <c r="LU117" s="5"/>
      <c r="LV117" s="5"/>
      <c r="LW117" s="5"/>
      <c r="LX117" s="5"/>
      <c r="LY117" s="5"/>
      <c r="LZ117" s="5"/>
      <c r="MA117" s="5"/>
      <c r="MB117" s="5"/>
      <c r="MC117" s="5"/>
      <c r="MD117" s="5"/>
      <c r="ME117" s="5"/>
      <c r="MF117" s="5"/>
      <c r="MG117" s="5"/>
      <c r="MH117" s="5"/>
      <c r="MI117" s="5"/>
      <c r="MJ117" s="5"/>
      <c r="MK117" s="5"/>
    </row>
    <row r="118" spans="1:349" s="2" customFormat="1" ht="17.7" customHeight="1" x14ac:dyDescent="0.3">
      <c r="A118" s="20">
        <v>117</v>
      </c>
      <c r="B118" s="20">
        <v>8100035</v>
      </c>
      <c r="C118" s="10" t="s">
        <v>150</v>
      </c>
      <c r="D118" s="10" t="s">
        <v>25</v>
      </c>
      <c r="E118" s="10" t="s">
        <v>35</v>
      </c>
      <c r="F118" s="10">
        <v>93.25</v>
      </c>
      <c r="G118" s="10">
        <v>20</v>
      </c>
      <c r="H118" s="10"/>
      <c r="I118" s="10" t="s">
        <v>116</v>
      </c>
      <c r="J118" s="10"/>
      <c r="K118" s="10"/>
      <c r="L118" s="10"/>
      <c r="M118" s="10">
        <f t="shared" si="1"/>
        <v>77.397499999999994</v>
      </c>
      <c r="N118" s="10" t="s">
        <v>28</v>
      </c>
      <c r="O118" s="10" t="s">
        <v>29</v>
      </c>
      <c r="P118" s="10" t="s">
        <v>29</v>
      </c>
      <c r="Q118" s="10"/>
      <c r="R118" s="10"/>
      <c r="S118" s="10"/>
      <c r="T118" s="10"/>
      <c r="U118" s="10"/>
      <c r="V118" s="10"/>
      <c r="W118" s="10"/>
      <c r="X118" s="10" t="s">
        <v>30</v>
      </c>
      <c r="Y118" s="13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  <c r="DE118" s="5"/>
      <c r="DF118" s="5"/>
      <c r="DG118" s="5"/>
      <c r="DH118" s="5"/>
      <c r="DI118" s="5"/>
      <c r="DJ118" s="5"/>
      <c r="DK118" s="5"/>
      <c r="DL118" s="5"/>
      <c r="DM118" s="5"/>
      <c r="DN118" s="5"/>
      <c r="DO118" s="5"/>
      <c r="DP118" s="5"/>
      <c r="DQ118" s="5"/>
      <c r="DR118" s="5"/>
      <c r="DS118" s="5"/>
      <c r="DT118" s="5"/>
      <c r="DU118" s="5"/>
      <c r="DV118" s="5"/>
      <c r="DW118" s="5"/>
      <c r="DX118" s="5"/>
      <c r="DY118" s="5"/>
      <c r="DZ118" s="5"/>
      <c r="EA118" s="5"/>
      <c r="EB118" s="5"/>
      <c r="EC118" s="5"/>
      <c r="ED118" s="5"/>
      <c r="EE118" s="5"/>
      <c r="EF118" s="5"/>
      <c r="EG118" s="5"/>
      <c r="EH118" s="5"/>
      <c r="EI118" s="5"/>
      <c r="EJ118" s="5"/>
      <c r="EK118" s="5"/>
      <c r="EL118" s="5"/>
      <c r="EM118" s="5"/>
      <c r="EN118" s="5"/>
      <c r="EO118" s="5"/>
      <c r="EP118" s="5"/>
      <c r="EQ118" s="5"/>
      <c r="ER118" s="5"/>
      <c r="ES118" s="5"/>
      <c r="ET118" s="5"/>
      <c r="EU118" s="5"/>
      <c r="EV118" s="5"/>
      <c r="EW118" s="5"/>
      <c r="EX118" s="5"/>
      <c r="EY118" s="5"/>
      <c r="EZ118" s="5"/>
      <c r="FA118" s="5"/>
      <c r="FB118" s="5"/>
      <c r="FC118" s="5"/>
      <c r="FD118" s="5"/>
      <c r="FE118" s="5"/>
      <c r="FF118" s="5"/>
      <c r="FG118" s="5"/>
      <c r="FH118" s="5"/>
      <c r="FI118" s="5"/>
      <c r="FJ118" s="5"/>
      <c r="FK118" s="5"/>
      <c r="FL118" s="5"/>
      <c r="FM118" s="5"/>
      <c r="FN118" s="5"/>
      <c r="FO118" s="5"/>
      <c r="FP118" s="5"/>
      <c r="FQ118" s="5"/>
      <c r="FR118" s="5"/>
      <c r="FS118" s="5"/>
      <c r="FT118" s="5"/>
      <c r="FU118" s="5"/>
      <c r="FV118" s="5"/>
      <c r="FW118" s="5"/>
      <c r="FX118" s="5"/>
      <c r="FY118" s="5"/>
      <c r="FZ118" s="5"/>
      <c r="GA118" s="5"/>
      <c r="GB118" s="5"/>
      <c r="GC118" s="5"/>
      <c r="GD118" s="5"/>
      <c r="GE118" s="5"/>
      <c r="GF118" s="5"/>
      <c r="GG118" s="5"/>
      <c r="GH118" s="5"/>
      <c r="GI118" s="5"/>
      <c r="GJ118" s="5"/>
      <c r="GK118" s="5"/>
      <c r="GL118" s="5"/>
      <c r="GM118" s="5"/>
      <c r="GN118" s="5"/>
      <c r="GO118" s="5"/>
      <c r="GP118" s="5"/>
      <c r="GQ118" s="5"/>
      <c r="GR118" s="5"/>
      <c r="GS118" s="5"/>
      <c r="GT118" s="5"/>
      <c r="GU118" s="5"/>
      <c r="GV118" s="5"/>
      <c r="GW118" s="5"/>
      <c r="GX118" s="5"/>
      <c r="GY118" s="5"/>
      <c r="GZ118" s="5"/>
      <c r="HA118" s="5"/>
      <c r="HB118" s="5"/>
      <c r="HC118" s="5"/>
      <c r="HD118" s="5"/>
      <c r="HE118" s="5"/>
      <c r="HF118" s="5"/>
      <c r="HG118" s="5"/>
      <c r="HH118" s="5"/>
      <c r="HI118" s="5"/>
      <c r="HJ118" s="5"/>
      <c r="HK118" s="5"/>
      <c r="HL118" s="5"/>
      <c r="HM118" s="5"/>
      <c r="HN118" s="5"/>
      <c r="HO118" s="5"/>
      <c r="HP118" s="5"/>
      <c r="HQ118" s="5"/>
      <c r="HR118" s="5"/>
      <c r="HS118" s="5"/>
      <c r="HT118" s="5"/>
      <c r="HU118" s="5"/>
      <c r="HV118" s="5"/>
      <c r="HW118" s="5"/>
      <c r="HX118" s="5"/>
      <c r="HY118" s="5"/>
      <c r="HZ118" s="5"/>
      <c r="IA118" s="5"/>
      <c r="IB118" s="5"/>
      <c r="IC118" s="5"/>
      <c r="ID118" s="5"/>
      <c r="IE118" s="5"/>
      <c r="IF118" s="5"/>
      <c r="IG118" s="5"/>
      <c r="IH118" s="5"/>
      <c r="II118" s="5"/>
      <c r="IJ118" s="5"/>
      <c r="IK118" s="5"/>
      <c r="IL118" s="5"/>
      <c r="IM118" s="5"/>
      <c r="IN118" s="5"/>
      <c r="IO118" s="5"/>
      <c r="IP118" s="5"/>
      <c r="IQ118" s="5"/>
      <c r="IR118" s="5"/>
      <c r="IS118" s="5"/>
      <c r="IT118" s="5"/>
      <c r="IU118" s="5"/>
      <c r="IV118" s="5"/>
      <c r="IW118" s="5"/>
      <c r="IX118" s="5"/>
      <c r="IY118" s="5"/>
      <c r="IZ118" s="5"/>
      <c r="JA118" s="5"/>
      <c r="JB118" s="5"/>
      <c r="JC118" s="5"/>
      <c r="JD118" s="5"/>
      <c r="JE118" s="5"/>
      <c r="JF118" s="5"/>
      <c r="JG118" s="5"/>
      <c r="JH118" s="5"/>
      <c r="JI118" s="5"/>
      <c r="JJ118" s="5"/>
      <c r="JK118" s="5"/>
      <c r="JL118" s="5"/>
      <c r="JM118" s="5"/>
      <c r="JN118" s="5"/>
      <c r="JO118" s="5"/>
      <c r="JP118" s="5"/>
      <c r="JQ118" s="5"/>
      <c r="JR118" s="5"/>
      <c r="JS118" s="5"/>
      <c r="JT118" s="5"/>
      <c r="JU118" s="5"/>
      <c r="JV118" s="5"/>
      <c r="JW118" s="5"/>
      <c r="JX118" s="5"/>
      <c r="JY118" s="5"/>
      <c r="JZ118" s="5"/>
      <c r="KA118" s="5"/>
      <c r="KB118" s="5"/>
      <c r="KC118" s="5"/>
      <c r="KD118" s="5"/>
      <c r="KE118" s="5"/>
      <c r="KF118" s="5"/>
      <c r="KG118" s="5"/>
      <c r="KH118" s="5"/>
      <c r="KI118" s="5"/>
      <c r="KJ118" s="5"/>
      <c r="KK118" s="5"/>
      <c r="KL118" s="5"/>
      <c r="KM118" s="5"/>
      <c r="KN118" s="5"/>
      <c r="KO118" s="5"/>
      <c r="KP118" s="5"/>
      <c r="KQ118" s="5"/>
      <c r="KR118" s="5"/>
      <c r="KS118" s="5"/>
      <c r="KT118" s="5"/>
      <c r="KU118" s="5"/>
      <c r="KV118" s="5"/>
      <c r="KW118" s="5"/>
      <c r="KX118" s="5"/>
      <c r="KY118" s="5"/>
      <c r="KZ118" s="5"/>
      <c r="LA118" s="5"/>
      <c r="LB118" s="5"/>
      <c r="LC118" s="5"/>
      <c r="LD118" s="5"/>
      <c r="LE118" s="5"/>
      <c r="LF118" s="5"/>
      <c r="LG118" s="5"/>
      <c r="LH118" s="5"/>
      <c r="LI118" s="5"/>
      <c r="LJ118" s="5"/>
      <c r="LK118" s="5"/>
      <c r="LL118" s="5"/>
      <c r="LM118" s="5"/>
      <c r="LN118" s="5"/>
      <c r="LO118" s="5"/>
      <c r="LP118" s="5"/>
      <c r="LQ118" s="5"/>
      <c r="LR118" s="5"/>
      <c r="LS118" s="5"/>
      <c r="LT118" s="5"/>
      <c r="LU118" s="5"/>
      <c r="LV118" s="5"/>
      <c r="LW118" s="5"/>
      <c r="LX118" s="5"/>
      <c r="LY118" s="5"/>
      <c r="LZ118" s="5"/>
      <c r="MA118" s="5"/>
      <c r="MB118" s="5"/>
      <c r="MC118" s="5"/>
      <c r="MD118" s="5"/>
      <c r="ME118" s="5"/>
      <c r="MF118" s="5"/>
      <c r="MG118" s="5"/>
      <c r="MH118" s="5"/>
      <c r="MI118" s="5"/>
      <c r="MJ118" s="5"/>
      <c r="MK118" s="5"/>
    </row>
    <row r="119" spans="1:349" s="2" customFormat="1" ht="17.7" customHeight="1" x14ac:dyDescent="0.3">
      <c r="A119" s="21">
        <v>118</v>
      </c>
      <c r="B119" s="21">
        <v>8100036</v>
      </c>
      <c r="C119" s="9" t="s">
        <v>151</v>
      </c>
      <c r="D119" s="9" t="s">
        <v>25</v>
      </c>
      <c r="E119" s="9" t="s">
        <v>35</v>
      </c>
      <c r="F119" s="9">
        <v>125</v>
      </c>
      <c r="G119" s="9">
        <v>10</v>
      </c>
      <c r="H119" s="9"/>
      <c r="I119" s="9" t="s">
        <v>116</v>
      </c>
      <c r="J119" s="9"/>
      <c r="K119" s="9"/>
      <c r="L119" s="9"/>
      <c r="M119" s="9">
        <f t="shared" si="1"/>
        <v>103.75</v>
      </c>
      <c r="N119" s="9" t="s">
        <v>28</v>
      </c>
      <c r="O119" s="9" t="s">
        <v>29</v>
      </c>
      <c r="P119" s="9" t="s">
        <v>29</v>
      </c>
      <c r="Q119" s="9"/>
      <c r="R119" s="9"/>
      <c r="S119" s="9"/>
      <c r="T119" s="9"/>
      <c r="U119" s="9"/>
      <c r="V119" s="9"/>
      <c r="W119" s="9"/>
      <c r="X119" s="9" t="s">
        <v>30</v>
      </c>
      <c r="Y119" s="13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  <c r="DE119" s="5"/>
      <c r="DF119" s="5"/>
      <c r="DG119" s="5"/>
      <c r="DH119" s="5"/>
      <c r="DI119" s="5"/>
      <c r="DJ119" s="5"/>
      <c r="DK119" s="5"/>
      <c r="DL119" s="5"/>
      <c r="DM119" s="5"/>
      <c r="DN119" s="5"/>
      <c r="DO119" s="5"/>
      <c r="DP119" s="5"/>
      <c r="DQ119" s="5"/>
      <c r="DR119" s="5"/>
      <c r="DS119" s="5"/>
      <c r="DT119" s="5"/>
      <c r="DU119" s="5"/>
      <c r="DV119" s="5"/>
      <c r="DW119" s="5"/>
      <c r="DX119" s="5"/>
      <c r="DY119" s="5"/>
      <c r="DZ119" s="5"/>
      <c r="EA119" s="5"/>
      <c r="EB119" s="5"/>
      <c r="EC119" s="5"/>
      <c r="ED119" s="5"/>
      <c r="EE119" s="5"/>
      <c r="EF119" s="5"/>
      <c r="EG119" s="5"/>
      <c r="EH119" s="5"/>
      <c r="EI119" s="5"/>
      <c r="EJ119" s="5"/>
      <c r="EK119" s="5"/>
      <c r="EL119" s="5"/>
      <c r="EM119" s="5"/>
      <c r="EN119" s="5"/>
      <c r="EO119" s="5"/>
      <c r="EP119" s="5"/>
      <c r="EQ119" s="5"/>
      <c r="ER119" s="5"/>
      <c r="ES119" s="5"/>
      <c r="ET119" s="5"/>
      <c r="EU119" s="5"/>
      <c r="EV119" s="5"/>
      <c r="EW119" s="5"/>
      <c r="EX119" s="5"/>
      <c r="EY119" s="5"/>
      <c r="EZ119" s="5"/>
      <c r="FA119" s="5"/>
      <c r="FB119" s="5"/>
      <c r="FC119" s="5"/>
      <c r="FD119" s="5"/>
      <c r="FE119" s="5"/>
      <c r="FF119" s="5"/>
      <c r="FG119" s="5"/>
      <c r="FH119" s="5"/>
      <c r="FI119" s="5"/>
      <c r="FJ119" s="5"/>
      <c r="FK119" s="5"/>
      <c r="FL119" s="5"/>
      <c r="FM119" s="5"/>
      <c r="FN119" s="5"/>
      <c r="FO119" s="5"/>
      <c r="FP119" s="5"/>
      <c r="FQ119" s="5"/>
      <c r="FR119" s="5"/>
      <c r="FS119" s="5"/>
      <c r="FT119" s="5"/>
      <c r="FU119" s="5"/>
      <c r="FV119" s="5"/>
      <c r="FW119" s="5"/>
      <c r="FX119" s="5"/>
      <c r="FY119" s="5"/>
      <c r="FZ119" s="5"/>
      <c r="GA119" s="5"/>
      <c r="GB119" s="5"/>
      <c r="GC119" s="5"/>
      <c r="GD119" s="5"/>
      <c r="GE119" s="5"/>
      <c r="GF119" s="5"/>
      <c r="GG119" s="5"/>
      <c r="GH119" s="5"/>
      <c r="GI119" s="5"/>
      <c r="GJ119" s="5"/>
      <c r="GK119" s="5"/>
      <c r="GL119" s="5"/>
      <c r="GM119" s="5"/>
      <c r="GN119" s="5"/>
      <c r="GO119" s="5"/>
      <c r="GP119" s="5"/>
      <c r="GQ119" s="5"/>
      <c r="GR119" s="5"/>
      <c r="GS119" s="5"/>
      <c r="GT119" s="5"/>
      <c r="GU119" s="5"/>
      <c r="GV119" s="5"/>
      <c r="GW119" s="5"/>
      <c r="GX119" s="5"/>
      <c r="GY119" s="5"/>
      <c r="GZ119" s="5"/>
      <c r="HA119" s="5"/>
      <c r="HB119" s="5"/>
      <c r="HC119" s="5"/>
      <c r="HD119" s="5"/>
      <c r="HE119" s="5"/>
      <c r="HF119" s="5"/>
      <c r="HG119" s="5"/>
      <c r="HH119" s="5"/>
      <c r="HI119" s="5"/>
      <c r="HJ119" s="5"/>
      <c r="HK119" s="5"/>
      <c r="HL119" s="5"/>
      <c r="HM119" s="5"/>
      <c r="HN119" s="5"/>
      <c r="HO119" s="5"/>
      <c r="HP119" s="5"/>
      <c r="HQ119" s="5"/>
      <c r="HR119" s="5"/>
      <c r="HS119" s="5"/>
      <c r="HT119" s="5"/>
      <c r="HU119" s="5"/>
      <c r="HV119" s="5"/>
      <c r="HW119" s="5"/>
      <c r="HX119" s="5"/>
      <c r="HY119" s="5"/>
      <c r="HZ119" s="5"/>
      <c r="IA119" s="5"/>
      <c r="IB119" s="5"/>
      <c r="IC119" s="5"/>
      <c r="ID119" s="5"/>
      <c r="IE119" s="5"/>
      <c r="IF119" s="5"/>
      <c r="IG119" s="5"/>
      <c r="IH119" s="5"/>
      <c r="II119" s="5"/>
      <c r="IJ119" s="5"/>
      <c r="IK119" s="5"/>
      <c r="IL119" s="5"/>
      <c r="IM119" s="5"/>
      <c r="IN119" s="5"/>
      <c r="IO119" s="5"/>
      <c r="IP119" s="5"/>
      <c r="IQ119" s="5"/>
      <c r="IR119" s="5"/>
      <c r="IS119" s="5"/>
      <c r="IT119" s="5"/>
      <c r="IU119" s="5"/>
      <c r="IV119" s="5"/>
      <c r="IW119" s="5"/>
      <c r="IX119" s="5"/>
      <c r="IY119" s="5"/>
      <c r="IZ119" s="5"/>
      <c r="JA119" s="5"/>
      <c r="JB119" s="5"/>
      <c r="JC119" s="5"/>
      <c r="JD119" s="5"/>
      <c r="JE119" s="5"/>
      <c r="JF119" s="5"/>
      <c r="JG119" s="5"/>
      <c r="JH119" s="5"/>
      <c r="JI119" s="5"/>
      <c r="JJ119" s="5"/>
      <c r="JK119" s="5"/>
      <c r="JL119" s="5"/>
      <c r="JM119" s="5"/>
      <c r="JN119" s="5"/>
      <c r="JO119" s="5"/>
      <c r="JP119" s="5"/>
      <c r="JQ119" s="5"/>
      <c r="JR119" s="5"/>
      <c r="JS119" s="5"/>
      <c r="JT119" s="5"/>
      <c r="JU119" s="5"/>
      <c r="JV119" s="5"/>
      <c r="JW119" s="5"/>
      <c r="JX119" s="5"/>
      <c r="JY119" s="5"/>
      <c r="JZ119" s="5"/>
      <c r="KA119" s="5"/>
      <c r="KB119" s="5"/>
      <c r="KC119" s="5"/>
      <c r="KD119" s="5"/>
      <c r="KE119" s="5"/>
      <c r="KF119" s="5"/>
      <c r="KG119" s="5"/>
      <c r="KH119" s="5"/>
      <c r="KI119" s="5"/>
      <c r="KJ119" s="5"/>
      <c r="KK119" s="5"/>
      <c r="KL119" s="5"/>
      <c r="KM119" s="5"/>
      <c r="KN119" s="5"/>
      <c r="KO119" s="5"/>
      <c r="KP119" s="5"/>
      <c r="KQ119" s="5"/>
      <c r="KR119" s="5"/>
      <c r="KS119" s="5"/>
      <c r="KT119" s="5"/>
      <c r="KU119" s="5"/>
      <c r="KV119" s="5"/>
      <c r="KW119" s="5"/>
      <c r="KX119" s="5"/>
      <c r="KY119" s="5"/>
      <c r="KZ119" s="5"/>
      <c r="LA119" s="5"/>
      <c r="LB119" s="5"/>
      <c r="LC119" s="5"/>
      <c r="LD119" s="5"/>
      <c r="LE119" s="5"/>
      <c r="LF119" s="5"/>
      <c r="LG119" s="5"/>
      <c r="LH119" s="5"/>
      <c r="LI119" s="5"/>
      <c r="LJ119" s="5"/>
      <c r="LK119" s="5"/>
      <c r="LL119" s="5"/>
      <c r="LM119" s="5"/>
      <c r="LN119" s="5"/>
      <c r="LO119" s="5"/>
      <c r="LP119" s="5"/>
      <c r="LQ119" s="5"/>
      <c r="LR119" s="5"/>
      <c r="LS119" s="5"/>
      <c r="LT119" s="5"/>
      <c r="LU119" s="5"/>
      <c r="LV119" s="5"/>
      <c r="LW119" s="5"/>
      <c r="LX119" s="5"/>
      <c r="LY119" s="5"/>
      <c r="LZ119" s="5"/>
      <c r="MA119" s="5"/>
      <c r="MB119" s="5"/>
      <c r="MC119" s="5"/>
      <c r="MD119" s="5"/>
      <c r="ME119" s="5"/>
      <c r="MF119" s="5"/>
      <c r="MG119" s="5"/>
      <c r="MH119" s="5"/>
      <c r="MI119" s="5"/>
      <c r="MJ119" s="5"/>
      <c r="MK119" s="5"/>
    </row>
    <row r="120" spans="1:349" s="1" customFormat="1" ht="17.7" customHeight="1" x14ac:dyDescent="0.3">
      <c r="A120" s="20">
        <v>119</v>
      </c>
      <c r="B120" s="20">
        <v>8100037</v>
      </c>
      <c r="C120" s="10" t="s">
        <v>152</v>
      </c>
      <c r="D120" s="10" t="s">
        <v>25</v>
      </c>
      <c r="E120" s="10" t="s">
        <v>35</v>
      </c>
      <c r="F120" s="10">
        <v>132.75</v>
      </c>
      <c r="G120" s="10">
        <v>15</v>
      </c>
      <c r="H120" s="10"/>
      <c r="I120" s="10" t="s">
        <v>116</v>
      </c>
      <c r="J120" s="10"/>
      <c r="K120" s="10"/>
      <c r="L120" s="10"/>
      <c r="M120" s="10">
        <f t="shared" si="1"/>
        <v>110.1825</v>
      </c>
      <c r="N120" s="10" t="s">
        <v>28</v>
      </c>
      <c r="O120" s="10" t="s">
        <v>29</v>
      </c>
      <c r="P120" s="10" t="s">
        <v>29</v>
      </c>
      <c r="Q120" s="10"/>
      <c r="R120" s="10"/>
      <c r="S120" s="10"/>
      <c r="T120" s="10"/>
      <c r="U120" s="10"/>
      <c r="V120" s="10"/>
      <c r="W120" s="10"/>
      <c r="X120" s="10" t="s">
        <v>30</v>
      </c>
      <c r="Y120" s="14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6"/>
      <c r="BI120" s="6"/>
      <c r="BJ120" s="6"/>
      <c r="BK120" s="6"/>
      <c r="BL120" s="6"/>
      <c r="BM120" s="6"/>
      <c r="BN120" s="6"/>
      <c r="BO120" s="6"/>
      <c r="BP120" s="6"/>
      <c r="BQ120" s="6"/>
      <c r="BR120" s="6"/>
      <c r="BS120" s="6"/>
      <c r="BT120" s="6"/>
      <c r="BU120" s="6"/>
      <c r="BV120" s="6"/>
      <c r="BW120" s="6"/>
      <c r="BX120" s="6"/>
      <c r="BY120" s="6"/>
      <c r="BZ120" s="6"/>
      <c r="CA120" s="6"/>
      <c r="CB120" s="6"/>
      <c r="CC120" s="6"/>
      <c r="CD120" s="6"/>
      <c r="CE120" s="6"/>
      <c r="CF120" s="6"/>
      <c r="CG120" s="6"/>
      <c r="CH120" s="6"/>
      <c r="CI120" s="6"/>
      <c r="CJ120" s="6"/>
      <c r="CK120" s="6"/>
      <c r="CL120" s="6"/>
      <c r="CM120" s="6"/>
      <c r="CN120" s="6"/>
      <c r="CO120" s="6"/>
      <c r="CP120" s="6"/>
      <c r="CQ120" s="6"/>
      <c r="CR120" s="6"/>
      <c r="CS120" s="6"/>
      <c r="CT120" s="6"/>
      <c r="CU120" s="6"/>
      <c r="CV120" s="6"/>
      <c r="CW120" s="6"/>
      <c r="CX120" s="6"/>
      <c r="CY120" s="6"/>
      <c r="CZ120" s="6"/>
      <c r="DA120" s="6"/>
      <c r="DB120" s="6"/>
      <c r="DC120" s="6"/>
      <c r="DD120" s="6"/>
      <c r="DE120" s="6"/>
      <c r="DF120" s="6"/>
      <c r="DG120" s="6"/>
      <c r="DH120" s="6"/>
      <c r="DI120" s="6"/>
      <c r="DJ120" s="6"/>
      <c r="DK120" s="6"/>
      <c r="DL120" s="6"/>
      <c r="DM120" s="6"/>
      <c r="DN120" s="6"/>
      <c r="DO120" s="6"/>
      <c r="DP120" s="6"/>
      <c r="DQ120" s="6"/>
      <c r="DR120" s="6"/>
      <c r="DS120" s="6"/>
      <c r="DT120" s="6"/>
      <c r="DU120" s="6"/>
      <c r="DV120" s="6"/>
      <c r="DW120" s="6"/>
      <c r="DX120" s="6"/>
      <c r="DY120" s="6"/>
      <c r="DZ120" s="6"/>
      <c r="EA120" s="6"/>
      <c r="EB120" s="6"/>
      <c r="EC120" s="6"/>
      <c r="ED120" s="6"/>
      <c r="EE120" s="6"/>
      <c r="EF120" s="6"/>
      <c r="EG120" s="6"/>
      <c r="EH120" s="6"/>
      <c r="EI120" s="6"/>
      <c r="EJ120" s="6"/>
      <c r="EK120" s="6"/>
      <c r="EL120" s="6"/>
      <c r="EM120" s="6"/>
      <c r="EN120" s="6"/>
      <c r="EO120" s="6"/>
      <c r="EP120" s="6"/>
      <c r="EQ120" s="6"/>
      <c r="ER120" s="6"/>
      <c r="ES120" s="6"/>
      <c r="ET120" s="6"/>
      <c r="EU120" s="6"/>
      <c r="EV120" s="6"/>
      <c r="EW120" s="6"/>
      <c r="EX120" s="6"/>
      <c r="EY120" s="6"/>
      <c r="EZ120" s="6"/>
      <c r="FA120" s="6"/>
      <c r="FB120" s="6"/>
      <c r="FC120" s="6"/>
      <c r="FD120" s="6"/>
      <c r="FE120" s="6"/>
      <c r="FF120" s="6"/>
      <c r="FG120" s="6"/>
      <c r="FH120" s="6"/>
      <c r="FI120" s="6"/>
      <c r="FJ120" s="6"/>
      <c r="FK120" s="6"/>
      <c r="FL120" s="6"/>
      <c r="FM120" s="6"/>
      <c r="FN120" s="6"/>
      <c r="FO120" s="6"/>
      <c r="FP120" s="6"/>
      <c r="FQ120" s="6"/>
      <c r="FR120" s="6"/>
      <c r="FS120" s="6"/>
      <c r="FT120" s="6"/>
      <c r="FU120" s="6"/>
      <c r="FV120" s="6"/>
      <c r="FW120" s="6"/>
      <c r="FX120" s="6"/>
      <c r="FY120" s="6"/>
      <c r="FZ120" s="6"/>
      <c r="GA120" s="6"/>
      <c r="GB120" s="6"/>
      <c r="GC120" s="6"/>
      <c r="GD120" s="6"/>
      <c r="GE120" s="6"/>
      <c r="GF120" s="6"/>
      <c r="GG120" s="6"/>
      <c r="GH120" s="6"/>
      <c r="GI120" s="6"/>
      <c r="GJ120" s="6"/>
      <c r="GK120" s="6"/>
      <c r="GL120" s="6"/>
      <c r="GM120" s="6"/>
      <c r="GN120" s="6"/>
      <c r="GO120" s="6"/>
      <c r="GP120" s="6"/>
      <c r="GQ120" s="6"/>
      <c r="GR120" s="6"/>
      <c r="GS120" s="6"/>
      <c r="GT120" s="6"/>
      <c r="GU120" s="6"/>
      <c r="GV120" s="6"/>
      <c r="GW120" s="6"/>
      <c r="GX120" s="6"/>
      <c r="GY120" s="6"/>
      <c r="GZ120" s="6"/>
      <c r="HA120" s="6"/>
      <c r="HB120" s="6"/>
      <c r="HC120" s="6"/>
      <c r="HD120" s="6"/>
      <c r="HE120" s="6"/>
      <c r="HF120" s="6"/>
      <c r="HG120" s="6"/>
      <c r="HH120" s="6"/>
      <c r="HI120" s="6"/>
      <c r="HJ120" s="6"/>
      <c r="HK120" s="6"/>
      <c r="HL120" s="6"/>
      <c r="HM120" s="6"/>
      <c r="HN120" s="6"/>
      <c r="HO120" s="6"/>
      <c r="HP120" s="6"/>
      <c r="HQ120" s="6"/>
      <c r="HR120" s="6"/>
      <c r="HS120" s="6"/>
      <c r="HT120" s="6"/>
      <c r="HU120" s="6"/>
      <c r="HV120" s="6"/>
      <c r="HW120" s="6"/>
      <c r="HX120" s="6"/>
      <c r="HY120" s="6"/>
      <c r="HZ120" s="6"/>
      <c r="IA120" s="6"/>
      <c r="IB120" s="6"/>
      <c r="IC120" s="6"/>
      <c r="ID120" s="6"/>
      <c r="IE120" s="6"/>
      <c r="IF120" s="6"/>
      <c r="IG120" s="6"/>
      <c r="IH120" s="6"/>
      <c r="II120" s="6"/>
      <c r="IJ120" s="6"/>
      <c r="IK120" s="6"/>
      <c r="IL120" s="6"/>
      <c r="IM120" s="6"/>
      <c r="IN120" s="6"/>
      <c r="IO120" s="6"/>
      <c r="IP120" s="6"/>
      <c r="IQ120" s="6"/>
      <c r="IR120" s="6"/>
      <c r="IS120" s="6"/>
      <c r="IT120" s="6"/>
      <c r="IU120" s="6"/>
      <c r="IV120" s="6"/>
      <c r="IW120" s="6"/>
      <c r="IX120" s="6"/>
      <c r="IY120" s="6"/>
      <c r="IZ120" s="6"/>
      <c r="JA120" s="6"/>
      <c r="JB120" s="6"/>
      <c r="JC120" s="6"/>
      <c r="JD120" s="6"/>
      <c r="JE120" s="6"/>
      <c r="JF120" s="6"/>
      <c r="JG120" s="6"/>
      <c r="JH120" s="6"/>
      <c r="JI120" s="6"/>
      <c r="JJ120" s="6"/>
      <c r="JK120" s="6"/>
      <c r="JL120" s="6"/>
      <c r="JM120" s="6"/>
      <c r="JN120" s="6"/>
      <c r="JO120" s="6"/>
      <c r="JP120" s="6"/>
      <c r="JQ120" s="6"/>
      <c r="JR120" s="6"/>
      <c r="JS120" s="6"/>
      <c r="JT120" s="6"/>
      <c r="JU120" s="6"/>
      <c r="JV120" s="6"/>
      <c r="JW120" s="6"/>
      <c r="JX120" s="6"/>
      <c r="JY120" s="6"/>
      <c r="JZ120" s="6"/>
      <c r="KA120" s="6"/>
      <c r="KB120" s="6"/>
      <c r="KC120" s="6"/>
      <c r="KD120" s="6"/>
      <c r="KE120" s="6"/>
      <c r="KF120" s="6"/>
      <c r="KG120" s="6"/>
      <c r="KH120" s="6"/>
      <c r="KI120" s="6"/>
      <c r="KJ120" s="6"/>
      <c r="KK120" s="6"/>
      <c r="KL120" s="6"/>
      <c r="KM120" s="6"/>
      <c r="KN120" s="6"/>
      <c r="KO120" s="6"/>
      <c r="KP120" s="6"/>
      <c r="KQ120" s="6"/>
      <c r="KR120" s="6"/>
      <c r="KS120" s="6"/>
      <c r="KT120" s="6"/>
      <c r="KU120" s="6"/>
      <c r="KV120" s="6"/>
      <c r="KW120" s="6"/>
      <c r="KX120" s="6"/>
      <c r="KY120" s="6"/>
      <c r="KZ120" s="6"/>
      <c r="LA120" s="6"/>
      <c r="LB120" s="6"/>
      <c r="LC120" s="6"/>
      <c r="LD120" s="6"/>
      <c r="LE120" s="6"/>
      <c r="LF120" s="6"/>
      <c r="LG120" s="6"/>
      <c r="LH120" s="6"/>
      <c r="LI120" s="6"/>
      <c r="LJ120" s="6"/>
      <c r="LK120" s="6"/>
      <c r="LL120" s="6"/>
      <c r="LM120" s="6"/>
      <c r="LN120" s="6"/>
      <c r="LO120" s="6"/>
      <c r="LP120" s="6"/>
      <c r="LQ120" s="6"/>
      <c r="LR120" s="6"/>
      <c r="LS120" s="6"/>
      <c r="LT120" s="6"/>
      <c r="LU120" s="6"/>
      <c r="LV120" s="6"/>
      <c r="LW120" s="6"/>
      <c r="LX120" s="6"/>
      <c r="LY120" s="6"/>
      <c r="LZ120" s="6"/>
      <c r="MA120" s="6"/>
      <c r="MB120" s="6"/>
      <c r="MC120" s="6"/>
      <c r="MD120" s="6"/>
      <c r="ME120" s="6"/>
      <c r="MF120" s="6"/>
      <c r="MG120" s="6"/>
      <c r="MH120" s="6"/>
      <c r="MI120" s="6"/>
      <c r="MJ120" s="6"/>
      <c r="MK120" s="6"/>
    </row>
    <row r="121" spans="1:349" s="2" customFormat="1" ht="17.7" customHeight="1" x14ac:dyDescent="0.3">
      <c r="A121" s="21">
        <v>120</v>
      </c>
      <c r="B121" s="21">
        <v>8100038</v>
      </c>
      <c r="C121" s="9" t="s">
        <v>153</v>
      </c>
      <c r="D121" s="9" t="s">
        <v>25</v>
      </c>
      <c r="E121" s="9" t="s">
        <v>35</v>
      </c>
      <c r="F121" s="9">
        <v>140.25</v>
      </c>
      <c r="G121" s="9">
        <v>20</v>
      </c>
      <c r="H121" s="9"/>
      <c r="I121" s="9" t="s">
        <v>116</v>
      </c>
      <c r="J121" s="9"/>
      <c r="K121" s="9"/>
      <c r="L121" s="9"/>
      <c r="M121" s="9">
        <f t="shared" si="1"/>
        <v>116.4075</v>
      </c>
      <c r="N121" s="9" t="s">
        <v>28</v>
      </c>
      <c r="O121" s="9" t="s">
        <v>29</v>
      </c>
      <c r="P121" s="9" t="s">
        <v>29</v>
      </c>
      <c r="Q121" s="9"/>
      <c r="R121" s="9"/>
      <c r="S121" s="9"/>
      <c r="T121" s="9"/>
      <c r="U121" s="9"/>
      <c r="V121" s="9"/>
      <c r="W121" s="9"/>
      <c r="X121" s="9" t="s">
        <v>30</v>
      </c>
      <c r="Y121" s="13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  <c r="DE121" s="5"/>
      <c r="DF121" s="5"/>
      <c r="DG121" s="5"/>
      <c r="DH121" s="5"/>
      <c r="DI121" s="5"/>
      <c r="DJ121" s="5"/>
      <c r="DK121" s="5"/>
      <c r="DL121" s="5"/>
      <c r="DM121" s="5"/>
      <c r="DN121" s="5"/>
      <c r="DO121" s="5"/>
      <c r="DP121" s="5"/>
      <c r="DQ121" s="5"/>
      <c r="DR121" s="5"/>
      <c r="DS121" s="5"/>
      <c r="DT121" s="5"/>
      <c r="DU121" s="5"/>
      <c r="DV121" s="5"/>
      <c r="DW121" s="5"/>
      <c r="DX121" s="5"/>
      <c r="DY121" s="5"/>
      <c r="DZ121" s="5"/>
      <c r="EA121" s="5"/>
      <c r="EB121" s="5"/>
      <c r="EC121" s="5"/>
      <c r="ED121" s="5"/>
      <c r="EE121" s="5"/>
      <c r="EF121" s="5"/>
      <c r="EG121" s="5"/>
      <c r="EH121" s="5"/>
      <c r="EI121" s="5"/>
      <c r="EJ121" s="5"/>
      <c r="EK121" s="5"/>
      <c r="EL121" s="5"/>
      <c r="EM121" s="5"/>
      <c r="EN121" s="5"/>
      <c r="EO121" s="5"/>
      <c r="EP121" s="5"/>
      <c r="EQ121" s="5"/>
      <c r="ER121" s="5"/>
      <c r="ES121" s="5"/>
      <c r="ET121" s="5"/>
      <c r="EU121" s="5"/>
      <c r="EV121" s="5"/>
      <c r="EW121" s="5"/>
      <c r="EX121" s="5"/>
      <c r="EY121" s="5"/>
      <c r="EZ121" s="5"/>
      <c r="FA121" s="5"/>
      <c r="FB121" s="5"/>
      <c r="FC121" s="5"/>
      <c r="FD121" s="5"/>
      <c r="FE121" s="5"/>
      <c r="FF121" s="5"/>
      <c r="FG121" s="5"/>
      <c r="FH121" s="5"/>
      <c r="FI121" s="5"/>
      <c r="FJ121" s="5"/>
      <c r="FK121" s="5"/>
      <c r="FL121" s="5"/>
      <c r="FM121" s="5"/>
      <c r="FN121" s="5"/>
      <c r="FO121" s="5"/>
      <c r="FP121" s="5"/>
      <c r="FQ121" s="5"/>
      <c r="FR121" s="5"/>
      <c r="FS121" s="5"/>
      <c r="FT121" s="5"/>
      <c r="FU121" s="5"/>
      <c r="FV121" s="5"/>
      <c r="FW121" s="5"/>
      <c r="FX121" s="5"/>
      <c r="FY121" s="5"/>
      <c r="FZ121" s="5"/>
      <c r="GA121" s="5"/>
      <c r="GB121" s="5"/>
      <c r="GC121" s="5"/>
      <c r="GD121" s="5"/>
      <c r="GE121" s="5"/>
      <c r="GF121" s="5"/>
      <c r="GG121" s="5"/>
      <c r="GH121" s="5"/>
      <c r="GI121" s="5"/>
      <c r="GJ121" s="5"/>
      <c r="GK121" s="5"/>
      <c r="GL121" s="5"/>
      <c r="GM121" s="5"/>
      <c r="GN121" s="5"/>
      <c r="GO121" s="5"/>
      <c r="GP121" s="5"/>
      <c r="GQ121" s="5"/>
      <c r="GR121" s="5"/>
      <c r="GS121" s="5"/>
      <c r="GT121" s="5"/>
      <c r="GU121" s="5"/>
      <c r="GV121" s="5"/>
      <c r="GW121" s="5"/>
      <c r="GX121" s="5"/>
      <c r="GY121" s="5"/>
      <c r="GZ121" s="5"/>
      <c r="HA121" s="5"/>
      <c r="HB121" s="5"/>
      <c r="HC121" s="5"/>
      <c r="HD121" s="5"/>
      <c r="HE121" s="5"/>
      <c r="HF121" s="5"/>
      <c r="HG121" s="5"/>
      <c r="HH121" s="5"/>
      <c r="HI121" s="5"/>
      <c r="HJ121" s="5"/>
      <c r="HK121" s="5"/>
      <c r="HL121" s="5"/>
      <c r="HM121" s="5"/>
      <c r="HN121" s="5"/>
      <c r="HO121" s="5"/>
      <c r="HP121" s="5"/>
      <c r="HQ121" s="5"/>
      <c r="HR121" s="5"/>
      <c r="HS121" s="5"/>
      <c r="HT121" s="5"/>
      <c r="HU121" s="5"/>
      <c r="HV121" s="5"/>
      <c r="HW121" s="5"/>
      <c r="HX121" s="5"/>
      <c r="HY121" s="5"/>
      <c r="HZ121" s="5"/>
      <c r="IA121" s="5"/>
      <c r="IB121" s="5"/>
      <c r="IC121" s="5"/>
      <c r="ID121" s="5"/>
      <c r="IE121" s="5"/>
      <c r="IF121" s="5"/>
      <c r="IG121" s="5"/>
      <c r="IH121" s="5"/>
      <c r="II121" s="5"/>
      <c r="IJ121" s="5"/>
      <c r="IK121" s="5"/>
      <c r="IL121" s="5"/>
      <c r="IM121" s="5"/>
      <c r="IN121" s="5"/>
      <c r="IO121" s="5"/>
      <c r="IP121" s="5"/>
      <c r="IQ121" s="5"/>
      <c r="IR121" s="5"/>
      <c r="IS121" s="5"/>
      <c r="IT121" s="5"/>
      <c r="IU121" s="5"/>
      <c r="IV121" s="5"/>
      <c r="IW121" s="5"/>
      <c r="IX121" s="5"/>
      <c r="IY121" s="5"/>
      <c r="IZ121" s="5"/>
      <c r="JA121" s="5"/>
      <c r="JB121" s="5"/>
      <c r="JC121" s="5"/>
      <c r="JD121" s="5"/>
      <c r="JE121" s="5"/>
      <c r="JF121" s="5"/>
      <c r="JG121" s="5"/>
      <c r="JH121" s="5"/>
      <c r="JI121" s="5"/>
      <c r="JJ121" s="5"/>
      <c r="JK121" s="5"/>
      <c r="JL121" s="5"/>
      <c r="JM121" s="5"/>
      <c r="JN121" s="5"/>
      <c r="JO121" s="5"/>
      <c r="JP121" s="5"/>
      <c r="JQ121" s="5"/>
      <c r="JR121" s="5"/>
      <c r="JS121" s="5"/>
      <c r="JT121" s="5"/>
      <c r="JU121" s="5"/>
      <c r="JV121" s="5"/>
      <c r="JW121" s="5"/>
      <c r="JX121" s="5"/>
      <c r="JY121" s="5"/>
      <c r="JZ121" s="5"/>
      <c r="KA121" s="5"/>
      <c r="KB121" s="5"/>
      <c r="KC121" s="5"/>
      <c r="KD121" s="5"/>
      <c r="KE121" s="5"/>
      <c r="KF121" s="5"/>
      <c r="KG121" s="5"/>
      <c r="KH121" s="5"/>
      <c r="KI121" s="5"/>
      <c r="KJ121" s="5"/>
      <c r="KK121" s="5"/>
      <c r="KL121" s="5"/>
      <c r="KM121" s="5"/>
      <c r="KN121" s="5"/>
      <c r="KO121" s="5"/>
      <c r="KP121" s="5"/>
      <c r="KQ121" s="5"/>
      <c r="KR121" s="5"/>
      <c r="KS121" s="5"/>
      <c r="KT121" s="5"/>
      <c r="KU121" s="5"/>
      <c r="KV121" s="5"/>
      <c r="KW121" s="5"/>
      <c r="KX121" s="5"/>
      <c r="KY121" s="5"/>
      <c r="KZ121" s="5"/>
      <c r="LA121" s="5"/>
      <c r="LB121" s="5"/>
      <c r="LC121" s="5"/>
      <c r="LD121" s="5"/>
      <c r="LE121" s="5"/>
      <c r="LF121" s="5"/>
      <c r="LG121" s="5"/>
      <c r="LH121" s="5"/>
      <c r="LI121" s="5"/>
      <c r="LJ121" s="5"/>
      <c r="LK121" s="5"/>
      <c r="LL121" s="5"/>
      <c r="LM121" s="5"/>
      <c r="LN121" s="5"/>
      <c r="LO121" s="5"/>
      <c r="LP121" s="5"/>
      <c r="LQ121" s="5"/>
      <c r="LR121" s="5"/>
      <c r="LS121" s="5"/>
      <c r="LT121" s="5"/>
      <c r="LU121" s="5"/>
      <c r="LV121" s="5"/>
      <c r="LW121" s="5"/>
      <c r="LX121" s="5"/>
      <c r="LY121" s="5"/>
      <c r="LZ121" s="5"/>
      <c r="MA121" s="5"/>
      <c r="MB121" s="5"/>
      <c r="MC121" s="5"/>
      <c r="MD121" s="5"/>
      <c r="ME121" s="5"/>
      <c r="MF121" s="5"/>
      <c r="MG121" s="5"/>
      <c r="MH121" s="5"/>
      <c r="MI121" s="5"/>
      <c r="MJ121" s="5"/>
      <c r="MK121" s="5"/>
    </row>
    <row r="122" spans="1:349" s="2" customFormat="1" ht="17.7" customHeight="1" x14ac:dyDescent="0.3">
      <c r="A122" s="20">
        <v>121</v>
      </c>
      <c r="B122" s="20">
        <v>8100039</v>
      </c>
      <c r="C122" s="10" t="s">
        <v>154</v>
      </c>
      <c r="D122" s="10" t="s">
        <v>25</v>
      </c>
      <c r="E122" s="10" t="s">
        <v>35</v>
      </c>
      <c r="F122" s="10">
        <v>146</v>
      </c>
      <c r="G122" s="10">
        <v>20</v>
      </c>
      <c r="H122" s="10"/>
      <c r="I122" s="10" t="s">
        <v>116</v>
      </c>
      <c r="J122" s="10"/>
      <c r="K122" s="10"/>
      <c r="L122" s="10"/>
      <c r="M122" s="10">
        <f t="shared" si="1"/>
        <v>121.18</v>
      </c>
      <c r="N122" s="10" t="s">
        <v>28</v>
      </c>
      <c r="O122" s="10" t="s">
        <v>29</v>
      </c>
      <c r="P122" s="10" t="s">
        <v>29</v>
      </c>
      <c r="Q122" s="10"/>
      <c r="R122" s="10"/>
      <c r="S122" s="10"/>
      <c r="T122" s="10"/>
      <c r="U122" s="10"/>
      <c r="V122" s="10"/>
      <c r="W122" s="10"/>
      <c r="X122" s="10" t="s">
        <v>30</v>
      </c>
      <c r="Y122" s="13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  <c r="DE122" s="5"/>
      <c r="DF122" s="5"/>
      <c r="DG122" s="5"/>
      <c r="DH122" s="5"/>
      <c r="DI122" s="5"/>
      <c r="DJ122" s="5"/>
      <c r="DK122" s="5"/>
      <c r="DL122" s="5"/>
      <c r="DM122" s="5"/>
      <c r="DN122" s="5"/>
      <c r="DO122" s="5"/>
      <c r="DP122" s="5"/>
      <c r="DQ122" s="5"/>
      <c r="DR122" s="5"/>
      <c r="DS122" s="5"/>
      <c r="DT122" s="5"/>
      <c r="DU122" s="5"/>
      <c r="DV122" s="5"/>
      <c r="DW122" s="5"/>
      <c r="DX122" s="5"/>
      <c r="DY122" s="5"/>
      <c r="DZ122" s="5"/>
      <c r="EA122" s="5"/>
      <c r="EB122" s="5"/>
      <c r="EC122" s="5"/>
      <c r="ED122" s="5"/>
      <c r="EE122" s="5"/>
      <c r="EF122" s="5"/>
      <c r="EG122" s="5"/>
      <c r="EH122" s="5"/>
      <c r="EI122" s="5"/>
      <c r="EJ122" s="5"/>
      <c r="EK122" s="5"/>
      <c r="EL122" s="5"/>
      <c r="EM122" s="5"/>
      <c r="EN122" s="5"/>
      <c r="EO122" s="5"/>
      <c r="EP122" s="5"/>
      <c r="EQ122" s="5"/>
      <c r="ER122" s="5"/>
      <c r="ES122" s="5"/>
      <c r="ET122" s="5"/>
      <c r="EU122" s="5"/>
      <c r="EV122" s="5"/>
      <c r="EW122" s="5"/>
      <c r="EX122" s="5"/>
      <c r="EY122" s="5"/>
      <c r="EZ122" s="5"/>
      <c r="FA122" s="5"/>
      <c r="FB122" s="5"/>
      <c r="FC122" s="5"/>
      <c r="FD122" s="5"/>
      <c r="FE122" s="5"/>
      <c r="FF122" s="5"/>
      <c r="FG122" s="5"/>
      <c r="FH122" s="5"/>
      <c r="FI122" s="5"/>
      <c r="FJ122" s="5"/>
      <c r="FK122" s="5"/>
      <c r="FL122" s="5"/>
      <c r="FM122" s="5"/>
      <c r="FN122" s="5"/>
      <c r="FO122" s="5"/>
      <c r="FP122" s="5"/>
      <c r="FQ122" s="5"/>
      <c r="FR122" s="5"/>
      <c r="FS122" s="5"/>
      <c r="FT122" s="5"/>
      <c r="FU122" s="5"/>
      <c r="FV122" s="5"/>
      <c r="FW122" s="5"/>
      <c r="FX122" s="5"/>
      <c r="FY122" s="5"/>
      <c r="FZ122" s="5"/>
      <c r="GA122" s="5"/>
      <c r="GB122" s="5"/>
      <c r="GC122" s="5"/>
      <c r="GD122" s="5"/>
      <c r="GE122" s="5"/>
      <c r="GF122" s="5"/>
      <c r="GG122" s="5"/>
      <c r="GH122" s="5"/>
      <c r="GI122" s="5"/>
      <c r="GJ122" s="5"/>
      <c r="GK122" s="5"/>
      <c r="GL122" s="5"/>
      <c r="GM122" s="5"/>
      <c r="GN122" s="5"/>
      <c r="GO122" s="5"/>
      <c r="GP122" s="5"/>
      <c r="GQ122" s="5"/>
      <c r="GR122" s="5"/>
      <c r="GS122" s="5"/>
      <c r="GT122" s="5"/>
      <c r="GU122" s="5"/>
      <c r="GV122" s="5"/>
      <c r="GW122" s="5"/>
      <c r="GX122" s="5"/>
      <c r="GY122" s="5"/>
      <c r="GZ122" s="5"/>
      <c r="HA122" s="5"/>
      <c r="HB122" s="5"/>
      <c r="HC122" s="5"/>
      <c r="HD122" s="5"/>
      <c r="HE122" s="5"/>
      <c r="HF122" s="5"/>
      <c r="HG122" s="5"/>
      <c r="HH122" s="5"/>
      <c r="HI122" s="5"/>
      <c r="HJ122" s="5"/>
      <c r="HK122" s="5"/>
      <c r="HL122" s="5"/>
      <c r="HM122" s="5"/>
      <c r="HN122" s="5"/>
      <c r="HO122" s="5"/>
      <c r="HP122" s="5"/>
      <c r="HQ122" s="5"/>
      <c r="HR122" s="5"/>
      <c r="HS122" s="5"/>
      <c r="HT122" s="5"/>
      <c r="HU122" s="5"/>
      <c r="HV122" s="5"/>
      <c r="HW122" s="5"/>
      <c r="HX122" s="5"/>
      <c r="HY122" s="5"/>
      <c r="HZ122" s="5"/>
      <c r="IA122" s="5"/>
      <c r="IB122" s="5"/>
      <c r="IC122" s="5"/>
      <c r="ID122" s="5"/>
      <c r="IE122" s="5"/>
      <c r="IF122" s="5"/>
      <c r="IG122" s="5"/>
      <c r="IH122" s="5"/>
      <c r="II122" s="5"/>
      <c r="IJ122" s="5"/>
      <c r="IK122" s="5"/>
      <c r="IL122" s="5"/>
      <c r="IM122" s="5"/>
      <c r="IN122" s="5"/>
      <c r="IO122" s="5"/>
      <c r="IP122" s="5"/>
      <c r="IQ122" s="5"/>
      <c r="IR122" s="5"/>
      <c r="IS122" s="5"/>
      <c r="IT122" s="5"/>
      <c r="IU122" s="5"/>
      <c r="IV122" s="5"/>
      <c r="IW122" s="5"/>
      <c r="IX122" s="5"/>
      <c r="IY122" s="5"/>
      <c r="IZ122" s="5"/>
      <c r="JA122" s="5"/>
      <c r="JB122" s="5"/>
      <c r="JC122" s="5"/>
      <c r="JD122" s="5"/>
      <c r="JE122" s="5"/>
      <c r="JF122" s="5"/>
      <c r="JG122" s="5"/>
      <c r="JH122" s="5"/>
      <c r="JI122" s="5"/>
      <c r="JJ122" s="5"/>
      <c r="JK122" s="5"/>
      <c r="JL122" s="5"/>
      <c r="JM122" s="5"/>
      <c r="JN122" s="5"/>
      <c r="JO122" s="5"/>
      <c r="JP122" s="5"/>
      <c r="JQ122" s="5"/>
      <c r="JR122" s="5"/>
      <c r="JS122" s="5"/>
      <c r="JT122" s="5"/>
      <c r="JU122" s="5"/>
      <c r="JV122" s="5"/>
      <c r="JW122" s="5"/>
      <c r="JX122" s="5"/>
      <c r="JY122" s="5"/>
      <c r="JZ122" s="5"/>
      <c r="KA122" s="5"/>
      <c r="KB122" s="5"/>
      <c r="KC122" s="5"/>
      <c r="KD122" s="5"/>
      <c r="KE122" s="5"/>
      <c r="KF122" s="5"/>
      <c r="KG122" s="5"/>
      <c r="KH122" s="5"/>
      <c r="KI122" s="5"/>
      <c r="KJ122" s="5"/>
      <c r="KK122" s="5"/>
      <c r="KL122" s="5"/>
      <c r="KM122" s="5"/>
      <c r="KN122" s="5"/>
      <c r="KO122" s="5"/>
      <c r="KP122" s="5"/>
      <c r="KQ122" s="5"/>
      <c r="KR122" s="5"/>
      <c r="KS122" s="5"/>
      <c r="KT122" s="5"/>
      <c r="KU122" s="5"/>
      <c r="KV122" s="5"/>
      <c r="KW122" s="5"/>
      <c r="KX122" s="5"/>
      <c r="KY122" s="5"/>
      <c r="KZ122" s="5"/>
      <c r="LA122" s="5"/>
      <c r="LB122" s="5"/>
      <c r="LC122" s="5"/>
      <c r="LD122" s="5"/>
      <c r="LE122" s="5"/>
      <c r="LF122" s="5"/>
      <c r="LG122" s="5"/>
      <c r="LH122" s="5"/>
      <c r="LI122" s="5"/>
      <c r="LJ122" s="5"/>
      <c r="LK122" s="5"/>
      <c r="LL122" s="5"/>
      <c r="LM122" s="5"/>
      <c r="LN122" s="5"/>
      <c r="LO122" s="5"/>
      <c r="LP122" s="5"/>
      <c r="LQ122" s="5"/>
      <c r="LR122" s="5"/>
      <c r="LS122" s="5"/>
      <c r="LT122" s="5"/>
      <c r="LU122" s="5"/>
      <c r="LV122" s="5"/>
      <c r="LW122" s="5"/>
      <c r="LX122" s="5"/>
      <c r="LY122" s="5"/>
      <c r="LZ122" s="5"/>
      <c r="MA122" s="5"/>
      <c r="MB122" s="5"/>
      <c r="MC122" s="5"/>
      <c r="MD122" s="5"/>
      <c r="ME122" s="5"/>
      <c r="MF122" s="5"/>
      <c r="MG122" s="5"/>
      <c r="MH122" s="5"/>
      <c r="MI122" s="5"/>
      <c r="MJ122" s="5"/>
      <c r="MK122" s="5"/>
    </row>
    <row r="123" spans="1:349" s="2" customFormat="1" ht="17.7" customHeight="1" x14ac:dyDescent="0.3">
      <c r="A123" s="21">
        <v>122</v>
      </c>
      <c r="B123" s="21">
        <v>8100040</v>
      </c>
      <c r="C123" s="9" t="s">
        <v>155</v>
      </c>
      <c r="D123" s="9" t="s">
        <v>25</v>
      </c>
      <c r="E123" s="9" t="s">
        <v>35</v>
      </c>
      <c r="F123" s="9">
        <v>327.25</v>
      </c>
      <c r="G123" s="9">
        <v>5</v>
      </c>
      <c r="H123" s="9"/>
      <c r="I123" s="9" t="s">
        <v>116</v>
      </c>
      <c r="J123" s="9"/>
      <c r="K123" s="9"/>
      <c r="L123" s="9"/>
      <c r="M123" s="9">
        <f t="shared" si="1"/>
        <v>271.61750000000001</v>
      </c>
      <c r="N123" s="9" t="s">
        <v>28</v>
      </c>
      <c r="O123" s="9" t="s">
        <v>29</v>
      </c>
      <c r="P123" s="9" t="s">
        <v>29</v>
      </c>
      <c r="Q123" s="9"/>
      <c r="R123" s="9"/>
      <c r="S123" s="9"/>
      <c r="T123" s="9"/>
      <c r="U123" s="9"/>
      <c r="V123" s="9"/>
      <c r="W123" s="9"/>
      <c r="X123" s="9" t="s">
        <v>30</v>
      </c>
      <c r="Y123" s="13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  <c r="DE123" s="5"/>
      <c r="DF123" s="5"/>
      <c r="DG123" s="5"/>
      <c r="DH123" s="5"/>
      <c r="DI123" s="5"/>
      <c r="DJ123" s="5"/>
      <c r="DK123" s="5"/>
      <c r="DL123" s="5"/>
      <c r="DM123" s="5"/>
      <c r="DN123" s="5"/>
      <c r="DO123" s="5"/>
      <c r="DP123" s="5"/>
      <c r="DQ123" s="5"/>
      <c r="DR123" s="5"/>
      <c r="DS123" s="5"/>
      <c r="DT123" s="5"/>
      <c r="DU123" s="5"/>
      <c r="DV123" s="5"/>
      <c r="DW123" s="5"/>
      <c r="DX123" s="5"/>
      <c r="DY123" s="5"/>
      <c r="DZ123" s="5"/>
      <c r="EA123" s="5"/>
      <c r="EB123" s="5"/>
      <c r="EC123" s="5"/>
      <c r="ED123" s="5"/>
      <c r="EE123" s="5"/>
      <c r="EF123" s="5"/>
      <c r="EG123" s="5"/>
      <c r="EH123" s="5"/>
      <c r="EI123" s="5"/>
      <c r="EJ123" s="5"/>
      <c r="EK123" s="5"/>
      <c r="EL123" s="5"/>
      <c r="EM123" s="5"/>
      <c r="EN123" s="5"/>
      <c r="EO123" s="5"/>
      <c r="EP123" s="5"/>
      <c r="EQ123" s="5"/>
      <c r="ER123" s="5"/>
      <c r="ES123" s="5"/>
      <c r="ET123" s="5"/>
      <c r="EU123" s="5"/>
      <c r="EV123" s="5"/>
      <c r="EW123" s="5"/>
      <c r="EX123" s="5"/>
      <c r="EY123" s="5"/>
      <c r="EZ123" s="5"/>
      <c r="FA123" s="5"/>
      <c r="FB123" s="5"/>
      <c r="FC123" s="5"/>
      <c r="FD123" s="5"/>
      <c r="FE123" s="5"/>
      <c r="FF123" s="5"/>
      <c r="FG123" s="5"/>
      <c r="FH123" s="5"/>
      <c r="FI123" s="5"/>
      <c r="FJ123" s="5"/>
      <c r="FK123" s="5"/>
      <c r="FL123" s="5"/>
      <c r="FM123" s="5"/>
      <c r="FN123" s="5"/>
      <c r="FO123" s="5"/>
      <c r="FP123" s="5"/>
      <c r="FQ123" s="5"/>
      <c r="FR123" s="5"/>
      <c r="FS123" s="5"/>
      <c r="FT123" s="5"/>
      <c r="FU123" s="5"/>
      <c r="FV123" s="5"/>
      <c r="FW123" s="5"/>
      <c r="FX123" s="5"/>
      <c r="FY123" s="5"/>
      <c r="FZ123" s="5"/>
      <c r="GA123" s="5"/>
      <c r="GB123" s="5"/>
      <c r="GC123" s="5"/>
      <c r="GD123" s="5"/>
      <c r="GE123" s="5"/>
      <c r="GF123" s="5"/>
      <c r="GG123" s="5"/>
      <c r="GH123" s="5"/>
      <c r="GI123" s="5"/>
      <c r="GJ123" s="5"/>
      <c r="GK123" s="5"/>
      <c r="GL123" s="5"/>
      <c r="GM123" s="5"/>
      <c r="GN123" s="5"/>
      <c r="GO123" s="5"/>
      <c r="GP123" s="5"/>
      <c r="GQ123" s="5"/>
      <c r="GR123" s="5"/>
      <c r="GS123" s="5"/>
      <c r="GT123" s="5"/>
      <c r="GU123" s="5"/>
      <c r="GV123" s="5"/>
      <c r="GW123" s="5"/>
      <c r="GX123" s="5"/>
      <c r="GY123" s="5"/>
      <c r="GZ123" s="5"/>
      <c r="HA123" s="5"/>
      <c r="HB123" s="5"/>
      <c r="HC123" s="5"/>
      <c r="HD123" s="5"/>
      <c r="HE123" s="5"/>
      <c r="HF123" s="5"/>
      <c r="HG123" s="5"/>
      <c r="HH123" s="5"/>
      <c r="HI123" s="5"/>
      <c r="HJ123" s="5"/>
      <c r="HK123" s="5"/>
      <c r="HL123" s="5"/>
      <c r="HM123" s="5"/>
      <c r="HN123" s="5"/>
      <c r="HO123" s="5"/>
      <c r="HP123" s="5"/>
      <c r="HQ123" s="5"/>
      <c r="HR123" s="5"/>
      <c r="HS123" s="5"/>
      <c r="HT123" s="5"/>
      <c r="HU123" s="5"/>
      <c r="HV123" s="5"/>
      <c r="HW123" s="5"/>
      <c r="HX123" s="5"/>
      <c r="HY123" s="5"/>
      <c r="HZ123" s="5"/>
      <c r="IA123" s="5"/>
      <c r="IB123" s="5"/>
      <c r="IC123" s="5"/>
      <c r="ID123" s="5"/>
      <c r="IE123" s="5"/>
      <c r="IF123" s="5"/>
      <c r="IG123" s="5"/>
      <c r="IH123" s="5"/>
      <c r="II123" s="5"/>
      <c r="IJ123" s="5"/>
      <c r="IK123" s="5"/>
      <c r="IL123" s="5"/>
      <c r="IM123" s="5"/>
      <c r="IN123" s="5"/>
      <c r="IO123" s="5"/>
      <c r="IP123" s="5"/>
      <c r="IQ123" s="5"/>
      <c r="IR123" s="5"/>
      <c r="IS123" s="5"/>
      <c r="IT123" s="5"/>
      <c r="IU123" s="5"/>
      <c r="IV123" s="5"/>
      <c r="IW123" s="5"/>
      <c r="IX123" s="5"/>
      <c r="IY123" s="5"/>
      <c r="IZ123" s="5"/>
      <c r="JA123" s="5"/>
      <c r="JB123" s="5"/>
      <c r="JC123" s="5"/>
      <c r="JD123" s="5"/>
      <c r="JE123" s="5"/>
      <c r="JF123" s="5"/>
      <c r="JG123" s="5"/>
      <c r="JH123" s="5"/>
      <c r="JI123" s="5"/>
      <c r="JJ123" s="5"/>
      <c r="JK123" s="5"/>
      <c r="JL123" s="5"/>
      <c r="JM123" s="5"/>
      <c r="JN123" s="5"/>
      <c r="JO123" s="5"/>
      <c r="JP123" s="5"/>
      <c r="JQ123" s="5"/>
      <c r="JR123" s="5"/>
      <c r="JS123" s="5"/>
      <c r="JT123" s="5"/>
      <c r="JU123" s="5"/>
      <c r="JV123" s="5"/>
      <c r="JW123" s="5"/>
      <c r="JX123" s="5"/>
      <c r="JY123" s="5"/>
      <c r="JZ123" s="5"/>
      <c r="KA123" s="5"/>
      <c r="KB123" s="5"/>
      <c r="KC123" s="5"/>
      <c r="KD123" s="5"/>
      <c r="KE123" s="5"/>
      <c r="KF123" s="5"/>
      <c r="KG123" s="5"/>
      <c r="KH123" s="5"/>
      <c r="KI123" s="5"/>
      <c r="KJ123" s="5"/>
      <c r="KK123" s="5"/>
      <c r="KL123" s="5"/>
      <c r="KM123" s="5"/>
      <c r="KN123" s="5"/>
      <c r="KO123" s="5"/>
      <c r="KP123" s="5"/>
      <c r="KQ123" s="5"/>
      <c r="KR123" s="5"/>
      <c r="KS123" s="5"/>
      <c r="KT123" s="5"/>
      <c r="KU123" s="5"/>
      <c r="KV123" s="5"/>
      <c r="KW123" s="5"/>
      <c r="KX123" s="5"/>
      <c r="KY123" s="5"/>
      <c r="KZ123" s="5"/>
      <c r="LA123" s="5"/>
      <c r="LB123" s="5"/>
      <c r="LC123" s="5"/>
      <c r="LD123" s="5"/>
      <c r="LE123" s="5"/>
      <c r="LF123" s="5"/>
      <c r="LG123" s="5"/>
      <c r="LH123" s="5"/>
      <c r="LI123" s="5"/>
      <c r="LJ123" s="5"/>
      <c r="LK123" s="5"/>
      <c r="LL123" s="5"/>
      <c r="LM123" s="5"/>
      <c r="LN123" s="5"/>
      <c r="LO123" s="5"/>
      <c r="LP123" s="5"/>
      <c r="LQ123" s="5"/>
      <c r="LR123" s="5"/>
      <c r="LS123" s="5"/>
      <c r="LT123" s="5"/>
      <c r="LU123" s="5"/>
      <c r="LV123" s="5"/>
      <c r="LW123" s="5"/>
      <c r="LX123" s="5"/>
      <c r="LY123" s="5"/>
      <c r="LZ123" s="5"/>
      <c r="MA123" s="5"/>
      <c r="MB123" s="5"/>
      <c r="MC123" s="5"/>
      <c r="MD123" s="5"/>
      <c r="ME123" s="5"/>
      <c r="MF123" s="5"/>
      <c r="MG123" s="5"/>
      <c r="MH123" s="5"/>
      <c r="MI123" s="5"/>
      <c r="MJ123" s="5"/>
      <c r="MK123" s="5"/>
    </row>
    <row r="124" spans="1:349" s="1" customFormat="1" ht="17.7" customHeight="1" x14ac:dyDescent="0.3">
      <c r="A124" s="20">
        <v>123</v>
      </c>
      <c r="B124" s="20">
        <v>8100041</v>
      </c>
      <c r="C124" s="10" t="s">
        <v>156</v>
      </c>
      <c r="D124" s="10" t="s">
        <v>25</v>
      </c>
      <c r="E124" s="10" t="s">
        <v>35</v>
      </c>
      <c r="F124" s="10">
        <v>415.25</v>
      </c>
      <c r="G124" s="10">
        <v>2</v>
      </c>
      <c r="H124" s="10"/>
      <c r="I124" s="10" t="s">
        <v>116</v>
      </c>
      <c r="J124" s="10"/>
      <c r="K124" s="10"/>
      <c r="L124" s="10"/>
      <c r="M124" s="10">
        <f t="shared" si="1"/>
        <v>344.65750000000003</v>
      </c>
      <c r="N124" s="10" t="s">
        <v>28</v>
      </c>
      <c r="O124" s="10" t="s">
        <v>29</v>
      </c>
      <c r="P124" s="10" t="s">
        <v>29</v>
      </c>
      <c r="Q124" s="10"/>
      <c r="R124" s="10"/>
      <c r="S124" s="10"/>
      <c r="T124" s="10"/>
      <c r="U124" s="10"/>
      <c r="V124" s="10"/>
      <c r="W124" s="10"/>
      <c r="X124" s="10" t="s">
        <v>30</v>
      </c>
      <c r="Y124" s="14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  <c r="BP124" s="6"/>
      <c r="BQ124" s="6"/>
      <c r="BR124" s="6"/>
      <c r="BS124" s="6"/>
      <c r="BT124" s="6"/>
      <c r="BU124" s="6"/>
      <c r="BV124" s="6"/>
      <c r="BW124" s="6"/>
      <c r="BX124" s="6"/>
      <c r="BY124" s="6"/>
      <c r="BZ124" s="6"/>
      <c r="CA124" s="6"/>
      <c r="CB124" s="6"/>
      <c r="CC124" s="6"/>
      <c r="CD124" s="6"/>
      <c r="CE124" s="6"/>
      <c r="CF124" s="6"/>
      <c r="CG124" s="6"/>
      <c r="CH124" s="6"/>
      <c r="CI124" s="6"/>
      <c r="CJ124" s="6"/>
      <c r="CK124" s="6"/>
      <c r="CL124" s="6"/>
      <c r="CM124" s="6"/>
      <c r="CN124" s="6"/>
      <c r="CO124" s="6"/>
      <c r="CP124" s="6"/>
      <c r="CQ124" s="6"/>
      <c r="CR124" s="6"/>
      <c r="CS124" s="6"/>
      <c r="CT124" s="6"/>
      <c r="CU124" s="6"/>
      <c r="CV124" s="6"/>
      <c r="CW124" s="6"/>
      <c r="CX124" s="6"/>
      <c r="CY124" s="6"/>
      <c r="CZ124" s="6"/>
      <c r="DA124" s="6"/>
      <c r="DB124" s="6"/>
      <c r="DC124" s="6"/>
      <c r="DD124" s="6"/>
      <c r="DE124" s="6"/>
      <c r="DF124" s="6"/>
      <c r="DG124" s="6"/>
      <c r="DH124" s="6"/>
      <c r="DI124" s="6"/>
      <c r="DJ124" s="6"/>
      <c r="DK124" s="6"/>
      <c r="DL124" s="6"/>
      <c r="DM124" s="6"/>
      <c r="DN124" s="6"/>
      <c r="DO124" s="6"/>
      <c r="DP124" s="6"/>
      <c r="DQ124" s="6"/>
      <c r="DR124" s="6"/>
      <c r="DS124" s="6"/>
      <c r="DT124" s="6"/>
      <c r="DU124" s="6"/>
      <c r="DV124" s="6"/>
      <c r="DW124" s="6"/>
      <c r="DX124" s="6"/>
      <c r="DY124" s="6"/>
      <c r="DZ124" s="6"/>
      <c r="EA124" s="6"/>
      <c r="EB124" s="6"/>
      <c r="EC124" s="6"/>
      <c r="ED124" s="6"/>
      <c r="EE124" s="6"/>
      <c r="EF124" s="6"/>
      <c r="EG124" s="6"/>
      <c r="EH124" s="6"/>
      <c r="EI124" s="6"/>
      <c r="EJ124" s="6"/>
      <c r="EK124" s="6"/>
      <c r="EL124" s="6"/>
      <c r="EM124" s="6"/>
      <c r="EN124" s="6"/>
      <c r="EO124" s="6"/>
      <c r="EP124" s="6"/>
      <c r="EQ124" s="6"/>
      <c r="ER124" s="6"/>
      <c r="ES124" s="6"/>
      <c r="ET124" s="6"/>
      <c r="EU124" s="6"/>
      <c r="EV124" s="6"/>
      <c r="EW124" s="6"/>
      <c r="EX124" s="6"/>
      <c r="EY124" s="6"/>
      <c r="EZ124" s="6"/>
      <c r="FA124" s="6"/>
      <c r="FB124" s="6"/>
      <c r="FC124" s="6"/>
      <c r="FD124" s="6"/>
      <c r="FE124" s="6"/>
      <c r="FF124" s="6"/>
      <c r="FG124" s="6"/>
      <c r="FH124" s="6"/>
      <c r="FI124" s="6"/>
      <c r="FJ124" s="6"/>
      <c r="FK124" s="6"/>
      <c r="FL124" s="6"/>
      <c r="FM124" s="6"/>
      <c r="FN124" s="6"/>
      <c r="FO124" s="6"/>
      <c r="FP124" s="6"/>
      <c r="FQ124" s="6"/>
      <c r="FR124" s="6"/>
      <c r="FS124" s="6"/>
      <c r="FT124" s="6"/>
      <c r="FU124" s="6"/>
      <c r="FV124" s="6"/>
      <c r="FW124" s="6"/>
      <c r="FX124" s="6"/>
      <c r="FY124" s="6"/>
      <c r="FZ124" s="6"/>
      <c r="GA124" s="6"/>
      <c r="GB124" s="6"/>
      <c r="GC124" s="6"/>
      <c r="GD124" s="6"/>
      <c r="GE124" s="6"/>
      <c r="GF124" s="6"/>
      <c r="GG124" s="6"/>
      <c r="GH124" s="6"/>
      <c r="GI124" s="6"/>
      <c r="GJ124" s="6"/>
      <c r="GK124" s="6"/>
      <c r="GL124" s="6"/>
      <c r="GM124" s="6"/>
      <c r="GN124" s="6"/>
      <c r="GO124" s="6"/>
      <c r="GP124" s="6"/>
      <c r="GQ124" s="6"/>
      <c r="GR124" s="6"/>
      <c r="GS124" s="6"/>
      <c r="GT124" s="6"/>
      <c r="GU124" s="6"/>
      <c r="GV124" s="6"/>
      <c r="GW124" s="6"/>
      <c r="GX124" s="6"/>
      <c r="GY124" s="6"/>
      <c r="GZ124" s="6"/>
      <c r="HA124" s="6"/>
      <c r="HB124" s="6"/>
      <c r="HC124" s="6"/>
      <c r="HD124" s="6"/>
      <c r="HE124" s="6"/>
      <c r="HF124" s="6"/>
      <c r="HG124" s="6"/>
      <c r="HH124" s="6"/>
      <c r="HI124" s="6"/>
      <c r="HJ124" s="6"/>
      <c r="HK124" s="6"/>
      <c r="HL124" s="6"/>
      <c r="HM124" s="6"/>
      <c r="HN124" s="6"/>
      <c r="HO124" s="6"/>
      <c r="HP124" s="6"/>
      <c r="HQ124" s="6"/>
      <c r="HR124" s="6"/>
      <c r="HS124" s="6"/>
      <c r="HT124" s="6"/>
      <c r="HU124" s="6"/>
      <c r="HV124" s="6"/>
      <c r="HW124" s="6"/>
      <c r="HX124" s="6"/>
      <c r="HY124" s="6"/>
      <c r="HZ124" s="6"/>
      <c r="IA124" s="6"/>
      <c r="IB124" s="6"/>
      <c r="IC124" s="6"/>
      <c r="ID124" s="6"/>
      <c r="IE124" s="6"/>
      <c r="IF124" s="6"/>
      <c r="IG124" s="6"/>
      <c r="IH124" s="6"/>
      <c r="II124" s="6"/>
      <c r="IJ124" s="6"/>
      <c r="IK124" s="6"/>
      <c r="IL124" s="6"/>
      <c r="IM124" s="6"/>
      <c r="IN124" s="6"/>
      <c r="IO124" s="6"/>
      <c r="IP124" s="6"/>
      <c r="IQ124" s="6"/>
      <c r="IR124" s="6"/>
      <c r="IS124" s="6"/>
      <c r="IT124" s="6"/>
      <c r="IU124" s="6"/>
      <c r="IV124" s="6"/>
      <c r="IW124" s="6"/>
      <c r="IX124" s="6"/>
      <c r="IY124" s="6"/>
      <c r="IZ124" s="6"/>
      <c r="JA124" s="6"/>
      <c r="JB124" s="6"/>
      <c r="JC124" s="6"/>
      <c r="JD124" s="6"/>
      <c r="JE124" s="6"/>
      <c r="JF124" s="6"/>
      <c r="JG124" s="6"/>
      <c r="JH124" s="6"/>
      <c r="JI124" s="6"/>
      <c r="JJ124" s="6"/>
      <c r="JK124" s="6"/>
      <c r="JL124" s="6"/>
      <c r="JM124" s="6"/>
      <c r="JN124" s="6"/>
      <c r="JO124" s="6"/>
      <c r="JP124" s="6"/>
      <c r="JQ124" s="6"/>
      <c r="JR124" s="6"/>
      <c r="JS124" s="6"/>
      <c r="JT124" s="6"/>
      <c r="JU124" s="6"/>
      <c r="JV124" s="6"/>
      <c r="JW124" s="6"/>
      <c r="JX124" s="6"/>
      <c r="JY124" s="6"/>
      <c r="JZ124" s="6"/>
      <c r="KA124" s="6"/>
      <c r="KB124" s="6"/>
      <c r="KC124" s="6"/>
      <c r="KD124" s="6"/>
      <c r="KE124" s="6"/>
      <c r="KF124" s="6"/>
      <c r="KG124" s="6"/>
      <c r="KH124" s="6"/>
      <c r="KI124" s="6"/>
      <c r="KJ124" s="6"/>
      <c r="KK124" s="6"/>
      <c r="KL124" s="6"/>
      <c r="KM124" s="6"/>
      <c r="KN124" s="6"/>
      <c r="KO124" s="6"/>
      <c r="KP124" s="6"/>
      <c r="KQ124" s="6"/>
      <c r="KR124" s="6"/>
      <c r="KS124" s="6"/>
      <c r="KT124" s="6"/>
      <c r="KU124" s="6"/>
      <c r="KV124" s="6"/>
      <c r="KW124" s="6"/>
      <c r="KX124" s="6"/>
      <c r="KY124" s="6"/>
      <c r="KZ124" s="6"/>
      <c r="LA124" s="6"/>
      <c r="LB124" s="6"/>
      <c r="LC124" s="6"/>
      <c r="LD124" s="6"/>
      <c r="LE124" s="6"/>
      <c r="LF124" s="6"/>
      <c r="LG124" s="6"/>
      <c r="LH124" s="6"/>
      <c r="LI124" s="6"/>
      <c r="LJ124" s="6"/>
      <c r="LK124" s="6"/>
      <c r="LL124" s="6"/>
      <c r="LM124" s="6"/>
      <c r="LN124" s="6"/>
      <c r="LO124" s="6"/>
      <c r="LP124" s="6"/>
      <c r="LQ124" s="6"/>
      <c r="LR124" s="6"/>
      <c r="LS124" s="6"/>
      <c r="LT124" s="6"/>
      <c r="LU124" s="6"/>
      <c r="LV124" s="6"/>
      <c r="LW124" s="6"/>
      <c r="LX124" s="6"/>
      <c r="LY124" s="6"/>
      <c r="LZ124" s="6"/>
      <c r="MA124" s="6"/>
      <c r="MB124" s="6"/>
      <c r="MC124" s="6"/>
      <c r="MD124" s="6"/>
      <c r="ME124" s="6"/>
      <c r="MF124" s="6"/>
      <c r="MG124" s="6"/>
      <c r="MH124" s="6"/>
      <c r="MI124" s="6"/>
      <c r="MJ124" s="6"/>
      <c r="MK124" s="6"/>
    </row>
    <row r="125" spans="1:349" s="2" customFormat="1" ht="17.7" customHeight="1" x14ac:dyDescent="0.3">
      <c r="A125" s="21">
        <v>124</v>
      </c>
      <c r="B125" s="21">
        <v>8100042</v>
      </c>
      <c r="C125" s="9" t="s">
        <v>157</v>
      </c>
      <c r="D125" s="9" t="s">
        <v>25</v>
      </c>
      <c r="E125" s="9" t="s">
        <v>35</v>
      </c>
      <c r="F125" s="9">
        <v>71</v>
      </c>
      <c r="G125" s="9">
        <v>20</v>
      </c>
      <c r="H125" s="9"/>
      <c r="I125" s="9" t="s">
        <v>116</v>
      </c>
      <c r="J125" s="9"/>
      <c r="K125" s="9"/>
      <c r="L125" s="9"/>
      <c r="M125" s="9">
        <f t="shared" si="1"/>
        <v>58.93</v>
      </c>
      <c r="N125" s="9" t="s">
        <v>28</v>
      </c>
      <c r="O125" s="9" t="s">
        <v>29</v>
      </c>
      <c r="P125" s="9" t="s">
        <v>29</v>
      </c>
      <c r="Q125" s="9"/>
      <c r="R125" s="9"/>
      <c r="S125" s="9"/>
      <c r="T125" s="9"/>
      <c r="U125" s="9"/>
      <c r="V125" s="9"/>
      <c r="W125" s="9"/>
      <c r="X125" s="9" t="s">
        <v>30</v>
      </c>
      <c r="Y125" s="13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  <c r="DE125" s="5"/>
      <c r="DF125" s="5"/>
      <c r="DG125" s="5"/>
      <c r="DH125" s="5"/>
      <c r="DI125" s="5"/>
      <c r="DJ125" s="5"/>
      <c r="DK125" s="5"/>
      <c r="DL125" s="5"/>
      <c r="DM125" s="5"/>
      <c r="DN125" s="5"/>
      <c r="DO125" s="5"/>
      <c r="DP125" s="5"/>
      <c r="DQ125" s="5"/>
      <c r="DR125" s="5"/>
      <c r="DS125" s="5"/>
      <c r="DT125" s="5"/>
      <c r="DU125" s="5"/>
      <c r="DV125" s="5"/>
      <c r="DW125" s="5"/>
      <c r="DX125" s="5"/>
      <c r="DY125" s="5"/>
      <c r="DZ125" s="5"/>
      <c r="EA125" s="5"/>
      <c r="EB125" s="5"/>
      <c r="EC125" s="5"/>
      <c r="ED125" s="5"/>
      <c r="EE125" s="5"/>
      <c r="EF125" s="5"/>
      <c r="EG125" s="5"/>
      <c r="EH125" s="5"/>
      <c r="EI125" s="5"/>
      <c r="EJ125" s="5"/>
      <c r="EK125" s="5"/>
      <c r="EL125" s="5"/>
      <c r="EM125" s="5"/>
      <c r="EN125" s="5"/>
      <c r="EO125" s="5"/>
      <c r="EP125" s="5"/>
      <c r="EQ125" s="5"/>
      <c r="ER125" s="5"/>
      <c r="ES125" s="5"/>
      <c r="ET125" s="5"/>
      <c r="EU125" s="5"/>
      <c r="EV125" s="5"/>
      <c r="EW125" s="5"/>
      <c r="EX125" s="5"/>
      <c r="EY125" s="5"/>
      <c r="EZ125" s="5"/>
      <c r="FA125" s="5"/>
      <c r="FB125" s="5"/>
      <c r="FC125" s="5"/>
      <c r="FD125" s="5"/>
      <c r="FE125" s="5"/>
      <c r="FF125" s="5"/>
      <c r="FG125" s="5"/>
      <c r="FH125" s="5"/>
      <c r="FI125" s="5"/>
      <c r="FJ125" s="5"/>
      <c r="FK125" s="5"/>
      <c r="FL125" s="5"/>
      <c r="FM125" s="5"/>
      <c r="FN125" s="5"/>
      <c r="FO125" s="5"/>
      <c r="FP125" s="5"/>
      <c r="FQ125" s="5"/>
      <c r="FR125" s="5"/>
      <c r="FS125" s="5"/>
      <c r="FT125" s="5"/>
      <c r="FU125" s="5"/>
      <c r="FV125" s="5"/>
      <c r="FW125" s="5"/>
      <c r="FX125" s="5"/>
      <c r="FY125" s="5"/>
      <c r="FZ125" s="5"/>
      <c r="GA125" s="5"/>
      <c r="GB125" s="5"/>
      <c r="GC125" s="5"/>
      <c r="GD125" s="5"/>
      <c r="GE125" s="5"/>
      <c r="GF125" s="5"/>
      <c r="GG125" s="5"/>
      <c r="GH125" s="5"/>
      <c r="GI125" s="5"/>
      <c r="GJ125" s="5"/>
      <c r="GK125" s="5"/>
      <c r="GL125" s="5"/>
      <c r="GM125" s="5"/>
      <c r="GN125" s="5"/>
      <c r="GO125" s="5"/>
      <c r="GP125" s="5"/>
      <c r="GQ125" s="5"/>
      <c r="GR125" s="5"/>
      <c r="GS125" s="5"/>
      <c r="GT125" s="5"/>
      <c r="GU125" s="5"/>
      <c r="GV125" s="5"/>
      <c r="GW125" s="5"/>
      <c r="GX125" s="5"/>
      <c r="GY125" s="5"/>
      <c r="GZ125" s="5"/>
      <c r="HA125" s="5"/>
      <c r="HB125" s="5"/>
      <c r="HC125" s="5"/>
      <c r="HD125" s="5"/>
      <c r="HE125" s="5"/>
      <c r="HF125" s="5"/>
      <c r="HG125" s="5"/>
      <c r="HH125" s="5"/>
      <c r="HI125" s="5"/>
      <c r="HJ125" s="5"/>
      <c r="HK125" s="5"/>
      <c r="HL125" s="5"/>
      <c r="HM125" s="5"/>
      <c r="HN125" s="5"/>
      <c r="HO125" s="5"/>
      <c r="HP125" s="5"/>
      <c r="HQ125" s="5"/>
      <c r="HR125" s="5"/>
      <c r="HS125" s="5"/>
      <c r="HT125" s="5"/>
      <c r="HU125" s="5"/>
      <c r="HV125" s="5"/>
      <c r="HW125" s="5"/>
      <c r="HX125" s="5"/>
      <c r="HY125" s="5"/>
      <c r="HZ125" s="5"/>
      <c r="IA125" s="5"/>
      <c r="IB125" s="5"/>
      <c r="IC125" s="5"/>
      <c r="ID125" s="5"/>
      <c r="IE125" s="5"/>
      <c r="IF125" s="5"/>
      <c r="IG125" s="5"/>
      <c r="IH125" s="5"/>
      <c r="II125" s="5"/>
      <c r="IJ125" s="5"/>
      <c r="IK125" s="5"/>
      <c r="IL125" s="5"/>
      <c r="IM125" s="5"/>
      <c r="IN125" s="5"/>
      <c r="IO125" s="5"/>
      <c r="IP125" s="5"/>
      <c r="IQ125" s="5"/>
      <c r="IR125" s="5"/>
      <c r="IS125" s="5"/>
      <c r="IT125" s="5"/>
      <c r="IU125" s="5"/>
      <c r="IV125" s="5"/>
      <c r="IW125" s="5"/>
      <c r="IX125" s="5"/>
      <c r="IY125" s="5"/>
      <c r="IZ125" s="5"/>
      <c r="JA125" s="5"/>
      <c r="JB125" s="5"/>
      <c r="JC125" s="5"/>
      <c r="JD125" s="5"/>
      <c r="JE125" s="5"/>
      <c r="JF125" s="5"/>
      <c r="JG125" s="5"/>
      <c r="JH125" s="5"/>
      <c r="JI125" s="5"/>
      <c r="JJ125" s="5"/>
      <c r="JK125" s="5"/>
      <c r="JL125" s="5"/>
      <c r="JM125" s="5"/>
      <c r="JN125" s="5"/>
      <c r="JO125" s="5"/>
      <c r="JP125" s="5"/>
      <c r="JQ125" s="5"/>
      <c r="JR125" s="5"/>
      <c r="JS125" s="5"/>
      <c r="JT125" s="5"/>
      <c r="JU125" s="5"/>
      <c r="JV125" s="5"/>
      <c r="JW125" s="5"/>
      <c r="JX125" s="5"/>
      <c r="JY125" s="5"/>
      <c r="JZ125" s="5"/>
      <c r="KA125" s="5"/>
      <c r="KB125" s="5"/>
      <c r="KC125" s="5"/>
      <c r="KD125" s="5"/>
      <c r="KE125" s="5"/>
      <c r="KF125" s="5"/>
      <c r="KG125" s="5"/>
      <c r="KH125" s="5"/>
      <c r="KI125" s="5"/>
      <c r="KJ125" s="5"/>
      <c r="KK125" s="5"/>
      <c r="KL125" s="5"/>
      <c r="KM125" s="5"/>
      <c r="KN125" s="5"/>
      <c r="KO125" s="5"/>
      <c r="KP125" s="5"/>
      <c r="KQ125" s="5"/>
      <c r="KR125" s="5"/>
      <c r="KS125" s="5"/>
      <c r="KT125" s="5"/>
      <c r="KU125" s="5"/>
      <c r="KV125" s="5"/>
      <c r="KW125" s="5"/>
      <c r="KX125" s="5"/>
      <c r="KY125" s="5"/>
      <c r="KZ125" s="5"/>
      <c r="LA125" s="5"/>
      <c r="LB125" s="5"/>
      <c r="LC125" s="5"/>
      <c r="LD125" s="5"/>
      <c r="LE125" s="5"/>
      <c r="LF125" s="5"/>
      <c r="LG125" s="5"/>
      <c r="LH125" s="5"/>
      <c r="LI125" s="5"/>
      <c r="LJ125" s="5"/>
      <c r="LK125" s="5"/>
      <c r="LL125" s="5"/>
      <c r="LM125" s="5"/>
      <c r="LN125" s="5"/>
      <c r="LO125" s="5"/>
      <c r="LP125" s="5"/>
      <c r="LQ125" s="5"/>
      <c r="LR125" s="5"/>
      <c r="LS125" s="5"/>
      <c r="LT125" s="5"/>
      <c r="LU125" s="5"/>
      <c r="LV125" s="5"/>
      <c r="LW125" s="5"/>
      <c r="LX125" s="5"/>
      <c r="LY125" s="5"/>
      <c r="LZ125" s="5"/>
      <c r="MA125" s="5"/>
      <c r="MB125" s="5"/>
      <c r="MC125" s="5"/>
      <c r="MD125" s="5"/>
      <c r="ME125" s="5"/>
      <c r="MF125" s="5"/>
      <c r="MG125" s="5"/>
      <c r="MH125" s="5"/>
      <c r="MI125" s="5"/>
      <c r="MJ125" s="5"/>
      <c r="MK125" s="5"/>
    </row>
    <row r="126" spans="1:349" s="2" customFormat="1" ht="17.7" customHeight="1" x14ac:dyDescent="0.3">
      <c r="A126" s="20">
        <v>125</v>
      </c>
      <c r="B126" s="20">
        <v>8100043</v>
      </c>
      <c r="C126" s="10" t="s">
        <v>158</v>
      </c>
      <c r="D126" s="10" t="s">
        <v>25</v>
      </c>
      <c r="E126" s="10" t="s">
        <v>35</v>
      </c>
      <c r="F126" s="10">
        <v>86</v>
      </c>
      <c r="G126" s="10">
        <v>10</v>
      </c>
      <c r="H126" s="10"/>
      <c r="I126" s="10" t="s">
        <v>116</v>
      </c>
      <c r="J126" s="10"/>
      <c r="K126" s="10"/>
      <c r="L126" s="10"/>
      <c r="M126" s="10">
        <f t="shared" si="1"/>
        <v>71.38</v>
      </c>
      <c r="N126" s="10" t="s">
        <v>28</v>
      </c>
      <c r="O126" s="10" t="s">
        <v>29</v>
      </c>
      <c r="P126" s="10" t="s">
        <v>29</v>
      </c>
      <c r="Q126" s="10"/>
      <c r="R126" s="10"/>
      <c r="S126" s="10"/>
      <c r="T126" s="10"/>
      <c r="U126" s="10"/>
      <c r="V126" s="10"/>
      <c r="W126" s="10"/>
      <c r="X126" s="10" t="s">
        <v>30</v>
      </c>
      <c r="Y126" s="13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  <c r="DE126" s="5"/>
      <c r="DF126" s="5"/>
      <c r="DG126" s="5"/>
      <c r="DH126" s="5"/>
      <c r="DI126" s="5"/>
      <c r="DJ126" s="5"/>
      <c r="DK126" s="5"/>
      <c r="DL126" s="5"/>
      <c r="DM126" s="5"/>
      <c r="DN126" s="5"/>
      <c r="DO126" s="5"/>
      <c r="DP126" s="5"/>
      <c r="DQ126" s="5"/>
      <c r="DR126" s="5"/>
      <c r="DS126" s="5"/>
      <c r="DT126" s="5"/>
      <c r="DU126" s="5"/>
      <c r="DV126" s="5"/>
      <c r="DW126" s="5"/>
      <c r="DX126" s="5"/>
      <c r="DY126" s="5"/>
      <c r="DZ126" s="5"/>
      <c r="EA126" s="5"/>
      <c r="EB126" s="5"/>
      <c r="EC126" s="5"/>
      <c r="ED126" s="5"/>
      <c r="EE126" s="5"/>
      <c r="EF126" s="5"/>
      <c r="EG126" s="5"/>
      <c r="EH126" s="5"/>
      <c r="EI126" s="5"/>
      <c r="EJ126" s="5"/>
      <c r="EK126" s="5"/>
      <c r="EL126" s="5"/>
      <c r="EM126" s="5"/>
      <c r="EN126" s="5"/>
      <c r="EO126" s="5"/>
      <c r="EP126" s="5"/>
      <c r="EQ126" s="5"/>
      <c r="ER126" s="5"/>
      <c r="ES126" s="5"/>
      <c r="ET126" s="5"/>
      <c r="EU126" s="5"/>
      <c r="EV126" s="5"/>
      <c r="EW126" s="5"/>
      <c r="EX126" s="5"/>
      <c r="EY126" s="5"/>
      <c r="EZ126" s="5"/>
      <c r="FA126" s="5"/>
      <c r="FB126" s="5"/>
      <c r="FC126" s="5"/>
      <c r="FD126" s="5"/>
      <c r="FE126" s="5"/>
      <c r="FF126" s="5"/>
      <c r="FG126" s="5"/>
      <c r="FH126" s="5"/>
      <c r="FI126" s="5"/>
      <c r="FJ126" s="5"/>
      <c r="FK126" s="5"/>
      <c r="FL126" s="5"/>
      <c r="FM126" s="5"/>
      <c r="FN126" s="5"/>
      <c r="FO126" s="5"/>
      <c r="FP126" s="5"/>
      <c r="FQ126" s="5"/>
      <c r="FR126" s="5"/>
      <c r="FS126" s="5"/>
      <c r="FT126" s="5"/>
      <c r="FU126" s="5"/>
      <c r="FV126" s="5"/>
      <c r="FW126" s="5"/>
      <c r="FX126" s="5"/>
      <c r="FY126" s="5"/>
      <c r="FZ126" s="5"/>
      <c r="GA126" s="5"/>
      <c r="GB126" s="5"/>
      <c r="GC126" s="5"/>
      <c r="GD126" s="5"/>
      <c r="GE126" s="5"/>
      <c r="GF126" s="5"/>
      <c r="GG126" s="5"/>
      <c r="GH126" s="5"/>
      <c r="GI126" s="5"/>
      <c r="GJ126" s="5"/>
      <c r="GK126" s="5"/>
      <c r="GL126" s="5"/>
      <c r="GM126" s="5"/>
      <c r="GN126" s="5"/>
      <c r="GO126" s="5"/>
      <c r="GP126" s="5"/>
      <c r="GQ126" s="5"/>
      <c r="GR126" s="5"/>
      <c r="GS126" s="5"/>
      <c r="GT126" s="5"/>
      <c r="GU126" s="5"/>
      <c r="GV126" s="5"/>
      <c r="GW126" s="5"/>
      <c r="GX126" s="5"/>
      <c r="GY126" s="5"/>
      <c r="GZ126" s="5"/>
      <c r="HA126" s="5"/>
      <c r="HB126" s="5"/>
      <c r="HC126" s="5"/>
      <c r="HD126" s="5"/>
      <c r="HE126" s="5"/>
      <c r="HF126" s="5"/>
      <c r="HG126" s="5"/>
      <c r="HH126" s="5"/>
      <c r="HI126" s="5"/>
      <c r="HJ126" s="5"/>
      <c r="HK126" s="5"/>
      <c r="HL126" s="5"/>
      <c r="HM126" s="5"/>
      <c r="HN126" s="5"/>
      <c r="HO126" s="5"/>
      <c r="HP126" s="5"/>
      <c r="HQ126" s="5"/>
      <c r="HR126" s="5"/>
      <c r="HS126" s="5"/>
      <c r="HT126" s="5"/>
      <c r="HU126" s="5"/>
      <c r="HV126" s="5"/>
      <c r="HW126" s="5"/>
      <c r="HX126" s="5"/>
      <c r="HY126" s="5"/>
      <c r="HZ126" s="5"/>
      <c r="IA126" s="5"/>
      <c r="IB126" s="5"/>
      <c r="IC126" s="5"/>
      <c r="ID126" s="5"/>
      <c r="IE126" s="5"/>
      <c r="IF126" s="5"/>
      <c r="IG126" s="5"/>
      <c r="IH126" s="5"/>
      <c r="II126" s="5"/>
      <c r="IJ126" s="5"/>
      <c r="IK126" s="5"/>
      <c r="IL126" s="5"/>
      <c r="IM126" s="5"/>
      <c r="IN126" s="5"/>
      <c r="IO126" s="5"/>
      <c r="IP126" s="5"/>
      <c r="IQ126" s="5"/>
      <c r="IR126" s="5"/>
      <c r="IS126" s="5"/>
      <c r="IT126" s="5"/>
      <c r="IU126" s="5"/>
      <c r="IV126" s="5"/>
      <c r="IW126" s="5"/>
      <c r="IX126" s="5"/>
      <c r="IY126" s="5"/>
      <c r="IZ126" s="5"/>
      <c r="JA126" s="5"/>
      <c r="JB126" s="5"/>
      <c r="JC126" s="5"/>
      <c r="JD126" s="5"/>
      <c r="JE126" s="5"/>
      <c r="JF126" s="5"/>
      <c r="JG126" s="5"/>
      <c r="JH126" s="5"/>
      <c r="JI126" s="5"/>
      <c r="JJ126" s="5"/>
      <c r="JK126" s="5"/>
      <c r="JL126" s="5"/>
      <c r="JM126" s="5"/>
      <c r="JN126" s="5"/>
      <c r="JO126" s="5"/>
      <c r="JP126" s="5"/>
      <c r="JQ126" s="5"/>
      <c r="JR126" s="5"/>
      <c r="JS126" s="5"/>
      <c r="JT126" s="5"/>
      <c r="JU126" s="5"/>
      <c r="JV126" s="5"/>
      <c r="JW126" s="5"/>
      <c r="JX126" s="5"/>
      <c r="JY126" s="5"/>
      <c r="JZ126" s="5"/>
      <c r="KA126" s="5"/>
      <c r="KB126" s="5"/>
      <c r="KC126" s="5"/>
      <c r="KD126" s="5"/>
      <c r="KE126" s="5"/>
      <c r="KF126" s="5"/>
      <c r="KG126" s="5"/>
      <c r="KH126" s="5"/>
      <c r="KI126" s="5"/>
      <c r="KJ126" s="5"/>
      <c r="KK126" s="5"/>
      <c r="KL126" s="5"/>
      <c r="KM126" s="5"/>
      <c r="KN126" s="5"/>
      <c r="KO126" s="5"/>
      <c r="KP126" s="5"/>
      <c r="KQ126" s="5"/>
      <c r="KR126" s="5"/>
      <c r="KS126" s="5"/>
      <c r="KT126" s="5"/>
      <c r="KU126" s="5"/>
      <c r="KV126" s="5"/>
      <c r="KW126" s="5"/>
      <c r="KX126" s="5"/>
      <c r="KY126" s="5"/>
      <c r="KZ126" s="5"/>
      <c r="LA126" s="5"/>
      <c r="LB126" s="5"/>
      <c r="LC126" s="5"/>
      <c r="LD126" s="5"/>
      <c r="LE126" s="5"/>
      <c r="LF126" s="5"/>
      <c r="LG126" s="5"/>
      <c r="LH126" s="5"/>
      <c r="LI126" s="5"/>
      <c r="LJ126" s="5"/>
      <c r="LK126" s="5"/>
      <c r="LL126" s="5"/>
      <c r="LM126" s="5"/>
      <c r="LN126" s="5"/>
      <c r="LO126" s="5"/>
      <c r="LP126" s="5"/>
      <c r="LQ126" s="5"/>
      <c r="LR126" s="5"/>
      <c r="LS126" s="5"/>
      <c r="LT126" s="5"/>
      <c r="LU126" s="5"/>
      <c r="LV126" s="5"/>
      <c r="LW126" s="5"/>
      <c r="LX126" s="5"/>
      <c r="LY126" s="5"/>
      <c r="LZ126" s="5"/>
      <c r="MA126" s="5"/>
      <c r="MB126" s="5"/>
      <c r="MC126" s="5"/>
      <c r="MD126" s="5"/>
      <c r="ME126" s="5"/>
      <c r="MF126" s="5"/>
      <c r="MG126" s="5"/>
      <c r="MH126" s="5"/>
      <c r="MI126" s="5"/>
      <c r="MJ126" s="5"/>
      <c r="MK126" s="5"/>
    </row>
    <row r="127" spans="1:349" s="2" customFormat="1" ht="17.7" customHeight="1" x14ac:dyDescent="0.3">
      <c r="A127" s="21">
        <v>126</v>
      </c>
      <c r="B127" s="21">
        <v>8100044</v>
      </c>
      <c r="C127" s="9" t="s">
        <v>159</v>
      </c>
      <c r="D127" s="9" t="s">
        <v>25</v>
      </c>
      <c r="E127" s="9" t="s">
        <v>35</v>
      </c>
      <c r="F127" s="9">
        <v>95.5</v>
      </c>
      <c r="G127" s="9">
        <v>20</v>
      </c>
      <c r="H127" s="9"/>
      <c r="I127" s="9" t="s">
        <v>116</v>
      </c>
      <c r="J127" s="9"/>
      <c r="K127" s="9"/>
      <c r="L127" s="9"/>
      <c r="M127" s="9">
        <f t="shared" si="1"/>
        <v>79.265000000000001</v>
      </c>
      <c r="N127" s="9" t="s">
        <v>28</v>
      </c>
      <c r="O127" s="9" t="s">
        <v>29</v>
      </c>
      <c r="P127" s="9" t="s">
        <v>29</v>
      </c>
      <c r="Q127" s="9"/>
      <c r="R127" s="9"/>
      <c r="S127" s="9"/>
      <c r="T127" s="9"/>
      <c r="U127" s="9"/>
      <c r="V127" s="9"/>
      <c r="W127" s="9"/>
      <c r="X127" s="9" t="s">
        <v>30</v>
      </c>
      <c r="Y127" s="13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  <c r="DE127" s="5"/>
      <c r="DF127" s="5"/>
      <c r="DG127" s="5"/>
      <c r="DH127" s="5"/>
      <c r="DI127" s="5"/>
      <c r="DJ127" s="5"/>
      <c r="DK127" s="5"/>
      <c r="DL127" s="5"/>
      <c r="DM127" s="5"/>
      <c r="DN127" s="5"/>
      <c r="DO127" s="5"/>
      <c r="DP127" s="5"/>
      <c r="DQ127" s="5"/>
      <c r="DR127" s="5"/>
      <c r="DS127" s="5"/>
      <c r="DT127" s="5"/>
      <c r="DU127" s="5"/>
      <c r="DV127" s="5"/>
      <c r="DW127" s="5"/>
      <c r="DX127" s="5"/>
      <c r="DY127" s="5"/>
      <c r="DZ127" s="5"/>
      <c r="EA127" s="5"/>
      <c r="EB127" s="5"/>
      <c r="EC127" s="5"/>
      <c r="ED127" s="5"/>
      <c r="EE127" s="5"/>
      <c r="EF127" s="5"/>
      <c r="EG127" s="5"/>
      <c r="EH127" s="5"/>
      <c r="EI127" s="5"/>
      <c r="EJ127" s="5"/>
      <c r="EK127" s="5"/>
      <c r="EL127" s="5"/>
      <c r="EM127" s="5"/>
      <c r="EN127" s="5"/>
      <c r="EO127" s="5"/>
      <c r="EP127" s="5"/>
      <c r="EQ127" s="5"/>
      <c r="ER127" s="5"/>
      <c r="ES127" s="5"/>
      <c r="ET127" s="5"/>
      <c r="EU127" s="5"/>
      <c r="EV127" s="5"/>
      <c r="EW127" s="5"/>
      <c r="EX127" s="5"/>
      <c r="EY127" s="5"/>
      <c r="EZ127" s="5"/>
      <c r="FA127" s="5"/>
      <c r="FB127" s="5"/>
      <c r="FC127" s="5"/>
      <c r="FD127" s="5"/>
      <c r="FE127" s="5"/>
      <c r="FF127" s="5"/>
      <c r="FG127" s="5"/>
      <c r="FH127" s="5"/>
      <c r="FI127" s="5"/>
      <c r="FJ127" s="5"/>
      <c r="FK127" s="5"/>
      <c r="FL127" s="5"/>
      <c r="FM127" s="5"/>
      <c r="FN127" s="5"/>
      <c r="FO127" s="5"/>
      <c r="FP127" s="5"/>
      <c r="FQ127" s="5"/>
      <c r="FR127" s="5"/>
      <c r="FS127" s="5"/>
      <c r="FT127" s="5"/>
      <c r="FU127" s="5"/>
      <c r="FV127" s="5"/>
      <c r="FW127" s="5"/>
      <c r="FX127" s="5"/>
      <c r="FY127" s="5"/>
      <c r="FZ127" s="5"/>
      <c r="GA127" s="5"/>
      <c r="GB127" s="5"/>
      <c r="GC127" s="5"/>
      <c r="GD127" s="5"/>
      <c r="GE127" s="5"/>
      <c r="GF127" s="5"/>
      <c r="GG127" s="5"/>
      <c r="GH127" s="5"/>
      <c r="GI127" s="5"/>
      <c r="GJ127" s="5"/>
      <c r="GK127" s="5"/>
      <c r="GL127" s="5"/>
      <c r="GM127" s="5"/>
      <c r="GN127" s="5"/>
      <c r="GO127" s="5"/>
      <c r="GP127" s="5"/>
      <c r="GQ127" s="5"/>
      <c r="GR127" s="5"/>
      <c r="GS127" s="5"/>
      <c r="GT127" s="5"/>
      <c r="GU127" s="5"/>
      <c r="GV127" s="5"/>
      <c r="GW127" s="5"/>
      <c r="GX127" s="5"/>
      <c r="GY127" s="5"/>
      <c r="GZ127" s="5"/>
      <c r="HA127" s="5"/>
      <c r="HB127" s="5"/>
      <c r="HC127" s="5"/>
      <c r="HD127" s="5"/>
      <c r="HE127" s="5"/>
      <c r="HF127" s="5"/>
      <c r="HG127" s="5"/>
      <c r="HH127" s="5"/>
      <c r="HI127" s="5"/>
      <c r="HJ127" s="5"/>
      <c r="HK127" s="5"/>
      <c r="HL127" s="5"/>
      <c r="HM127" s="5"/>
      <c r="HN127" s="5"/>
      <c r="HO127" s="5"/>
      <c r="HP127" s="5"/>
      <c r="HQ127" s="5"/>
      <c r="HR127" s="5"/>
      <c r="HS127" s="5"/>
      <c r="HT127" s="5"/>
      <c r="HU127" s="5"/>
      <c r="HV127" s="5"/>
      <c r="HW127" s="5"/>
      <c r="HX127" s="5"/>
      <c r="HY127" s="5"/>
      <c r="HZ127" s="5"/>
      <c r="IA127" s="5"/>
      <c r="IB127" s="5"/>
      <c r="IC127" s="5"/>
      <c r="ID127" s="5"/>
      <c r="IE127" s="5"/>
      <c r="IF127" s="5"/>
      <c r="IG127" s="5"/>
      <c r="IH127" s="5"/>
      <c r="II127" s="5"/>
      <c r="IJ127" s="5"/>
      <c r="IK127" s="5"/>
      <c r="IL127" s="5"/>
      <c r="IM127" s="5"/>
      <c r="IN127" s="5"/>
      <c r="IO127" s="5"/>
      <c r="IP127" s="5"/>
      <c r="IQ127" s="5"/>
      <c r="IR127" s="5"/>
      <c r="IS127" s="5"/>
      <c r="IT127" s="5"/>
      <c r="IU127" s="5"/>
      <c r="IV127" s="5"/>
      <c r="IW127" s="5"/>
      <c r="IX127" s="5"/>
      <c r="IY127" s="5"/>
      <c r="IZ127" s="5"/>
      <c r="JA127" s="5"/>
      <c r="JB127" s="5"/>
      <c r="JC127" s="5"/>
      <c r="JD127" s="5"/>
      <c r="JE127" s="5"/>
      <c r="JF127" s="5"/>
      <c r="JG127" s="5"/>
      <c r="JH127" s="5"/>
      <c r="JI127" s="5"/>
      <c r="JJ127" s="5"/>
      <c r="JK127" s="5"/>
      <c r="JL127" s="5"/>
      <c r="JM127" s="5"/>
      <c r="JN127" s="5"/>
      <c r="JO127" s="5"/>
      <c r="JP127" s="5"/>
      <c r="JQ127" s="5"/>
      <c r="JR127" s="5"/>
      <c r="JS127" s="5"/>
      <c r="JT127" s="5"/>
      <c r="JU127" s="5"/>
      <c r="JV127" s="5"/>
      <c r="JW127" s="5"/>
      <c r="JX127" s="5"/>
      <c r="JY127" s="5"/>
      <c r="JZ127" s="5"/>
      <c r="KA127" s="5"/>
      <c r="KB127" s="5"/>
      <c r="KC127" s="5"/>
      <c r="KD127" s="5"/>
      <c r="KE127" s="5"/>
      <c r="KF127" s="5"/>
      <c r="KG127" s="5"/>
      <c r="KH127" s="5"/>
      <c r="KI127" s="5"/>
      <c r="KJ127" s="5"/>
      <c r="KK127" s="5"/>
      <c r="KL127" s="5"/>
      <c r="KM127" s="5"/>
      <c r="KN127" s="5"/>
      <c r="KO127" s="5"/>
      <c r="KP127" s="5"/>
      <c r="KQ127" s="5"/>
      <c r="KR127" s="5"/>
      <c r="KS127" s="5"/>
      <c r="KT127" s="5"/>
      <c r="KU127" s="5"/>
      <c r="KV127" s="5"/>
      <c r="KW127" s="5"/>
      <c r="KX127" s="5"/>
      <c r="KY127" s="5"/>
      <c r="KZ127" s="5"/>
      <c r="LA127" s="5"/>
      <c r="LB127" s="5"/>
      <c r="LC127" s="5"/>
      <c r="LD127" s="5"/>
      <c r="LE127" s="5"/>
      <c r="LF127" s="5"/>
      <c r="LG127" s="5"/>
      <c r="LH127" s="5"/>
      <c r="LI127" s="5"/>
      <c r="LJ127" s="5"/>
      <c r="LK127" s="5"/>
      <c r="LL127" s="5"/>
      <c r="LM127" s="5"/>
      <c r="LN127" s="5"/>
      <c r="LO127" s="5"/>
      <c r="LP127" s="5"/>
      <c r="LQ127" s="5"/>
      <c r="LR127" s="5"/>
      <c r="LS127" s="5"/>
      <c r="LT127" s="5"/>
      <c r="LU127" s="5"/>
      <c r="LV127" s="5"/>
      <c r="LW127" s="5"/>
      <c r="LX127" s="5"/>
      <c r="LY127" s="5"/>
      <c r="LZ127" s="5"/>
      <c r="MA127" s="5"/>
      <c r="MB127" s="5"/>
      <c r="MC127" s="5"/>
      <c r="MD127" s="5"/>
      <c r="ME127" s="5"/>
      <c r="MF127" s="5"/>
      <c r="MG127" s="5"/>
      <c r="MH127" s="5"/>
      <c r="MI127" s="5"/>
      <c r="MJ127" s="5"/>
      <c r="MK127" s="5"/>
    </row>
    <row r="128" spans="1:349" s="1" customFormat="1" ht="17.7" customHeight="1" x14ac:dyDescent="0.3">
      <c r="A128" s="20">
        <v>127</v>
      </c>
      <c r="B128" s="20">
        <v>8100045</v>
      </c>
      <c r="C128" s="10" t="s">
        <v>160</v>
      </c>
      <c r="D128" s="10" t="s">
        <v>25</v>
      </c>
      <c r="E128" s="10" t="s">
        <v>35</v>
      </c>
      <c r="F128" s="10">
        <v>125</v>
      </c>
      <c r="G128" s="10">
        <v>5</v>
      </c>
      <c r="H128" s="10"/>
      <c r="I128" s="10" t="s">
        <v>116</v>
      </c>
      <c r="J128" s="10"/>
      <c r="K128" s="10"/>
      <c r="L128" s="10"/>
      <c r="M128" s="10">
        <f t="shared" si="1"/>
        <v>103.75</v>
      </c>
      <c r="N128" s="10" t="s">
        <v>28</v>
      </c>
      <c r="O128" s="10" t="s">
        <v>29</v>
      </c>
      <c r="P128" s="10" t="s">
        <v>29</v>
      </c>
      <c r="Q128" s="10"/>
      <c r="R128" s="10"/>
      <c r="S128" s="10"/>
      <c r="T128" s="10"/>
      <c r="U128" s="10"/>
      <c r="V128" s="10"/>
      <c r="W128" s="10"/>
      <c r="X128" s="10" t="s">
        <v>30</v>
      </c>
      <c r="Y128" s="14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6"/>
      <c r="BK128" s="6"/>
      <c r="BL128" s="6"/>
      <c r="BM128" s="6"/>
      <c r="BN128" s="6"/>
      <c r="BO128" s="6"/>
      <c r="BP128" s="6"/>
      <c r="BQ128" s="6"/>
      <c r="BR128" s="6"/>
      <c r="BS128" s="6"/>
      <c r="BT128" s="6"/>
      <c r="BU128" s="6"/>
      <c r="BV128" s="6"/>
      <c r="BW128" s="6"/>
      <c r="BX128" s="6"/>
      <c r="BY128" s="6"/>
      <c r="BZ128" s="6"/>
      <c r="CA128" s="6"/>
      <c r="CB128" s="6"/>
      <c r="CC128" s="6"/>
      <c r="CD128" s="6"/>
      <c r="CE128" s="6"/>
      <c r="CF128" s="6"/>
      <c r="CG128" s="6"/>
      <c r="CH128" s="6"/>
      <c r="CI128" s="6"/>
      <c r="CJ128" s="6"/>
      <c r="CK128" s="6"/>
      <c r="CL128" s="6"/>
      <c r="CM128" s="6"/>
      <c r="CN128" s="6"/>
      <c r="CO128" s="6"/>
      <c r="CP128" s="6"/>
      <c r="CQ128" s="6"/>
      <c r="CR128" s="6"/>
      <c r="CS128" s="6"/>
      <c r="CT128" s="6"/>
      <c r="CU128" s="6"/>
      <c r="CV128" s="6"/>
      <c r="CW128" s="6"/>
      <c r="CX128" s="6"/>
      <c r="CY128" s="6"/>
      <c r="CZ128" s="6"/>
      <c r="DA128" s="6"/>
      <c r="DB128" s="6"/>
      <c r="DC128" s="6"/>
      <c r="DD128" s="6"/>
      <c r="DE128" s="6"/>
      <c r="DF128" s="6"/>
      <c r="DG128" s="6"/>
      <c r="DH128" s="6"/>
      <c r="DI128" s="6"/>
      <c r="DJ128" s="6"/>
      <c r="DK128" s="6"/>
      <c r="DL128" s="6"/>
      <c r="DM128" s="6"/>
      <c r="DN128" s="6"/>
      <c r="DO128" s="6"/>
      <c r="DP128" s="6"/>
      <c r="DQ128" s="6"/>
      <c r="DR128" s="6"/>
      <c r="DS128" s="6"/>
      <c r="DT128" s="6"/>
      <c r="DU128" s="6"/>
      <c r="DV128" s="6"/>
      <c r="DW128" s="6"/>
      <c r="DX128" s="6"/>
      <c r="DY128" s="6"/>
      <c r="DZ128" s="6"/>
      <c r="EA128" s="6"/>
      <c r="EB128" s="6"/>
      <c r="EC128" s="6"/>
      <c r="ED128" s="6"/>
      <c r="EE128" s="6"/>
      <c r="EF128" s="6"/>
      <c r="EG128" s="6"/>
      <c r="EH128" s="6"/>
      <c r="EI128" s="6"/>
      <c r="EJ128" s="6"/>
      <c r="EK128" s="6"/>
      <c r="EL128" s="6"/>
      <c r="EM128" s="6"/>
      <c r="EN128" s="6"/>
      <c r="EO128" s="6"/>
      <c r="EP128" s="6"/>
      <c r="EQ128" s="6"/>
      <c r="ER128" s="6"/>
      <c r="ES128" s="6"/>
      <c r="ET128" s="6"/>
      <c r="EU128" s="6"/>
      <c r="EV128" s="6"/>
      <c r="EW128" s="6"/>
      <c r="EX128" s="6"/>
      <c r="EY128" s="6"/>
      <c r="EZ128" s="6"/>
      <c r="FA128" s="6"/>
      <c r="FB128" s="6"/>
      <c r="FC128" s="6"/>
      <c r="FD128" s="6"/>
      <c r="FE128" s="6"/>
      <c r="FF128" s="6"/>
      <c r="FG128" s="6"/>
      <c r="FH128" s="6"/>
      <c r="FI128" s="6"/>
      <c r="FJ128" s="6"/>
      <c r="FK128" s="6"/>
      <c r="FL128" s="6"/>
      <c r="FM128" s="6"/>
      <c r="FN128" s="6"/>
      <c r="FO128" s="6"/>
      <c r="FP128" s="6"/>
      <c r="FQ128" s="6"/>
      <c r="FR128" s="6"/>
      <c r="FS128" s="6"/>
      <c r="FT128" s="6"/>
      <c r="FU128" s="6"/>
      <c r="FV128" s="6"/>
      <c r="FW128" s="6"/>
      <c r="FX128" s="6"/>
      <c r="FY128" s="6"/>
      <c r="FZ128" s="6"/>
      <c r="GA128" s="6"/>
      <c r="GB128" s="6"/>
      <c r="GC128" s="6"/>
      <c r="GD128" s="6"/>
      <c r="GE128" s="6"/>
      <c r="GF128" s="6"/>
      <c r="GG128" s="6"/>
      <c r="GH128" s="6"/>
      <c r="GI128" s="6"/>
      <c r="GJ128" s="6"/>
      <c r="GK128" s="6"/>
      <c r="GL128" s="6"/>
      <c r="GM128" s="6"/>
      <c r="GN128" s="6"/>
      <c r="GO128" s="6"/>
      <c r="GP128" s="6"/>
      <c r="GQ128" s="6"/>
      <c r="GR128" s="6"/>
      <c r="GS128" s="6"/>
      <c r="GT128" s="6"/>
      <c r="GU128" s="6"/>
      <c r="GV128" s="6"/>
      <c r="GW128" s="6"/>
      <c r="GX128" s="6"/>
      <c r="GY128" s="6"/>
      <c r="GZ128" s="6"/>
      <c r="HA128" s="6"/>
      <c r="HB128" s="6"/>
      <c r="HC128" s="6"/>
      <c r="HD128" s="6"/>
      <c r="HE128" s="6"/>
      <c r="HF128" s="6"/>
      <c r="HG128" s="6"/>
      <c r="HH128" s="6"/>
      <c r="HI128" s="6"/>
      <c r="HJ128" s="6"/>
      <c r="HK128" s="6"/>
      <c r="HL128" s="6"/>
      <c r="HM128" s="6"/>
      <c r="HN128" s="6"/>
      <c r="HO128" s="6"/>
      <c r="HP128" s="6"/>
      <c r="HQ128" s="6"/>
      <c r="HR128" s="6"/>
      <c r="HS128" s="6"/>
      <c r="HT128" s="6"/>
      <c r="HU128" s="6"/>
      <c r="HV128" s="6"/>
      <c r="HW128" s="6"/>
      <c r="HX128" s="6"/>
      <c r="HY128" s="6"/>
      <c r="HZ128" s="6"/>
      <c r="IA128" s="6"/>
      <c r="IB128" s="6"/>
      <c r="IC128" s="6"/>
      <c r="ID128" s="6"/>
      <c r="IE128" s="6"/>
      <c r="IF128" s="6"/>
      <c r="IG128" s="6"/>
      <c r="IH128" s="6"/>
      <c r="II128" s="6"/>
      <c r="IJ128" s="6"/>
      <c r="IK128" s="6"/>
      <c r="IL128" s="6"/>
      <c r="IM128" s="6"/>
      <c r="IN128" s="6"/>
      <c r="IO128" s="6"/>
      <c r="IP128" s="6"/>
      <c r="IQ128" s="6"/>
      <c r="IR128" s="6"/>
      <c r="IS128" s="6"/>
      <c r="IT128" s="6"/>
      <c r="IU128" s="6"/>
      <c r="IV128" s="6"/>
      <c r="IW128" s="6"/>
      <c r="IX128" s="6"/>
      <c r="IY128" s="6"/>
      <c r="IZ128" s="6"/>
      <c r="JA128" s="6"/>
      <c r="JB128" s="6"/>
      <c r="JC128" s="6"/>
      <c r="JD128" s="6"/>
      <c r="JE128" s="6"/>
      <c r="JF128" s="6"/>
      <c r="JG128" s="6"/>
      <c r="JH128" s="6"/>
      <c r="JI128" s="6"/>
      <c r="JJ128" s="6"/>
      <c r="JK128" s="6"/>
      <c r="JL128" s="6"/>
      <c r="JM128" s="6"/>
      <c r="JN128" s="6"/>
      <c r="JO128" s="6"/>
      <c r="JP128" s="6"/>
      <c r="JQ128" s="6"/>
      <c r="JR128" s="6"/>
      <c r="JS128" s="6"/>
      <c r="JT128" s="6"/>
      <c r="JU128" s="6"/>
      <c r="JV128" s="6"/>
      <c r="JW128" s="6"/>
      <c r="JX128" s="6"/>
      <c r="JY128" s="6"/>
      <c r="JZ128" s="6"/>
      <c r="KA128" s="6"/>
      <c r="KB128" s="6"/>
      <c r="KC128" s="6"/>
      <c r="KD128" s="6"/>
      <c r="KE128" s="6"/>
      <c r="KF128" s="6"/>
      <c r="KG128" s="6"/>
      <c r="KH128" s="6"/>
      <c r="KI128" s="6"/>
      <c r="KJ128" s="6"/>
      <c r="KK128" s="6"/>
      <c r="KL128" s="6"/>
      <c r="KM128" s="6"/>
      <c r="KN128" s="6"/>
      <c r="KO128" s="6"/>
      <c r="KP128" s="6"/>
      <c r="KQ128" s="6"/>
      <c r="KR128" s="6"/>
      <c r="KS128" s="6"/>
      <c r="KT128" s="6"/>
      <c r="KU128" s="6"/>
      <c r="KV128" s="6"/>
      <c r="KW128" s="6"/>
      <c r="KX128" s="6"/>
      <c r="KY128" s="6"/>
      <c r="KZ128" s="6"/>
      <c r="LA128" s="6"/>
      <c r="LB128" s="6"/>
      <c r="LC128" s="6"/>
      <c r="LD128" s="6"/>
      <c r="LE128" s="6"/>
      <c r="LF128" s="6"/>
      <c r="LG128" s="6"/>
      <c r="LH128" s="6"/>
      <c r="LI128" s="6"/>
      <c r="LJ128" s="6"/>
      <c r="LK128" s="6"/>
      <c r="LL128" s="6"/>
      <c r="LM128" s="6"/>
      <c r="LN128" s="6"/>
      <c r="LO128" s="6"/>
      <c r="LP128" s="6"/>
      <c r="LQ128" s="6"/>
      <c r="LR128" s="6"/>
      <c r="LS128" s="6"/>
      <c r="LT128" s="6"/>
      <c r="LU128" s="6"/>
      <c r="LV128" s="6"/>
      <c r="LW128" s="6"/>
      <c r="LX128" s="6"/>
      <c r="LY128" s="6"/>
      <c r="LZ128" s="6"/>
      <c r="MA128" s="6"/>
      <c r="MB128" s="6"/>
      <c r="MC128" s="6"/>
      <c r="MD128" s="6"/>
      <c r="ME128" s="6"/>
      <c r="MF128" s="6"/>
      <c r="MG128" s="6"/>
      <c r="MH128" s="6"/>
      <c r="MI128" s="6"/>
      <c r="MJ128" s="6"/>
      <c r="MK128" s="6"/>
    </row>
    <row r="129" spans="1:349" s="2" customFormat="1" ht="17.7" customHeight="1" x14ac:dyDescent="0.3">
      <c r="A129" s="21">
        <v>128</v>
      </c>
      <c r="B129" s="21">
        <v>8100046</v>
      </c>
      <c r="C129" s="9" t="s">
        <v>161</v>
      </c>
      <c r="D129" s="9" t="s">
        <v>25</v>
      </c>
      <c r="E129" s="9" t="s">
        <v>35</v>
      </c>
      <c r="F129" s="9">
        <v>140.75</v>
      </c>
      <c r="G129" s="9">
        <v>20</v>
      </c>
      <c r="H129" s="9"/>
      <c r="I129" s="9" t="s">
        <v>116</v>
      </c>
      <c r="J129" s="9"/>
      <c r="K129" s="9"/>
      <c r="L129" s="9"/>
      <c r="M129" s="9">
        <f t="shared" si="1"/>
        <v>116.82249999999999</v>
      </c>
      <c r="N129" s="9" t="s">
        <v>28</v>
      </c>
      <c r="O129" s="9" t="s">
        <v>29</v>
      </c>
      <c r="P129" s="9" t="s">
        <v>29</v>
      </c>
      <c r="Q129" s="9"/>
      <c r="R129" s="9"/>
      <c r="S129" s="9"/>
      <c r="T129" s="9"/>
      <c r="U129" s="9"/>
      <c r="V129" s="9"/>
      <c r="W129" s="9"/>
      <c r="X129" s="9" t="s">
        <v>30</v>
      </c>
      <c r="Y129" s="13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  <c r="DE129" s="5"/>
      <c r="DF129" s="5"/>
      <c r="DG129" s="5"/>
      <c r="DH129" s="5"/>
      <c r="DI129" s="5"/>
      <c r="DJ129" s="5"/>
      <c r="DK129" s="5"/>
      <c r="DL129" s="5"/>
      <c r="DM129" s="5"/>
      <c r="DN129" s="5"/>
      <c r="DO129" s="5"/>
      <c r="DP129" s="5"/>
      <c r="DQ129" s="5"/>
      <c r="DR129" s="5"/>
      <c r="DS129" s="5"/>
      <c r="DT129" s="5"/>
      <c r="DU129" s="5"/>
      <c r="DV129" s="5"/>
      <c r="DW129" s="5"/>
      <c r="DX129" s="5"/>
      <c r="DY129" s="5"/>
      <c r="DZ129" s="5"/>
      <c r="EA129" s="5"/>
      <c r="EB129" s="5"/>
      <c r="EC129" s="5"/>
      <c r="ED129" s="5"/>
      <c r="EE129" s="5"/>
      <c r="EF129" s="5"/>
      <c r="EG129" s="5"/>
      <c r="EH129" s="5"/>
      <c r="EI129" s="5"/>
      <c r="EJ129" s="5"/>
      <c r="EK129" s="5"/>
      <c r="EL129" s="5"/>
      <c r="EM129" s="5"/>
      <c r="EN129" s="5"/>
      <c r="EO129" s="5"/>
      <c r="EP129" s="5"/>
      <c r="EQ129" s="5"/>
      <c r="ER129" s="5"/>
      <c r="ES129" s="5"/>
      <c r="ET129" s="5"/>
      <c r="EU129" s="5"/>
      <c r="EV129" s="5"/>
      <c r="EW129" s="5"/>
      <c r="EX129" s="5"/>
      <c r="EY129" s="5"/>
      <c r="EZ129" s="5"/>
      <c r="FA129" s="5"/>
      <c r="FB129" s="5"/>
      <c r="FC129" s="5"/>
      <c r="FD129" s="5"/>
      <c r="FE129" s="5"/>
      <c r="FF129" s="5"/>
      <c r="FG129" s="5"/>
      <c r="FH129" s="5"/>
      <c r="FI129" s="5"/>
      <c r="FJ129" s="5"/>
      <c r="FK129" s="5"/>
      <c r="FL129" s="5"/>
      <c r="FM129" s="5"/>
      <c r="FN129" s="5"/>
      <c r="FO129" s="5"/>
      <c r="FP129" s="5"/>
      <c r="FQ129" s="5"/>
      <c r="FR129" s="5"/>
      <c r="FS129" s="5"/>
      <c r="FT129" s="5"/>
      <c r="FU129" s="5"/>
      <c r="FV129" s="5"/>
      <c r="FW129" s="5"/>
      <c r="FX129" s="5"/>
      <c r="FY129" s="5"/>
      <c r="FZ129" s="5"/>
      <c r="GA129" s="5"/>
      <c r="GB129" s="5"/>
      <c r="GC129" s="5"/>
      <c r="GD129" s="5"/>
      <c r="GE129" s="5"/>
      <c r="GF129" s="5"/>
      <c r="GG129" s="5"/>
      <c r="GH129" s="5"/>
      <c r="GI129" s="5"/>
      <c r="GJ129" s="5"/>
      <c r="GK129" s="5"/>
      <c r="GL129" s="5"/>
      <c r="GM129" s="5"/>
      <c r="GN129" s="5"/>
      <c r="GO129" s="5"/>
      <c r="GP129" s="5"/>
      <c r="GQ129" s="5"/>
      <c r="GR129" s="5"/>
      <c r="GS129" s="5"/>
      <c r="GT129" s="5"/>
      <c r="GU129" s="5"/>
      <c r="GV129" s="5"/>
      <c r="GW129" s="5"/>
      <c r="GX129" s="5"/>
      <c r="GY129" s="5"/>
      <c r="GZ129" s="5"/>
      <c r="HA129" s="5"/>
      <c r="HB129" s="5"/>
      <c r="HC129" s="5"/>
      <c r="HD129" s="5"/>
      <c r="HE129" s="5"/>
      <c r="HF129" s="5"/>
      <c r="HG129" s="5"/>
      <c r="HH129" s="5"/>
      <c r="HI129" s="5"/>
      <c r="HJ129" s="5"/>
      <c r="HK129" s="5"/>
      <c r="HL129" s="5"/>
      <c r="HM129" s="5"/>
      <c r="HN129" s="5"/>
      <c r="HO129" s="5"/>
      <c r="HP129" s="5"/>
      <c r="HQ129" s="5"/>
      <c r="HR129" s="5"/>
      <c r="HS129" s="5"/>
      <c r="HT129" s="5"/>
      <c r="HU129" s="5"/>
      <c r="HV129" s="5"/>
      <c r="HW129" s="5"/>
      <c r="HX129" s="5"/>
      <c r="HY129" s="5"/>
      <c r="HZ129" s="5"/>
      <c r="IA129" s="5"/>
      <c r="IB129" s="5"/>
      <c r="IC129" s="5"/>
      <c r="ID129" s="5"/>
      <c r="IE129" s="5"/>
      <c r="IF129" s="5"/>
      <c r="IG129" s="5"/>
      <c r="IH129" s="5"/>
      <c r="II129" s="5"/>
      <c r="IJ129" s="5"/>
      <c r="IK129" s="5"/>
      <c r="IL129" s="5"/>
      <c r="IM129" s="5"/>
      <c r="IN129" s="5"/>
      <c r="IO129" s="5"/>
      <c r="IP129" s="5"/>
      <c r="IQ129" s="5"/>
      <c r="IR129" s="5"/>
      <c r="IS129" s="5"/>
      <c r="IT129" s="5"/>
      <c r="IU129" s="5"/>
      <c r="IV129" s="5"/>
      <c r="IW129" s="5"/>
      <c r="IX129" s="5"/>
      <c r="IY129" s="5"/>
      <c r="IZ129" s="5"/>
      <c r="JA129" s="5"/>
      <c r="JB129" s="5"/>
      <c r="JC129" s="5"/>
      <c r="JD129" s="5"/>
      <c r="JE129" s="5"/>
      <c r="JF129" s="5"/>
      <c r="JG129" s="5"/>
      <c r="JH129" s="5"/>
      <c r="JI129" s="5"/>
      <c r="JJ129" s="5"/>
      <c r="JK129" s="5"/>
      <c r="JL129" s="5"/>
      <c r="JM129" s="5"/>
      <c r="JN129" s="5"/>
      <c r="JO129" s="5"/>
      <c r="JP129" s="5"/>
      <c r="JQ129" s="5"/>
      <c r="JR129" s="5"/>
      <c r="JS129" s="5"/>
      <c r="JT129" s="5"/>
      <c r="JU129" s="5"/>
      <c r="JV129" s="5"/>
      <c r="JW129" s="5"/>
      <c r="JX129" s="5"/>
      <c r="JY129" s="5"/>
      <c r="JZ129" s="5"/>
      <c r="KA129" s="5"/>
      <c r="KB129" s="5"/>
      <c r="KC129" s="5"/>
      <c r="KD129" s="5"/>
      <c r="KE129" s="5"/>
      <c r="KF129" s="5"/>
      <c r="KG129" s="5"/>
      <c r="KH129" s="5"/>
      <c r="KI129" s="5"/>
      <c r="KJ129" s="5"/>
      <c r="KK129" s="5"/>
      <c r="KL129" s="5"/>
      <c r="KM129" s="5"/>
      <c r="KN129" s="5"/>
      <c r="KO129" s="5"/>
      <c r="KP129" s="5"/>
      <c r="KQ129" s="5"/>
      <c r="KR129" s="5"/>
      <c r="KS129" s="5"/>
      <c r="KT129" s="5"/>
      <c r="KU129" s="5"/>
      <c r="KV129" s="5"/>
      <c r="KW129" s="5"/>
      <c r="KX129" s="5"/>
      <c r="KY129" s="5"/>
      <c r="KZ129" s="5"/>
      <c r="LA129" s="5"/>
      <c r="LB129" s="5"/>
      <c r="LC129" s="5"/>
      <c r="LD129" s="5"/>
      <c r="LE129" s="5"/>
      <c r="LF129" s="5"/>
      <c r="LG129" s="5"/>
      <c r="LH129" s="5"/>
      <c r="LI129" s="5"/>
      <c r="LJ129" s="5"/>
      <c r="LK129" s="5"/>
      <c r="LL129" s="5"/>
      <c r="LM129" s="5"/>
      <c r="LN129" s="5"/>
      <c r="LO129" s="5"/>
      <c r="LP129" s="5"/>
      <c r="LQ129" s="5"/>
      <c r="LR129" s="5"/>
      <c r="LS129" s="5"/>
      <c r="LT129" s="5"/>
      <c r="LU129" s="5"/>
      <c r="LV129" s="5"/>
      <c r="LW129" s="5"/>
      <c r="LX129" s="5"/>
      <c r="LY129" s="5"/>
      <c r="LZ129" s="5"/>
      <c r="MA129" s="5"/>
      <c r="MB129" s="5"/>
      <c r="MC129" s="5"/>
      <c r="MD129" s="5"/>
      <c r="ME129" s="5"/>
      <c r="MF129" s="5"/>
      <c r="MG129" s="5"/>
      <c r="MH129" s="5"/>
      <c r="MI129" s="5"/>
      <c r="MJ129" s="5"/>
      <c r="MK129" s="5"/>
    </row>
    <row r="130" spans="1:349" s="2" customFormat="1" ht="17.7" customHeight="1" x14ac:dyDescent="0.3">
      <c r="A130" s="20">
        <v>129</v>
      </c>
      <c r="B130" s="20">
        <v>8100047</v>
      </c>
      <c r="C130" s="10" t="s">
        <v>162</v>
      </c>
      <c r="D130" s="10" t="s">
        <v>25</v>
      </c>
      <c r="E130" s="10" t="s">
        <v>35</v>
      </c>
      <c r="F130" s="10">
        <v>147.25</v>
      </c>
      <c r="G130" s="10">
        <v>20</v>
      </c>
      <c r="H130" s="10"/>
      <c r="I130" s="10" t="s">
        <v>116</v>
      </c>
      <c r="J130" s="10"/>
      <c r="K130" s="10"/>
      <c r="L130" s="10"/>
      <c r="M130" s="10">
        <f t="shared" ref="M130:M176" si="2">F130-F130*17%</f>
        <v>122.2175</v>
      </c>
      <c r="N130" s="10" t="s">
        <v>28</v>
      </c>
      <c r="O130" s="10" t="s">
        <v>29</v>
      </c>
      <c r="P130" s="10" t="s">
        <v>29</v>
      </c>
      <c r="Q130" s="10"/>
      <c r="R130" s="10"/>
      <c r="S130" s="10"/>
      <c r="T130" s="10"/>
      <c r="U130" s="10"/>
      <c r="V130" s="10"/>
      <c r="W130" s="10"/>
      <c r="X130" s="10" t="s">
        <v>30</v>
      </c>
      <c r="Y130" s="13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  <c r="DE130" s="5"/>
      <c r="DF130" s="5"/>
      <c r="DG130" s="5"/>
      <c r="DH130" s="5"/>
      <c r="DI130" s="5"/>
      <c r="DJ130" s="5"/>
      <c r="DK130" s="5"/>
      <c r="DL130" s="5"/>
      <c r="DM130" s="5"/>
      <c r="DN130" s="5"/>
      <c r="DO130" s="5"/>
      <c r="DP130" s="5"/>
      <c r="DQ130" s="5"/>
      <c r="DR130" s="5"/>
      <c r="DS130" s="5"/>
      <c r="DT130" s="5"/>
      <c r="DU130" s="5"/>
      <c r="DV130" s="5"/>
      <c r="DW130" s="5"/>
      <c r="DX130" s="5"/>
      <c r="DY130" s="5"/>
      <c r="DZ130" s="5"/>
      <c r="EA130" s="5"/>
      <c r="EB130" s="5"/>
      <c r="EC130" s="5"/>
      <c r="ED130" s="5"/>
      <c r="EE130" s="5"/>
      <c r="EF130" s="5"/>
      <c r="EG130" s="5"/>
      <c r="EH130" s="5"/>
      <c r="EI130" s="5"/>
      <c r="EJ130" s="5"/>
      <c r="EK130" s="5"/>
      <c r="EL130" s="5"/>
      <c r="EM130" s="5"/>
      <c r="EN130" s="5"/>
      <c r="EO130" s="5"/>
      <c r="EP130" s="5"/>
      <c r="EQ130" s="5"/>
      <c r="ER130" s="5"/>
      <c r="ES130" s="5"/>
      <c r="ET130" s="5"/>
      <c r="EU130" s="5"/>
      <c r="EV130" s="5"/>
      <c r="EW130" s="5"/>
      <c r="EX130" s="5"/>
      <c r="EY130" s="5"/>
      <c r="EZ130" s="5"/>
      <c r="FA130" s="5"/>
      <c r="FB130" s="5"/>
      <c r="FC130" s="5"/>
      <c r="FD130" s="5"/>
      <c r="FE130" s="5"/>
      <c r="FF130" s="5"/>
      <c r="FG130" s="5"/>
      <c r="FH130" s="5"/>
      <c r="FI130" s="5"/>
      <c r="FJ130" s="5"/>
      <c r="FK130" s="5"/>
      <c r="FL130" s="5"/>
      <c r="FM130" s="5"/>
      <c r="FN130" s="5"/>
      <c r="FO130" s="5"/>
      <c r="FP130" s="5"/>
      <c r="FQ130" s="5"/>
      <c r="FR130" s="5"/>
      <c r="FS130" s="5"/>
      <c r="FT130" s="5"/>
      <c r="FU130" s="5"/>
      <c r="FV130" s="5"/>
      <c r="FW130" s="5"/>
      <c r="FX130" s="5"/>
      <c r="FY130" s="5"/>
      <c r="FZ130" s="5"/>
      <c r="GA130" s="5"/>
      <c r="GB130" s="5"/>
      <c r="GC130" s="5"/>
      <c r="GD130" s="5"/>
      <c r="GE130" s="5"/>
      <c r="GF130" s="5"/>
      <c r="GG130" s="5"/>
      <c r="GH130" s="5"/>
      <c r="GI130" s="5"/>
      <c r="GJ130" s="5"/>
      <c r="GK130" s="5"/>
      <c r="GL130" s="5"/>
      <c r="GM130" s="5"/>
      <c r="GN130" s="5"/>
      <c r="GO130" s="5"/>
      <c r="GP130" s="5"/>
      <c r="GQ130" s="5"/>
      <c r="GR130" s="5"/>
      <c r="GS130" s="5"/>
      <c r="GT130" s="5"/>
      <c r="GU130" s="5"/>
      <c r="GV130" s="5"/>
      <c r="GW130" s="5"/>
      <c r="GX130" s="5"/>
      <c r="GY130" s="5"/>
      <c r="GZ130" s="5"/>
      <c r="HA130" s="5"/>
      <c r="HB130" s="5"/>
      <c r="HC130" s="5"/>
      <c r="HD130" s="5"/>
      <c r="HE130" s="5"/>
      <c r="HF130" s="5"/>
      <c r="HG130" s="5"/>
      <c r="HH130" s="5"/>
      <c r="HI130" s="5"/>
      <c r="HJ130" s="5"/>
      <c r="HK130" s="5"/>
      <c r="HL130" s="5"/>
      <c r="HM130" s="5"/>
      <c r="HN130" s="5"/>
      <c r="HO130" s="5"/>
      <c r="HP130" s="5"/>
      <c r="HQ130" s="5"/>
      <c r="HR130" s="5"/>
      <c r="HS130" s="5"/>
      <c r="HT130" s="5"/>
      <c r="HU130" s="5"/>
      <c r="HV130" s="5"/>
      <c r="HW130" s="5"/>
      <c r="HX130" s="5"/>
      <c r="HY130" s="5"/>
      <c r="HZ130" s="5"/>
      <c r="IA130" s="5"/>
      <c r="IB130" s="5"/>
      <c r="IC130" s="5"/>
      <c r="ID130" s="5"/>
      <c r="IE130" s="5"/>
      <c r="IF130" s="5"/>
      <c r="IG130" s="5"/>
      <c r="IH130" s="5"/>
      <c r="II130" s="5"/>
      <c r="IJ130" s="5"/>
      <c r="IK130" s="5"/>
      <c r="IL130" s="5"/>
      <c r="IM130" s="5"/>
      <c r="IN130" s="5"/>
      <c r="IO130" s="5"/>
      <c r="IP130" s="5"/>
      <c r="IQ130" s="5"/>
      <c r="IR130" s="5"/>
      <c r="IS130" s="5"/>
      <c r="IT130" s="5"/>
      <c r="IU130" s="5"/>
      <c r="IV130" s="5"/>
      <c r="IW130" s="5"/>
      <c r="IX130" s="5"/>
      <c r="IY130" s="5"/>
      <c r="IZ130" s="5"/>
      <c r="JA130" s="5"/>
      <c r="JB130" s="5"/>
      <c r="JC130" s="5"/>
      <c r="JD130" s="5"/>
      <c r="JE130" s="5"/>
      <c r="JF130" s="5"/>
      <c r="JG130" s="5"/>
      <c r="JH130" s="5"/>
      <c r="JI130" s="5"/>
      <c r="JJ130" s="5"/>
      <c r="JK130" s="5"/>
      <c r="JL130" s="5"/>
      <c r="JM130" s="5"/>
      <c r="JN130" s="5"/>
      <c r="JO130" s="5"/>
      <c r="JP130" s="5"/>
      <c r="JQ130" s="5"/>
      <c r="JR130" s="5"/>
      <c r="JS130" s="5"/>
      <c r="JT130" s="5"/>
      <c r="JU130" s="5"/>
      <c r="JV130" s="5"/>
      <c r="JW130" s="5"/>
      <c r="JX130" s="5"/>
      <c r="JY130" s="5"/>
      <c r="JZ130" s="5"/>
      <c r="KA130" s="5"/>
      <c r="KB130" s="5"/>
      <c r="KC130" s="5"/>
      <c r="KD130" s="5"/>
      <c r="KE130" s="5"/>
      <c r="KF130" s="5"/>
      <c r="KG130" s="5"/>
      <c r="KH130" s="5"/>
      <c r="KI130" s="5"/>
      <c r="KJ130" s="5"/>
      <c r="KK130" s="5"/>
      <c r="KL130" s="5"/>
      <c r="KM130" s="5"/>
      <c r="KN130" s="5"/>
      <c r="KO130" s="5"/>
      <c r="KP130" s="5"/>
      <c r="KQ130" s="5"/>
      <c r="KR130" s="5"/>
      <c r="KS130" s="5"/>
      <c r="KT130" s="5"/>
      <c r="KU130" s="5"/>
      <c r="KV130" s="5"/>
      <c r="KW130" s="5"/>
      <c r="KX130" s="5"/>
      <c r="KY130" s="5"/>
      <c r="KZ130" s="5"/>
      <c r="LA130" s="5"/>
      <c r="LB130" s="5"/>
      <c r="LC130" s="5"/>
      <c r="LD130" s="5"/>
      <c r="LE130" s="5"/>
      <c r="LF130" s="5"/>
      <c r="LG130" s="5"/>
      <c r="LH130" s="5"/>
      <c r="LI130" s="5"/>
      <c r="LJ130" s="5"/>
      <c r="LK130" s="5"/>
      <c r="LL130" s="5"/>
      <c r="LM130" s="5"/>
      <c r="LN130" s="5"/>
      <c r="LO130" s="5"/>
      <c r="LP130" s="5"/>
      <c r="LQ130" s="5"/>
      <c r="LR130" s="5"/>
      <c r="LS130" s="5"/>
      <c r="LT130" s="5"/>
      <c r="LU130" s="5"/>
      <c r="LV130" s="5"/>
      <c r="LW130" s="5"/>
      <c r="LX130" s="5"/>
      <c r="LY130" s="5"/>
      <c r="LZ130" s="5"/>
      <c r="MA130" s="5"/>
      <c r="MB130" s="5"/>
      <c r="MC130" s="5"/>
      <c r="MD130" s="5"/>
      <c r="ME130" s="5"/>
      <c r="MF130" s="5"/>
      <c r="MG130" s="5"/>
      <c r="MH130" s="5"/>
      <c r="MI130" s="5"/>
      <c r="MJ130" s="5"/>
      <c r="MK130" s="5"/>
    </row>
    <row r="131" spans="1:349" s="2" customFormat="1" ht="17.7" customHeight="1" x14ac:dyDescent="0.3">
      <c r="A131" s="21">
        <v>130</v>
      </c>
      <c r="B131" s="21">
        <v>8100048</v>
      </c>
      <c r="C131" s="9" t="s">
        <v>163</v>
      </c>
      <c r="D131" s="9" t="s">
        <v>25</v>
      </c>
      <c r="E131" s="9" t="s">
        <v>35</v>
      </c>
      <c r="F131" s="9">
        <v>327.25</v>
      </c>
      <c r="G131" s="9">
        <v>5</v>
      </c>
      <c r="H131" s="9"/>
      <c r="I131" s="9" t="s">
        <v>116</v>
      </c>
      <c r="J131" s="9"/>
      <c r="K131" s="9"/>
      <c r="L131" s="9"/>
      <c r="M131" s="9">
        <f t="shared" si="2"/>
        <v>271.61750000000001</v>
      </c>
      <c r="N131" s="9" t="s">
        <v>28</v>
      </c>
      <c r="O131" s="9" t="s">
        <v>29</v>
      </c>
      <c r="P131" s="9" t="s">
        <v>29</v>
      </c>
      <c r="Q131" s="9"/>
      <c r="R131" s="9"/>
      <c r="S131" s="9"/>
      <c r="T131" s="9"/>
      <c r="U131" s="9"/>
      <c r="V131" s="9"/>
      <c r="W131" s="9"/>
      <c r="X131" s="9" t="s">
        <v>30</v>
      </c>
      <c r="Y131" s="13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  <c r="DE131" s="5"/>
      <c r="DF131" s="5"/>
      <c r="DG131" s="5"/>
      <c r="DH131" s="5"/>
      <c r="DI131" s="5"/>
      <c r="DJ131" s="5"/>
      <c r="DK131" s="5"/>
      <c r="DL131" s="5"/>
      <c r="DM131" s="5"/>
      <c r="DN131" s="5"/>
      <c r="DO131" s="5"/>
      <c r="DP131" s="5"/>
      <c r="DQ131" s="5"/>
      <c r="DR131" s="5"/>
      <c r="DS131" s="5"/>
      <c r="DT131" s="5"/>
      <c r="DU131" s="5"/>
      <c r="DV131" s="5"/>
      <c r="DW131" s="5"/>
      <c r="DX131" s="5"/>
      <c r="DY131" s="5"/>
      <c r="DZ131" s="5"/>
      <c r="EA131" s="5"/>
      <c r="EB131" s="5"/>
      <c r="EC131" s="5"/>
      <c r="ED131" s="5"/>
      <c r="EE131" s="5"/>
      <c r="EF131" s="5"/>
      <c r="EG131" s="5"/>
      <c r="EH131" s="5"/>
      <c r="EI131" s="5"/>
      <c r="EJ131" s="5"/>
      <c r="EK131" s="5"/>
      <c r="EL131" s="5"/>
      <c r="EM131" s="5"/>
      <c r="EN131" s="5"/>
      <c r="EO131" s="5"/>
      <c r="EP131" s="5"/>
      <c r="EQ131" s="5"/>
      <c r="ER131" s="5"/>
      <c r="ES131" s="5"/>
      <c r="ET131" s="5"/>
      <c r="EU131" s="5"/>
      <c r="EV131" s="5"/>
      <c r="EW131" s="5"/>
      <c r="EX131" s="5"/>
      <c r="EY131" s="5"/>
      <c r="EZ131" s="5"/>
      <c r="FA131" s="5"/>
      <c r="FB131" s="5"/>
      <c r="FC131" s="5"/>
      <c r="FD131" s="5"/>
      <c r="FE131" s="5"/>
      <c r="FF131" s="5"/>
      <c r="FG131" s="5"/>
      <c r="FH131" s="5"/>
      <c r="FI131" s="5"/>
      <c r="FJ131" s="5"/>
      <c r="FK131" s="5"/>
      <c r="FL131" s="5"/>
      <c r="FM131" s="5"/>
      <c r="FN131" s="5"/>
      <c r="FO131" s="5"/>
      <c r="FP131" s="5"/>
      <c r="FQ131" s="5"/>
      <c r="FR131" s="5"/>
      <c r="FS131" s="5"/>
      <c r="FT131" s="5"/>
      <c r="FU131" s="5"/>
      <c r="FV131" s="5"/>
      <c r="FW131" s="5"/>
      <c r="FX131" s="5"/>
      <c r="FY131" s="5"/>
      <c r="FZ131" s="5"/>
      <c r="GA131" s="5"/>
      <c r="GB131" s="5"/>
      <c r="GC131" s="5"/>
      <c r="GD131" s="5"/>
      <c r="GE131" s="5"/>
      <c r="GF131" s="5"/>
      <c r="GG131" s="5"/>
      <c r="GH131" s="5"/>
      <c r="GI131" s="5"/>
      <c r="GJ131" s="5"/>
      <c r="GK131" s="5"/>
      <c r="GL131" s="5"/>
      <c r="GM131" s="5"/>
      <c r="GN131" s="5"/>
      <c r="GO131" s="5"/>
      <c r="GP131" s="5"/>
      <c r="GQ131" s="5"/>
      <c r="GR131" s="5"/>
      <c r="GS131" s="5"/>
      <c r="GT131" s="5"/>
      <c r="GU131" s="5"/>
      <c r="GV131" s="5"/>
      <c r="GW131" s="5"/>
      <c r="GX131" s="5"/>
      <c r="GY131" s="5"/>
      <c r="GZ131" s="5"/>
      <c r="HA131" s="5"/>
      <c r="HB131" s="5"/>
      <c r="HC131" s="5"/>
      <c r="HD131" s="5"/>
      <c r="HE131" s="5"/>
      <c r="HF131" s="5"/>
      <c r="HG131" s="5"/>
      <c r="HH131" s="5"/>
      <c r="HI131" s="5"/>
      <c r="HJ131" s="5"/>
      <c r="HK131" s="5"/>
      <c r="HL131" s="5"/>
      <c r="HM131" s="5"/>
      <c r="HN131" s="5"/>
      <c r="HO131" s="5"/>
      <c r="HP131" s="5"/>
      <c r="HQ131" s="5"/>
      <c r="HR131" s="5"/>
      <c r="HS131" s="5"/>
      <c r="HT131" s="5"/>
      <c r="HU131" s="5"/>
      <c r="HV131" s="5"/>
      <c r="HW131" s="5"/>
      <c r="HX131" s="5"/>
      <c r="HY131" s="5"/>
      <c r="HZ131" s="5"/>
      <c r="IA131" s="5"/>
      <c r="IB131" s="5"/>
      <c r="IC131" s="5"/>
      <c r="ID131" s="5"/>
      <c r="IE131" s="5"/>
      <c r="IF131" s="5"/>
      <c r="IG131" s="5"/>
      <c r="IH131" s="5"/>
      <c r="II131" s="5"/>
      <c r="IJ131" s="5"/>
      <c r="IK131" s="5"/>
      <c r="IL131" s="5"/>
      <c r="IM131" s="5"/>
      <c r="IN131" s="5"/>
      <c r="IO131" s="5"/>
      <c r="IP131" s="5"/>
      <c r="IQ131" s="5"/>
      <c r="IR131" s="5"/>
      <c r="IS131" s="5"/>
      <c r="IT131" s="5"/>
      <c r="IU131" s="5"/>
      <c r="IV131" s="5"/>
      <c r="IW131" s="5"/>
      <c r="IX131" s="5"/>
      <c r="IY131" s="5"/>
      <c r="IZ131" s="5"/>
      <c r="JA131" s="5"/>
      <c r="JB131" s="5"/>
      <c r="JC131" s="5"/>
      <c r="JD131" s="5"/>
      <c r="JE131" s="5"/>
      <c r="JF131" s="5"/>
      <c r="JG131" s="5"/>
      <c r="JH131" s="5"/>
      <c r="JI131" s="5"/>
      <c r="JJ131" s="5"/>
      <c r="JK131" s="5"/>
      <c r="JL131" s="5"/>
      <c r="JM131" s="5"/>
      <c r="JN131" s="5"/>
      <c r="JO131" s="5"/>
      <c r="JP131" s="5"/>
      <c r="JQ131" s="5"/>
      <c r="JR131" s="5"/>
      <c r="JS131" s="5"/>
      <c r="JT131" s="5"/>
      <c r="JU131" s="5"/>
      <c r="JV131" s="5"/>
      <c r="JW131" s="5"/>
      <c r="JX131" s="5"/>
      <c r="JY131" s="5"/>
      <c r="JZ131" s="5"/>
      <c r="KA131" s="5"/>
      <c r="KB131" s="5"/>
      <c r="KC131" s="5"/>
      <c r="KD131" s="5"/>
      <c r="KE131" s="5"/>
      <c r="KF131" s="5"/>
      <c r="KG131" s="5"/>
      <c r="KH131" s="5"/>
      <c r="KI131" s="5"/>
      <c r="KJ131" s="5"/>
      <c r="KK131" s="5"/>
      <c r="KL131" s="5"/>
      <c r="KM131" s="5"/>
      <c r="KN131" s="5"/>
      <c r="KO131" s="5"/>
      <c r="KP131" s="5"/>
      <c r="KQ131" s="5"/>
      <c r="KR131" s="5"/>
      <c r="KS131" s="5"/>
      <c r="KT131" s="5"/>
      <c r="KU131" s="5"/>
      <c r="KV131" s="5"/>
      <c r="KW131" s="5"/>
      <c r="KX131" s="5"/>
      <c r="KY131" s="5"/>
      <c r="KZ131" s="5"/>
      <c r="LA131" s="5"/>
      <c r="LB131" s="5"/>
      <c r="LC131" s="5"/>
      <c r="LD131" s="5"/>
      <c r="LE131" s="5"/>
      <c r="LF131" s="5"/>
      <c r="LG131" s="5"/>
      <c r="LH131" s="5"/>
      <c r="LI131" s="5"/>
      <c r="LJ131" s="5"/>
      <c r="LK131" s="5"/>
      <c r="LL131" s="5"/>
      <c r="LM131" s="5"/>
      <c r="LN131" s="5"/>
      <c r="LO131" s="5"/>
      <c r="LP131" s="5"/>
      <c r="LQ131" s="5"/>
      <c r="LR131" s="5"/>
      <c r="LS131" s="5"/>
      <c r="LT131" s="5"/>
      <c r="LU131" s="5"/>
      <c r="LV131" s="5"/>
      <c r="LW131" s="5"/>
      <c r="LX131" s="5"/>
      <c r="LY131" s="5"/>
      <c r="LZ131" s="5"/>
      <c r="MA131" s="5"/>
      <c r="MB131" s="5"/>
      <c r="MC131" s="5"/>
      <c r="MD131" s="5"/>
      <c r="ME131" s="5"/>
      <c r="MF131" s="5"/>
      <c r="MG131" s="5"/>
      <c r="MH131" s="5"/>
      <c r="MI131" s="5"/>
      <c r="MJ131" s="5"/>
      <c r="MK131" s="5"/>
    </row>
    <row r="132" spans="1:349" s="1" customFormat="1" ht="17.7" customHeight="1" x14ac:dyDescent="0.3">
      <c r="A132" s="20">
        <v>131</v>
      </c>
      <c r="B132" s="20">
        <v>8100049</v>
      </c>
      <c r="C132" s="10" t="s">
        <v>164</v>
      </c>
      <c r="D132" s="10" t="s">
        <v>25</v>
      </c>
      <c r="E132" s="10" t="s">
        <v>35</v>
      </c>
      <c r="F132" s="10">
        <v>424.25</v>
      </c>
      <c r="G132" s="10">
        <v>3</v>
      </c>
      <c r="H132" s="10"/>
      <c r="I132" s="10" t="s">
        <v>116</v>
      </c>
      <c r="J132" s="10"/>
      <c r="K132" s="10"/>
      <c r="L132" s="10"/>
      <c r="M132" s="10">
        <f t="shared" si="2"/>
        <v>352.1275</v>
      </c>
      <c r="N132" s="10" t="s">
        <v>28</v>
      </c>
      <c r="O132" s="10" t="s">
        <v>29</v>
      </c>
      <c r="P132" s="10" t="s">
        <v>29</v>
      </c>
      <c r="Q132" s="10"/>
      <c r="R132" s="10"/>
      <c r="S132" s="10"/>
      <c r="T132" s="10"/>
      <c r="U132" s="10"/>
      <c r="V132" s="10"/>
      <c r="W132" s="10"/>
      <c r="X132" s="10" t="s">
        <v>30</v>
      </c>
      <c r="Y132" s="14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  <c r="BJ132" s="6"/>
      <c r="BK132" s="6"/>
      <c r="BL132" s="6"/>
      <c r="BM132" s="6"/>
      <c r="BN132" s="6"/>
      <c r="BO132" s="6"/>
      <c r="BP132" s="6"/>
      <c r="BQ132" s="6"/>
      <c r="BR132" s="6"/>
      <c r="BS132" s="6"/>
      <c r="BT132" s="6"/>
      <c r="BU132" s="6"/>
      <c r="BV132" s="6"/>
      <c r="BW132" s="6"/>
      <c r="BX132" s="6"/>
      <c r="BY132" s="6"/>
      <c r="BZ132" s="6"/>
      <c r="CA132" s="6"/>
      <c r="CB132" s="6"/>
      <c r="CC132" s="6"/>
      <c r="CD132" s="6"/>
      <c r="CE132" s="6"/>
      <c r="CF132" s="6"/>
      <c r="CG132" s="6"/>
      <c r="CH132" s="6"/>
      <c r="CI132" s="6"/>
      <c r="CJ132" s="6"/>
      <c r="CK132" s="6"/>
      <c r="CL132" s="6"/>
      <c r="CM132" s="6"/>
      <c r="CN132" s="6"/>
      <c r="CO132" s="6"/>
      <c r="CP132" s="6"/>
      <c r="CQ132" s="6"/>
      <c r="CR132" s="6"/>
      <c r="CS132" s="6"/>
      <c r="CT132" s="6"/>
      <c r="CU132" s="6"/>
      <c r="CV132" s="6"/>
      <c r="CW132" s="6"/>
      <c r="CX132" s="6"/>
      <c r="CY132" s="6"/>
      <c r="CZ132" s="6"/>
      <c r="DA132" s="6"/>
      <c r="DB132" s="6"/>
      <c r="DC132" s="6"/>
      <c r="DD132" s="6"/>
      <c r="DE132" s="6"/>
      <c r="DF132" s="6"/>
      <c r="DG132" s="6"/>
      <c r="DH132" s="6"/>
      <c r="DI132" s="6"/>
      <c r="DJ132" s="6"/>
      <c r="DK132" s="6"/>
      <c r="DL132" s="6"/>
      <c r="DM132" s="6"/>
      <c r="DN132" s="6"/>
      <c r="DO132" s="6"/>
      <c r="DP132" s="6"/>
      <c r="DQ132" s="6"/>
      <c r="DR132" s="6"/>
      <c r="DS132" s="6"/>
      <c r="DT132" s="6"/>
      <c r="DU132" s="6"/>
      <c r="DV132" s="6"/>
      <c r="DW132" s="6"/>
      <c r="DX132" s="6"/>
      <c r="DY132" s="6"/>
      <c r="DZ132" s="6"/>
      <c r="EA132" s="6"/>
      <c r="EB132" s="6"/>
      <c r="EC132" s="6"/>
      <c r="ED132" s="6"/>
      <c r="EE132" s="6"/>
      <c r="EF132" s="6"/>
      <c r="EG132" s="6"/>
      <c r="EH132" s="6"/>
      <c r="EI132" s="6"/>
      <c r="EJ132" s="6"/>
      <c r="EK132" s="6"/>
      <c r="EL132" s="6"/>
      <c r="EM132" s="6"/>
      <c r="EN132" s="6"/>
      <c r="EO132" s="6"/>
      <c r="EP132" s="6"/>
      <c r="EQ132" s="6"/>
      <c r="ER132" s="6"/>
      <c r="ES132" s="6"/>
      <c r="ET132" s="6"/>
      <c r="EU132" s="6"/>
      <c r="EV132" s="6"/>
      <c r="EW132" s="6"/>
      <c r="EX132" s="6"/>
      <c r="EY132" s="6"/>
      <c r="EZ132" s="6"/>
      <c r="FA132" s="6"/>
      <c r="FB132" s="6"/>
      <c r="FC132" s="6"/>
      <c r="FD132" s="6"/>
      <c r="FE132" s="6"/>
      <c r="FF132" s="6"/>
      <c r="FG132" s="6"/>
      <c r="FH132" s="6"/>
      <c r="FI132" s="6"/>
      <c r="FJ132" s="6"/>
      <c r="FK132" s="6"/>
      <c r="FL132" s="6"/>
      <c r="FM132" s="6"/>
      <c r="FN132" s="6"/>
      <c r="FO132" s="6"/>
      <c r="FP132" s="6"/>
      <c r="FQ132" s="6"/>
      <c r="FR132" s="6"/>
      <c r="FS132" s="6"/>
      <c r="FT132" s="6"/>
      <c r="FU132" s="6"/>
      <c r="FV132" s="6"/>
      <c r="FW132" s="6"/>
      <c r="FX132" s="6"/>
      <c r="FY132" s="6"/>
      <c r="FZ132" s="6"/>
      <c r="GA132" s="6"/>
      <c r="GB132" s="6"/>
      <c r="GC132" s="6"/>
      <c r="GD132" s="6"/>
      <c r="GE132" s="6"/>
      <c r="GF132" s="6"/>
      <c r="GG132" s="6"/>
      <c r="GH132" s="6"/>
      <c r="GI132" s="6"/>
      <c r="GJ132" s="6"/>
      <c r="GK132" s="6"/>
      <c r="GL132" s="6"/>
      <c r="GM132" s="6"/>
      <c r="GN132" s="6"/>
      <c r="GO132" s="6"/>
      <c r="GP132" s="6"/>
      <c r="GQ132" s="6"/>
      <c r="GR132" s="6"/>
      <c r="GS132" s="6"/>
      <c r="GT132" s="6"/>
      <c r="GU132" s="6"/>
      <c r="GV132" s="6"/>
      <c r="GW132" s="6"/>
      <c r="GX132" s="6"/>
      <c r="GY132" s="6"/>
      <c r="GZ132" s="6"/>
      <c r="HA132" s="6"/>
      <c r="HB132" s="6"/>
      <c r="HC132" s="6"/>
      <c r="HD132" s="6"/>
      <c r="HE132" s="6"/>
      <c r="HF132" s="6"/>
      <c r="HG132" s="6"/>
      <c r="HH132" s="6"/>
      <c r="HI132" s="6"/>
      <c r="HJ132" s="6"/>
      <c r="HK132" s="6"/>
      <c r="HL132" s="6"/>
      <c r="HM132" s="6"/>
      <c r="HN132" s="6"/>
      <c r="HO132" s="6"/>
      <c r="HP132" s="6"/>
      <c r="HQ132" s="6"/>
      <c r="HR132" s="6"/>
      <c r="HS132" s="6"/>
      <c r="HT132" s="6"/>
      <c r="HU132" s="6"/>
      <c r="HV132" s="6"/>
      <c r="HW132" s="6"/>
      <c r="HX132" s="6"/>
      <c r="HY132" s="6"/>
      <c r="HZ132" s="6"/>
      <c r="IA132" s="6"/>
      <c r="IB132" s="6"/>
      <c r="IC132" s="6"/>
      <c r="ID132" s="6"/>
      <c r="IE132" s="6"/>
      <c r="IF132" s="6"/>
      <c r="IG132" s="6"/>
      <c r="IH132" s="6"/>
      <c r="II132" s="6"/>
      <c r="IJ132" s="6"/>
      <c r="IK132" s="6"/>
      <c r="IL132" s="6"/>
      <c r="IM132" s="6"/>
      <c r="IN132" s="6"/>
      <c r="IO132" s="6"/>
      <c r="IP132" s="6"/>
      <c r="IQ132" s="6"/>
      <c r="IR132" s="6"/>
      <c r="IS132" s="6"/>
      <c r="IT132" s="6"/>
      <c r="IU132" s="6"/>
      <c r="IV132" s="6"/>
      <c r="IW132" s="6"/>
      <c r="IX132" s="6"/>
      <c r="IY132" s="6"/>
      <c r="IZ132" s="6"/>
      <c r="JA132" s="6"/>
      <c r="JB132" s="6"/>
      <c r="JC132" s="6"/>
      <c r="JD132" s="6"/>
      <c r="JE132" s="6"/>
      <c r="JF132" s="6"/>
      <c r="JG132" s="6"/>
      <c r="JH132" s="6"/>
      <c r="JI132" s="6"/>
      <c r="JJ132" s="6"/>
      <c r="JK132" s="6"/>
      <c r="JL132" s="6"/>
      <c r="JM132" s="6"/>
      <c r="JN132" s="6"/>
      <c r="JO132" s="6"/>
      <c r="JP132" s="6"/>
      <c r="JQ132" s="6"/>
      <c r="JR132" s="6"/>
      <c r="JS132" s="6"/>
      <c r="JT132" s="6"/>
      <c r="JU132" s="6"/>
      <c r="JV132" s="6"/>
      <c r="JW132" s="6"/>
      <c r="JX132" s="6"/>
      <c r="JY132" s="6"/>
      <c r="JZ132" s="6"/>
      <c r="KA132" s="6"/>
      <c r="KB132" s="6"/>
      <c r="KC132" s="6"/>
      <c r="KD132" s="6"/>
      <c r="KE132" s="6"/>
      <c r="KF132" s="6"/>
      <c r="KG132" s="6"/>
      <c r="KH132" s="6"/>
      <c r="KI132" s="6"/>
      <c r="KJ132" s="6"/>
      <c r="KK132" s="6"/>
      <c r="KL132" s="6"/>
      <c r="KM132" s="6"/>
      <c r="KN132" s="6"/>
      <c r="KO132" s="6"/>
      <c r="KP132" s="6"/>
      <c r="KQ132" s="6"/>
      <c r="KR132" s="6"/>
      <c r="KS132" s="6"/>
      <c r="KT132" s="6"/>
      <c r="KU132" s="6"/>
      <c r="KV132" s="6"/>
      <c r="KW132" s="6"/>
      <c r="KX132" s="6"/>
      <c r="KY132" s="6"/>
      <c r="KZ132" s="6"/>
      <c r="LA132" s="6"/>
      <c r="LB132" s="6"/>
      <c r="LC132" s="6"/>
      <c r="LD132" s="6"/>
      <c r="LE132" s="6"/>
      <c r="LF132" s="6"/>
      <c r="LG132" s="6"/>
      <c r="LH132" s="6"/>
      <c r="LI132" s="6"/>
      <c r="LJ132" s="6"/>
      <c r="LK132" s="6"/>
      <c r="LL132" s="6"/>
      <c r="LM132" s="6"/>
      <c r="LN132" s="6"/>
      <c r="LO132" s="6"/>
      <c r="LP132" s="6"/>
      <c r="LQ132" s="6"/>
      <c r="LR132" s="6"/>
      <c r="LS132" s="6"/>
      <c r="LT132" s="6"/>
      <c r="LU132" s="6"/>
      <c r="LV132" s="6"/>
      <c r="LW132" s="6"/>
      <c r="LX132" s="6"/>
      <c r="LY132" s="6"/>
      <c r="LZ132" s="6"/>
      <c r="MA132" s="6"/>
      <c r="MB132" s="6"/>
      <c r="MC132" s="6"/>
      <c r="MD132" s="6"/>
      <c r="ME132" s="6"/>
      <c r="MF132" s="6"/>
      <c r="MG132" s="6"/>
      <c r="MH132" s="6"/>
      <c r="MI132" s="6"/>
      <c r="MJ132" s="6"/>
      <c r="MK132" s="6"/>
    </row>
    <row r="133" spans="1:349" s="2" customFormat="1" ht="17.7" customHeight="1" x14ac:dyDescent="0.3">
      <c r="A133" s="21">
        <v>132</v>
      </c>
      <c r="B133" s="21">
        <v>8100050</v>
      </c>
      <c r="C133" s="9" t="s">
        <v>165</v>
      </c>
      <c r="D133" s="9" t="s">
        <v>25</v>
      </c>
      <c r="E133" s="9" t="s">
        <v>35</v>
      </c>
      <c r="F133" s="9">
        <v>149.5</v>
      </c>
      <c r="G133" s="9">
        <v>10</v>
      </c>
      <c r="H133" s="9"/>
      <c r="I133" s="9" t="s">
        <v>116</v>
      </c>
      <c r="J133" s="9"/>
      <c r="K133" s="9"/>
      <c r="L133" s="9"/>
      <c r="M133" s="9">
        <f t="shared" si="2"/>
        <v>124.08499999999999</v>
      </c>
      <c r="N133" s="9" t="s">
        <v>28</v>
      </c>
      <c r="O133" s="9" t="s">
        <v>29</v>
      </c>
      <c r="P133" s="9" t="s">
        <v>29</v>
      </c>
      <c r="Q133" s="9"/>
      <c r="R133" s="9"/>
      <c r="S133" s="9"/>
      <c r="T133" s="9"/>
      <c r="U133" s="9"/>
      <c r="V133" s="9"/>
      <c r="W133" s="9"/>
      <c r="X133" s="9" t="s">
        <v>30</v>
      </c>
      <c r="Y133" s="13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  <c r="DE133" s="5"/>
      <c r="DF133" s="5"/>
      <c r="DG133" s="5"/>
      <c r="DH133" s="5"/>
      <c r="DI133" s="5"/>
      <c r="DJ133" s="5"/>
      <c r="DK133" s="5"/>
      <c r="DL133" s="5"/>
      <c r="DM133" s="5"/>
      <c r="DN133" s="5"/>
      <c r="DO133" s="5"/>
      <c r="DP133" s="5"/>
      <c r="DQ133" s="5"/>
      <c r="DR133" s="5"/>
      <c r="DS133" s="5"/>
      <c r="DT133" s="5"/>
      <c r="DU133" s="5"/>
      <c r="DV133" s="5"/>
      <c r="DW133" s="5"/>
      <c r="DX133" s="5"/>
      <c r="DY133" s="5"/>
      <c r="DZ133" s="5"/>
      <c r="EA133" s="5"/>
      <c r="EB133" s="5"/>
      <c r="EC133" s="5"/>
      <c r="ED133" s="5"/>
      <c r="EE133" s="5"/>
      <c r="EF133" s="5"/>
      <c r="EG133" s="5"/>
      <c r="EH133" s="5"/>
      <c r="EI133" s="5"/>
      <c r="EJ133" s="5"/>
      <c r="EK133" s="5"/>
      <c r="EL133" s="5"/>
      <c r="EM133" s="5"/>
      <c r="EN133" s="5"/>
      <c r="EO133" s="5"/>
      <c r="EP133" s="5"/>
      <c r="EQ133" s="5"/>
      <c r="ER133" s="5"/>
      <c r="ES133" s="5"/>
      <c r="ET133" s="5"/>
      <c r="EU133" s="5"/>
      <c r="EV133" s="5"/>
      <c r="EW133" s="5"/>
      <c r="EX133" s="5"/>
      <c r="EY133" s="5"/>
      <c r="EZ133" s="5"/>
      <c r="FA133" s="5"/>
      <c r="FB133" s="5"/>
      <c r="FC133" s="5"/>
      <c r="FD133" s="5"/>
      <c r="FE133" s="5"/>
      <c r="FF133" s="5"/>
      <c r="FG133" s="5"/>
      <c r="FH133" s="5"/>
      <c r="FI133" s="5"/>
      <c r="FJ133" s="5"/>
      <c r="FK133" s="5"/>
      <c r="FL133" s="5"/>
      <c r="FM133" s="5"/>
      <c r="FN133" s="5"/>
      <c r="FO133" s="5"/>
      <c r="FP133" s="5"/>
      <c r="FQ133" s="5"/>
      <c r="FR133" s="5"/>
      <c r="FS133" s="5"/>
      <c r="FT133" s="5"/>
      <c r="FU133" s="5"/>
      <c r="FV133" s="5"/>
      <c r="FW133" s="5"/>
      <c r="FX133" s="5"/>
      <c r="FY133" s="5"/>
      <c r="FZ133" s="5"/>
      <c r="GA133" s="5"/>
      <c r="GB133" s="5"/>
      <c r="GC133" s="5"/>
      <c r="GD133" s="5"/>
      <c r="GE133" s="5"/>
      <c r="GF133" s="5"/>
      <c r="GG133" s="5"/>
      <c r="GH133" s="5"/>
      <c r="GI133" s="5"/>
      <c r="GJ133" s="5"/>
      <c r="GK133" s="5"/>
      <c r="GL133" s="5"/>
      <c r="GM133" s="5"/>
      <c r="GN133" s="5"/>
      <c r="GO133" s="5"/>
      <c r="GP133" s="5"/>
      <c r="GQ133" s="5"/>
      <c r="GR133" s="5"/>
      <c r="GS133" s="5"/>
      <c r="GT133" s="5"/>
      <c r="GU133" s="5"/>
      <c r="GV133" s="5"/>
      <c r="GW133" s="5"/>
      <c r="GX133" s="5"/>
      <c r="GY133" s="5"/>
      <c r="GZ133" s="5"/>
      <c r="HA133" s="5"/>
      <c r="HB133" s="5"/>
      <c r="HC133" s="5"/>
      <c r="HD133" s="5"/>
      <c r="HE133" s="5"/>
      <c r="HF133" s="5"/>
      <c r="HG133" s="5"/>
      <c r="HH133" s="5"/>
      <c r="HI133" s="5"/>
      <c r="HJ133" s="5"/>
      <c r="HK133" s="5"/>
      <c r="HL133" s="5"/>
      <c r="HM133" s="5"/>
      <c r="HN133" s="5"/>
      <c r="HO133" s="5"/>
      <c r="HP133" s="5"/>
      <c r="HQ133" s="5"/>
      <c r="HR133" s="5"/>
      <c r="HS133" s="5"/>
      <c r="HT133" s="5"/>
      <c r="HU133" s="5"/>
      <c r="HV133" s="5"/>
      <c r="HW133" s="5"/>
      <c r="HX133" s="5"/>
      <c r="HY133" s="5"/>
      <c r="HZ133" s="5"/>
      <c r="IA133" s="5"/>
      <c r="IB133" s="5"/>
      <c r="IC133" s="5"/>
      <c r="ID133" s="5"/>
      <c r="IE133" s="5"/>
      <c r="IF133" s="5"/>
      <c r="IG133" s="5"/>
      <c r="IH133" s="5"/>
      <c r="II133" s="5"/>
      <c r="IJ133" s="5"/>
      <c r="IK133" s="5"/>
      <c r="IL133" s="5"/>
      <c r="IM133" s="5"/>
      <c r="IN133" s="5"/>
      <c r="IO133" s="5"/>
      <c r="IP133" s="5"/>
      <c r="IQ133" s="5"/>
      <c r="IR133" s="5"/>
      <c r="IS133" s="5"/>
      <c r="IT133" s="5"/>
      <c r="IU133" s="5"/>
      <c r="IV133" s="5"/>
      <c r="IW133" s="5"/>
      <c r="IX133" s="5"/>
      <c r="IY133" s="5"/>
      <c r="IZ133" s="5"/>
      <c r="JA133" s="5"/>
      <c r="JB133" s="5"/>
      <c r="JC133" s="5"/>
      <c r="JD133" s="5"/>
      <c r="JE133" s="5"/>
      <c r="JF133" s="5"/>
      <c r="JG133" s="5"/>
      <c r="JH133" s="5"/>
      <c r="JI133" s="5"/>
      <c r="JJ133" s="5"/>
      <c r="JK133" s="5"/>
      <c r="JL133" s="5"/>
      <c r="JM133" s="5"/>
      <c r="JN133" s="5"/>
      <c r="JO133" s="5"/>
      <c r="JP133" s="5"/>
      <c r="JQ133" s="5"/>
      <c r="JR133" s="5"/>
      <c r="JS133" s="5"/>
      <c r="JT133" s="5"/>
      <c r="JU133" s="5"/>
      <c r="JV133" s="5"/>
      <c r="JW133" s="5"/>
      <c r="JX133" s="5"/>
      <c r="JY133" s="5"/>
      <c r="JZ133" s="5"/>
      <c r="KA133" s="5"/>
      <c r="KB133" s="5"/>
      <c r="KC133" s="5"/>
      <c r="KD133" s="5"/>
      <c r="KE133" s="5"/>
      <c r="KF133" s="5"/>
      <c r="KG133" s="5"/>
      <c r="KH133" s="5"/>
      <c r="KI133" s="5"/>
      <c r="KJ133" s="5"/>
      <c r="KK133" s="5"/>
      <c r="KL133" s="5"/>
      <c r="KM133" s="5"/>
      <c r="KN133" s="5"/>
      <c r="KO133" s="5"/>
      <c r="KP133" s="5"/>
      <c r="KQ133" s="5"/>
      <c r="KR133" s="5"/>
      <c r="KS133" s="5"/>
      <c r="KT133" s="5"/>
      <c r="KU133" s="5"/>
      <c r="KV133" s="5"/>
      <c r="KW133" s="5"/>
      <c r="KX133" s="5"/>
      <c r="KY133" s="5"/>
      <c r="KZ133" s="5"/>
      <c r="LA133" s="5"/>
      <c r="LB133" s="5"/>
      <c r="LC133" s="5"/>
      <c r="LD133" s="5"/>
      <c r="LE133" s="5"/>
      <c r="LF133" s="5"/>
      <c r="LG133" s="5"/>
      <c r="LH133" s="5"/>
      <c r="LI133" s="5"/>
      <c r="LJ133" s="5"/>
      <c r="LK133" s="5"/>
      <c r="LL133" s="5"/>
      <c r="LM133" s="5"/>
      <c r="LN133" s="5"/>
      <c r="LO133" s="5"/>
      <c r="LP133" s="5"/>
      <c r="LQ133" s="5"/>
      <c r="LR133" s="5"/>
      <c r="LS133" s="5"/>
      <c r="LT133" s="5"/>
      <c r="LU133" s="5"/>
      <c r="LV133" s="5"/>
      <c r="LW133" s="5"/>
      <c r="LX133" s="5"/>
      <c r="LY133" s="5"/>
      <c r="LZ133" s="5"/>
      <c r="MA133" s="5"/>
      <c r="MB133" s="5"/>
      <c r="MC133" s="5"/>
      <c r="MD133" s="5"/>
      <c r="ME133" s="5"/>
      <c r="MF133" s="5"/>
      <c r="MG133" s="5"/>
      <c r="MH133" s="5"/>
      <c r="MI133" s="5"/>
      <c r="MJ133" s="5"/>
      <c r="MK133" s="5"/>
    </row>
    <row r="134" spans="1:349" s="2" customFormat="1" ht="17.7" customHeight="1" x14ac:dyDescent="0.3">
      <c r="A134" s="20">
        <v>133</v>
      </c>
      <c r="B134" s="20">
        <v>8100051</v>
      </c>
      <c r="C134" s="10" t="s">
        <v>166</v>
      </c>
      <c r="D134" s="10" t="s">
        <v>25</v>
      </c>
      <c r="E134" s="10" t="s">
        <v>35</v>
      </c>
      <c r="F134" s="10">
        <v>155</v>
      </c>
      <c r="G134" s="10">
        <v>3</v>
      </c>
      <c r="H134" s="10"/>
      <c r="I134" s="10" t="s">
        <v>116</v>
      </c>
      <c r="J134" s="10"/>
      <c r="K134" s="10"/>
      <c r="L134" s="10"/>
      <c r="M134" s="10">
        <f t="shared" si="2"/>
        <v>128.65</v>
      </c>
      <c r="N134" s="10" t="s">
        <v>28</v>
      </c>
      <c r="O134" s="10" t="s">
        <v>29</v>
      </c>
      <c r="P134" s="10" t="s">
        <v>29</v>
      </c>
      <c r="Q134" s="10"/>
      <c r="R134" s="10"/>
      <c r="S134" s="10"/>
      <c r="T134" s="10"/>
      <c r="U134" s="10"/>
      <c r="V134" s="10"/>
      <c r="W134" s="10"/>
      <c r="X134" s="10" t="s">
        <v>30</v>
      </c>
      <c r="Y134" s="13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  <c r="DE134" s="5"/>
      <c r="DF134" s="5"/>
      <c r="DG134" s="5"/>
      <c r="DH134" s="5"/>
      <c r="DI134" s="5"/>
      <c r="DJ134" s="5"/>
      <c r="DK134" s="5"/>
      <c r="DL134" s="5"/>
      <c r="DM134" s="5"/>
      <c r="DN134" s="5"/>
      <c r="DO134" s="5"/>
      <c r="DP134" s="5"/>
      <c r="DQ134" s="5"/>
      <c r="DR134" s="5"/>
      <c r="DS134" s="5"/>
      <c r="DT134" s="5"/>
      <c r="DU134" s="5"/>
      <c r="DV134" s="5"/>
      <c r="DW134" s="5"/>
      <c r="DX134" s="5"/>
      <c r="DY134" s="5"/>
      <c r="DZ134" s="5"/>
      <c r="EA134" s="5"/>
      <c r="EB134" s="5"/>
      <c r="EC134" s="5"/>
      <c r="ED134" s="5"/>
      <c r="EE134" s="5"/>
      <c r="EF134" s="5"/>
      <c r="EG134" s="5"/>
      <c r="EH134" s="5"/>
      <c r="EI134" s="5"/>
      <c r="EJ134" s="5"/>
      <c r="EK134" s="5"/>
      <c r="EL134" s="5"/>
      <c r="EM134" s="5"/>
      <c r="EN134" s="5"/>
      <c r="EO134" s="5"/>
      <c r="EP134" s="5"/>
      <c r="EQ134" s="5"/>
      <c r="ER134" s="5"/>
      <c r="ES134" s="5"/>
      <c r="ET134" s="5"/>
      <c r="EU134" s="5"/>
      <c r="EV134" s="5"/>
      <c r="EW134" s="5"/>
      <c r="EX134" s="5"/>
      <c r="EY134" s="5"/>
      <c r="EZ134" s="5"/>
      <c r="FA134" s="5"/>
      <c r="FB134" s="5"/>
      <c r="FC134" s="5"/>
      <c r="FD134" s="5"/>
      <c r="FE134" s="5"/>
      <c r="FF134" s="5"/>
      <c r="FG134" s="5"/>
      <c r="FH134" s="5"/>
      <c r="FI134" s="5"/>
      <c r="FJ134" s="5"/>
      <c r="FK134" s="5"/>
      <c r="FL134" s="5"/>
      <c r="FM134" s="5"/>
      <c r="FN134" s="5"/>
      <c r="FO134" s="5"/>
      <c r="FP134" s="5"/>
      <c r="FQ134" s="5"/>
      <c r="FR134" s="5"/>
      <c r="FS134" s="5"/>
      <c r="FT134" s="5"/>
      <c r="FU134" s="5"/>
      <c r="FV134" s="5"/>
      <c r="FW134" s="5"/>
      <c r="FX134" s="5"/>
      <c r="FY134" s="5"/>
      <c r="FZ134" s="5"/>
      <c r="GA134" s="5"/>
      <c r="GB134" s="5"/>
      <c r="GC134" s="5"/>
      <c r="GD134" s="5"/>
      <c r="GE134" s="5"/>
      <c r="GF134" s="5"/>
      <c r="GG134" s="5"/>
      <c r="GH134" s="5"/>
      <c r="GI134" s="5"/>
      <c r="GJ134" s="5"/>
      <c r="GK134" s="5"/>
      <c r="GL134" s="5"/>
      <c r="GM134" s="5"/>
      <c r="GN134" s="5"/>
      <c r="GO134" s="5"/>
      <c r="GP134" s="5"/>
      <c r="GQ134" s="5"/>
      <c r="GR134" s="5"/>
      <c r="GS134" s="5"/>
      <c r="GT134" s="5"/>
      <c r="GU134" s="5"/>
      <c r="GV134" s="5"/>
      <c r="GW134" s="5"/>
      <c r="GX134" s="5"/>
      <c r="GY134" s="5"/>
      <c r="GZ134" s="5"/>
      <c r="HA134" s="5"/>
      <c r="HB134" s="5"/>
      <c r="HC134" s="5"/>
      <c r="HD134" s="5"/>
      <c r="HE134" s="5"/>
      <c r="HF134" s="5"/>
      <c r="HG134" s="5"/>
      <c r="HH134" s="5"/>
      <c r="HI134" s="5"/>
      <c r="HJ134" s="5"/>
      <c r="HK134" s="5"/>
      <c r="HL134" s="5"/>
      <c r="HM134" s="5"/>
      <c r="HN134" s="5"/>
      <c r="HO134" s="5"/>
      <c r="HP134" s="5"/>
      <c r="HQ134" s="5"/>
      <c r="HR134" s="5"/>
      <c r="HS134" s="5"/>
      <c r="HT134" s="5"/>
      <c r="HU134" s="5"/>
      <c r="HV134" s="5"/>
      <c r="HW134" s="5"/>
      <c r="HX134" s="5"/>
      <c r="HY134" s="5"/>
      <c r="HZ134" s="5"/>
      <c r="IA134" s="5"/>
      <c r="IB134" s="5"/>
      <c r="IC134" s="5"/>
      <c r="ID134" s="5"/>
      <c r="IE134" s="5"/>
      <c r="IF134" s="5"/>
      <c r="IG134" s="5"/>
      <c r="IH134" s="5"/>
      <c r="II134" s="5"/>
      <c r="IJ134" s="5"/>
      <c r="IK134" s="5"/>
      <c r="IL134" s="5"/>
      <c r="IM134" s="5"/>
      <c r="IN134" s="5"/>
      <c r="IO134" s="5"/>
      <c r="IP134" s="5"/>
      <c r="IQ134" s="5"/>
      <c r="IR134" s="5"/>
      <c r="IS134" s="5"/>
      <c r="IT134" s="5"/>
      <c r="IU134" s="5"/>
      <c r="IV134" s="5"/>
      <c r="IW134" s="5"/>
      <c r="IX134" s="5"/>
      <c r="IY134" s="5"/>
      <c r="IZ134" s="5"/>
      <c r="JA134" s="5"/>
      <c r="JB134" s="5"/>
      <c r="JC134" s="5"/>
      <c r="JD134" s="5"/>
      <c r="JE134" s="5"/>
      <c r="JF134" s="5"/>
      <c r="JG134" s="5"/>
      <c r="JH134" s="5"/>
      <c r="JI134" s="5"/>
      <c r="JJ134" s="5"/>
      <c r="JK134" s="5"/>
      <c r="JL134" s="5"/>
      <c r="JM134" s="5"/>
      <c r="JN134" s="5"/>
      <c r="JO134" s="5"/>
      <c r="JP134" s="5"/>
      <c r="JQ134" s="5"/>
      <c r="JR134" s="5"/>
      <c r="JS134" s="5"/>
      <c r="JT134" s="5"/>
      <c r="JU134" s="5"/>
      <c r="JV134" s="5"/>
      <c r="JW134" s="5"/>
      <c r="JX134" s="5"/>
      <c r="JY134" s="5"/>
      <c r="JZ134" s="5"/>
      <c r="KA134" s="5"/>
      <c r="KB134" s="5"/>
      <c r="KC134" s="5"/>
      <c r="KD134" s="5"/>
      <c r="KE134" s="5"/>
      <c r="KF134" s="5"/>
      <c r="KG134" s="5"/>
      <c r="KH134" s="5"/>
      <c r="KI134" s="5"/>
      <c r="KJ134" s="5"/>
      <c r="KK134" s="5"/>
      <c r="KL134" s="5"/>
      <c r="KM134" s="5"/>
      <c r="KN134" s="5"/>
      <c r="KO134" s="5"/>
      <c r="KP134" s="5"/>
      <c r="KQ134" s="5"/>
      <c r="KR134" s="5"/>
      <c r="KS134" s="5"/>
      <c r="KT134" s="5"/>
      <c r="KU134" s="5"/>
      <c r="KV134" s="5"/>
      <c r="KW134" s="5"/>
      <c r="KX134" s="5"/>
      <c r="KY134" s="5"/>
      <c r="KZ134" s="5"/>
      <c r="LA134" s="5"/>
      <c r="LB134" s="5"/>
      <c r="LC134" s="5"/>
      <c r="LD134" s="5"/>
      <c r="LE134" s="5"/>
      <c r="LF134" s="5"/>
      <c r="LG134" s="5"/>
      <c r="LH134" s="5"/>
      <c r="LI134" s="5"/>
      <c r="LJ134" s="5"/>
      <c r="LK134" s="5"/>
      <c r="LL134" s="5"/>
      <c r="LM134" s="5"/>
      <c r="LN134" s="5"/>
      <c r="LO134" s="5"/>
      <c r="LP134" s="5"/>
      <c r="LQ134" s="5"/>
      <c r="LR134" s="5"/>
      <c r="LS134" s="5"/>
      <c r="LT134" s="5"/>
      <c r="LU134" s="5"/>
      <c r="LV134" s="5"/>
      <c r="LW134" s="5"/>
      <c r="LX134" s="5"/>
      <c r="LY134" s="5"/>
      <c r="LZ134" s="5"/>
      <c r="MA134" s="5"/>
      <c r="MB134" s="5"/>
      <c r="MC134" s="5"/>
      <c r="MD134" s="5"/>
      <c r="ME134" s="5"/>
      <c r="MF134" s="5"/>
      <c r="MG134" s="5"/>
      <c r="MH134" s="5"/>
      <c r="MI134" s="5"/>
      <c r="MJ134" s="5"/>
      <c r="MK134" s="5"/>
    </row>
    <row r="135" spans="1:349" s="2" customFormat="1" ht="17.7" customHeight="1" x14ac:dyDescent="0.3">
      <c r="A135" s="21">
        <v>134</v>
      </c>
      <c r="B135" s="21">
        <v>8100052</v>
      </c>
      <c r="C135" s="9" t="s">
        <v>167</v>
      </c>
      <c r="D135" s="9" t="s">
        <v>25</v>
      </c>
      <c r="E135" s="9" t="s">
        <v>35</v>
      </c>
      <c r="F135" s="9">
        <v>170</v>
      </c>
      <c r="G135" s="9">
        <v>3</v>
      </c>
      <c r="H135" s="9"/>
      <c r="I135" s="9" t="s">
        <v>116</v>
      </c>
      <c r="J135" s="9"/>
      <c r="K135" s="9"/>
      <c r="L135" s="9"/>
      <c r="M135" s="9">
        <f t="shared" si="2"/>
        <v>141.1</v>
      </c>
      <c r="N135" s="9" t="s">
        <v>28</v>
      </c>
      <c r="O135" s="9" t="s">
        <v>29</v>
      </c>
      <c r="P135" s="9" t="s">
        <v>29</v>
      </c>
      <c r="Q135" s="9"/>
      <c r="R135" s="9"/>
      <c r="S135" s="9"/>
      <c r="T135" s="9"/>
      <c r="U135" s="9"/>
      <c r="V135" s="9"/>
      <c r="W135" s="9"/>
      <c r="X135" s="9" t="s">
        <v>30</v>
      </c>
      <c r="Y135" s="13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  <c r="DE135" s="5"/>
      <c r="DF135" s="5"/>
      <c r="DG135" s="5"/>
      <c r="DH135" s="5"/>
      <c r="DI135" s="5"/>
      <c r="DJ135" s="5"/>
      <c r="DK135" s="5"/>
      <c r="DL135" s="5"/>
      <c r="DM135" s="5"/>
      <c r="DN135" s="5"/>
      <c r="DO135" s="5"/>
      <c r="DP135" s="5"/>
      <c r="DQ135" s="5"/>
      <c r="DR135" s="5"/>
      <c r="DS135" s="5"/>
      <c r="DT135" s="5"/>
      <c r="DU135" s="5"/>
      <c r="DV135" s="5"/>
      <c r="DW135" s="5"/>
      <c r="DX135" s="5"/>
      <c r="DY135" s="5"/>
      <c r="DZ135" s="5"/>
      <c r="EA135" s="5"/>
      <c r="EB135" s="5"/>
      <c r="EC135" s="5"/>
      <c r="ED135" s="5"/>
      <c r="EE135" s="5"/>
      <c r="EF135" s="5"/>
      <c r="EG135" s="5"/>
      <c r="EH135" s="5"/>
      <c r="EI135" s="5"/>
      <c r="EJ135" s="5"/>
      <c r="EK135" s="5"/>
      <c r="EL135" s="5"/>
      <c r="EM135" s="5"/>
      <c r="EN135" s="5"/>
      <c r="EO135" s="5"/>
      <c r="EP135" s="5"/>
      <c r="EQ135" s="5"/>
      <c r="ER135" s="5"/>
      <c r="ES135" s="5"/>
      <c r="ET135" s="5"/>
      <c r="EU135" s="5"/>
      <c r="EV135" s="5"/>
      <c r="EW135" s="5"/>
      <c r="EX135" s="5"/>
      <c r="EY135" s="5"/>
      <c r="EZ135" s="5"/>
      <c r="FA135" s="5"/>
      <c r="FB135" s="5"/>
      <c r="FC135" s="5"/>
      <c r="FD135" s="5"/>
      <c r="FE135" s="5"/>
      <c r="FF135" s="5"/>
      <c r="FG135" s="5"/>
      <c r="FH135" s="5"/>
      <c r="FI135" s="5"/>
      <c r="FJ135" s="5"/>
      <c r="FK135" s="5"/>
      <c r="FL135" s="5"/>
      <c r="FM135" s="5"/>
      <c r="FN135" s="5"/>
      <c r="FO135" s="5"/>
      <c r="FP135" s="5"/>
      <c r="FQ135" s="5"/>
      <c r="FR135" s="5"/>
      <c r="FS135" s="5"/>
      <c r="FT135" s="5"/>
      <c r="FU135" s="5"/>
      <c r="FV135" s="5"/>
      <c r="FW135" s="5"/>
      <c r="FX135" s="5"/>
      <c r="FY135" s="5"/>
      <c r="FZ135" s="5"/>
      <c r="GA135" s="5"/>
      <c r="GB135" s="5"/>
      <c r="GC135" s="5"/>
      <c r="GD135" s="5"/>
      <c r="GE135" s="5"/>
      <c r="GF135" s="5"/>
      <c r="GG135" s="5"/>
      <c r="GH135" s="5"/>
      <c r="GI135" s="5"/>
      <c r="GJ135" s="5"/>
      <c r="GK135" s="5"/>
      <c r="GL135" s="5"/>
      <c r="GM135" s="5"/>
      <c r="GN135" s="5"/>
      <c r="GO135" s="5"/>
      <c r="GP135" s="5"/>
      <c r="GQ135" s="5"/>
      <c r="GR135" s="5"/>
      <c r="GS135" s="5"/>
      <c r="GT135" s="5"/>
      <c r="GU135" s="5"/>
      <c r="GV135" s="5"/>
      <c r="GW135" s="5"/>
      <c r="GX135" s="5"/>
      <c r="GY135" s="5"/>
      <c r="GZ135" s="5"/>
      <c r="HA135" s="5"/>
      <c r="HB135" s="5"/>
      <c r="HC135" s="5"/>
      <c r="HD135" s="5"/>
      <c r="HE135" s="5"/>
      <c r="HF135" s="5"/>
      <c r="HG135" s="5"/>
      <c r="HH135" s="5"/>
      <c r="HI135" s="5"/>
      <c r="HJ135" s="5"/>
      <c r="HK135" s="5"/>
      <c r="HL135" s="5"/>
      <c r="HM135" s="5"/>
      <c r="HN135" s="5"/>
      <c r="HO135" s="5"/>
      <c r="HP135" s="5"/>
      <c r="HQ135" s="5"/>
      <c r="HR135" s="5"/>
      <c r="HS135" s="5"/>
      <c r="HT135" s="5"/>
      <c r="HU135" s="5"/>
      <c r="HV135" s="5"/>
      <c r="HW135" s="5"/>
      <c r="HX135" s="5"/>
      <c r="HY135" s="5"/>
      <c r="HZ135" s="5"/>
      <c r="IA135" s="5"/>
      <c r="IB135" s="5"/>
      <c r="IC135" s="5"/>
      <c r="ID135" s="5"/>
      <c r="IE135" s="5"/>
      <c r="IF135" s="5"/>
      <c r="IG135" s="5"/>
      <c r="IH135" s="5"/>
      <c r="II135" s="5"/>
      <c r="IJ135" s="5"/>
      <c r="IK135" s="5"/>
      <c r="IL135" s="5"/>
      <c r="IM135" s="5"/>
      <c r="IN135" s="5"/>
      <c r="IO135" s="5"/>
      <c r="IP135" s="5"/>
      <c r="IQ135" s="5"/>
      <c r="IR135" s="5"/>
      <c r="IS135" s="5"/>
      <c r="IT135" s="5"/>
      <c r="IU135" s="5"/>
      <c r="IV135" s="5"/>
      <c r="IW135" s="5"/>
      <c r="IX135" s="5"/>
      <c r="IY135" s="5"/>
      <c r="IZ135" s="5"/>
      <c r="JA135" s="5"/>
      <c r="JB135" s="5"/>
      <c r="JC135" s="5"/>
      <c r="JD135" s="5"/>
      <c r="JE135" s="5"/>
      <c r="JF135" s="5"/>
      <c r="JG135" s="5"/>
      <c r="JH135" s="5"/>
      <c r="JI135" s="5"/>
      <c r="JJ135" s="5"/>
      <c r="JK135" s="5"/>
      <c r="JL135" s="5"/>
      <c r="JM135" s="5"/>
      <c r="JN135" s="5"/>
      <c r="JO135" s="5"/>
      <c r="JP135" s="5"/>
      <c r="JQ135" s="5"/>
      <c r="JR135" s="5"/>
      <c r="JS135" s="5"/>
      <c r="JT135" s="5"/>
      <c r="JU135" s="5"/>
      <c r="JV135" s="5"/>
      <c r="JW135" s="5"/>
      <c r="JX135" s="5"/>
      <c r="JY135" s="5"/>
      <c r="JZ135" s="5"/>
      <c r="KA135" s="5"/>
      <c r="KB135" s="5"/>
      <c r="KC135" s="5"/>
      <c r="KD135" s="5"/>
      <c r="KE135" s="5"/>
      <c r="KF135" s="5"/>
      <c r="KG135" s="5"/>
      <c r="KH135" s="5"/>
      <c r="KI135" s="5"/>
      <c r="KJ135" s="5"/>
      <c r="KK135" s="5"/>
      <c r="KL135" s="5"/>
      <c r="KM135" s="5"/>
      <c r="KN135" s="5"/>
      <c r="KO135" s="5"/>
      <c r="KP135" s="5"/>
      <c r="KQ135" s="5"/>
      <c r="KR135" s="5"/>
      <c r="KS135" s="5"/>
      <c r="KT135" s="5"/>
      <c r="KU135" s="5"/>
      <c r="KV135" s="5"/>
      <c r="KW135" s="5"/>
      <c r="KX135" s="5"/>
      <c r="KY135" s="5"/>
      <c r="KZ135" s="5"/>
      <c r="LA135" s="5"/>
      <c r="LB135" s="5"/>
      <c r="LC135" s="5"/>
      <c r="LD135" s="5"/>
      <c r="LE135" s="5"/>
      <c r="LF135" s="5"/>
      <c r="LG135" s="5"/>
      <c r="LH135" s="5"/>
      <c r="LI135" s="5"/>
      <c r="LJ135" s="5"/>
      <c r="LK135" s="5"/>
      <c r="LL135" s="5"/>
      <c r="LM135" s="5"/>
      <c r="LN135" s="5"/>
      <c r="LO135" s="5"/>
      <c r="LP135" s="5"/>
      <c r="LQ135" s="5"/>
      <c r="LR135" s="5"/>
      <c r="LS135" s="5"/>
      <c r="LT135" s="5"/>
      <c r="LU135" s="5"/>
      <c r="LV135" s="5"/>
      <c r="LW135" s="5"/>
      <c r="LX135" s="5"/>
      <c r="LY135" s="5"/>
      <c r="LZ135" s="5"/>
      <c r="MA135" s="5"/>
      <c r="MB135" s="5"/>
      <c r="MC135" s="5"/>
      <c r="MD135" s="5"/>
      <c r="ME135" s="5"/>
      <c r="MF135" s="5"/>
      <c r="MG135" s="5"/>
      <c r="MH135" s="5"/>
      <c r="MI135" s="5"/>
      <c r="MJ135" s="5"/>
      <c r="MK135" s="5"/>
    </row>
    <row r="136" spans="1:349" s="1" customFormat="1" ht="17.7" customHeight="1" x14ac:dyDescent="0.3">
      <c r="A136" s="20">
        <v>135</v>
      </c>
      <c r="B136" s="20">
        <v>8100053</v>
      </c>
      <c r="C136" s="10" t="s">
        <v>168</v>
      </c>
      <c r="D136" s="10" t="s">
        <v>25</v>
      </c>
      <c r="E136" s="10" t="s">
        <v>35</v>
      </c>
      <c r="F136" s="10">
        <v>198.25</v>
      </c>
      <c r="G136" s="10">
        <v>10</v>
      </c>
      <c r="H136" s="10"/>
      <c r="I136" s="10" t="s">
        <v>116</v>
      </c>
      <c r="J136" s="10"/>
      <c r="K136" s="10"/>
      <c r="L136" s="10"/>
      <c r="M136" s="10">
        <f t="shared" si="2"/>
        <v>164.54750000000001</v>
      </c>
      <c r="N136" s="10" t="s">
        <v>28</v>
      </c>
      <c r="O136" s="10" t="s">
        <v>29</v>
      </c>
      <c r="P136" s="10" t="s">
        <v>29</v>
      </c>
      <c r="Q136" s="10"/>
      <c r="R136" s="10"/>
      <c r="S136" s="10"/>
      <c r="T136" s="10"/>
      <c r="U136" s="10"/>
      <c r="V136" s="10"/>
      <c r="W136" s="10"/>
      <c r="X136" s="10" t="s">
        <v>30</v>
      </c>
      <c r="Y136" s="14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  <c r="BJ136" s="6"/>
      <c r="BK136" s="6"/>
      <c r="BL136" s="6"/>
      <c r="BM136" s="6"/>
      <c r="BN136" s="6"/>
      <c r="BO136" s="6"/>
      <c r="BP136" s="6"/>
      <c r="BQ136" s="6"/>
      <c r="BR136" s="6"/>
      <c r="BS136" s="6"/>
      <c r="BT136" s="6"/>
      <c r="BU136" s="6"/>
      <c r="BV136" s="6"/>
      <c r="BW136" s="6"/>
      <c r="BX136" s="6"/>
      <c r="BY136" s="6"/>
      <c r="BZ136" s="6"/>
      <c r="CA136" s="6"/>
      <c r="CB136" s="6"/>
      <c r="CC136" s="6"/>
      <c r="CD136" s="6"/>
      <c r="CE136" s="6"/>
      <c r="CF136" s="6"/>
      <c r="CG136" s="6"/>
      <c r="CH136" s="6"/>
      <c r="CI136" s="6"/>
      <c r="CJ136" s="6"/>
      <c r="CK136" s="6"/>
      <c r="CL136" s="6"/>
      <c r="CM136" s="6"/>
      <c r="CN136" s="6"/>
      <c r="CO136" s="6"/>
      <c r="CP136" s="6"/>
      <c r="CQ136" s="6"/>
      <c r="CR136" s="6"/>
      <c r="CS136" s="6"/>
      <c r="CT136" s="6"/>
      <c r="CU136" s="6"/>
      <c r="CV136" s="6"/>
      <c r="CW136" s="6"/>
      <c r="CX136" s="6"/>
      <c r="CY136" s="6"/>
      <c r="CZ136" s="6"/>
      <c r="DA136" s="6"/>
      <c r="DB136" s="6"/>
      <c r="DC136" s="6"/>
      <c r="DD136" s="6"/>
      <c r="DE136" s="6"/>
      <c r="DF136" s="6"/>
      <c r="DG136" s="6"/>
      <c r="DH136" s="6"/>
      <c r="DI136" s="6"/>
      <c r="DJ136" s="6"/>
      <c r="DK136" s="6"/>
      <c r="DL136" s="6"/>
      <c r="DM136" s="6"/>
      <c r="DN136" s="6"/>
      <c r="DO136" s="6"/>
      <c r="DP136" s="6"/>
      <c r="DQ136" s="6"/>
      <c r="DR136" s="6"/>
      <c r="DS136" s="6"/>
      <c r="DT136" s="6"/>
      <c r="DU136" s="6"/>
      <c r="DV136" s="6"/>
      <c r="DW136" s="6"/>
      <c r="DX136" s="6"/>
      <c r="DY136" s="6"/>
      <c r="DZ136" s="6"/>
      <c r="EA136" s="6"/>
      <c r="EB136" s="6"/>
      <c r="EC136" s="6"/>
      <c r="ED136" s="6"/>
      <c r="EE136" s="6"/>
      <c r="EF136" s="6"/>
      <c r="EG136" s="6"/>
      <c r="EH136" s="6"/>
      <c r="EI136" s="6"/>
      <c r="EJ136" s="6"/>
      <c r="EK136" s="6"/>
      <c r="EL136" s="6"/>
      <c r="EM136" s="6"/>
      <c r="EN136" s="6"/>
      <c r="EO136" s="6"/>
      <c r="EP136" s="6"/>
      <c r="EQ136" s="6"/>
      <c r="ER136" s="6"/>
      <c r="ES136" s="6"/>
      <c r="ET136" s="6"/>
      <c r="EU136" s="6"/>
      <c r="EV136" s="6"/>
      <c r="EW136" s="6"/>
      <c r="EX136" s="6"/>
      <c r="EY136" s="6"/>
      <c r="EZ136" s="6"/>
      <c r="FA136" s="6"/>
      <c r="FB136" s="6"/>
      <c r="FC136" s="6"/>
      <c r="FD136" s="6"/>
      <c r="FE136" s="6"/>
      <c r="FF136" s="6"/>
      <c r="FG136" s="6"/>
      <c r="FH136" s="6"/>
      <c r="FI136" s="6"/>
      <c r="FJ136" s="6"/>
      <c r="FK136" s="6"/>
      <c r="FL136" s="6"/>
      <c r="FM136" s="6"/>
      <c r="FN136" s="6"/>
      <c r="FO136" s="6"/>
      <c r="FP136" s="6"/>
      <c r="FQ136" s="6"/>
      <c r="FR136" s="6"/>
      <c r="FS136" s="6"/>
      <c r="FT136" s="6"/>
      <c r="FU136" s="6"/>
      <c r="FV136" s="6"/>
      <c r="FW136" s="6"/>
      <c r="FX136" s="6"/>
      <c r="FY136" s="6"/>
      <c r="FZ136" s="6"/>
      <c r="GA136" s="6"/>
      <c r="GB136" s="6"/>
      <c r="GC136" s="6"/>
      <c r="GD136" s="6"/>
      <c r="GE136" s="6"/>
      <c r="GF136" s="6"/>
      <c r="GG136" s="6"/>
      <c r="GH136" s="6"/>
      <c r="GI136" s="6"/>
      <c r="GJ136" s="6"/>
      <c r="GK136" s="6"/>
      <c r="GL136" s="6"/>
      <c r="GM136" s="6"/>
      <c r="GN136" s="6"/>
      <c r="GO136" s="6"/>
      <c r="GP136" s="6"/>
      <c r="GQ136" s="6"/>
      <c r="GR136" s="6"/>
      <c r="GS136" s="6"/>
      <c r="GT136" s="6"/>
      <c r="GU136" s="6"/>
      <c r="GV136" s="6"/>
      <c r="GW136" s="6"/>
      <c r="GX136" s="6"/>
      <c r="GY136" s="6"/>
      <c r="GZ136" s="6"/>
      <c r="HA136" s="6"/>
      <c r="HB136" s="6"/>
      <c r="HC136" s="6"/>
      <c r="HD136" s="6"/>
      <c r="HE136" s="6"/>
      <c r="HF136" s="6"/>
      <c r="HG136" s="6"/>
      <c r="HH136" s="6"/>
      <c r="HI136" s="6"/>
      <c r="HJ136" s="6"/>
      <c r="HK136" s="6"/>
      <c r="HL136" s="6"/>
      <c r="HM136" s="6"/>
      <c r="HN136" s="6"/>
      <c r="HO136" s="6"/>
      <c r="HP136" s="6"/>
      <c r="HQ136" s="6"/>
      <c r="HR136" s="6"/>
      <c r="HS136" s="6"/>
      <c r="HT136" s="6"/>
      <c r="HU136" s="6"/>
      <c r="HV136" s="6"/>
      <c r="HW136" s="6"/>
      <c r="HX136" s="6"/>
      <c r="HY136" s="6"/>
      <c r="HZ136" s="6"/>
      <c r="IA136" s="6"/>
      <c r="IB136" s="6"/>
      <c r="IC136" s="6"/>
      <c r="ID136" s="6"/>
      <c r="IE136" s="6"/>
      <c r="IF136" s="6"/>
      <c r="IG136" s="6"/>
      <c r="IH136" s="6"/>
      <c r="II136" s="6"/>
      <c r="IJ136" s="6"/>
      <c r="IK136" s="6"/>
      <c r="IL136" s="6"/>
      <c r="IM136" s="6"/>
      <c r="IN136" s="6"/>
      <c r="IO136" s="6"/>
      <c r="IP136" s="6"/>
      <c r="IQ136" s="6"/>
      <c r="IR136" s="6"/>
      <c r="IS136" s="6"/>
      <c r="IT136" s="6"/>
      <c r="IU136" s="6"/>
      <c r="IV136" s="6"/>
      <c r="IW136" s="6"/>
      <c r="IX136" s="6"/>
      <c r="IY136" s="6"/>
      <c r="IZ136" s="6"/>
      <c r="JA136" s="6"/>
      <c r="JB136" s="6"/>
      <c r="JC136" s="6"/>
      <c r="JD136" s="6"/>
      <c r="JE136" s="6"/>
      <c r="JF136" s="6"/>
      <c r="JG136" s="6"/>
      <c r="JH136" s="6"/>
      <c r="JI136" s="6"/>
      <c r="JJ136" s="6"/>
      <c r="JK136" s="6"/>
      <c r="JL136" s="6"/>
      <c r="JM136" s="6"/>
      <c r="JN136" s="6"/>
      <c r="JO136" s="6"/>
      <c r="JP136" s="6"/>
      <c r="JQ136" s="6"/>
      <c r="JR136" s="6"/>
      <c r="JS136" s="6"/>
      <c r="JT136" s="6"/>
      <c r="JU136" s="6"/>
      <c r="JV136" s="6"/>
      <c r="JW136" s="6"/>
      <c r="JX136" s="6"/>
      <c r="JY136" s="6"/>
      <c r="JZ136" s="6"/>
      <c r="KA136" s="6"/>
      <c r="KB136" s="6"/>
      <c r="KC136" s="6"/>
      <c r="KD136" s="6"/>
      <c r="KE136" s="6"/>
      <c r="KF136" s="6"/>
      <c r="KG136" s="6"/>
      <c r="KH136" s="6"/>
      <c r="KI136" s="6"/>
      <c r="KJ136" s="6"/>
      <c r="KK136" s="6"/>
      <c r="KL136" s="6"/>
      <c r="KM136" s="6"/>
      <c r="KN136" s="6"/>
      <c r="KO136" s="6"/>
      <c r="KP136" s="6"/>
      <c r="KQ136" s="6"/>
      <c r="KR136" s="6"/>
      <c r="KS136" s="6"/>
      <c r="KT136" s="6"/>
      <c r="KU136" s="6"/>
      <c r="KV136" s="6"/>
      <c r="KW136" s="6"/>
      <c r="KX136" s="6"/>
      <c r="KY136" s="6"/>
      <c r="KZ136" s="6"/>
      <c r="LA136" s="6"/>
      <c r="LB136" s="6"/>
      <c r="LC136" s="6"/>
      <c r="LD136" s="6"/>
      <c r="LE136" s="6"/>
      <c r="LF136" s="6"/>
      <c r="LG136" s="6"/>
      <c r="LH136" s="6"/>
      <c r="LI136" s="6"/>
      <c r="LJ136" s="6"/>
      <c r="LK136" s="6"/>
      <c r="LL136" s="6"/>
      <c r="LM136" s="6"/>
      <c r="LN136" s="6"/>
      <c r="LO136" s="6"/>
      <c r="LP136" s="6"/>
      <c r="LQ136" s="6"/>
      <c r="LR136" s="6"/>
      <c r="LS136" s="6"/>
      <c r="LT136" s="6"/>
      <c r="LU136" s="6"/>
      <c r="LV136" s="6"/>
      <c r="LW136" s="6"/>
      <c r="LX136" s="6"/>
      <c r="LY136" s="6"/>
      <c r="LZ136" s="6"/>
      <c r="MA136" s="6"/>
      <c r="MB136" s="6"/>
      <c r="MC136" s="6"/>
      <c r="MD136" s="6"/>
      <c r="ME136" s="6"/>
      <c r="MF136" s="6"/>
      <c r="MG136" s="6"/>
      <c r="MH136" s="6"/>
      <c r="MI136" s="6"/>
      <c r="MJ136" s="6"/>
      <c r="MK136" s="6"/>
    </row>
    <row r="137" spans="1:349" s="2" customFormat="1" ht="17.7" customHeight="1" x14ac:dyDescent="0.3">
      <c r="A137" s="21">
        <v>136</v>
      </c>
      <c r="B137" s="21">
        <v>8100054</v>
      </c>
      <c r="C137" s="9" t="s">
        <v>169</v>
      </c>
      <c r="D137" s="9" t="s">
        <v>25</v>
      </c>
      <c r="E137" s="9" t="s">
        <v>35</v>
      </c>
      <c r="F137" s="9">
        <v>360.25</v>
      </c>
      <c r="G137" s="9">
        <v>5</v>
      </c>
      <c r="H137" s="9"/>
      <c r="I137" s="9" t="s">
        <v>116</v>
      </c>
      <c r="J137" s="9"/>
      <c r="K137" s="9"/>
      <c r="L137" s="9"/>
      <c r="M137" s="9">
        <f t="shared" si="2"/>
        <v>299.00749999999999</v>
      </c>
      <c r="N137" s="9" t="s">
        <v>28</v>
      </c>
      <c r="O137" s="9" t="s">
        <v>29</v>
      </c>
      <c r="P137" s="9" t="s">
        <v>29</v>
      </c>
      <c r="Q137" s="9"/>
      <c r="R137" s="9"/>
      <c r="S137" s="9"/>
      <c r="T137" s="9"/>
      <c r="U137" s="9"/>
      <c r="V137" s="9"/>
      <c r="W137" s="9"/>
      <c r="X137" s="9" t="s">
        <v>30</v>
      </c>
      <c r="Y137" s="13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  <c r="DE137" s="5"/>
      <c r="DF137" s="5"/>
      <c r="DG137" s="5"/>
      <c r="DH137" s="5"/>
      <c r="DI137" s="5"/>
      <c r="DJ137" s="5"/>
      <c r="DK137" s="5"/>
      <c r="DL137" s="5"/>
      <c r="DM137" s="5"/>
      <c r="DN137" s="5"/>
      <c r="DO137" s="5"/>
      <c r="DP137" s="5"/>
      <c r="DQ137" s="5"/>
      <c r="DR137" s="5"/>
      <c r="DS137" s="5"/>
      <c r="DT137" s="5"/>
      <c r="DU137" s="5"/>
      <c r="DV137" s="5"/>
      <c r="DW137" s="5"/>
      <c r="DX137" s="5"/>
      <c r="DY137" s="5"/>
      <c r="DZ137" s="5"/>
      <c r="EA137" s="5"/>
      <c r="EB137" s="5"/>
      <c r="EC137" s="5"/>
      <c r="ED137" s="5"/>
      <c r="EE137" s="5"/>
      <c r="EF137" s="5"/>
      <c r="EG137" s="5"/>
      <c r="EH137" s="5"/>
      <c r="EI137" s="5"/>
      <c r="EJ137" s="5"/>
      <c r="EK137" s="5"/>
      <c r="EL137" s="5"/>
      <c r="EM137" s="5"/>
      <c r="EN137" s="5"/>
      <c r="EO137" s="5"/>
      <c r="EP137" s="5"/>
      <c r="EQ137" s="5"/>
      <c r="ER137" s="5"/>
      <c r="ES137" s="5"/>
      <c r="ET137" s="5"/>
      <c r="EU137" s="5"/>
      <c r="EV137" s="5"/>
      <c r="EW137" s="5"/>
      <c r="EX137" s="5"/>
      <c r="EY137" s="5"/>
      <c r="EZ137" s="5"/>
      <c r="FA137" s="5"/>
      <c r="FB137" s="5"/>
      <c r="FC137" s="5"/>
      <c r="FD137" s="5"/>
      <c r="FE137" s="5"/>
      <c r="FF137" s="5"/>
      <c r="FG137" s="5"/>
      <c r="FH137" s="5"/>
      <c r="FI137" s="5"/>
      <c r="FJ137" s="5"/>
      <c r="FK137" s="5"/>
      <c r="FL137" s="5"/>
      <c r="FM137" s="5"/>
      <c r="FN137" s="5"/>
      <c r="FO137" s="5"/>
      <c r="FP137" s="5"/>
      <c r="FQ137" s="5"/>
      <c r="FR137" s="5"/>
      <c r="FS137" s="5"/>
      <c r="FT137" s="5"/>
      <c r="FU137" s="5"/>
      <c r="FV137" s="5"/>
      <c r="FW137" s="5"/>
      <c r="FX137" s="5"/>
      <c r="FY137" s="5"/>
      <c r="FZ137" s="5"/>
      <c r="GA137" s="5"/>
      <c r="GB137" s="5"/>
      <c r="GC137" s="5"/>
      <c r="GD137" s="5"/>
      <c r="GE137" s="5"/>
      <c r="GF137" s="5"/>
      <c r="GG137" s="5"/>
      <c r="GH137" s="5"/>
      <c r="GI137" s="5"/>
      <c r="GJ137" s="5"/>
      <c r="GK137" s="5"/>
      <c r="GL137" s="5"/>
      <c r="GM137" s="5"/>
      <c r="GN137" s="5"/>
      <c r="GO137" s="5"/>
      <c r="GP137" s="5"/>
      <c r="GQ137" s="5"/>
      <c r="GR137" s="5"/>
      <c r="GS137" s="5"/>
      <c r="GT137" s="5"/>
      <c r="GU137" s="5"/>
      <c r="GV137" s="5"/>
      <c r="GW137" s="5"/>
      <c r="GX137" s="5"/>
      <c r="GY137" s="5"/>
      <c r="GZ137" s="5"/>
      <c r="HA137" s="5"/>
      <c r="HB137" s="5"/>
      <c r="HC137" s="5"/>
      <c r="HD137" s="5"/>
      <c r="HE137" s="5"/>
      <c r="HF137" s="5"/>
      <c r="HG137" s="5"/>
      <c r="HH137" s="5"/>
      <c r="HI137" s="5"/>
      <c r="HJ137" s="5"/>
      <c r="HK137" s="5"/>
      <c r="HL137" s="5"/>
      <c r="HM137" s="5"/>
      <c r="HN137" s="5"/>
      <c r="HO137" s="5"/>
      <c r="HP137" s="5"/>
      <c r="HQ137" s="5"/>
      <c r="HR137" s="5"/>
      <c r="HS137" s="5"/>
      <c r="HT137" s="5"/>
      <c r="HU137" s="5"/>
      <c r="HV137" s="5"/>
      <c r="HW137" s="5"/>
      <c r="HX137" s="5"/>
      <c r="HY137" s="5"/>
      <c r="HZ137" s="5"/>
      <c r="IA137" s="5"/>
      <c r="IB137" s="5"/>
      <c r="IC137" s="5"/>
      <c r="ID137" s="5"/>
      <c r="IE137" s="5"/>
      <c r="IF137" s="5"/>
      <c r="IG137" s="5"/>
      <c r="IH137" s="5"/>
      <c r="II137" s="5"/>
      <c r="IJ137" s="5"/>
      <c r="IK137" s="5"/>
      <c r="IL137" s="5"/>
      <c r="IM137" s="5"/>
      <c r="IN137" s="5"/>
      <c r="IO137" s="5"/>
      <c r="IP137" s="5"/>
      <c r="IQ137" s="5"/>
      <c r="IR137" s="5"/>
      <c r="IS137" s="5"/>
      <c r="IT137" s="5"/>
      <c r="IU137" s="5"/>
      <c r="IV137" s="5"/>
      <c r="IW137" s="5"/>
      <c r="IX137" s="5"/>
      <c r="IY137" s="5"/>
      <c r="IZ137" s="5"/>
      <c r="JA137" s="5"/>
      <c r="JB137" s="5"/>
      <c r="JC137" s="5"/>
      <c r="JD137" s="5"/>
      <c r="JE137" s="5"/>
      <c r="JF137" s="5"/>
      <c r="JG137" s="5"/>
      <c r="JH137" s="5"/>
      <c r="JI137" s="5"/>
      <c r="JJ137" s="5"/>
      <c r="JK137" s="5"/>
      <c r="JL137" s="5"/>
      <c r="JM137" s="5"/>
      <c r="JN137" s="5"/>
      <c r="JO137" s="5"/>
      <c r="JP137" s="5"/>
      <c r="JQ137" s="5"/>
      <c r="JR137" s="5"/>
      <c r="JS137" s="5"/>
      <c r="JT137" s="5"/>
      <c r="JU137" s="5"/>
      <c r="JV137" s="5"/>
      <c r="JW137" s="5"/>
      <c r="JX137" s="5"/>
      <c r="JY137" s="5"/>
      <c r="JZ137" s="5"/>
      <c r="KA137" s="5"/>
      <c r="KB137" s="5"/>
      <c r="KC137" s="5"/>
      <c r="KD137" s="5"/>
      <c r="KE137" s="5"/>
      <c r="KF137" s="5"/>
      <c r="KG137" s="5"/>
      <c r="KH137" s="5"/>
      <c r="KI137" s="5"/>
      <c r="KJ137" s="5"/>
      <c r="KK137" s="5"/>
      <c r="KL137" s="5"/>
      <c r="KM137" s="5"/>
      <c r="KN137" s="5"/>
      <c r="KO137" s="5"/>
      <c r="KP137" s="5"/>
      <c r="KQ137" s="5"/>
      <c r="KR137" s="5"/>
      <c r="KS137" s="5"/>
      <c r="KT137" s="5"/>
      <c r="KU137" s="5"/>
      <c r="KV137" s="5"/>
      <c r="KW137" s="5"/>
      <c r="KX137" s="5"/>
      <c r="KY137" s="5"/>
      <c r="KZ137" s="5"/>
      <c r="LA137" s="5"/>
      <c r="LB137" s="5"/>
      <c r="LC137" s="5"/>
      <c r="LD137" s="5"/>
      <c r="LE137" s="5"/>
      <c r="LF137" s="5"/>
      <c r="LG137" s="5"/>
      <c r="LH137" s="5"/>
      <c r="LI137" s="5"/>
      <c r="LJ137" s="5"/>
      <c r="LK137" s="5"/>
      <c r="LL137" s="5"/>
      <c r="LM137" s="5"/>
      <c r="LN137" s="5"/>
      <c r="LO137" s="5"/>
      <c r="LP137" s="5"/>
      <c r="LQ137" s="5"/>
      <c r="LR137" s="5"/>
      <c r="LS137" s="5"/>
      <c r="LT137" s="5"/>
      <c r="LU137" s="5"/>
      <c r="LV137" s="5"/>
      <c r="LW137" s="5"/>
      <c r="LX137" s="5"/>
      <c r="LY137" s="5"/>
      <c r="LZ137" s="5"/>
      <c r="MA137" s="5"/>
      <c r="MB137" s="5"/>
      <c r="MC137" s="5"/>
      <c r="MD137" s="5"/>
      <c r="ME137" s="5"/>
      <c r="MF137" s="5"/>
      <c r="MG137" s="5"/>
      <c r="MH137" s="5"/>
      <c r="MI137" s="5"/>
      <c r="MJ137" s="5"/>
      <c r="MK137" s="5"/>
    </row>
    <row r="138" spans="1:349" s="2" customFormat="1" ht="17.7" customHeight="1" x14ac:dyDescent="0.3">
      <c r="A138" s="20">
        <v>137</v>
      </c>
      <c r="B138" s="20">
        <v>8100055</v>
      </c>
      <c r="C138" s="10" t="s">
        <v>170</v>
      </c>
      <c r="D138" s="10" t="s">
        <v>25</v>
      </c>
      <c r="E138" s="10" t="s">
        <v>35</v>
      </c>
      <c r="F138" s="10">
        <v>465.75</v>
      </c>
      <c r="G138" s="10">
        <v>5</v>
      </c>
      <c r="H138" s="10"/>
      <c r="I138" s="10" t="s">
        <v>116</v>
      </c>
      <c r="J138" s="10"/>
      <c r="K138" s="10"/>
      <c r="L138" s="10"/>
      <c r="M138" s="10">
        <f t="shared" si="2"/>
        <v>386.57249999999999</v>
      </c>
      <c r="N138" s="10" t="s">
        <v>28</v>
      </c>
      <c r="O138" s="10" t="s">
        <v>29</v>
      </c>
      <c r="P138" s="10" t="s">
        <v>29</v>
      </c>
      <c r="Q138" s="10"/>
      <c r="R138" s="10"/>
      <c r="S138" s="10"/>
      <c r="T138" s="10"/>
      <c r="U138" s="10"/>
      <c r="V138" s="10"/>
      <c r="W138" s="10"/>
      <c r="X138" s="10" t="s">
        <v>30</v>
      </c>
      <c r="Y138" s="13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  <c r="DE138" s="5"/>
      <c r="DF138" s="5"/>
      <c r="DG138" s="5"/>
      <c r="DH138" s="5"/>
      <c r="DI138" s="5"/>
      <c r="DJ138" s="5"/>
      <c r="DK138" s="5"/>
      <c r="DL138" s="5"/>
      <c r="DM138" s="5"/>
      <c r="DN138" s="5"/>
      <c r="DO138" s="5"/>
      <c r="DP138" s="5"/>
      <c r="DQ138" s="5"/>
      <c r="DR138" s="5"/>
      <c r="DS138" s="5"/>
      <c r="DT138" s="5"/>
      <c r="DU138" s="5"/>
      <c r="DV138" s="5"/>
      <c r="DW138" s="5"/>
      <c r="DX138" s="5"/>
      <c r="DY138" s="5"/>
      <c r="DZ138" s="5"/>
      <c r="EA138" s="5"/>
      <c r="EB138" s="5"/>
      <c r="EC138" s="5"/>
      <c r="ED138" s="5"/>
      <c r="EE138" s="5"/>
      <c r="EF138" s="5"/>
      <c r="EG138" s="5"/>
      <c r="EH138" s="5"/>
      <c r="EI138" s="5"/>
      <c r="EJ138" s="5"/>
      <c r="EK138" s="5"/>
      <c r="EL138" s="5"/>
      <c r="EM138" s="5"/>
      <c r="EN138" s="5"/>
      <c r="EO138" s="5"/>
      <c r="EP138" s="5"/>
      <c r="EQ138" s="5"/>
      <c r="ER138" s="5"/>
      <c r="ES138" s="5"/>
      <c r="ET138" s="5"/>
      <c r="EU138" s="5"/>
      <c r="EV138" s="5"/>
      <c r="EW138" s="5"/>
      <c r="EX138" s="5"/>
      <c r="EY138" s="5"/>
      <c r="EZ138" s="5"/>
      <c r="FA138" s="5"/>
      <c r="FB138" s="5"/>
      <c r="FC138" s="5"/>
      <c r="FD138" s="5"/>
      <c r="FE138" s="5"/>
      <c r="FF138" s="5"/>
      <c r="FG138" s="5"/>
      <c r="FH138" s="5"/>
      <c r="FI138" s="5"/>
      <c r="FJ138" s="5"/>
      <c r="FK138" s="5"/>
      <c r="FL138" s="5"/>
      <c r="FM138" s="5"/>
      <c r="FN138" s="5"/>
      <c r="FO138" s="5"/>
      <c r="FP138" s="5"/>
      <c r="FQ138" s="5"/>
      <c r="FR138" s="5"/>
      <c r="FS138" s="5"/>
      <c r="FT138" s="5"/>
      <c r="FU138" s="5"/>
      <c r="FV138" s="5"/>
      <c r="FW138" s="5"/>
      <c r="FX138" s="5"/>
      <c r="FY138" s="5"/>
      <c r="FZ138" s="5"/>
      <c r="GA138" s="5"/>
      <c r="GB138" s="5"/>
      <c r="GC138" s="5"/>
      <c r="GD138" s="5"/>
      <c r="GE138" s="5"/>
      <c r="GF138" s="5"/>
      <c r="GG138" s="5"/>
      <c r="GH138" s="5"/>
      <c r="GI138" s="5"/>
      <c r="GJ138" s="5"/>
      <c r="GK138" s="5"/>
      <c r="GL138" s="5"/>
      <c r="GM138" s="5"/>
      <c r="GN138" s="5"/>
      <c r="GO138" s="5"/>
      <c r="GP138" s="5"/>
      <c r="GQ138" s="5"/>
      <c r="GR138" s="5"/>
      <c r="GS138" s="5"/>
      <c r="GT138" s="5"/>
      <c r="GU138" s="5"/>
      <c r="GV138" s="5"/>
      <c r="GW138" s="5"/>
      <c r="GX138" s="5"/>
      <c r="GY138" s="5"/>
      <c r="GZ138" s="5"/>
      <c r="HA138" s="5"/>
      <c r="HB138" s="5"/>
      <c r="HC138" s="5"/>
      <c r="HD138" s="5"/>
      <c r="HE138" s="5"/>
      <c r="HF138" s="5"/>
      <c r="HG138" s="5"/>
      <c r="HH138" s="5"/>
      <c r="HI138" s="5"/>
      <c r="HJ138" s="5"/>
      <c r="HK138" s="5"/>
      <c r="HL138" s="5"/>
      <c r="HM138" s="5"/>
      <c r="HN138" s="5"/>
      <c r="HO138" s="5"/>
      <c r="HP138" s="5"/>
      <c r="HQ138" s="5"/>
      <c r="HR138" s="5"/>
      <c r="HS138" s="5"/>
      <c r="HT138" s="5"/>
      <c r="HU138" s="5"/>
      <c r="HV138" s="5"/>
      <c r="HW138" s="5"/>
      <c r="HX138" s="5"/>
      <c r="HY138" s="5"/>
      <c r="HZ138" s="5"/>
      <c r="IA138" s="5"/>
      <c r="IB138" s="5"/>
      <c r="IC138" s="5"/>
      <c r="ID138" s="5"/>
      <c r="IE138" s="5"/>
      <c r="IF138" s="5"/>
      <c r="IG138" s="5"/>
      <c r="IH138" s="5"/>
      <c r="II138" s="5"/>
      <c r="IJ138" s="5"/>
      <c r="IK138" s="5"/>
      <c r="IL138" s="5"/>
      <c r="IM138" s="5"/>
      <c r="IN138" s="5"/>
      <c r="IO138" s="5"/>
      <c r="IP138" s="5"/>
      <c r="IQ138" s="5"/>
      <c r="IR138" s="5"/>
      <c r="IS138" s="5"/>
      <c r="IT138" s="5"/>
      <c r="IU138" s="5"/>
      <c r="IV138" s="5"/>
      <c r="IW138" s="5"/>
      <c r="IX138" s="5"/>
      <c r="IY138" s="5"/>
      <c r="IZ138" s="5"/>
      <c r="JA138" s="5"/>
      <c r="JB138" s="5"/>
      <c r="JC138" s="5"/>
      <c r="JD138" s="5"/>
      <c r="JE138" s="5"/>
      <c r="JF138" s="5"/>
      <c r="JG138" s="5"/>
      <c r="JH138" s="5"/>
      <c r="JI138" s="5"/>
      <c r="JJ138" s="5"/>
      <c r="JK138" s="5"/>
      <c r="JL138" s="5"/>
      <c r="JM138" s="5"/>
      <c r="JN138" s="5"/>
      <c r="JO138" s="5"/>
      <c r="JP138" s="5"/>
      <c r="JQ138" s="5"/>
      <c r="JR138" s="5"/>
      <c r="JS138" s="5"/>
      <c r="JT138" s="5"/>
      <c r="JU138" s="5"/>
      <c r="JV138" s="5"/>
      <c r="JW138" s="5"/>
      <c r="JX138" s="5"/>
      <c r="JY138" s="5"/>
      <c r="JZ138" s="5"/>
      <c r="KA138" s="5"/>
      <c r="KB138" s="5"/>
      <c r="KC138" s="5"/>
      <c r="KD138" s="5"/>
      <c r="KE138" s="5"/>
      <c r="KF138" s="5"/>
      <c r="KG138" s="5"/>
      <c r="KH138" s="5"/>
      <c r="KI138" s="5"/>
      <c r="KJ138" s="5"/>
      <c r="KK138" s="5"/>
      <c r="KL138" s="5"/>
      <c r="KM138" s="5"/>
      <c r="KN138" s="5"/>
      <c r="KO138" s="5"/>
      <c r="KP138" s="5"/>
      <c r="KQ138" s="5"/>
      <c r="KR138" s="5"/>
      <c r="KS138" s="5"/>
      <c r="KT138" s="5"/>
      <c r="KU138" s="5"/>
      <c r="KV138" s="5"/>
      <c r="KW138" s="5"/>
      <c r="KX138" s="5"/>
      <c r="KY138" s="5"/>
      <c r="KZ138" s="5"/>
      <c r="LA138" s="5"/>
      <c r="LB138" s="5"/>
      <c r="LC138" s="5"/>
      <c r="LD138" s="5"/>
      <c r="LE138" s="5"/>
      <c r="LF138" s="5"/>
      <c r="LG138" s="5"/>
      <c r="LH138" s="5"/>
      <c r="LI138" s="5"/>
      <c r="LJ138" s="5"/>
      <c r="LK138" s="5"/>
      <c r="LL138" s="5"/>
      <c r="LM138" s="5"/>
      <c r="LN138" s="5"/>
      <c r="LO138" s="5"/>
      <c r="LP138" s="5"/>
      <c r="LQ138" s="5"/>
      <c r="LR138" s="5"/>
      <c r="LS138" s="5"/>
      <c r="LT138" s="5"/>
      <c r="LU138" s="5"/>
      <c r="LV138" s="5"/>
      <c r="LW138" s="5"/>
      <c r="LX138" s="5"/>
      <c r="LY138" s="5"/>
      <c r="LZ138" s="5"/>
      <c r="MA138" s="5"/>
      <c r="MB138" s="5"/>
      <c r="MC138" s="5"/>
      <c r="MD138" s="5"/>
      <c r="ME138" s="5"/>
      <c r="MF138" s="5"/>
      <c r="MG138" s="5"/>
      <c r="MH138" s="5"/>
      <c r="MI138" s="5"/>
      <c r="MJ138" s="5"/>
      <c r="MK138" s="5"/>
    </row>
    <row r="139" spans="1:349" s="2" customFormat="1" ht="17.7" customHeight="1" x14ac:dyDescent="0.3">
      <c r="A139" s="21">
        <v>138</v>
      </c>
      <c r="B139" s="21">
        <v>8100056</v>
      </c>
      <c r="C139" s="9" t="s">
        <v>171</v>
      </c>
      <c r="D139" s="9" t="s">
        <v>25</v>
      </c>
      <c r="E139" s="9" t="s">
        <v>35</v>
      </c>
      <c r="F139" s="9">
        <v>77.5</v>
      </c>
      <c r="G139" s="9">
        <v>20</v>
      </c>
      <c r="H139" s="9"/>
      <c r="I139" s="9" t="s">
        <v>116</v>
      </c>
      <c r="J139" s="9"/>
      <c r="K139" s="9"/>
      <c r="L139" s="9"/>
      <c r="M139" s="9">
        <f t="shared" si="2"/>
        <v>64.325000000000003</v>
      </c>
      <c r="N139" s="9" t="s">
        <v>28</v>
      </c>
      <c r="O139" s="9" t="s">
        <v>29</v>
      </c>
      <c r="P139" s="9" t="s">
        <v>29</v>
      </c>
      <c r="Q139" s="9"/>
      <c r="R139" s="9"/>
      <c r="S139" s="9"/>
      <c r="T139" s="9"/>
      <c r="U139" s="9"/>
      <c r="V139" s="9"/>
      <c r="W139" s="9"/>
      <c r="X139" s="9" t="s">
        <v>30</v>
      </c>
      <c r="Y139" s="13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  <c r="DE139" s="5"/>
      <c r="DF139" s="5"/>
      <c r="DG139" s="5"/>
      <c r="DH139" s="5"/>
      <c r="DI139" s="5"/>
      <c r="DJ139" s="5"/>
      <c r="DK139" s="5"/>
      <c r="DL139" s="5"/>
      <c r="DM139" s="5"/>
      <c r="DN139" s="5"/>
      <c r="DO139" s="5"/>
      <c r="DP139" s="5"/>
      <c r="DQ139" s="5"/>
      <c r="DR139" s="5"/>
      <c r="DS139" s="5"/>
      <c r="DT139" s="5"/>
      <c r="DU139" s="5"/>
      <c r="DV139" s="5"/>
      <c r="DW139" s="5"/>
      <c r="DX139" s="5"/>
      <c r="DY139" s="5"/>
      <c r="DZ139" s="5"/>
      <c r="EA139" s="5"/>
      <c r="EB139" s="5"/>
      <c r="EC139" s="5"/>
      <c r="ED139" s="5"/>
      <c r="EE139" s="5"/>
      <c r="EF139" s="5"/>
      <c r="EG139" s="5"/>
      <c r="EH139" s="5"/>
      <c r="EI139" s="5"/>
      <c r="EJ139" s="5"/>
      <c r="EK139" s="5"/>
      <c r="EL139" s="5"/>
      <c r="EM139" s="5"/>
      <c r="EN139" s="5"/>
      <c r="EO139" s="5"/>
      <c r="EP139" s="5"/>
      <c r="EQ139" s="5"/>
      <c r="ER139" s="5"/>
      <c r="ES139" s="5"/>
      <c r="ET139" s="5"/>
      <c r="EU139" s="5"/>
      <c r="EV139" s="5"/>
      <c r="EW139" s="5"/>
      <c r="EX139" s="5"/>
      <c r="EY139" s="5"/>
      <c r="EZ139" s="5"/>
      <c r="FA139" s="5"/>
      <c r="FB139" s="5"/>
      <c r="FC139" s="5"/>
      <c r="FD139" s="5"/>
      <c r="FE139" s="5"/>
      <c r="FF139" s="5"/>
      <c r="FG139" s="5"/>
      <c r="FH139" s="5"/>
      <c r="FI139" s="5"/>
      <c r="FJ139" s="5"/>
      <c r="FK139" s="5"/>
      <c r="FL139" s="5"/>
      <c r="FM139" s="5"/>
      <c r="FN139" s="5"/>
      <c r="FO139" s="5"/>
      <c r="FP139" s="5"/>
      <c r="FQ139" s="5"/>
      <c r="FR139" s="5"/>
      <c r="FS139" s="5"/>
      <c r="FT139" s="5"/>
      <c r="FU139" s="5"/>
      <c r="FV139" s="5"/>
      <c r="FW139" s="5"/>
      <c r="FX139" s="5"/>
      <c r="FY139" s="5"/>
      <c r="FZ139" s="5"/>
      <c r="GA139" s="5"/>
      <c r="GB139" s="5"/>
      <c r="GC139" s="5"/>
      <c r="GD139" s="5"/>
      <c r="GE139" s="5"/>
      <c r="GF139" s="5"/>
      <c r="GG139" s="5"/>
      <c r="GH139" s="5"/>
      <c r="GI139" s="5"/>
      <c r="GJ139" s="5"/>
      <c r="GK139" s="5"/>
      <c r="GL139" s="5"/>
      <c r="GM139" s="5"/>
      <c r="GN139" s="5"/>
      <c r="GO139" s="5"/>
      <c r="GP139" s="5"/>
      <c r="GQ139" s="5"/>
      <c r="GR139" s="5"/>
      <c r="GS139" s="5"/>
      <c r="GT139" s="5"/>
      <c r="GU139" s="5"/>
      <c r="GV139" s="5"/>
      <c r="GW139" s="5"/>
      <c r="GX139" s="5"/>
      <c r="GY139" s="5"/>
      <c r="GZ139" s="5"/>
      <c r="HA139" s="5"/>
      <c r="HB139" s="5"/>
      <c r="HC139" s="5"/>
      <c r="HD139" s="5"/>
      <c r="HE139" s="5"/>
      <c r="HF139" s="5"/>
      <c r="HG139" s="5"/>
      <c r="HH139" s="5"/>
      <c r="HI139" s="5"/>
      <c r="HJ139" s="5"/>
      <c r="HK139" s="5"/>
      <c r="HL139" s="5"/>
      <c r="HM139" s="5"/>
      <c r="HN139" s="5"/>
      <c r="HO139" s="5"/>
      <c r="HP139" s="5"/>
      <c r="HQ139" s="5"/>
      <c r="HR139" s="5"/>
      <c r="HS139" s="5"/>
      <c r="HT139" s="5"/>
      <c r="HU139" s="5"/>
      <c r="HV139" s="5"/>
      <c r="HW139" s="5"/>
      <c r="HX139" s="5"/>
      <c r="HY139" s="5"/>
      <c r="HZ139" s="5"/>
      <c r="IA139" s="5"/>
      <c r="IB139" s="5"/>
      <c r="IC139" s="5"/>
      <c r="ID139" s="5"/>
      <c r="IE139" s="5"/>
      <c r="IF139" s="5"/>
      <c r="IG139" s="5"/>
      <c r="IH139" s="5"/>
      <c r="II139" s="5"/>
      <c r="IJ139" s="5"/>
      <c r="IK139" s="5"/>
      <c r="IL139" s="5"/>
      <c r="IM139" s="5"/>
      <c r="IN139" s="5"/>
      <c r="IO139" s="5"/>
      <c r="IP139" s="5"/>
      <c r="IQ139" s="5"/>
      <c r="IR139" s="5"/>
      <c r="IS139" s="5"/>
      <c r="IT139" s="5"/>
      <c r="IU139" s="5"/>
      <c r="IV139" s="5"/>
      <c r="IW139" s="5"/>
      <c r="IX139" s="5"/>
      <c r="IY139" s="5"/>
      <c r="IZ139" s="5"/>
      <c r="JA139" s="5"/>
      <c r="JB139" s="5"/>
      <c r="JC139" s="5"/>
      <c r="JD139" s="5"/>
      <c r="JE139" s="5"/>
      <c r="JF139" s="5"/>
      <c r="JG139" s="5"/>
      <c r="JH139" s="5"/>
      <c r="JI139" s="5"/>
      <c r="JJ139" s="5"/>
      <c r="JK139" s="5"/>
      <c r="JL139" s="5"/>
      <c r="JM139" s="5"/>
      <c r="JN139" s="5"/>
      <c r="JO139" s="5"/>
      <c r="JP139" s="5"/>
      <c r="JQ139" s="5"/>
      <c r="JR139" s="5"/>
      <c r="JS139" s="5"/>
      <c r="JT139" s="5"/>
      <c r="JU139" s="5"/>
      <c r="JV139" s="5"/>
      <c r="JW139" s="5"/>
      <c r="JX139" s="5"/>
      <c r="JY139" s="5"/>
      <c r="JZ139" s="5"/>
      <c r="KA139" s="5"/>
      <c r="KB139" s="5"/>
      <c r="KC139" s="5"/>
      <c r="KD139" s="5"/>
      <c r="KE139" s="5"/>
      <c r="KF139" s="5"/>
      <c r="KG139" s="5"/>
      <c r="KH139" s="5"/>
      <c r="KI139" s="5"/>
      <c r="KJ139" s="5"/>
      <c r="KK139" s="5"/>
      <c r="KL139" s="5"/>
      <c r="KM139" s="5"/>
      <c r="KN139" s="5"/>
      <c r="KO139" s="5"/>
      <c r="KP139" s="5"/>
      <c r="KQ139" s="5"/>
      <c r="KR139" s="5"/>
      <c r="KS139" s="5"/>
      <c r="KT139" s="5"/>
      <c r="KU139" s="5"/>
      <c r="KV139" s="5"/>
      <c r="KW139" s="5"/>
      <c r="KX139" s="5"/>
      <c r="KY139" s="5"/>
      <c r="KZ139" s="5"/>
      <c r="LA139" s="5"/>
      <c r="LB139" s="5"/>
      <c r="LC139" s="5"/>
      <c r="LD139" s="5"/>
      <c r="LE139" s="5"/>
      <c r="LF139" s="5"/>
      <c r="LG139" s="5"/>
      <c r="LH139" s="5"/>
      <c r="LI139" s="5"/>
      <c r="LJ139" s="5"/>
      <c r="LK139" s="5"/>
      <c r="LL139" s="5"/>
      <c r="LM139" s="5"/>
      <c r="LN139" s="5"/>
      <c r="LO139" s="5"/>
      <c r="LP139" s="5"/>
      <c r="LQ139" s="5"/>
      <c r="LR139" s="5"/>
      <c r="LS139" s="5"/>
      <c r="LT139" s="5"/>
      <c r="LU139" s="5"/>
      <c r="LV139" s="5"/>
      <c r="LW139" s="5"/>
      <c r="LX139" s="5"/>
      <c r="LY139" s="5"/>
      <c r="LZ139" s="5"/>
      <c r="MA139" s="5"/>
      <c r="MB139" s="5"/>
      <c r="MC139" s="5"/>
      <c r="MD139" s="5"/>
      <c r="ME139" s="5"/>
      <c r="MF139" s="5"/>
      <c r="MG139" s="5"/>
      <c r="MH139" s="5"/>
      <c r="MI139" s="5"/>
      <c r="MJ139" s="5"/>
      <c r="MK139" s="5"/>
    </row>
    <row r="140" spans="1:349" s="1" customFormat="1" ht="17.7" customHeight="1" x14ac:dyDescent="0.3">
      <c r="A140" s="20">
        <v>139</v>
      </c>
      <c r="B140" s="20">
        <v>8100057</v>
      </c>
      <c r="C140" s="10" t="s">
        <v>172</v>
      </c>
      <c r="D140" s="10" t="s">
        <v>25</v>
      </c>
      <c r="E140" s="10" t="s">
        <v>35</v>
      </c>
      <c r="F140" s="10">
        <v>121.25</v>
      </c>
      <c r="G140" s="10">
        <v>20</v>
      </c>
      <c r="H140" s="10"/>
      <c r="I140" s="10" t="s">
        <v>116</v>
      </c>
      <c r="J140" s="10"/>
      <c r="K140" s="10"/>
      <c r="L140" s="10"/>
      <c r="M140" s="10">
        <f t="shared" si="2"/>
        <v>100.6375</v>
      </c>
      <c r="N140" s="10" t="s">
        <v>28</v>
      </c>
      <c r="O140" s="10" t="s">
        <v>29</v>
      </c>
      <c r="P140" s="10" t="s">
        <v>29</v>
      </c>
      <c r="Q140" s="10"/>
      <c r="R140" s="10"/>
      <c r="S140" s="10"/>
      <c r="T140" s="10"/>
      <c r="U140" s="10"/>
      <c r="V140" s="10"/>
      <c r="W140" s="10"/>
      <c r="X140" s="10" t="s">
        <v>30</v>
      </c>
      <c r="Y140" s="14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  <c r="BK140" s="6"/>
      <c r="BL140" s="6"/>
      <c r="BM140" s="6"/>
      <c r="BN140" s="6"/>
      <c r="BO140" s="6"/>
      <c r="BP140" s="6"/>
      <c r="BQ140" s="6"/>
      <c r="BR140" s="6"/>
      <c r="BS140" s="6"/>
      <c r="BT140" s="6"/>
      <c r="BU140" s="6"/>
      <c r="BV140" s="6"/>
      <c r="BW140" s="6"/>
      <c r="BX140" s="6"/>
      <c r="BY140" s="6"/>
      <c r="BZ140" s="6"/>
      <c r="CA140" s="6"/>
      <c r="CB140" s="6"/>
      <c r="CC140" s="6"/>
      <c r="CD140" s="6"/>
      <c r="CE140" s="6"/>
      <c r="CF140" s="6"/>
      <c r="CG140" s="6"/>
      <c r="CH140" s="6"/>
      <c r="CI140" s="6"/>
      <c r="CJ140" s="6"/>
      <c r="CK140" s="6"/>
      <c r="CL140" s="6"/>
      <c r="CM140" s="6"/>
      <c r="CN140" s="6"/>
      <c r="CO140" s="6"/>
      <c r="CP140" s="6"/>
      <c r="CQ140" s="6"/>
      <c r="CR140" s="6"/>
      <c r="CS140" s="6"/>
      <c r="CT140" s="6"/>
      <c r="CU140" s="6"/>
      <c r="CV140" s="6"/>
      <c r="CW140" s="6"/>
      <c r="CX140" s="6"/>
      <c r="CY140" s="6"/>
      <c r="CZ140" s="6"/>
      <c r="DA140" s="6"/>
      <c r="DB140" s="6"/>
      <c r="DC140" s="6"/>
      <c r="DD140" s="6"/>
      <c r="DE140" s="6"/>
      <c r="DF140" s="6"/>
      <c r="DG140" s="6"/>
      <c r="DH140" s="6"/>
      <c r="DI140" s="6"/>
      <c r="DJ140" s="6"/>
      <c r="DK140" s="6"/>
      <c r="DL140" s="6"/>
      <c r="DM140" s="6"/>
      <c r="DN140" s="6"/>
      <c r="DO140" s="6"/>
      <c r="DP140" s="6"/>
      <c r="DQ140" s="6"/>
      <c r="DR140" s="6"/>
      <c r="DS140" s="6"/>
      <c r="DT140" s="6"/>
      <c r="DU140" s="6"/>
      <c r="DV140" s="6"/>
      <c r="DW140" s="6"/>
      <c r="DX140" s="6"/>
      <c r="DY140" s="6"/>
      <c r="DZ140" s="6"/>
      <c r="EA140" s="6"/>
      <c r="EB140" s="6"/>
      <c r="EC140" s="6"/>
      <c r="ED140" s="6"/>
      <c r="EE140" s="6"/>
      <c r="EF140" s="6"/>
      <c r="EG140" s="6"/>
      <c r="EH140" s="6"/>
      <c r="EI140" s="6"/>
      <c r="EJ140" s="6"/>
      <c r="EK140" s="6"/>
      <c r="EL140" s="6"/>
      <c r="EM140" s="6"/>
      <c r="EN140" s="6"/>
      <c r="EO140" s="6"/>
      <c r="EP140" s="6"/>
      <c r="EQ140" s="6"/>
      <c r="ER140" s="6"/>
      <c r="ES140" s="6"/>
      <c r="ET140" s="6"/>
      <c r="EU140" s="6"/>
      <c r="EV140" s="6"/>
      <c r="EW140" s="6"/>
      <c r="EX140" s="6"/>
      <c r="EY140" s="6"/>
      <c r="EZ140" s="6"/>
      <c r="FA140" s="6"/>
      <c r="FB140" s="6"/>
      <c r="FC140" s="6"/>
      <c r="FD140" s="6"/>
      <c r="FE140" s="6"/>
      <c r="FF140" s="6"/>
      <c r="FG140" s="6"/>
      <c r="FH140" s="6"/>
      <c r="FI140" s="6"/>
      <c r="FJ140" s="6"/>
      <c r="FK140" s="6"/>
      <c r="FL140" s="6"/>
      <c r="FM140" s="6"/>
      <c r="FN140" s="6"/>
      <c r="FO140" s="6"/>
      <c r="FP140" s="6"/>
      <c r="FQ140" s="6"/>
      <c r="FR140" s="6"/>
      <c r="FS140" s="6"/>
      <c r="FT140" s="6"/>
      <c r="FU140" s="6"/>
      <c r="FV140" s="6"/>
      <c r="FW140" s="6"/>
      <c r="FX140" s="6"/>
      <c r="FY140" s="6"/>
      <c r="FZ140" s="6"/>
      <c r="GA140" s="6"/>
      <c r="GB140" s="6"/>
      <c r="GC140" s="6"/>
      <c r="GD140" s="6"/>
      <c r="GE140" s="6"/>
      <c r="GF140" s="6"/>
      <c r="GG140" s="6"/>
      <c r="GH140" s="6"/>
      <c r="GI140" s="6"/>
      <c r="GJ140" s="6"/>
      <c r="GK140" s="6"/>
      <c r="GL140" s="6"/>
      <c r="GM140" s="6"/>
      <c r="GN140" s="6"/>
      <c r="GO140" s="6"/>
      <c r="GP140" s="6"/>
      <c r="GQ140" s="6"/>
      <c r="GR140" s="6"/>
      <c r="GS140" s="6"/>
      <c r="GT140" s="6"/>
      <c r="GU140" s="6"/>
      <c r="GV140" s="6"/>
      <c r="GW140" s="6"/>
      <c r="GX140" s="6"/>
      <c r="GY140" s="6"/>
      <c r="GZ140" s="6"/>
      <c r="HA140" s="6"/>
      <c r="HB140" s="6"/>
      <c r="HC140" s="6"/>
      <c r="HD140" s="6"/>
      <c r="HE140" s="6"/>
      <c r="HF140" s="6"/>
      <c r="HG140" s="6"/>
      <c r="HH140" s="6"/>
      <c r="HI140" s="6"/>
      <c r="HJ140" s="6"/>
      <c r="HK140" s="6"/>
      <c r="HL140" s="6"/>
      <c r="HM140" s="6"/>
      <c r="HN140" s="6"/>
      <c r="HO140" s="6"/>
      <c r="HP140" s="6"/>
      <c r="HQ140" s="6"/>
      <c r="HR140" s="6"/>
      <c r="HS140" s="6"/>
      <c r="HT140" s="6"/>
      <c r="HU140" s="6"/>
      <c r="HV140" s="6"/>
      <c r="HW140" s="6"/>
      <c r="HX140" s="6"/>
      <c r="HY140" s="6"/>
      <c r="HZ140" s="6"/>
      <c r="IA140" s="6"/>
      <c r="IB140" s="6"/>
      <c r="IC140" s="6"/>
      <c r="ID140" s="6"/>
      <c r="IE140" s="6"/>
      <c r="IF140" s="6"/>
      <c r="IG140" s="6"/>
      <c r="IH140" s="6"/>
      <c r="II140" s="6"/>
      <c r="IJ140" s="6"/>
      <c r="IK140" s="6"/>
      <c r="IL140" s="6"/>
      <c r="IM140" s="6"/>
      <c r="IN140" s="6"/>
      <c r="IO140" s="6"/>
      <c r="IP140" s="6"/>
      <c r="IQ140" s="6"/>
      <c r="IR140" s="6"/>
      <c r="IS140" s="6"/>
      <c r="IT140" s="6"/>
      <c r="IU140" s="6"/>
      <c r="IV140" s="6"/>
      <c r="IW140" s="6"/>
      <c r="IX140" s="6"/>
      <c r="IY140" s="6"/>
      <c r="IZ140" s="6"/>
      <c r="JA140" s="6"/>
      <c r="JB140" s="6"/>
      <c r="JC140" s="6"/>
      <c r="JD140" s="6"/>
      <c r="JE140" s="6"/>
      <c r="JF140" s="6"/>
      <c r="JG140" s="6"/>
      <c r="JH140" s="6"/>
      <c r="JI140" s="6"/>
      <c r="JJ140" s="6"/>
      <c r="JK140" s="6"/>
      <c r="JL140" s="6"/>
      <c r="JM140" s="6"/>
      <c r="JN140" s="6"/>
      <c r="JO140" s="6"/>
      <c r="JP140" s="6"/>
      <c r="JQ140" s="6"/>
      <c r="JR140" s="6"/>
      <c r="JS140" s="6"/>
      <c r="JT140" s="6"/>
      <c r="JU140" s="6"/>
      <c r="JV140" s="6"/>
      <c r="JW140" s="6"/>
      <c r="JX140" s="6"/>
      <c r="JY140" s="6"/>
      <c r="JZ140" s="6"/>
      <c r="KA140" s="6"/>
      <c r="KB140" s="6"/>
      <c r="KC140" s="6"/>
      <c r="KD140" s="6"/>
      <c r="KE140" s="6"/>
      <c r="KF140" s="6"/>
      <c r="KG140" s="6"/>
      <c r="KH140" s="6"/>
      <c r="KI140" s="6"/>
      <c r="KJ140" s="6"/>
      <c r="KK140" s="6"/>
      <c r="KL140" s="6"/>
      <c r="KM140" s="6"/>
      <c r="KN140" s="6"/>
      <c r="KO140" s="6"/>
      <c r="KP140" s="6"/>
      <c r="KQ140" s="6"/>
      <c r="KR140" s="6"/>
      <c r="KS140" s="6"/>
      <c r="KT140" s="6"/>
      <c r="KU140" s="6"/>
      <c r="KV140" s="6"/>
      <c r="KW140" s="6"/>
      <c r="KX140" s="6"/>
      <c r="KY140" s="6"/>
      <c r="KZ140" s="6"/>
      <c r="LA140" s="6"/>
      <c r="LB140" s="6"/>
      <c r="LC140" s="6"/>
      <c r="LD140" s="6"/>
      <c r="LE140" s="6"/>
      <c r="LF140" s="6"/>
      <c r="LG140" s="6"/>
      <c r="LH140" s="6"/>
      <c r="LI140" s="6"/>
      <c r="LJ140" s="6"/>
      <c r="LK140" s="6"/>
      <c r="LL140" s="6"/>
      <c r="LM140" s="6"/>
      <c r="LN140" s="6"/>
      <c r="LO140" s="6"/>
      <c r="LP140" s="6"/>
      <c r="LQ140" s="6"/>
      <c r="LR140" s="6"/>
      <c r="LS140" s="6"/>
      <c r="LT140" s="6"/>
      <c r="LU140" s="6"/>
      <c r="LV140" s="6"/>
      <c r="LW140" s="6"/>
      <c r="LX140" s="6"/>
      <c r="LY140" s="6"/>
      <c r="LZ140" s="6"/>
      <c r="MA140" s="6"/>
      <c r="MB140" s="6"/>
      <c r="MC140" s="6"/>
      <c r="MD140" s="6"/>
      <c r="ME140" s="6"/>
      <c r="MF140" s="6"/>
      <c r="MG140" s="6"/>
      <c r="MH140" s="6"/>
      <c r="MI140" s="6"/>
      <c r="MJ140" s="6"/>
      <c r="MK140" s="6"/>
    </row>
    <row r="141" spans="1:349" s="2" customFormat="1" ht="17.7" customHeight="1" x14ac:dyDescent="0.3">
      <c r="A141" s="21">
        <v>140</v>
      </c>
      <c r="B141" s="21">
        <v>8100058</v>
      </c>
      <c r="C141" s="9" t="s">
        <v>173</v>
      </c>
      <c r="D141" s="9" t="s">
        <v>25</v>
      </c>
      <c r="E141" s="9" t="s">
        <v>35</v>
      </c>
      <c r="F141" s="9">
        <v>254.75</v>
      </c>
      <c r="G141" s="9">
        <v>2</v>
      </c>
      <c r="H141" s="9"/>
      <c r="I141" s="9" t="s">
        <v>116</v>
      </c>
      <c r="J141" s="9"/>
      <c r="K141" s="9"/>
      <c r="L141" s="9"/>
      <c r="M141" s="9">
        <f t="shared" si="2"/>
        <v>211.4425</v>
      </c>
      <c r="N141" s="9" t="s">
        <v>28</v>
      </c>
      <c r="O141" s="9" t="s">
        <v>29</v>
      </c>
      <c r="P141" s="9" t="s">
        <v>29</v>
      </c>
      <c r="Q141" s="9"/>
      <c r="R141" s="9"/>
      <c r="S141" s="9"/>
      <c r="T141" s="9"/>
      <c r="U141" s="9"/>
      <c r="V141" s="9"/>
      <c r="W141" s="9"/>
      <c r="X141" s="9" t="s">
        <v>30</v>
      </c>
      <c r="Y141" s="13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  <c r="DE141" s="5"/>
      <c r="DF141" s="5"/>
      <c r="DG141" s="5"/>
      <c r="DH141" s="5"/>
      <c r="DI141" s="5"/>
      <c r="DJ141" s="5"/>
      <c r="DK141" s="5"/>
      <c r="DL141" s="5"/>
      <c r="DM141" s="5"/>
      <c r="DN141" s="5"/>
      <c r="DO141" s="5"/>
      <c r="DP141" s="5"/>
      <c r="DQ141" s="5"/>
      <c r="DR141" s="5"/>
      <c r="DS141" s="5"/>
      <c r="DT141" s="5"/>
      <c r="DU141" s="5"/>
      <c r="DV141" s="5"/>
      <c r="DW141" s="5"/>
      <c r="DX141" s="5"/>
      <c r="DY141" s="5"/>
      <c r="DZ141" s="5"/>
      <c r="EA141" s="5"/>
      <c r="EB141" s="5"/>
      <c r="EC141" s="5"/>
      <c r="ED141" s="5"/>
      <c r="EE141" s="5"/>
      <c r="EF141" s="5"/>
      <c r="EG141" s="5"/>
      <c r="EH141" s="5"/>
      <c r="EI141" s="5"/>
      <c r="EJ141" s="5"/>
      <c r="EK141" s="5"/>
      <c r="EL141" s="5"/>
      <c r="EM141" s="5"/>
      <c r="EN141" s="5"/>
      <c r="EO141" s="5"/>
      <c r="EP141" s="5"/>
      <c r="EQ141" s="5"/>
      <c r="ER141" s="5"/>
      <c r="ES141" s="5"/>
      <c r="ET141" s="5"/>
      <c r="EU141" s="5"/>
      <c r="EV141" s="5"/>
      <c r="EW141" s="5"/>
      <c r="EX141" s="5"/>
      <c r="EY141" s="5"/>
      <c r="EZ141" s="5"/>
      <c r="FA141" s="5"/>
      <c r="FB141" s="5"/>
      <c r="FC141" s="5"/>
      <c r="FD141" s="5"/>
      <c r="FE141" s="5"/>
      <c r="FF141" s="5"/>
      <c r="FG141" s="5"/>
      <c r="FH141" s="5"/>
      <c r="FI141" s="5"/>
      <c r="FJ141" s="5"/>
      <c r="FK141" s="5"/>
      <c r="FL141" s="5"/>
      <c r="FM141" s="5"/>
      <c r="FN141" s="5"/>
      <c r="FO141" s="5"/>
      <c r="FP141" s="5"/>
      <c r="FQ141" s="5"/>
      <c r="FR141" s="5"/>
      <c r="FS141" s="5"/>
      <c r="FT141" s="5"/>
      <c r="FU141" s="5"/>
      <c r="FV141" s="5"/>
      <c r="FW141" s="5"/>
      <c r="FX141" s="5"/>
      <c r="FY141" s="5"/>
      <c r="FZ141" s="5"/>
      <c r="GA141" s="5"/>
      <c r="GB141" s="5"/>
      <c r="GC141" s="5"/>
      <c r="GD141" s="5"/>
      <c r="GE141" s="5"/>
      <c r="GF141" s="5"/>
      <c r="GG141" s="5"/>
      <c r="GH141" s="5"/>
      <c r="GI141" s="5"/>
      <c r="GJ141" s="5"/>
      <c r="GK141" s="5"/>
      <c r="GL141" s="5"/>
      <c r="GM141" s="5"/>
      <c r="GN141" s="5"/>
      <c r="GO141" s="5"/>
      <c r="GP141" s="5"/>
      <c r="GQ141" s="5"/>
      <c r="GR141" s="5"/>
      <c r="GS141" s="5"/>
      <c r="GT141" s="5"/>
      <c r="GU141" s="5"/>
      <c r="GV141" s="5"/>
      <c r="GW141" s="5"/>
      <c r="GX141" s="5"/>
      <c r="GY141" s="5"/>
      <c r="GZ141" s="5"/>
      <c r="HA141" s="5"/>
      <c r="HB141" s="5"/>
      <c r="HC141" s="5"/>
      <c r="HD141" s="5"/>
      <c r="HE141" s="5"/>
      <c r="HF141" s="5"/>
      <c r="HG141" s="5"/>
      <c r="HH141" s="5"/>
      <c r="HI141" s="5"/>
      <c r="HJ141" s="5"/>
      <c r="HK141" s="5"/>
      <c r="HL141" s="5"/>
      <c r="HM141" s="5"/>
      <c r="HN141" s="5"/>
      <c r="HO141" s="5"/>
      <c r="HP141" s="5"/>
      <c r="HQ141" s="5"/>
      <c r="HR141" s="5"/>
      <c r="HS141" s="5"/>
      <c r="HT141" s="5"/>
      <c r="HU141" s="5"/>
      <c r="HV141" s="5"/>
      <c r="HW141" s="5"/>
      <c r="HX141" s="5"/>
      <c r="HY141" s="5"/>
      <c r="HZ141" s="5"/>
      <c r="IA141" s="5"/>
      <c r="IB141" s="5"/>
      <c r="IC141" s="5"/>
      <c r="ID141" s="5"/>
      <c r="IE141" s="5"/>
      <c r="IF141" s="5"/>
      <c r="IG141" s="5"/>
      <c r="IH141" s="5"/>
      <c r="II141" s="5"/>
      <c r="IJ141" s="5"/>
      <c r="IK141" s="5"/>
      <c r="IL141" s="5"/>
      <c r="IM141" s="5"/>
      <c r="IN141" s="5"/>
      <c r="IO141" s="5"/>
      <c r="IP141" s="5"/>
      <c r="IQ141" s="5"/>
      <c r="IR141" s="5"/>
      <c r="IS141" s="5"/>
      <c r="IT141" s="5"/>
      <c r="IU141" s="5"/>
      <c r="IV141" s="5"/>
      <c r="IW141" s="5"/>
      <c r="IX141" s="5"/>
      <c r="IY141" s="5"/>
      <c r="IZ141" s="5"/>
      <c r="JA141" s="5"/>
      <c r="JB141" s="5"/>
      <c r="JC141" s="5"/>
      <c r="JD141" s="5"/>
      <c r="JE141" s="5"/>
      <c r="JF141" s="5"/>
      <c r="JG141" s="5"/>
      <c r="JH141" s="5"/>
      <c r="JI141" s="5"/>
      <c r="JJ141" s="5"/>
      <c r="JK141" s="5"/>
      <c r="JL141" s="5"/>
      <c r="JM141" s="5"/>
      <c r="JN141" s="5"/>
      <c r="JO141" s="5"/>
      <c r="JP141" s="5"/>
      <c r="JQ141" s="5"/>
      <c r="JR141" s="5"/>
      <c r="JS141" s="5"/>
      <c r="JT141" s="5"/>
      <c r="JU141" s="5"/>
      <c r="JV141" s="5"/>
      <c r="JW141" s="5"/>
      <c r="JX141" s="5"/>
      <c r="JY141" s="5"/>
      <c r="JZ141" s="5"/>
      <c r="KA141" s="5"/>
      <c r="KB141" s="5"/>
      <c r="KC141" s="5"/>
      <c r="KD141" s="5"/>
      <c r="KE141" s="5"/>
      <c r="KF141" s="5"/>
      <c r="KG141" s="5"/>
      <c r="KH141" s="5"/>
      <c r="KI141" s="5"/>
      <c r="KJ141" s="5"/>
      <c r="KK141" s="5"/>
      <c r="KL141" s="5"/>
      <c r="KM141" s="5"/>
      <c r="KN141" s="5"/>
      <c r="KO141" s="5"/>
      <c r="KP141" s="5"/>
      <c r="KQ141" s="5"/>
      <c r="KR141" s="5"/>
      <c r="KS141" s="5"/>
      <c r="KT141" s="5"/>
      <c r="KU141" s="5"/>
      <c r="KV141" s="5"/>
      <c r="KW141" s="5"/>
      <c r="KX141" s="5"/>
      <c r="KY141" s="5"/>
      <c r="KZ141" s="5"/>
      <c r="LA141" s="5"/>
      <c r="LB141" s="5"/>
      <c r="LC141" s="5"/>
      <c r="LD141" s="5"/>
      <c r="LE141" s="5"/>
      <c r="LF141" s="5"/>
      <c r="LG141" s="5"/>
      <c r="LH141" s="5"/>
      <c r="LI141" s="5"/>
      <c r="LJ141" s="5"/>
      <c r="LK141" s="5"/>
      <c r="LL141" s="5"/>
      <c r="LM141" s="5"/>
      <c r="LN141" s="5"/>
      <c r="LO141" s="5"/>
      <c r="LP141" s="5"/>
      <c r="LQ141" s="5"/>
      <c r="LR141" s="5"/>
      <c r="LS141" s="5"/>
      <c r="LT141" s="5"/>
      <c r="LU141" s="5"/>
      <c r="LV141" s="5"/>
      <c r="LW141" s="5"/>
      <c r="LX141" s="5"/>
      <c r="LY141" s="5"/>
      <c r="LZ141" s="5"/>
      <c r="MA141" s="5"/>
      <c r="MB141" s="5"/>
      <c r="MC141" s="5"/>
      <c r="MD141" s="5"/>
      <c r="ME141" s="5"/>
      <c r="MF141" s="5"/>
      <c r="MG141" s="5"/>
      <c r="MH141" s="5"/>
      <c r="MI141" s="5"/>
      <c r="MJ141" s="5"/>
      <c r="MK141" s="5"/>
    </row>
    <row r="142" spans="1:349" s="2" customFormat="1" ht="17.7" customHeight="1" x14ac:dyDescent="0.3">
      <c r="A142" s="20">
        <v>141</v>
      </c>
      <c r="B142" s="20">
        <v>8100059</v>
      </c>
      <c r="C142" s="10" t="s">
        <v>174</v>
      </c>
      <c r="D142" s="10" t="s">
        <v>25</v>
      </c>
      <c r="E142" s="10" t="s">
        <v>35</v>
      </c>
      <c r="F142" s="10">
        <v>336</v>
      </c>
      <c r="G142" s="10">
        <v>5</v>
      </c>
      <c r="H142" s="10"/>
      <c r="I142" s="10" t="s">
        <v>116</v>
      </c>
      <c r="J142" s="10"/>
      <c r="K142" s="10"/>
      <c r="L142" s="10"/>
      <c r="M142" s="10">
        <f t="shared" si="2"/>
        <v>278.88</v>
      </c>
      <c r="N142" s="10" t="s">
        <v>28</v>
      </c>
      <c r="O142" s="10" t="s">
        <v>29</v>
      </c>
      <c r="P142" s="10" t="s">
        <v>29</v>
      </c>
      <c r="Q142" s="10"/>
      <c r="R142" s="10"/>
      <c r="S142" s="10"/>
      <c r="T142" s="10"/>
      <c r="U142" s="10"/>
      <c r="V142" s="10"/>
      <c r="W142" s="10"/>
      <c r="X142" s="10" t="s">
        <v>30</v>
      </c>
      <c r="Y142" s="13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  <c r="DE142" s="5"/>
      <c r="DF142" s="5"/>
      <c r="DG142" s="5"/>
      <c r="DH142" s="5"/>
      <c r="DI142" s="5"/>
      <c r="DJ142" s="5"/>
      <c r="DK142" s="5"/>
      <c r="DL142" s="5"/>
      <c r="DM142" s="5"/>
      <c r="DN142" s="5"/>
      <c r="DO142" s="5"/>
      <c r="DP142" s="5"/>
      <c r="DQ142" s="5"/>
      <c r="DR142" s="5"/>
      <c r="DS142" s="5"/>
      <c r="DT142" s="5"/>
      <c r="DU142" s="5"/>
      <c r="DV142" s="5"/>
      <c r="DW142" s="5"/>
      <c r="DX142" s="5"/>
      <c r="DY142" s="5"/>
      <c r="DZ142" s="5"/>
      <c r="EA142" s="5"/>
      <c r="EB142" s="5"/>
      <c r="EC142" s="5"/>
      <c r="ED142" s="5"/>
      <c r="EE142" s="5"/>
      <c r="EF142" s="5"/>
      <c r="EG142" s="5"/>
      <c r="EH142" s="5"/>
      <c r="EI142" s="5"/>
      <c r="EJ142" s="5"/>
      <c r="EK142" s="5"/>
      <c r="EL142" s="5"/>
      <c r="EM142" s="5"/>
      <c r="EN142" s="5"/>
      <c r="EO142" s="5"/>
      <c r="EP142" s="5"/>
      <c r="EQ142" s="5"/>
      <c r="ER142" s="5"/>
      <c r="ES142" s="5"/>
      <c r="ET142" s="5"/>
      <c r="EU142" s="5"/>
      <c r="EV142" s="5"/>
      <c r="EW142" s="5"/>
      <c r="EX142" s="5"/>
      <c r="EY142" s="5"/>
      <c r="EZ142" s="5"/>
      <c r="FA142" s="5"/>
      <c r="FB142" s="5"/>
      <c r="FC142" s="5"/>
      <c r="FD142" s="5"/>
      <c r="FE142" s="5"/>
      <c r="FF142" s="5"/>
      <c r="FG142" s="5"/>
      <c r="FH142" s="5"/>
      <c r="FI142" s="5"/>
      <c r="FJ142" s="5"/>
      <c r="FK142" s="5"/>
      <c r="FL142" s="5"/>
      <c r="FM142" s="5"/>
      <c r="FN142" s="5"/>
      <c r="FO142" s="5"/>
      <c r="FP142" s="5"/>
      <c r="FQ142" s="5"/>
      <c r="FR142" s="5"/>
      <c r="FS142" s="5"/>
      <c r="FT142" s="5"/>
      <c r="FU142" s="5"/>
      <c r="FV142" s="5"/>
      <c r="FW142" s="5"/>
      <c r="FX142" s="5"/>
      <c r="FY142" s="5"/>
      <c r="FZ142" s="5"/>
      <c r="GA142" s="5"/>
      <c r="GB142" s="5"/>
      <c r="GC142" s="5"/>
      <c r="GD142" s="5"/>
      <c r="GE142" s="5"/>
      <c r="GF142" s="5"/>
      <c r="GG142" s="5"/>
      <c r="GH142" s="5"/>
      <c r="GI142" s="5"/>
      <c r="GJ142" s="5"/>
      <c r="GK142" s="5"/>
      <c r="GL142" s="5"/>
      <c r="GM142" s="5"/>
      <c r="GN142" s="5"/>
      <c r="GO142" s="5"/>
      <c r="GP142" s="5"/>
      <c r="GQ142" s="5"/>
      <c r="GR142" s="5"/>
      <c r="GS142" s="5"/>
      <c r="GT142" s="5"/>
      <c r="GU142" s="5"/>
      <c r="GV142" s="5"/>
      <c r="GW142" s="5"/>
      <c r="GX142" s="5"/>
      <c r="GY142" s="5"/>
      <c r="GZ142" s="5"/>
      <c r="HA142" s="5"/>
      <c r="HB142" s="5"/>
      <c r="HC142" s="5"/>
      <c r="HD142" s="5"/>
      <c r="HE142" s="5"/>
      <c r="HF142" s="5"/>
      <c r="HG142" s="5"/>
      <c r="HH142" s="5"/>
      <c r="HI142" s="5"/>
      <c r="HJ142" s="5"/>
      <c r="HK142" s="5"/>
      <c r="HL142" s="5"/>
      <c r="HM142" s="5"/>
      <c r="HN142" s="5"/>
      <c r="HO142" s="5"/>
      <c r="HP142" s="5"/>
      <c r="HQ142" s="5"/>
      <c r="HR142" s="5"/>
      <c r="HS142" s="5"/>
      <c r="HT142" s="5"/>
      <c r="HU142" s="5"/>
      <c r="HV142" s="5"/>
      <c r="HW142" s="5"/>
      <c r="HX142" s="5"/>
      <c r="HY142" s="5"/>
      <c r="HZ142" s="5"/>
      <c r="IA142" s="5"/>
      <c r="IB142" s="5"/>
      <c r="IC142" s="5"/>
      <c r="ID142" s="5"/>
      <c r="IE142" s="5"/>
      <c r="IF142" s="5"/>
      <c r="IG142" s="5"/>
      <c r="IH142" s="5"/>
      <c r="II142" s="5"/>
      <c r="IJ142" s="5"/>
      <c r="IK142" s="5"/>
      <c r="IL142" s="5"/>
      <c r="IM142" s="5"/>
      <c r="IN142" s="5"/>
      <c r="IO142" s="5"/>
      <c r="IP142" s="5"/>
      <c r="IQ142" s="5"/>
      <c r="IR142" s="5"/>
      <c r="IS142" s="5"/>
      <c r="IT142" s="5"/>
      <c r="IU142" s="5"/>
      <c r="IV142" s="5"/>
      <c r="IW142" s="5"/>
      <c r="IX142" s="5"/>
      <c r="IY142" s="5"/>
      <c r="IZ142" s="5"/>
      <c r="JA142" s="5"/>
      <c r="JB142" s="5"/>
      <c r="JC142" s="5"/>
      <c r="JD142" s="5"/>
      <c r="JE142" s="5"/>
      <c r="JF142" s="5"/>
      <c r="JG142" s="5"/>
      <c r="JH142" s="5"/>
      <c r="JI142" s="5"/>
      <c r="JJ142" s="5"/>
      <c r="JK142" s="5"/>
      <c r="JL142" s="5"/>
      <c r="JM142" s="5"/>
      <c r="JN142" s="5"/>
      <c r="JO142" s="5"/>
      <c r="JP142" s="5"/>
      <c r="JQ142" s="5"/>
      <c r="JR142" s="5"/>
      <c r="JS142" s="5"/>
      <c r="JT142" s="5"/>
      <c r="JU142" s="5"/>
      <c r="JV142" s="5"/>
      <c r="JW142" s="5"/>
      <c r="JX142" s="5"/>
      <c r="JY142" s="5"/>
      <c r="JZ142" s="5"/>
      <c r="KA142" s="5"/>
      <c r="KB142" s="5"/>
      <c r="KC142" s="5"/>
      <c r="KD142" s="5"/>
      <c r="KE142" s="5"/>
      <c r="KF142" s="5"/>
      <c r="KG142" s="5"/>
      <c r="KH142" s="5"/>
      <c r="KI142" s="5"/>
      <c r="KJ142" s="5"/>
      <c r="KK142" s="5"/>
      <c r="KL142" s="5"/>
      <c r="KM142" s="5"/>
      <c r="KN142" s="5"/>
      <c r="KO142" s="5"/>
      <c r="KP142" s="5"/>
      <c r="KQ142" s="5"/>
      <c r="KR142" s="5"/>
      <c r="KS142" s="5"/>
      <c r="KT142" s="5"/>
      <c r="KU142" s="5"/>
      <c r="KV142" s="5"/>
      <c r="KW142" s="5"/>
      <c r="KX142" s="5"/>
      <c r="KY142" s="5"/>
      <c r="KZ142" s="5"/>
      <c r="LA142" s="5"/>
      <c r="LB142" s="5"/>
      <c r="LC142" s="5"/>
      <c r="LD142" s="5"/>
      <c r="LE142" s="5"/>
      <c r="LF142" s="5"/>
      <c r="LG142" s="5"/>
      <c r="LH142" s="5"/>
      <c r="LI142" s="5"/>
      <c r="LJ142" s="5"/>
      <c r="LK142" s="5"/>
      <c r="LL142" s="5"/>
      <c r="LM142" s="5"/>
      <c r="LN142" s="5"/>
      <c r="LO142" s="5"/>
      <c r="LP142" s="5"/>
      <c r="LQ142" s="5"/>
      <c r="LR142" s="5"/>
      <c r="LS142" s="5"/>
      <c r="LT142" s="5"/>
      <c r="LU142" s="5"/>
      <c r="LV142" s="5"/>
      <c r="LW142" s="5"/>
      <c r="LX142" s="5"/>
      <c r="LY142" s="5"/>
      <c r="LZ142" s="5"/>
      <c r="MA142" s="5"/>
      <c r="MB142" s="5"/>
      <c r="MC142" s="5"/>
      <c r="MD142" s="5"/>
      <c r="ME142" s="5"/>
      <c r="MF142" s="5"/>
      <c r="MG142" s="5"/>
      <c r="MH142" s="5"/>
      <c r="MI142" s="5"/>
      <c r="MJ142" s="5"/>
      <c r="MK142" s="5"/>
    </row>
    <row r="143" spans="1:349" s="2" customFormat="1" ht="17.7" customHeight="1" x14ac:dyDescent="0.3">
      <c r="A143" s="21">
        <v>142</v>
      </c>
      <c r="B143" s="21">
        <v>8100060</v>
      </c>
      <c r="C143" s="9" t="s">
        <v>175</v>
      </c>
      <c r="D143" s="9" t="s">
        <v>25</v>
      </c>
      <c r="E143" s="9" t="s">
        <v>35</v>
      </c>
      <c r="F143" s="9">
        <v>294.5</v>
      </c>
      <c r="G143" s="9">
        <v>3</v>
      </c>
      <c r="H143" s="9"/>
      <c r="I143" s="9" t="s">
        <v>116</v>
      </c>
      <c r="J143" s="9"/>
      <c r="K143" s="9"/>
      <c r="L143" s="9"/>
      <c r="M143" s="9">
        <f t="shared" si="2"/>
        <v>244.435</v>
      </c>
      <c r="N143" s="9" t="s">
        <v>28</v>
      </c>
      <c r="O143" s="9" t="s">
        <v>29</v>
      </c>
      <c r="P143" s="9" t="s">
        <v>29</v>
      </c>
      <c r="Q143" s="9"/>
      <c r="R143" s="9"/>
      <c r="S143" s="9"/>
      <c r="T143" s="9"/>
      <c r="U143" s="9"/>
      <c r="V143" s="9"/>
      <c r="W143" s="9"/>
      <c r="X143" s="9" t="s">
        <v>30</v>
      </c>
      <c r="Y143" s="13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  <c r="DE143" s="5"/>
      <c r="DF143" s="5"/>
      <c r="DG143" s="5"/>
      <c r="DH143" s="5"/>
      <c r="DI143" s="5"/>
      <c r="DJ143" s="5"/>
      <c r="DK143" s="5"/>
      <c r="DL143" s="5"/>
      <c r="DM143" s="5"/>
      <c r="DN143" s="5"/>
      <c r="DO143" s="5"/>
      <c r="DP143" s="5"/>
      <c r="DQ143" s="5"/>
      <c r="DR143" s="5"/>
      <c r="DS143" s="5"/>
      <c r="DT143" s="5"/>
      <c r="DU143" s="5"/>
      <c r="DV143" s="5"/>
      <c r="DW143" s="5"/>
      <c r="DX143" s="5"/>
      <c r="DY143" s="5"/>
      <c r="DZ143" s="5"/>
      <c r="EA143" s="5"/>
      <c r="EB143" s="5"/>
      <c r="EC143" s="5"/>
      <c r="ED143" s="5"/>
      <c r="EE143" s="5"/>
      <c r="EF143" s="5"/>
      <c r="EG143" s="5"/>
      <c r="EH143" s="5"/>
      <c r="EI143" s="5"/>
      <c r="EJ143" s="5"/>
      <c r="EK143" s="5"/>
      <c r="EL143" s="5"/>
      <c r="EM143" s="5"/>
      <c r="EN143" s="5"/>
      <c r="EO143" s="5"/>
      <c r="EP143" s="5"/>
      <c r="EQ143" s="5"/>
      <c r="ER143" s="5"/>
      <c r="ES143" s="5"/>
      <c r="ET143" s="5"/>
      <c r="EU143" s="5"/>
      <c r="EV143" s="5"/>
      <c r="EW143" s="5"/>
      <c r="EX143" s="5"/>
      <c r="EY143" s="5"/>
      <c r="EZ143" s="5"/>
      <c r="FA143" s="5"/>
      <c r="FB143" s="5"/>
      <c r="FC143" s="5"/>
      <c r="FD143" s="5"/>
      <c r="FE143" s="5"/>
      <c r="FF143" s="5"/>
      <c r="FG143" s="5"/>
      <c r="FH143" s="5"/>
      <c r="FI143" s="5"/>
      <c r="FJ143" s="5"/>
      <c r="FK143" s="5"/>
      <c r="FL143" s="5"/>
      <c r="FM143" s="5"/>
      <c r="FN143" s="5"/>
      <c r="FO143" s="5"/>
      <c r="FP143" s="5"/>
      <c r="FQ143" s="5"/>
      <c r="FR143" s="5"/>
      <c r="FS143" s="5"/>
      <c r="FT143" s="5"/>
      <c r="FU143" s="5"/>
      <c r="FV143" s="5"/>
      <c r="FW143" s="5"/>
      <c r="FX143" s="5"/>
      <c r="FY143" s="5"/>
      <c r="FZ143" s="5"/>
      <c r="GA143" s="5"/>
      <c r="GB143" s="5"/>
      <c r="GC143" s="5"/>
      <c r="GD143" s="5"/>
      <c r="GE143" s="5"/>
      <c r="GF143" s="5"/>
      <c r="GG143" s="5"/>
      <c r="GH143" s="5"/>
      <c r="GI143" s="5"/>
      <c r="GJ143" s="5"/>
      <c r="GK143" s="5"/>
      <c r="GL143" s="5"/>
      <c r="GM143" s="5"/>
      <c r="GN143" s="5"/>
      <c r="GO143" s="5"/>
      <c r="GP143" s="5"/>
      <c r="GQ143" s="5"/>
      <c r="GR143" s="5"/>
      <c r="GS143" s="5"/>
      <c r="GT143" s="5"/>
      <c r="GU143" s="5"/>
      <c r="GV143" s="5"/>
      <c r="GW143" s="5"/>
      <c r="GX143" s="5"/>
      <c r="GY143" s="5"/>
      <c r="GZ143" s="5"/>
      <c r="HA143" s="5"/>
      <c r="HB143" s="5"/>
      <c r="HC143" s="5"/>
      <c r="HD143" s="5"/>
      <c r="HE143" s="5"/>
      <c r="HF143" s="5"/>
      <c r="HG143" s="5"/>
      <c r="HH143" s="5"/>
      <c r="HI143" s="5"/>
      <c r="HJ143" s="5"/>
      <c r="HK143" s="5"/>
      <c r="HL143" s="5"/>
      <c r="HM143" s="5"/>
      <c r="HN143" s="5"/>
      <c r="HO143" s="5"/>
      <c r="HP143" s="5"/>
      <c r="HQ143" s="5"/>
      <c r="HR143" s="5"/>
      <c r="HS143" s="5"/>
      <c r="HT143" s="5"/>
      <c r="HU143" s="5"/>
      <c r="HV143" s="5"/>
      <c r="HW143" s="5"/>
      <c r="HX143" s="5"/>
      <c r="HY143" s="5"/>
      <c r="HZ143" s="5"/>
      <c r="IA143" s="5"/>
      <c r="IB143" s="5"/>
      <c r="IC143" s="5"/>
      <c r="ID143" s="5"/>
      <c r="IE143" s="5"/>
      <c r="IF143" s="5"/>
      <c r="IG143" s="5"/>
      <c r="IH143" s="5"/>
      <c r="II143" s="5"/>
      <c r="IJ143" s="5"/>
      <c r="IK143" s="5"/>
      <c r="IL143" s="5"/>
      <c r="IM143" s="5"/>
      <c r="IN143" s="5"/>
      <c r="IO143" s="5"/>
      <c r="IP143" s="5"/>
      <c r="IQ143" s="5"/>
      <c r="IR143" s="5"/>
      <c r="IS143" s="5"/>
      <c r="IT143" s="5"/>
      <c r="IU143" s="5"/>
      <c r="IV143" s="5"/>
      <c r="IW143" s="5"/>
      <c r="IX143" s="5"/>
      <c r="IY143" s="5"/>
      <c r="IZ143" s="5"/>
      <c r="JA143" s="5"/>
      <c r="JB143" s="5"/>
      <c r="JC143" s="5"/>
      <c r="JD143" s="5"/>
      <c r="JE143" s="5"/>
      <c r="JF143" s="5"/>
      <c r="JG143" s="5"/>
      <c r="JH143" s="5"/>
      <c r="JI143" s="5"/>
      <c r="JJ143" s="5"/>
      <c r="JK143" s="5"/>
      <c r="JL143" s="5"/>
      <c r="JM143" s="5"/>
      <c r="JN143" s="5"/>
      <c r="JO143" s="5"/>
      <c r="JP143" s="5"/>
      <c r="JQ143" s="5"/>
      <c r="JR143" s="5"/>
      <c r="JS143" s="5"/>
      <c r="JT143" s="5"/>
      <c r="JU143" s="5"/>
      <c r="JV143" s="5"/>
      <c r="JW143" s="5"/>
      <c r="JX143" s="5"/>
      <c r="JY143" s="5"/>
      <c r="JZ143" s="5"/>
      <c r="KA143" s="5"/>
      <c r="KB143" s="5"/>
      <c r="KC143" s="5"/>
      <c r="KD143" s="5"/>
      <c r="KE143" s="5"/>
      <c r="KF143" s="5"/>
      <c r="KG143" s="5"/>
      <c r="KH143" s="5"/>
      <c r="KI143" s="5"/>
      <c r="KJ143" s="5"/>
      <c r="KK143" s="5"/>
      <c r="KL143" s="5"/>
      <c r="KM143" s="5"/>
      <c r="KN143" s="5"/>
      <c r="KO143" s="5"/>
      <c r="KP143" s="5"/>
      <c r="KQ143" s="5"/>
      <c r="KR143" s="5"/>
      <c r="KS143" s="5"/>
      <c r="KT143" s="5"/>
      <c r="KU143" s="5"/>
      <c r="KV143" s="5"/>
      <c r="KW143" s="5"/>
      <c r="KX143" s="5"/>
      <c r="KY143" s="5"/>
      <c r="KZ143" s="5"/>
      <c r="LA143" s="5"/>
      <c r="LB143" s="5"/>
      <c r="LC143" s="5"/>
      <c r="LD143" s="5"/>
      <c r="LE143" s="5"/>
      <c r="LF143" s="5"/>
      <c r="LG143" s="5"/>
      <c r="LH143" s="5"/>
      <c r="LI143" s="5"/>
      <c r="LJ143" s="5"/>
      <c r="LK143" s="5"/>
      <c r="LL143" s="5"/>
      <c r="LM143" s="5"/>
      <c r="LN143" s="5"/>
      <c r="LO143" s="5"/>
      <c r="LP143" s="5"/>
      <c r="LQ143" s="5"/>
      <c r="LR143" s="5"/>
      <c r="LS143" s="5"/>
      <c r="LT143" s="5"/>
      <c r="LU143" s="5"/>
      <c r="LV143" s="5"/>
      <c r="LW143" s="5"/>
      <c r="LX143" s="5"/>
      <c r="LY143" s="5"/>
      <c r="LZ143" s="5"/>
      <c r="MA143" s="5"/>
      <c r="MB143" s="5"/>
      <c r="MC143" s="5"/>
      <c r="MD143" s="5"/>
      <c r="ME143" s="5"/>
      <c r="MF143" s="5"/>
      <c r="MG143" s="5"/>
      <c r="MH143" s="5"/>
      <c r="MI143" s="5"/>
      <c r="MJ143" s="5"/>
      <c r="MK143" s="5"/>
    </row>
    <row r="144" spans="1:349" s="1" customFormat="1" ht="17.7" customHeight="1" x14ac:dyDescent="0.3">
      <c r="A144" s="20">
        <v>143</v>
      </c>
      <c r="B144" s="20">
        <v>8100061</v>
      </c>
      <c r="C144" s="10" t="s">
        <v>176</v>
      </c>
      <c r="D144" s="10" t="s">
        <v>25</v>
      </c>
      <c r="E144" s="10" t="s">
        <v>35</v>
      </c>
      <c r="F144" s="10">
        <v>66.5</v>
      </c>
      <c r="G144" s="10">
        <v>10</v>
      </c>
      <c r="H144" s="10"/>
      <c r="I144" s="10" t="s">
        <v>116</v>
      </c>
      <c r="J144" s="10"/>
      <c r="K144" s="10"/>
      <c r="L144" s="10"/>
      <c r="M144" s="10">
        <f t="shared" si="2"/>
        <v>55.195</v>
      </c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4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  <c r="BP144" s="6"/>
      <c r="BQ144" s="6"/>
      <c r="BR144" s="6"/>
      <c r="BS144" s="6"/>
      <c r="BT144" s="6"/>
      <c r="BU144" s="6"/>
      <c r="BV144" s="6"/>
      <c r="BW144" s="6"/>
      <c r="BX144" s="6"/>
      <c r="BY144" s="6"/>
      <c r="BZ144" s="6"/>
      <c r="CA144" s="6"/>
      <c r="CB144" s="6"/>
      <c r="CC144" s="6"/>
      <c r="CD144" s="6"/>
      <c r="CE144" s="6"/>
      <c r="CF144" s="6"/>
      <c r="CG144" s="6"/>
      <c r="CH144" s="6"/>
      <c r="CI144" s="6"/>
      <c r="CJ144" s="6"/>
      <c r="CK144" s="6"/>
      <c r="CL144" s="6"/>
      <c r="CM144" s="6"/>
      <c r="CN144" s="6"/>
      <c r="CO144" s="6"/>
      <c r="CP144" s="6"/>
      <c r="CQ144" s="6"/>
      <c r="CR144" s="6"/>
      <c r="CS144" s="6"/>
      <c r="CT144" s="6"/>
      <c r="CU144" s="6"/>
      <c r="CV144" s="6"/>
      <c r="CW144" s="6"/>
      <c r="CX144" s="6"/>
      <c r="CY144" s="6"/>
      <c r="CZ144" s="6"/>
      <c r="DA144" s="6"/>
      <c r="DB144" s="6"/>
      <c r="DC144" s="6"/>
      <c r="DD144" s="6"/>
      <c r="DE144" s="6"/>
      <c r="DF144" s="6"/>
      <c r="DG144" s="6"/>
      <c r="DH144" s="6"/>
      <c r="DI144" s="6"/>
      <c r="DJ144" s="6"/>
      <c r="DK144" s="6"/>
      <c r="DL144" s="6"/>
      <c r="DM144" s="6"/>
      <c r="DN144" s="6"/>
      <c r="DO144" s="6"/>
      <c r="DP144" s="6"/>
      <c r="DQ144" s="6"/>
      <c r="DR144" s="6"/>
      <c r="DS144" s="6"/>
      <c r="DT144" s="6"/>
      <c r="DU144" s="6"/>
      <c r="DV144" s="6"/>
      <c r="DW144" s="6"/>
      <c r="DX144" s="6"/>
      <c r="DY144" s="6"/>
      <c r="DZ144" s="6"/>
      <c r="EA144" s="6"/>
      <c r="EB144" s="6"/>
      <c r="EC144" s="6"/>
      <c r="ED144" s="6"/>
      <c r="EE144" s="6"/>
      <c r="EF144" s="6"/>
      <c r="EG144" s="6"/>
      <c r="EH144" s="6"/>
      <c r="EI144" s="6"/>
      <c r="EJ144" s="6"/>
      <c r="EK144" s="6"/>
      <c r="EL144" s="6"/>
      <c r="EM144" s="6"/>
      <c r="EN144" s="6"/>
      <c r="EO144" s="6"/>
      <c r="EP144" s="6"/>
      <c r="EQ144" s="6"/>
      <c r="ER144" s="6"/>
      <c r="ES144" s="6"/>
      <c r="ET144" s="6"/>
      <c r="EU144" s="6"/>
      <c r="EV144" s="6"/>
      <c r="EW144" s="6"/>
      <c r="EX144" s="6"/>
      <c r="EY144" s="6"/>
      <c r="EZ144" s="6"/>
      <c r="FA144" s="6"/>
      <c r="FB144" s="6"/>
      <c r="FC144" s="6"/>
      <c r="FD144" s="6"/>
      <c r="FE144" s="6"/>
      <c r="FF144" s="6"/>
      <c r="FG144" s="6"/>
      <c r="FH144" s="6"/>
      <c r="FI144" s="6"/>
      <c r="FJ144" s="6"/>
      <c r="FK144" s="6"/>
      <c r="FL144" s="6"/>
      <c r="FM144" s="6"/>
      <c r="FN144" s="6"/>
      <c r="FO144" s="6"/>
      <c r="FP144" s="6"/>
      <c r="FQ144" s="6"/>
      <c r="FR144" s="6"/>
      <c r="FS144" s="6"/>
      <c r="FT144" s="6"/>
      <c r="FU144" s="6"/>
      <c r="FV144" s="6"/>
      <c r="FW144" s="6"/>
      <c r="FX144" s="6"/>
      <c r="FY144" s="6"/>
      <c r="FZ144" s="6"/>
      <c r="GA144" s="6"/>
      <c r="GB144" s="6"/>
      <c r="GC144" s="6"/>
      <c r="GD144" s="6"/>
      <c r="GE144" s="6"/>
      <c r="GF144" s="6"/>
      <c r="GG144" s="6"/>
      <c r="GH144" s="6"/>
      <c r="GI144" s="6"/>
      <c r="GJ144" s="6"/>
      <c r="GK144" s="6"/>
      <c r="GL144" s="6"/>
      <c r="GM144" s="6"/>
      <c r="GN144" s="6"/>
      <c r="GO144" s="6"/>
      <c r="GP144" s="6"/>
      <c r="GQ144" s="6"/>
      <c r="GR144" s="6"/>
      <c r="GS144" s="6"/>
      <c r="GT144" s="6"/>
      <c r="GU144" s="6"/>
      <c r="GV144" s="6"/>
      <c r="GW144" s="6"/>
      <c r="GX144" s="6"/>
      <c r="GY144" s="6"/>
      <c r="GZ144" s="6"/>
      <c r="HA144" s="6"/>
      <c r="HB144" s="6"/>
      <c r="HC144" s="6"/>
      <c r="HD144" s="6"/>
      <c r="HE144" s="6"/>
      <c r="HF144" s="6"/>
      <c r="HG144" s="6"/>
      <c r="HH144" s="6"/>
      <c r="HI144" s="6"/>
      <c r="HJ144" s="6"/>
      <c r="HK144" s="6"/>
      <c r="HL144" s="6"/>
      <c r="HM144" s="6"/>
      <c r="HN144" s="6"/>
      <c r="HO144" s="6"/>
      <c r="HP144" s="6"/>
      <c r="HQ144" s="6"/>
      <c r="HR144" s="6"/>
      <c r="HS144" s="6"/>
      <c r="HT144" s="6"/>
      <c r="HU144" s="6"/>
      <c r="HV144" s="6"/>
      <c r="HW144" s="6"/>
      <c r="HX144" s="6"/>
      <c r="HY144" s="6"/>
      <c r="HZ144" s="6"/>
      <c r="IA144" s="6"/>
      <c r="IB144" s="6"/>
      <c r="IC144" s="6"/>
      <c r="ID144" s="6"/>
      <c r="IE144" s="6"/>
      <c r="IF144" s="6"/>
      <c r="IG144" s="6"/>
      <c r="IH144" s="6"/>
      <c r="II144" s="6"/>
      <c r="IJ144" s="6"/>
      <c r="IK144" s="6"/>
      <c r="IL144" s="6"/>
      <c r="IM144" s="6"/>
      <c r="IN144" s="6"/>
      <c r="IO144" s="6"/>
      <c r="IP144" s="6"/>
      <c r="IQ144" s="6"/>
      <c r="IR144" s="6"/>
      <c r="IS144" s="6"/>
      <c r="IT144" s="6"/>
      <c r="IU144" s="6"/>
      <c r="IV144" s="6"/>
      <c r="IW144" s="6"/>
      <c r="IX144" s="6"/>
      <c r="IY144" s="6"/>
      <c r="IZ144" s="6"/>
      <c r="JA144" s="6"/>
      <c r="JB144" s="6"/>
      <c r="JC144" s="6"/>
      <c r="JD144" s="6"/>
      <c r="JE144" s="6"/>
      <c r="JF144" s="6"/>
      <c r="JG144" s="6"/>
      <c r="JH144" s="6"/>
      <c r="JI144" s="6"/>
      <c r="JJ144" s="6"/>
      <c r="JK144" s="6"/>
      <c r="JL144" s="6"/>
      <c r="JM144" s="6"/>
      <c r="JN144" s="6"/>
      <c r="JO144" s="6"/>
      <c r="JP144" s="6"/>
      <c r="JQ144" s="6"/>
      <c r="JR144" s="6"/>
      <c r="JS144" s="6"/>
      <c r="JT144" s="6"/>
      <c r="JU144" s="6"/>
      <c r="JV144" s="6"/>
      <c r="JW144" s="6"/>
      <c r="JX144" s="6"/>
      <c r="JY144" s="6"/>
      <c r="JZ144" s="6"/>
      <c r="KA144" s="6"/>
      <c r="KB144" s="6"/>
      <c r="KC144" s="6"/>
      <c r="KD144" s="6"/>
      <c r="KE144" s="6"/>
      <c r="KF144" s="6"/>
      <c r="KG144" s="6"/>
      <c r="KH144" s="6"/>
      <c r="KI144" s="6"/>
      <c r="KJ144" s="6"/>
      <c r="KK144" s="6"/>
      <c r="KL144" s="6"/>
      <c r="KM144" s="6"/>
      <c r="KN144" s="6"/>
      <c r="KO144" s="6"/>
      <c r="KP144" s="6"/>
      <c r="KQ144" s="6"/>
      <c r="KR144" s="6"/>
      <c r="KS144" s="6"/>
      <c r="KT144" s="6"/>
      <c r="KU144" s="6"/>
      <c r="KV144" s="6"/>
      <c r="KW144" s="6"/>
      <c r="KX144" s="6"/>
      <c r="KY144" s="6"/>
      <c r="KZ144" s="6"/>
      <c r="LA144" s="6"/>
      <c r="LB144" s="6"/>
      <c r="LC144" s="6"/>
      <c r="LD144" s="6"/>
      <c r="LE144" s="6"/>
      <c r="LF144" s="6"/>
      <c r="LG144" s="6"/>
      <c r="LH144" s="6"/>
      <c r="LI144" s="6"/>
      <c r="LJ144" s="6"/>
      <c r="LK144" s="6"/>
      <c r="LL144" s="6"/>
      <c r="LM144" s="6"/>
      <c r="LN144" s="6"/>
      <c r="LO144" s="6"/>
      <c r="LP144" s="6"/>
      <c r="LQ144" s="6"/>
      <c r="LR144" s="6"/>
      <c r="LS144" s="6"/>
      <c r="LT144" s="6"/>
      <c r="LU144" s="6"/>
      <c r="LV144" s="6"/>
      <c r="LW144" s="6"/>
      <c r="LX144" s="6"/>
      <c r="LY144" s="6"/>
      <c r="LZ144" s="6"/>
      <c r="MA144" s="6"/>
      <c r="MB144" s="6"/>
      <c r="MC144" s="6"/>
      <c r="MD144" s="6"/>
      <c r="ME144" s="6"/>
      <c r="MF144" s="6"/>
      <c r="MG144" s="6"/>
      <c r="MH144" s="6"/>
      <c r="MI144" s="6"/>
      <c r="MJ144" s="6"/>
      <c r="MK144" s="6"/>
    </row>
    <row r="145" spans="1:349" s="2" customFormat="1" ht="17.7" customHeight="1" x14ac:dyDescent="0.3">
      <c r="A145" s="21">
        <v>144</v>
      </c>
      <c r="B145" s="21">
        <v>8100062</v>
      </c>
      <c r="C145" s="9" t="s">
        <v>177</v>
      </c>
      <c r="D145" s="9" t="s">
        <v>25</v>
      </c>
      <c r="E145" s="9" t="s">
        <v>35</v>
      </c>
      <c r="F145" s="9">
        <v>40</v>
      </c>
      <c r="G145" s="9">
        <v>30</v>
      </c>
      <c r="H145" s="9"/>
      <c r="I145" s="9" t="s">
        <v>116</v>
      </c>
      <c r="J145" s="9"/>
      <c r="K145" s="9"/>
      <c r="L145" s="9"/>
      <c r="M145" s="9">
        <f t="shared" si="2"/>
        <v>33.200000000000003</v>
      </c>
      <c r="N145" s="9" t="s">
        <v>28</v>
      </c>
      <c r="O145" s="9" t="s">
        <v>29</v>
      </c>
      <c r="P145" s="9" t="s">
        <v>29</v>
      </c>
      <c r="Q145" s="9"/>
      <c r="R145" s="9"/>
      <c r="S145" s="9"/>
      <c r="T145" s="9"/>
      <c r="U145" s="9"/>
      <c r="V145" s="9"/>
      <c r="W145" s="9"/>
      <c r="X145" s="9" t="s">
        <v>30</v>
      </c>
      <c r="Y145" s="13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  <c r="DE145" s="5"/>
      <c r="DF145" s="5"/>
      <c r="DG145" s="5"/>
      <c r="DH145" s="5"/>
      <c r="DI145" s="5"/>
      <c r="DJ145" s="5"/>
      <c r="DK145" s="5"/>
      <c r="DL145" s="5"/>
      <c r="DM145" s="5"/>
      <c r="DN145" s="5"/>
      <c r="DO145" s="5"/>
      <c r="DP145" s="5"/>
      <c r="DQ145" s="5"/>
      <c r="DR145" s="5"/>
      <c r="DS145" s="5"/>
      <c r="DT145" s="5"/>
      <c r="DU145" s="5"/>
      <c r="DV145" s="5"/>
      <c r="DW145" s="5"/>
      <c r="DX145" s="5"/>
      <c r="DY145" s="5"/>
      <c r="DZ145" s="5"/>
      <c r="EA145" s="5"/>
      <c r="EB145" s="5"/>
      <c r="EC145" s="5"/>
      <c r="ED145" s="5"/>
      <c r="EE145" s="5"/>
      <c r="EF145" s="5"/>
      <c r="EG145" s="5"/>
      <c r="EH145" s="5"/>
      <c r="EI145" s="5"/>
      <c r="EJ145" s="5"/>
      <c r="EK145" s="5"/>
      <c r="EL145" s="5"/>
      <c r="EM145" s="5"/>
      <c r="EN145" s="5"/>
      <c r="EO145" s="5"/>
      <c r="EP145" s="5"/>
      <c r="EQ145" s="5"/>
      <c r="ER145" s="5"/>
      <c r="ES145" s="5"/>
      <c r="ET145" s="5"/>
      <c r="EU145" s="5"/>
      <c r="EV145" s="5"/>
      <c r="EW145" s="5"/>
      <c r="EX145" s="5"/>
      <c r="EY145" s="5"/>
      <c r="EZ145" s="5"/>
      <c r="FA145" s="5"/>
      <c r="FB145" s="5"/>
      <c r="FC145" s="5"/>
      <c r="FD145" s="5"/>
      <c r="FE145" s="5"/>
      <c r="FF145" s="5"/>
      <c r="FG145" s="5"/>
      <c r="FH145" s="5"/>
      <c r="FI145" s="5"/>
      <c r="FJ145" s="5"/>
      <c r="FK145" s="5"/>
      <c r="FL145" s="5"/>
      <c r="FM145" s="5"/>
      <c r="FN145" s="5"/>
      <c r="FO145" s="5"/>
      <c r="FP145" s="5"/>
      <c r="FQ145" s="5"/>
      <c r="FR145" s="5"/>
      <c r="FS145" s="5"/>
      <c r="FT145" s="5"/>
      <c r="FU145" s="5"/>
      <c r="FV145" s="5"/>
      <c r="FW145" s="5"/>
      <c r="FX145" s="5"/>
      <c r="FY145" s="5"/>
      <c r="FZ145" s="5"/>
      <c r="GA145" s="5"/>
      <c r="GB145" s="5"/>
      <c r="GC145" s="5"/>
      <c r="GD145" s="5"/>
      <c r="GE145" s="5"/>
      <c r="GF145" s="5"/>
      <c r="GG145" s="5"/>
      <c r="GH145" s="5"/>
      <c r="GI145" s="5"/>
      <c r="GJ145" s="5"/>
      <c r="GK145" s="5"/>
      <c r="GL145" s="5"/>
      <c r="GM145" s="5"/>
      <c r="GN145" s="5"/>
      <c r="GO145" s="5"/>
      <c r="GP145" s="5"/>
      <c r="GQ145" s="5"/>
      <c r="GR145" s="5"/>
      <c r="GS145" s="5"/>
      <c r="GT145" s="5"/>
      <c r="GU145" s="5"/>
      <c r="GV145" s="5"/>
      <c r="GW145" s="5"/>
      <c r="GX145" s="5"/>
      <c r="GY145" s="5"/>
      <c r="GZ145" s="5"/>
      <c r="HA145" s="5"/>
      <c r="HB145" s="5"/>
      <c r="HC145" s="5"/>
      <c r="HD145" s="5"/>
      <c r="HE145" s="5"/>
      <c r="HF145" s="5"/>
      <c r="HG145" s="5"/>
      <c r="HH145" s="5"/>
      <c r="HI145" s="5"/>
      <c r="HJ145" s="5"/>
      <c r="HK145" s="5"/>
      <c r="HL145" s="5"/>
      <c r="HM145" s="5"/>
      <c r="HN145" s="5"/>
      <c r="HO145" s="5"/>
      <c r="HP145" s="5"/>
      <c r="HQ145" s="5"/>
      <c r="HR145" s="5"/>
      <c r="HS145" s="5"/>
      <c r="HT145" s="5"/>
      <c r="HU145" s="5"/>
      <c r="HV145" s="5"/>
      <c r="HW145" s="5"/>
      <c r="HX145" s="5"/>
      <c r="HY145" s="5"/>
      <c r="HZ145" s="5"/>
      <c r="IA145" s="5"/>
      <c r="IB145" s="5"/>
      <c r="IC145" s="5"/>
      <c r="ID145" s="5"/>
      <c r="IE145" s="5"/>
      <c r="IF145" s="5"/>
      <c r="IG145" s="5"/>
      <c r="IH145" s="5"/>
      <c r="II145" s="5"/>
      <c r="IJ145" s="5"/>
      <c r="IK145" s="5"/>
      <c r="IL145" s="5"/>
      <c r="IM145" s="5"/>
      <c r="IN145" s="5"/>
      <c r="IO145" s="5"/>
      <c r="IP145" s="5"/>
      <c r="IQ145" s="5"/>
      <c r="IR145" s="5"/>
      <c r="IS145" s="5"/>
      <c r="IT145" s="5"/>
      <c r="IU145" s="5"/>
      <c r="IV145" s="5"/>
      <c r="IW145" s="5"/>
      <c r="IX145" s="5"/>
      <c r="IY145" s="5"/>
      <c r="IZ145" s="5"/>
      <c r="JA145" s="5"/>
      <c r="JB145" s="5"/>
      <c r="JC145" s="5"/>
      <c r="JD145" s="5"/>
      <c r="JE145" s="5"/>
      <c r="JF145" s="5"/>
      <c r="JG145" s="5"/>
      <c r="JH145" s="5"/>
      <c r="JI145" s="5"/>
      <c r="JJ145" s="5"/>
      <c r="JK145" s="5"/>
      <c r="JL145" s="5"/>
      <c r="JM145" s="5"/>
      <c r="JN145" s="5"/>
      <c r="JO145" s="5"/>
      <c r="JP145" s="5"/>
      <c r="JQ145" s="5"/>
      <c r="JR145" s="5"/>
      <c r="JS145" s="5"/>
      <c r="JT145" s="5"/>
      <c r="JU145" s="5"/>
      <c r="JV145" s="5"/>
      <c r="JW145" s="5"/>
      <c r="JX145" s="5"/>
      <c r="JY145" s="5"/>
      <c r="JZ145" s="5"/>
      <c r="KA145" s="5"/>
      <c r="KB145" s="5"/>
      <c r="KC145" s="5"/>
      <c r="KD145" s="5"/>
      <c r="KE145" s="5"/>
      <c r="KF145" s="5"/>
      <c r="KG145" s="5"/>
      <c r="KH145" s="5"/>
      <c r="KI145" s="5"/>
      <c r="KJ145" s="5"/>
      <c r="KK145" s="5"/>
      <c r="KL145" s="5"/>
      <c r="KM145" s="5"/>
      <c r="KN145" s="5"/>
      <c r="KO145" s="5"/>
      <c r="KP145" s="5"/>
      <c r="KQ145" s="5"/>
      <c r="KR145" s="5"/>
      <c r="KS145" s="5"/>
      <c r="KT145" s="5"/>
      <c r="KU145" s="5"/>
      <c r="KV145" s="5"/>
      <c r="KW145" s="5"/>
      <c r="KX145" s="5"/>
      <c r="KY145" s="5"/>
      <c r="KZ145" s="5"/>
      <c r="LA145" s="5"/>
      <c r="LB145" s="5"/>
      <c r="LC145" s="5"/>
      <c r="LD145" s="5"/>
      <c r="LE145" s="5"/>
      <c r="LF145" s="5"/>
      <c r="LG145" s="5"/>
      <c r="LH145" s="5"/>
      <c r="LI145" s="5"/>
      <c r="LJ145" s="5"/>
      <c r="LK145" s="5"/>
      <c r="LL145" s="5"/>
      <c r="LM145" s="5"/>
      <c r="LN145" s="5"/>
      <c r="LO145" s="5"/>
      <c r="LP145" s="5"/>
      <c r="LQ145" s="5"/>
      <c r="LR145" s="5"/>
      <c r="LS145" s="5"/>
      <c r="LT145" s="5"/>
      <c r="LU145" s="5"/>
      <c r="LV145" s="5"/>
      <c r="LW145" s="5"/>
      <c r="LX145" s="5"/>
      <c r="LY145" s="5"/>
      <c r="LZ145" s="5"/>
      <c r="MA145" s="5"/>
      <c r="MB145" s="5"/>
      <c r="MC145" s="5"/>
      <c r="MD145" s="5"/>
      <c r="ME145" s="5"/>
      <c r="MF145" s="5"/>
      <c r="MG145" s="5"/>
      <c r="MH145" s="5"/>
      <c r="MI145" s="5"/>
      <c r="MJ145" s="5"/>
      <c r="MK145" s="5"/>
    </row>
    <row r="146" spans="1:349" s="2" customFormat="1" ht="17.7" customHeight="1" x14ac:dyDescent="0.3">
      <c r="A146" s="20">
        <v>145</v>
      </c>
      <c r="B146" s="20">
        <v>8100063</v>
      </c>
      <c r="C146" s="10" t="s">
        <v>178</v>
      </c>
      <c r="D146" s="10" t="s">
        <v>25</v>
      </c>
      <c r="E146" s="10" t="s">
        <v>35</v>
      </c>
      <c r="F146" s="10">
        <v>126.25</v>
      </c>
      <c r="G146" s="10">
        <v>2</v>
      </c>
      <c r="H146" s="10"/>
      <c r="I146" s="10" t="s">
        <v>116</v>
      </c>
      <c r="J146" s="10"/>
      <c r="K146" s="10"/>
      <c r="L146" s="10"/>
      <c r="M146" s="10">
        <f t="shared" si="2"/>
        <v>104.78749999999999</v>
      </c>
      <c r="N146" s="10" t="s">
        <v>28</v>
      </c>
      <c r="O146" s="10" t="s">
        <v>29</v>
      </c>
      <c r="P146" s="10" t="s">
        <v>29</v>
      </c>
      <c r="Q146" s="10"/>
      <c r="R146" s="10"/>
      <c r="S146" s="10"/>
      <c r="T146" s="10"/>
      <c r="U146" s="10"/>
      <c r="V146" s="10"/>
      <c r="W146" s="10"/>
      <c r="X146" s="10" t="s">
        <v>30</v>
      </c>
      <c r="Y146" s="13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  <c r="DE146" s="5"/>
      <c r="DF146" s="5"/>
      <c r="DG146" s="5"/>
      <c r="DH146" s="5"/>
      <c r="DI146" s="5"/>
      <c r="DJ146" s="5"/>
      <c r="DK146" s="5"/>
      <c r="DL146" s="5"/>
      <c r="DM146" s="5"/>
      <c r="DN146" s="5"/>
      <c r="DO146" s="5"/>
      <c r="DP146" s="5"/>
      <c r="DQ146" s="5"/>
      <c r="DR146" s="5"/>
      <c r="DS146" s="5"/>
      <c r="DT146" s="5"/>
      <c r="DU146" s="5"/>
      <c r="DV146" s="5"/>
      <c r="DW146" s="5"/>
      <c r="DX146" s="5"/>
      <c r="DY146" s="5"/>
      <c r="DZ146" s="5"/>
      <c r="EA146" s="5"/>
      <c r="EB146" s="5"/>
      <c r="EC146" s="5"/>
      <c r="ED146" s="5"/>
      <c r="EE146" s="5"/>
      <c r="EF146" s="5"/>
      <c r="EG146" s="5"/>
      <c r="EH146" s="5"/>
      <c r="EI146" s="5"/>
      <c r="EJ146" s="5"/>
      <c r="EK146" s="5"/>
      <c r="EL146" s="5"/>
      <c r="EM146" s="5"/>
      <c r="EN146" s="5"/>
      <c r="EO146" s="5"/>
      <c r="EP146" s="5"/>
      <c r="EQ146" s="5"/>
      <c r="ER146" s="5"/>
      <c r="ES146" s="5"/>
      <c r="ET146" s="5"/>
      <c r="EU146" s="5"/>
      <c r="EV146" s="5"/>
      <c r="EW146" s="5"/>
      <c r="EX146" s="5"/>
      <c r="EY146" s="5"/>
      <c r="EZ146" s="5"/>
      <c r="FA146" s="5"/>
      <c r="FB146" s="5"/>
      <c r="FC146" s="5"/>
      <c r="FD146" s="5"/>
      <c r="FE146" s="5"/>
      <c r="FF146" s="5"/>
      <c r="FG146" s="5"/>
      <c r="FH146" s="5"/>
      <c r="FI146" s="5"/>
      <c r="FJ146" s="5"/>
      <c r="FK146" s="5"/>
      <c r="FL146" s="5"/>
      <c r="FM146" s="5"/>
      <c r="FN146" s="5"/>
      <c r="FO146" s="5"/>
      <c r="FP146" s="5"/>
      <c r="FQ146" s="5"/>
      <c r="FR146" s="5"/>
      <c r="FS146" s="5"/>
      <c r="FT146" s="5"/>
      <c r="FU146" s="5"/>
      <c r="FV146" s="5"/>
      <c r="FW146" s="5"/>
      <c r="FX146" s="5"/>
      <c r="FY146" s="5"/>
      <c r="FZ146" s="5"/>
      <c r="GA146" s="5"/>
      <c r="GB146" s="5"/>
      <c r="GC146" s="5"/>
      <c r="GD146" s="5"/>
      <c r="GE146" s="5"/>
      <c r="GF146" s="5"/>
      <c r="GG146" s="5"/>
      <c r="GH146" s="5"/>
      <c r="GI146" s="5"/>
      <c r="GJ146" s="5"/>
      <c r="GK146" s="5"/>
      <c r="GL146" s="5"/>
      <c r="GM146" s="5"/>
      <c r="GN146" s="5"/>
      <c r="GO146" s="5"/>
      <c r="GP146" s="5"/>
      <c r="GQ146" s="5"/>
      <c r="GR146" s="5"/>
      <c r="GS146" s="5"/>
      <c r="GT146" s="5"/>
      <c r="GU146" s="5"/>
      <c r="GV146" s="5"/>
      <c r="GW146" s="5"/>
      <c r="GX146" s="5"/>
      <c r="GY146" s="5"/>
      <c r="GZ146" s="5"/>
      <c r="HA146" s="5"/>
      <c r="HB146" s="5"/>
      <c r="HC146" s="5"/>
      <c r="HD146" s="5"/>
      <c r="HE146" s="5"/>
      <c r="HF146" s="5"/>
      <c r="HG146" s="5"/>
      <c r="HH146" s="5"/>
      <c r="HI146" s="5"/>
      <c r="HJ146" s="5"/>
      <c r="HK146" s="5"/>
      <c r="HL146" s="5"/>
      <c r="HM146" s="5"/>
      <c r="HN146" s="5"/>
      <c r="HO146" s="5"/>
      <c r="HP146" s="5"/>
      <c r="HQ146" s="5"/>
      <c r="HR146" s="5"/>
      <c r="HS146" s="5"/>
      <c r="HT146" s="5"/>
      <c r="HU146" s="5"/>
      <c r="HV146" s="5"/>
      <c r="HW146" s="5"/>
      <c r="HX146" s="5"/>
      <c r="HY146" s="5"/>
      <c r="HZ146" s="5"/>
      <c r="IA146" s="5"/>
      <c r="IB146" s="5"/>
      <c r="IC146" s="5"/>
      <c r="ID146" s="5"/>
      <c r="IE146" s="5"/>
      <c r="IF146" s="5"/>
      <c r="IG146" s="5"/>
      <c r="IH146" s="5"/>
      <c r="II146" s="5"/>
      <c r="IJ146" s="5"/>
      <c r="IK146" s="5"/>
      <c r="IL146" s="5"/>
      <c r="IM146" s="5"/>
      <c r="IN146" s="5"/>
      <c r="IO146" s="5"/>
      <c r="IP146" s="5"/>
      <c r="IQ146" s="5"/>
      <c r="IR146" s="5"/>
      <c r="IS146" s="5"/>
      <c r="IT146" s="5"/>
      <c r="IU146" s="5"/>
      <c r="IV146" s="5"/>
      <c r="IW146" s="5"/>
      <c r="IX146" s="5"/>
      <c r="IY146" s="5"/>
      <c r="IZ146" s="5"/>
      <c r="JA146" s="5"/>
      <c r="JB146" s="5"/>
      <c r="JC146" s="5"/>
      <c r="JD146" s="5"/>
      <c r="JE146" s="5"/>
      <c r="JF146" s="5"/>
      <c r="JG146" s="5"/>
      <c r="JH146" s="5"/>
      <c r="JI146" s="5"/>
      <c r="JJ146" s="5"/>
      <c r="JK146" s="5"/>
      <c r="JL146" s="5"/>
      <c r="JM146" s="5"/>
      <c r="JN146" s="5"/>
      <c r="JO146" s="5"/>
      <c r="JP146" s="5"/>
      <c r="JQ146" s="5"/>
      <c r="JR146" s="5"/>
      <c r="JS146" s="5"/>
      <c r="JT146" s="5"/>
      <c r="JU146" s="5"/>
      <c r="JV146" s="5"/>
      <c r="JW146" s="5"/>
      <c r="JX146" s="5"/>
      <c r="JY146" s="5"/>
      <c r="JZ146" s="5"/>
      <c r="KA146" s="5"/>
      <c r="KB146" s="5"/>
      <c r="KC146" s="5"/>
      <c r="KD146" s="5"/>
      <c r="KE146" s="5"/>
      <c r="KF146" s="5"/>
      <c r="KG146" s="5"/>
      <c r="KH146" s="5"/>
      <c r="KI146" s="5"/>
      <c r="KJ146" s="5"/>
      <c r="KK146" s="5"/>
      <c r="KL146" s="5"/>
      <c r="KM146" s="5"/>
      <c r="KN146" s="5"/>
      <c r="KO146" s="5"/>
      <c r="KP146" s="5"/>
      <c r="KQ146" s="5"/>
      <c r="KR146" s="5"/>
      <c r="KS146" s="5"/>
      <c r="KT146" s="5"/>
      <c r="KU146" s="5"/>
      <c r="KV146" s="5"/>
      <c r="KW146" s="5"/>
      <c r="KX146" s="5"/>
      <c r="KY146" s="5"/>
      <c r="KZ146" s="5"/>
      <c r="LA146" s="5"/>
      <c r="LB146" s="5"/>
      <c r="LC146" s="5"/>
      <c r="LD146" s="5"/>
      <c r="LE146" s="5"/>
      <c r="LF146" s="5"/>
      <c r="LG146" s="5"/>
      <c r="LH146" s="5"/>
      <c r="LI146" s="5"/>
      <c r="LJ146" s="5"/>
      <c r="LK146" s="5"/>
      <c r="LL146" s="5"/>
      <c r="LM146" s="5"/>
      <c r="LN146" s="5"/>
      <c r="LO146" s="5"/>
      <c r="LP146" s="5"/>
      <c r="LQ146" s="5"/>
      <c r="LR146" s="5"/>
      <c r="LS146" s="5"/>
      <c r="LT146" s="5"/>
      <c r="LU146" s="5"/>
      <c r="LV146" s="5"/>
      <c r="LW146" s="5"/>
      <c r="LX146" s="5"/>
      <c r="LY146" s="5"/>
      <c r="LZ146" s="5"/>
      <c r="MA146" s="5"/>
      <c r="MB146" s="5"/>
      <c r="MC146" s="5"/>
      <c r="MD146" s="5"/>
      <c r="ME146" s="5"/>
      <c r="MF146" s="5"/>
      <c r="MG146" s="5"/>
      <c r="MH146" s="5"/>
      <c r="MI146" s="5"/>
      <c r="MJ146" s="5"/>
      <c r="MK146" s="5"/>
    </row>
    <row r="147" spans="1:349" s="2" customFormat="1" ht="17.7" customHeight="1" x14ac:dyDescent="0.3">
      <c r="A147" s="21">
        <v>146</v>
      </c>
      <c r="B147" s="21">
        <v>8100064</v>
      </c>
      <c r="C147" s="9" t="s">
        <v>179</v>
      </c>
      <c r="D147" s="9" t="s">
        <v>25</v>
      </c>
      <c r="E147" s="9" t="s">
        <v>35</v>
      </c>
      <c r="F147" s="9">
        <v>12.75</v>
      </c>
      <c r="G147" s="9">
        <v>10</v>
      </c>
      <c r="H147" s="9"/>
      <c r="I147" s="9" t="s">
        <v>116</v>
      </c>
      <c r="J147" s="9"/>
      <c r="K147" s="9"/>
      <c r="L147" s="9"/>
      <c r="M147" s="9">
        <f t="shared" si="2"/>
        <v>10.5825</v>
      </c>
      <c r="N147" s="9" t="s">
        <v>28</v>
      </c>
      <c r="O147" s="9" t="s">
        <v>29</v>
      </c>
      <c r="P147" s="9" t="s">
        <v>29</v>
      </c>
      <c r="Q147" s="9"/>
      <c r="R147" s="9"/>
      <c r="S147" s="9"/>
      <c r="T147" s="9"/>
      <c r="U147" s="9"/>
      <c r="V147" s="9"/>
      <c r="W147" s="9"/>
      <c r="X147" s="9" t="s">
        <v>30</v>
      </c>
      <c r="Y147" s="13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  <c r="DE147" s="5"/>
      <c r="DF147" s="5"/>
      <c r="DG147" s="5"/>
      <c r="DH147" s="5"/>
      <c r="DI147" s="5"/>
      <c r="DJ147" s="5"/>
      <c r="DK147" s="5"/>
      <c r="DL147" s="5"/>
      <c r="DM147" s="5"/>
      <c r="DN147" s="5"/>
      <c r="DO147" s="5"/>
      <c r="DP147" s="5"/>
      <c r="DQ147" s="5"/>
      <c r="DR147" s="5"/>
      <c r="DS147" s="5"/>
      <c r="DT147" s="5"/>
      <c r="DU147" s="5"/>
      <c r="DV147" s="5"/>
      <c r="DW147" s="5"/>
      <c r="DX147" s="5"/>
      <c r="DY147" s="5"/>
      <c r="DZ147" s="5"/>
      <c r="EA147" s="5"/>
      <c r="EB147" s="5"/>
      <c r="EC147" s="5"/>
      <c r="ED147" s="5"/>
      <c r="EE147" s="5"/>
      <c r="EF147" s="5"/>
      <c r="EG147" s="5"/>
      <c r="EH147" s="5"/>
      <c r="EI147" s="5"/>
      <c r="EJ147" s="5"/>
      <c r="EK147" s="5"/>
      <c r="EL147" s="5"/>
      <c r="EM147" s="5"/>
      <c r="EN147" s="5"/>
      <c r="EO147" s="5"/>
      <c r="EP147" s="5"/>
      <c r="EQ147" s="5"/>
      <c r="ER147" s="5"/>
      <c r="ES147" s="5"/>
      <c r="ET147" s="5"/>
      <c r="EU147" s="5"/>
      <c r="EV147" s="5"/>
      <c r="EW147" s="5"/>
      <c r="EX147" s="5"/>
      <c r="EY147" s="5"/>
      <c r="EZ147" s="5"/>
      <c r="FA147" s="5"/>
      <c r="FB147" s="5"/>
      <c r="FC147" s="5"/>
      <c r="FD147" s="5"/>
      <c r="FE147" s="5"/>
      <c r="FF147" s="5"/>
      <c r="FG147" s="5"/>
      <c r="FH147" s="5"/>
      <c r="FI147" s="5"/>
      <c r="FJ147" s="5"/>
      <c r="FK147" s="5"/>
      <c r="FL147" s="5"/>
      <c r="FM147" s="5"/>
      <c r="FN147" s="5"/>
      <c r="FO147" s="5"/>
      <c r="FP147" s="5"/>
      <c r="FQ147" s="5"/>
      <c r="FR147" s="5"/>
      <c r="FS147" s="5"/>
      <c r="FT147" s="5"/>
      <c r="FU147" s="5"/>
      <c r="FV147" s="5"/>
      <c r="FW147" s="5"/>
      <c r="FX147" s="5"/>
      <c r="FY147" s="5"/>
      <c r="FZ147" s="5"/>
      <c r="GA147" s="5"/>
      <c r="GB147" s="5"/>
      <c r="GC147" s="5"/>
      <c r="GD147" s="5"/>
      <c r="GE147" s="5"/>
      <c r="GF147" s="5"/>
      <c r="GG147" s="5"/>
      <c r="GH147" s="5"/>
      <c r="GI147" s="5"/>
      <c r="GJ147" s="5"/>
      <c r="GK147" s="5"/>
      <c r="GL147" s="5"/>
      <c r="GM147" s="5"/>
      <c r="GN147" s="5"/>
      <c r="GO147" s="5"/>
      <c r="GP147" s="5"/>
      <c r="GQ147" s="5"/>
      <c r="GR147" s="5"/>
      <c r="GS147" s="5"/>
      <c r="GT147" s="5"/>
      <c r="GU147" s="5"/>
      <c r="GV147" s="5"/>
      <c r="GW147" s="5"/>
      <c r="GX147" s="5"/>
      <c r="GY147" s="5"/>
      <c r="GZ147" s="5"/>
      <c r="HA147" s="5"/>
      <c r="HB147" s="5"/>
      <c r="HC147" s="5"/>
      <c r="HD147" s="5"/>
      <c r="HE147" s="5"/>
      <c r="HF147" s="5"/>
      <c r="HG147" s="5"/>
      <c r="HH147" s="5"/>
      <c r="HI147" s="5"/>
      <c r="HJ147" s="5"/>
      <c r="HK147" s="5"/>
      <c r="HL147" s="5"/>
      <c r="HM147" s="5"/>
      <c r="HN147" s="5"/>
      <c r="HO147" s="5"/>
      <c r="HP147" s="5"/>
      <c r="HQ147" s="5"/>
      <c r="HR147" s="5"/>
      <c r="HS147" s="5"/>
      <c r="HT147" s="5"/>
      <c r="HU147" s="5"/>
      <c r="HV147" s="5"/>
      <c r="HW147" s="5"/>
      <c r="HX147" s="5"/>
      <c r="HY147" s="5"/>
      <c r="HZ147" s="5"/>
      <c r="IA147" s="5"/>
      <c r="IB147" s="5"/>
      <c r="IC147" s="5"/>
      <c r="ID147" s="5"/>
      <c r="IE147" s="5"/>
      <c r="IF147" s="5"/>
      <c r="IG147" s="5"/>
      <c r="IH147" s="5"/>
      <c r="II147" s="5"/>
      <c r="IJ147" s="5"/>
      <c r="IK147" s="5"/>
      <c r="IL147" s="5"/>
      <c r="IM147" s="5"/>
      <c r="IN147" s="5"/>
      <c r="IO147" s="5"/>
      <c r="IP147" s="5"/>
      <c r="IQ147" s="5"/>
      <c r="IR147" s="5"/>
      <c r="IS147" s="5"/>
      <c r="IT147" s="5"/>
      <c r="IU147" s="5"/>
      <c r="IV147" s="5"/>
      <c r="IW147" s="5"/>
      <c r="IX147" s="5"/>
      <c r="IY147" s="5"/>
      <c r="IZ147" s="5"/>
      <c r="JA147" s="5"/>
      <c r="JB147" s="5"/>
      <c r="JC147" s="5"/>
      <c r="JD147" s="5"/>
      <c r="JE147" s="5"/>
      <c r="JF147" s="5"/>
      <c r="JG147" s="5"/>
      <c r="JH147" s="5"/>
      <c r="JI147" s="5"/>
      <c r="JJ147" s="5"/>
      <c r="JK147" s="5"/>
      <c r="JL147" s="5"/>
      <c r="JM147" s="5"/>
      <c r="JN147" s="5"/>
      <c r="JO147" s="5"/>
      <c r="JP147" s="5"/>
      <c r="JQ147" s="5"/>
      <c r="JR147" s="5"/>
      <c r="JS147" s="5"/>
      <c r="JT147" s="5"/>
      <c r="JU147" s="5"/>
      <c r="JV147" s="5"/>
      <c r="JW147" s="5"/>
      <c r="JX147" s="5"/>
      <c r="JY147" s="5"/>
      <c r="JZ147" s="5"/>
      <c r="KA147" s="5"/>
      <c r="KB147" s="5"/>
      <c r="KC147" s="5"/>
      <c r="KD147" s="5"/>
      <c r="KE147" s="5"/>
      <c r="KF147" s="5"/>
      <c r="KG147" s="5"/>
      <c r="KH147" s="5"/>
      <c r="KI147" s="5"/>
      <c r="KJ147" s="5"/>
      <c r="KK147" s="5"/>
      <c r="KL147" s="5"/>
      <c r="KM147" s="5"/>
      <c r="KN147" s="5"/>
      <c r="KO147" s="5"/>
      <c r="KP147" s="5"/>
      <c r="KQ147" s="5"/>
      <c r="KR147" s="5"/>
      <c r="KS147" s="5"/>
      <c r="KT147" s="5"/>
      <c r="KU147" s="5"/>
      <c r="KV147" s="5"/>
      <c r="KW147" s="5"/>
      <c r="KX147" s="5"/>
      <c r="KY147" s="5"/>
      <c r="KZ147" s="5"/>
      <c r="LA147" s="5"/>
      <c r="LB147" s="5"/>
      <c r="LC147" s="5"/>
      <c r="LD147" s="5"/>
      <c r="LE147" s="5"/>
      <c r="LF147" s="5"/>
      <c r="LG147" s="5"/>
      <c r="LH147" s="5"/>
      <c r="LI147" s="5"/>
      <c r="LJ147" s="5"/>
      <c r="LK147" s="5"/>
      <c r="LL147" s="5"/>
      <c r="LM147" s="5"/>
      <c r="LN147" s="5"/>
      <c r="LO147" s="5"/>
      <c r="LP147" s="5"/>
      <c r="LQ147" s="5"/>
      <c r="LR147" s="5"/>
      <c r="LS147" s="5"/>
      <c r="LT147" s="5"/>
      <c r="LU147" s="5"/>
      <c r="LV147" s="5"/>
      <c r="LW147" s="5"/>
      <c r="LX147" s="5"/>
      <c r="LY147" s="5"/>
      <c r="LZ147" s="5"/>
      <c r="MA147" s="5"/>
      <c r="MB147" s="5"/>
      <c r="MC147" s="5"/>
      <c r="MD147" s="5"/>
      <c r="ME147" s="5"/>
      <c r="MF147" s="5"/>
      <c r="MG147" s="5"/>
      <c r="MH147" s="5"/>
      <c r="MI147" s="5"/>
      <c r="MJ147" s="5"/>
      <c r="MK147" s="5"/>
    </row>
    <row r="148" spans="1:349" s="1" customFormat="1" ht="17.7" customHeight="1" x14ac:dyDescent="0.3">
      <c r="A148" s="20">
        <v>147</v>
      </c>
      <c r="B148" s="20">
        <v>8100065</v>
      </c>
      <c r="C148" s="10" t="s">
        <v>180</v>
      </c>
      <c r="D148" s="10" t="s">
        <v>25</v>
      </c>
      <c r="E148" s="10" t="s">
        <v>35</v>
      </c>
      <c r="F148" s="10">
        <v>35</v>
      </c>
      <c r="G148" s="10">
        <v>5</v>
      </c>
      <c r="H148" s="10"/>
      <c r="I148" s="10" t="s">
        <v>116</v>
      </c>
      <c r="J148" s="10"/>
      <c r="K148" s="10"/>
      <c r="L148" s="10"/>
      <c r="M148" s="10">
        <f t="shared" si="2"/>
        <v>29.05</v>
      </c>
      <c r="N148" s="10" t="s">
        <v>28</v>
      </c>
      <c r="O148" s="10" t="s">
        <v>29</v>
      </c>
      <c r="P148" s="10" t="s">
        <v>29</v>
      </c>
      <c r="Q148" s="10"/>
      <c r="R148" s="10"/>
      <c r="S148" s="10"/>
      <c r="T148" s="10"/>
      <c r="U148" s="10"/>
      <c r="V148" s="10"/>
      <c r="W148" s="10"/>
      <c r="X148" s="10" t="s">
        <v>30</v>
      </c>
      <c r="Y148" s="14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  <c r="BI148" s="6"/>
      <c r="BJ148" s="6"/>
      <c r="BK148" s="6"/>
      <c r="BL148" s="6"/>
      <c r="BM148" s="6"/>
      <c r="BN148" s="6"/>
      <c r="BO148" s="6"/>
      <c r="BP148" s="6"/>
      <c r="BQ148" s="6"/>
      <c r="BR148" s="6"/>
      <c r="BS148" s="6"/>
      <c r="BT148" s="6"/>
      <c r="BU148" s="6"/>
      <c r="BV148" s="6"/>
      <c r="BW148" s="6"/>
      <c r="BX148" s="6"/>
      <c r="BY148" s="6"/>
      <c r="BZ148" s="6"/>
      <c r="CA148" s="6"/>
      <c r="CB148" s="6"/>
      <c r="CC148" s="6"/>
      <c r="CD148" s="6"/>
      <c r="CE148" s="6"/>
      <c r="CF148" s="6"/>
      <c r="CG148" s="6"/>
      <c r="CH148" s="6"/>
      <c r="CI148" s="6"/>
      <c r="CJ148" s="6"/>
      <c r="CK148" s="6"/>
      <c r="CL148" s="6"/>
      <c r="CM148" s="6"/>
      <c r="CN148" s="6"/>
      <c r="CO148" s="6"/>
      <c r="CP148" s="6"/>
      <c r="CQ148" s="6"/>
      <c r="CR148" s="6"/>
      <c r="CS148" s="6"/>
      <c r="CT148" s="6"/>
      <c r="CU148" s="6"/>
      <c r="CV148" s="6"/>
      <c r="CW148" s="6"/>
      <c r="CX148" s="6"/>
      <c r="CY148" s="6"/>
      <c r="CZ148" s="6"/>
      <c r="DA148" s="6"/>
      <c r="DB148" s="6"/>
      <c r="DC148" s="6"/>
      <c r="DD148" s="6"/>
      <c r="DE148" s="6"/>
      <c r="DF148" s="6"/>
      <c r="DG148" s="6"/>
      <c r="DH148" s="6"/>
      <c r="DI148" s="6"/>
      <c r="DJ148" s="6"/>
      <c r="DK148" s="6"/>
      <c r="DL148" s="6"/>
      <c r="DM148" s="6"/>
      <c r="DN148" s="6"/>
      <c r="DO148" s="6"/>
      <c r="DP148" s="6"/>
      <c r="DQ148" s="6"/>
      <c r="DR148" s="6"/>
      <c r="DS148" s="6"/>
      <c r="DT148" s="6"/>
      <c r="DU148" s="6"/>
      <c r="DV148" s="6"/>
      <c r="DW148" s="6"/>
      <c r="DX148" s="6"/>
      <c r="DY148" s="6"/>
      <c r="DZ148" s="6"/>
      <c r="EA148" s="6"/>
      <c r="EB148" s="6"/>
      <c r="EC148" s="6"/>
      <c r="ED148" s="6"/>
      <c r="EE148" s="6"/>
      <c r="EF148" s="6"/>
      <c r="EG148" s="6"/>
      <c r="EH148" s="6"/>
      <c r="EI148" s="6"/>
      <c r="EJ148" s="6"/>
      <c r="EK148" s="6"/>
      <c r="EL148" s="6"/>
      <c r="EM148" s="6"/>
      <c r="EN148" s="6"/>
      <c r="EO148" s="6"/>
      <c r="EP148" s="6"/>
      <c r="EQ148" s="6"/>
      <c r="ER148" s="6"/>
      <c r="ES148" s="6"/>
      <c r="ET148" s="6"/>
      <c r="EU148" s="6"/>
      <c r="EV148" s="6"/>
      <c r="EW148" s="6"/>
      <c r="EX148" s="6"/>
      <c r="EY148" s="6"/>
      <c r="EZ148" s="6"/>
      <c r="FA148" s="6"/>
      <c r="FB148" s="6"/>
      <c r="FC148" s="6"/>
      <c r="FD148" s="6"/>
      <c r="FE148" s="6"/>
      <c r="FF148" s="6"/>
      <c r="FG148" s="6"/>
      <c r="FH148" s="6"/>
      <c r="FI148" s="6"/>
      <c r="FJ148" s="6"/>
      <c r="FK148" s="6"/>
      <c r="FL148" s="6"/>
      <c r="FM148" s="6"/>
      <c r="FN148" s="6"/>
      <c r="FO148" s="6"/>
      <c r="FP148" s="6"/>
      <c r="FQ148" s="6"/>
      <c r="FR148" s="6"/>
      <c r="FS148" s="6"/>
      <c r="FT148" s="6"/>
      <c r="FU148" s="6"/>
      <c r="FV148" s="6"/>
      <c r="FW148" s="6"/>
      <c r="FX148" s="6"/>
      <c r="FY148" s="6"/>
      <c r="FZ148" s="6"/>
      <c r="GA148" s="6"/>
      <c r="GB148" s="6"/>
      <c r="GC148" s="6"/>
      <c r="GD148" s="6"/>
      <c r="GE148" s="6"/>
      <c r="GF148" s="6"/>
      <c r="GG148" s="6"/>
      <c r="GH148" s="6"/>
      <c r="GI148" s="6"/>
      <c r="GJ148" s="6"/>
      <c r="GK148" s="6"/>
      <c r="GL148" s="6"/>
      <c r="GM148" s="6"/>
      <c r="GN148" s="6"/>
      <c r="GO148" s="6"/>
      <c r="GP148" s="6"/>
      <c r="GQ148" s="6"/>
      <c r="GR148" s="6"/>
      <c r="GS148" s="6"/>
      <c r="GT148" s="6"/>
      <c r="GU148" s="6"/>
      <c r="GV148" s="6"/>
      <c r="GW148" s="6"/>
      <c r="GX148" s="6"/>
      <c r="GY148" s="6"/>
      <c r="GZ148" s="6"/>
      <c r="HA148" s="6"/>
      <c r="HB148" s="6"/>
      <c r="HC148" s="6"/>
      <c r="HD148" s="6"/>
      <c r="HE148" s="6"/>
      <c r="HF148" s="6"/>
      <c r="HG148" s="6"/>
      <c r="HH148" s="6"/>
      <c r="HI148" s="6"/>
      <c r="HJ148" s="6"/>
      <c r="HK148" s="6"/>
      <c r="HL148" s="6"/>
      <c r="HM148" s="6"/>
      <c r="HN148" s="6"/>
      <c r="HO148" s="6"/>
      <c r="HP148" s="6"/>
      <c r="HQ148" s="6"/>
      <c r="HR148" s="6"/>
      <c r="HS148" s="6"/>
      <c r="HT148" s="6"/>
      <c r="HU148" s="6"/>
      <c r="HV148" s="6"/>
      <c r="HW148" s="6"/>
      <c r="HX148" s="6"/>
      <c r="HY148" s="6"/>
      <c r="HZ148" s="6"/>
      <c r="IA148" s="6"/>
      <c r="IB148" s="6"/>
      <c r="IC148" s="6"/>
      <c r="ID148" s="6"/>
      <c r="IE148" s="6"/>
      <c r="IF148" s="6"/>
      <c r="IG148" s="6"/>
      <c r="IH148" s="6"/>
      <c r="II148" s="6"/>
      <c r="IJ148" s="6"/>
      <c r="IK148" s="6"/>
      <c r="IL148" s="6"/>
      <c r="IM148" s="6"/>
      <c r="IN148" s="6"/>
      <c r="IO148" s="6"/>
      <c r="IP148" s="6"/>
      <c r="IQ148" s="6"/>
      <c r="IR148" s="6"/>
      <c r="IS148" s="6"/>
      <c r="IT148" s="6"/>
      <c r="IU148" s="6"/>
      <c r="IV148" s="6"/>
      <c r="IW148" s="6"/>
      <c r="IX148" s="6"/>
      <c r="IY148" s="6"/>
      <c r="IZ148" s="6"/>
      <c r="JA148" s="6"/>
      <c r="JB148" s="6"/>
      <c r="JC148" s="6"/>
      <c r="JD148" s="6"/>
      <c r="JE148" s="6"/>
      <c r="JF148" s="6"/>
      <c r="JG148" s="6"/>
      <c r="JH148" s="6"/>
      <c r="JI148" s="6"/>
      <c r="JJ148" s="6"/>
      <c r="JK148" s="6"/>
      <c r="JL148" s="6"/>
      <c r="JM148" s="6"/>
      <c r="JN148" s="6"/>
      <c r="JO148" s="6"/>
      <c r="JP148" s="6"/>
      <c r="JQ148" s="6"/>
      <c r="JR148" s="6"/>
      <c r="JS148" s="6"/>
      <c r="JT148" s="6"/>
      <c r="JU148" s="6"/>
      <c r="JV148" s="6"/>
      <c r="JW148" s="6"/>
      <c r="JX148" s="6"/>
      <c r="JY148" s="6"/>
      <c r="JZ148" s="6"/>
      <c r="KA148" s="6"/>
      <c r="KB148" s="6"/>
      <c r="KC148" s="6"/>
      <c r="KD148" s="6"/>
      <c r="KE148" s="6"/>
      <c r="KF148" s="6"/>
      <c r="KG148" s="6"/>
      <c r="KH148" s="6"/>
      <c r="KI148" s="6"/>
      <c r="KJ148" s="6"/>
      <c r="KK148" s="6"/>
      <c r="KL148" s="6"/>
      <c r="KM148" s="6"/>
      <c r="KN148" s="6"/>
      <c r="KO148" s="6"/>
      <c r="KP148" s="6"/>
      <c r="KQ148" s="6"/>
      <c r="KR148" s="6"/>
      <c r="KS148" s="6"/>
      <c r="KT148" s="6"/>
      <c r="KU148" s="6"/>
      <c r="KV148" s="6"/>
      <c r="KW148" s="6"/>
      <c r="KX148" s="6"/>
      <c r="KY148" s="6"/>
      <c r="KZ148" s="6"/>
      <c r="LA148" s="6"/>
      <c r="LB148" s="6"/>
      <c r="LC148" s="6"/>
      <c r="LD148" s="6"/>
      <c r="LE148" s="6"/>
      <c r="LF148" s="6"/>
      <c r="LG148" s="6"/>
      <c r="LH148" s="6"/>
      <c r="LI148" s="6"/>
      <c r="LJ148" s="6"/>
      <c r="LK148" s="6"/>
      <c r="LL148" s="6"/>
      <c r="LM148" s="6"/>
      <c r="LN148" s="6"/>
      <c r="LO148" s="6"/>
      <c r="LP148" s="6"/>
      <c r="LQ148" s="6"/>
      <c r="LR148" s="6"/>
      <c r="LS148" s="6"/>
      <c r="LT148" s="6"/>
      <c r="LU148" s="6"/>
      <c r="LV148" s="6"/>
      <c r="LW148" s="6"/>
      <c r="LX148" s="6"/>
      <c r="LY148" s="6"/>
      <c r="LZ148" s="6"/>
      <c r="MA148" s="6"/>
      <c r="MB148" s="6"/>
      <c r="MC148" s="6"/>
      <c r="MD148" s="6"/>
      <c r="ME148" s="6"/>
      <c r="MF148" s="6"/>
      <c r="MG148" s="6"/>
      <c r="MH148" s="6"/>
      <c r="MI148" s="6"/>
      <c r="MJ148" s="6"/>
      <c r="MK148" s="6"/>
    </row>
    <row r="149" spans="1:349" s="2" customFormat="1" ht="17.7" customHeight="1" x14ac:dyDescent="0.3">
      <c r="A149" s="21">
        <v>148</v>
      </c>
      <c r="B149" s="21">
        <v>8100066</v>
      </c>
      <c r="C149" s="9" t="s">
        <v>181</v>
      </c>
      <c r="D149" s="9" t="s">
        <v>25</v>
      </c>
      <c r="E149" s="9" t="s">
        <v>35</v>
      </c>
      <c r="F149" s="9">
        <v>46</v>
      </c>
      <c r="G149" s="9">
        <v>20</v>
      </c>
      <c r="H149" s="9"/>
      <c r="I149" s="9" t="s">
        <v>116</v>
      </c>
      <c r="J149" s="9"/>
      <c r="K149" s="9"/>
      <c r="L149" s="9"/>
      <c r="M149" s="9">
        <f t="shared" si="2"/>
        <v>38.18</v>
      </c>
      <c r="N149" s="9" t="s">
        <v>28</v>
      </c>
      <c r="O149" s="9" t="s">
        <v>29</v>
      </c>
      <c r="P149" s="9" t="s">
        <v>29</v>
      </c>
      <c r="Q149" s="9"/>
      <c r="R149" s="9"/>
      <c r="S149" s="9"/>
      <c r="T149" s="9"/>
      <c r="U149" s="9"/>
      <c r="V149" s="9"/>
      <c r="W149" s="9"/>
      <c r="X149" s="9" t="s">
        <v>30</v>
      </c>
      <c r="Y149" s="13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  <c r="DE149" s="5"/>
      <c r="DF149" s="5"/>
      <c r="DG149" s="5"/>
      <c r="DH149" s="5"/>
      <c r="DI149" s="5"/>
      <c r="DJ149" s="5"/>
      <c r="DK149" s="5"/>
      <c r="DL149" s="5"/>
      <c r="DM149" s="5"/>
      <c r="DN149" s="5"/>
      <c r="DO149" s="5"/>
      <c r="DP149" s="5"/>
      <c r="DQ149" s="5"/>
      <c r="DR149" s="5"/>
      <c r="DS149" s="5"/>
      <c r="DT149" s="5"/>
      <c r="DU149" s="5"/>
      <c r="DV149" s="5"/>
      <c r="DW149" s="5"/>
      <c r="DX149" s="5"/>
      <c r="DY149" s="5"/>
      <c r="DZ149" s="5"/>
      <c r="EA149" s="5"/>
      <c r="EB149" s="5"/>
      <c r="EC149" s="5"/>
      <c r="ED149" s="5"/>
      <c r="EE149" s="5"/>
      <c r="EF149" s="5"/>
      <c r="EG149" s="5"/>
      <c r="EH149" s="5"/>
      <c r="EI149" s="5"/>
      <c r="EJ149" s="5"/>
      <c r="EK149" s="5"/>
      <c r="EL149" s="5"/>
      <c r="EM149" s="5"/>
      <c r="EN149" s="5"/>
      <c r="EO149" s="5"/>
      <c r="EP149" s="5"/>
      <c r="EQ149" s="5"/>
      <c r="ER149" s="5"/>
      <c r="ES149" s="5"/>
      <c r="ET149" s="5"/>
      <c r="EU149" s="5"/>
      <c r="EV149" s="5"/>
      <c r="EW149" s="5"/>
      <c r="EX149" s="5"/>
      <c r="EY149" s="5"/>
      <c r="EZ149" s="5"/>
      <c r="FA149" s="5"/>
      <c r="FB149" s="5"/>
      <c r="FC149" s="5"/>
      <c r="FD149" s="5"/>
      <c r="FE149" s="5"/>
      <c r="FF149" s="5"/>
      <c r="FG149" s="5"/>
      <c r="FH149" s="5"/>
      <c r="FI149" s="5"/>
      <c r="FJ149" s="5"/>
      <c r="FK149" s="5"/>
      <c r="FL149" s="5"/>
      <c r="FM149" s="5"/>
      <c r="FN149" s="5"/>
      <c r="FO149" s="5"/>
      <c r="FP149" s="5"/>
      <c r="FQ149" s="5"/>
      <c r="FR149" s="5"/>
      <c r="FS149" s="5"/>
      <c r="FT149" s="5"/>
      <c r="FU149" s="5"/>
      <c r="FV149" s="5"/>
      <c r="FW149" s="5"/>
      <c r="FX149" s="5"/>
      <c r="FY149" s="5"/>
      <c r="FZ149" s="5"/>
      <c r="GA149" s="5"/>
      <c r="GB149" s="5"/>
      <c r="GC149" s="5"/>
      <c r="GD149" s="5"/>
      <c r="GE149" s="5"/>
      <c r="GF149" s="5"/>
      <c r="GG149" s="5"/>
      <c r="GH149" s="5"/>
      <c r="GI149" s="5"/>
      <c r="GJ149" s="5"/>
      <c r="GK149" s="5"/>
      <c r="GL149" s="5"/>
      <c r="GM149" s="5"/>
      <c r="GN149" s="5"/>
      <c r="GO149" s="5"/>
      <c r="GP149" s="5"/>
      <c r="GQ149" s="5"/>
      <c r="GR149" s="5"/>
      <c r="GS149" s="5"/>
      <c r="GT149" s="5"/>
      <c r="GU149" s="5"/>
      <c r="GV149" s="5"/>
      <c r="GW149" s="5"/>
      <c r="GX149" s="5"/>
      <c r="GY149" s="5"/>
      <c r="GZ149" s="5"/>
      <c r="HA149" s="5"/>
      <c r="HB149" s="5"/>
      <c r="HC149" s="5"/>
      <c r="HD149" s="5"/>
      <c r="HE149" s="5"/>
      <c r="HF149" s="5"/>
      <c r="HG149" s="5"/>
      <c r="HH149" s="5"/>
      <c r="HI149" s="5"/>
      <c r="HJ149" s="5"/>
      <c r="HK149" s="5"/>
      <c r="HL149" s="5"/>
      <c r="HM149" s="5"/>
      <c r="HN149" s="5"/>
      <c r="HO149" s="5"/>
      <c r="HP149" s="5"/>
      <c r="HQ149" s="5"/>
      <c r="HR149" s="5"/>
      <c r="HS149" s="5"/>
      <c r="HT149" s="5"/>
      <c r="HU149" s="5"/>
      <c r="HV149" s="5"/>
      <c r="HW149" s="5"/>
      <c r="HX149" s="5"/>
      <c r="HY149" s="5"/>
      <c r="HZ149" s="5"/>
      <c r="IA149" s="5"/>
      <c r="IB149" s="5"/>
      <c r="IC149" s="5"/>
      <c r="ID149" s="5"/>
      <c r="IE149" s="5"/>
      <c r="IF149" s="5"/>
      <c r="IG149" s="5"/>
      <c r="IH149" s="5"/>
      <c r="II149" s="5"/>
      <c r="IJ149" s="5"/>
      <c r="IK149" s="5"/>
      <c r="IL149" s="5"/>
      <c r="IM149" s="5"/>
      <c r="IN149" s="5"/>
      <c r="IO149" s="5"/>
      <c r="IP149" s="5"/>
      <c r="IQ149" s="5"/>
      <c r="IR149" s="5"/>
      <c r="IS149" s="5"/>
      <c r="IT149" s="5"/>
      <c r="IU149" s="5"/>
      <c r="IV149" s="5"/>
      <c r="IW149" s="5"/>
      <c r="IX149" s="5"/>
      <c r="IY149" s="5"/>
      <c r="IZ149" s="5"/>
      <c r="JA149" s="5"/>
      <c r="JB149" s="5"/>
      <c r="JC149" s="5"/>
      <c r="JD149" s="5"/>
      <c r="JE149" s="5"/>
      <c r="JF149" s="5"/>
      <c r="JG149" s="5"/>
      <c r="JH149" s="5"/>
      <c r="JI149" s="5"/>
      <c r="JJ149" s="5"/>
      <c r="JK149" s="5"/>
      <c r="JL149" s="5"/>
      <c r="JM149" s="5"/>
      <c r="JN149" s="5"/>
      <c r="JO149" s="5"/>
      <c r="JP149" s="5"/>
      <c r="JQ149" s="5"/>
      <c r="JR149" s="5"/>
      <c r="JS149" s="5"/>
      <c r="JT149" s="5"/>
      <c r="JU149" s="5"/>
      <c r="JV149" s="5"/>
      <c r="JW149" s="5"/>
      <c r="JX149" s="5"/>
      <c r="JY149" s="5"/>
      <c r="JZ149" s="5"/>
      <c r="KA149" s="5"/>
      <c r="KB149" s="5"/>
      <c r="KC149" s="5"/>
      <c r="KD149" s="5"/>
      <c r="KE149" s="5"/>
      <c r="KF149" s="5"/>
      <c r="KG149" s="5"/>
      <c r="KH149" s="5"/>
      <c r="KI149" s="5"/>
      <c r="KJ149" s="5"/>
      <c r="KK149" s="5"/>
      <c r="KL149" s="5"/>
      <c r="KM149" s="5"/>
      <c r="KN149" s="5"/>
      <c r="KO149" s="5"/>
      <c r="KP149" s="5"/>
      <c r="KQ149" s="5"/>
      <c r="KR149" s="5"/>
      <c r="KS149" s="5"/>
      <c r="KT149" s="5"/>
      <c r="KU149" s="5"/>
      <c r="KV149" s="5"/>
      <c r="KW149" s="5"/>
      <c r="KX149" s="5"/>
      <c r="KY149" s="5"/>
      <c r="KZ149" s="5"/>
      <c r="LA149" s="5"/>
      <c r="LB149" s="5"/>
      <c r="LC149" s="5"/>
      <c r="LD149" s="5"/>
      <c r="LE149" s="5"/>
      <c r="LF149" s="5"/>
      <c r="LG149" s="5"/>
      <c r="LH149" s="5"/>
      <c r="LI149" s="5"/>
      <c r="LJ149" s="5"/>
      <c r="LK149" s="5"/>
      <c r="LL149" s="5"/>
      <c r="LM149" s="5"/>
      <c r="LN149" s="5"/>
      <c r="LO149" s="5"/>
      <c r="LP149" s="5"/>
      <c r="LQ149" s="5"/>
      <c r="LR149" s="5"/>
      <c r="LS149" s="5"/>
      <c r="LT149" s="5"/>
      <c r="LU149" s="5"/>
      <c r="LV149" s="5"/>
      <c r="LW149" s="5"/>
      <c r="LX149" s="5"/>
      <c r="LY149" s="5"/>
      <c r="LZ149" s="5"/>
      <c r="MA149" s="5"/>
      <c r="MB149" s="5"/>
      <c r="MC149" s="5"/>
      <c r="MD149" s="5"/>
      <c r="ME149" s="5"/>
      <c r="MF149" s="5"/>
      <c r="MG149" s="5"/>
      <c r="MH149" s="5"/>
      <c r="MI149" s="5"/>
      <c r="MJ149" s="5"/>
      <c r="MK149" s="5"/>
    </row>
    <row r="150" spans="1:349" s="2" customFormat="1" ht="17.7" customHeight="1" x14ac:dyDescent="0.3">
      <c r="A150" s="20">
        <v>149</v>
      </c>
      <c r="B150" s="20">
        <v>8100067</v>
      </c>
      <c r="C150" s="10" t="s">
        <v>182</v>
      </c>
      <c r="D150" s="10" t="s">
        <v>25</v>
      </c>
      <c r="E150" s="10" t="s">
        <v>35</v>
      </c>
      <c r="F150" s="10">
        <v>68.25</v>
      </c>
      <c r="G150" s="10">
        <v>15</v>
      </c>
      <c r="H150" s="10"/>
      <c r="I150" s="10" t="s">
        <v>116</v>
      </c>
      <c r="J150" s="10"/>
      <c r="K150" s="10"/>
      <c r="L150" s="10"/>
      <c r="M150" s="10">
        <f t="shared" si="2"/>
        <v>56.647500000000001</v>
      </c>
      <c r="N150" s="10" t="s">
        <v>28</v>
      </c>
      <c r="O150" s="10" t="s">
        <v>29</v>
      </c>
      <c r="P150" s="10" t="s">
        <v>29</v>
      </c>
      <c r="Q150" s="10"/>
      <c r="R150" s="10"/>
      <c r="S150" s="10"/>
      <c r="T150" s="10"/>
      <c r="U150" s="10"/>
      <c r="V150" s="10"/>
      <c r="W150" s="10"/>
      <c r="X150" s="10" t="s">
        <v>30</v>
      </c>
      <c r="Y150" s="13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  <c r="DE150" s="5"/>
      <c r="DF150" s="5"/>
      <c r="DG150" s="5"/>
      <c r="DH150" s="5"/>
      <c r="DI150" s="5"/>
      <c r="DJ150" s="5"/>
      <c r="DK150" s="5"/>
      <c r="DL150" s="5"/>
      <c r="DM150" s="5"/>
      <c r="DN150" s="5"/>
      <c r="DO150" s="5"/>
      <c r="DP150" s="5"/>
      <c r="DQ150" s="5"/>
      <c r="DR150" s="5"/>
      <c r="DS150" s="5"/>
      <c r="DT150" s="5"/>
      <c r="DU150" s="5"/>
      <c r="DV150" s="5"/>
      <c r="DW150" s="5"/>
      <c r="DX150" s="5"/>
      <c r="DY150" s="5"/>
      <c r="DZ150" s="5"/>
      <c r="EA150" s="5"/>
      <c r="EB150" s="5"/>
      <c r="EC150" s="5"/>
      <c r="ED150" s="5"/>
      <c r="EE150" s="5"/>
      <c r="EF150" s="5"/>
      <c r="EG150" s="5"/>
      <c r="EH150" s="5"/>
      <c r="EI150" s="5"/>
      <c r="EJ150" s="5"/>
      <c r="EK150" s="5"/>
      <c r="EL150" s="5"/>
      <c r="EM150" s="5"/>
      <c r="EN150" s="5"/>
      <c r="EO150" s="5"/>
      <c r="EP150" s="5"/>
      <c r="EQ150" s="5"/>
      <c r="ER150" s="5"/>
      <c r="ES150" s="5"/>
      <c r="ET150" s="5"/>
      <c r="EU150" s="5"/>
      <c r="EV150" s="5"/>
      <c r="EW150" s="5"/>
      <c r="EX150" s="5"/>
      <c r="EY150" s="5"/>
      <c r="EZ150" s="5"/>
      <c r="FA150" s="5"/>
      <c r="FB150" s="5"/>
      <c r="FC150" s="5"/>
      <c r="FD150" s="5"/>
      <c r="FE150" s="5"/>
      <c r="FF150" s="5"/>
      <c r="FG150" s="5"/>
      <c r="FH150" s="5"/>
      <c r="FI150" s="5"/>
      <c r="FJ150" s="5"/>
      <c r="FK150" s="5"/>
      <c r="FL150" s="5"/>
      <c r="FM150" s="5"/>
      <c r="FN150" s="5"/>
      <c r="FO150" s="5"/>
      <c r="FP150" s="5"/>
      <c r="FQ150" s="5"/>
      <c r="FR150" s="5"/>
      <c r="FS150" s="5"/>
      <c r="FT150" s="5"/>
      <c r="FU150" s="5"/>
      <c r="FV150" s="5"/>
      <c r="FW150" s="5"/>
      <c r="FX150" s="5"/>
      <c r="FY150" s="5"/>
      <c r="FZ150" s="5"/>
      <c r="GA150" s="5"/>
      <c r="GB150" s="5"/>
      <c r="GC150" s="5"/>
      <c r="GD150" s="5"/>
      <c r="GE150" s="5"/>
      <c r="GF150" s="5"/>
      <c r="GG150" s="5"/>
      <c r="GH150" s="5"/>
      <c r="GI150" s="5"/>
      <c r="GJ150" s="5"/>
      <c r="GK150" s="5"/>
      <c r="GL150" s="5"/>
      <c r="GM150" s="5"/>
      <c r="GN150" s="5"/>
      <c r="GO150" s="5"/>
      <c r="GP150" s="5"/>
      <c r="GQ150" s="5"/>
      <c r="GR150" s="5"/>
      <c r="GS150" s="5"/>
      <c r="GT150" s="5"/>
      <c r="GU150" s="5"/>
      <c r="GV150" s="5"/>
      <c r="GW150" s="5"/>
      <c r="GX150" s="5"/>
      <c r="GY150" s="5"/>
      <c r="GZ150" s="5"/>
      <c r="HA150" s="5"/>
      <c r="HB150" s="5"/>
      <c r="HC150" s="5"/>
      <c r="HD150" s="5"/>
      <c r="HE150" s="5"/>
      <c r="HF150" s="5"/>
      <c r="HG150" s="5"/>
      <c r="HH150" s="5"/>
      <c r="HI150" s="5"/>
      <c r="HJ150" s="5"/>
      <c r="HK150" s="5"/>
      <c r="HL150" s="5"/>
      <c r="HM150" s="5"/>
      <c r="HN150" s="5"/>
      <c r="HO150" s="5"/>
      <c r="HP150" s="5"/>
      <c r="HQ150" s="5"/>
      <c r="HR150" s="5"/>
      <c r="HS150" s="5"/>
      <c r="HT150" s="5"/>
      <c r="HU150" s="5"/>
      <c r="HV150" s="5"/>
      <c r="HW150" s="5"/>
      <c r="HX150" s="5"/>
      <c r="HY150" s="5"/>
      <c r="HZ150" s="5"/>
      <c r="IA150" s="5"/>
      <c r="IB150" s="5"/>
      <c r="IC150" s="5"/>
      <c r="ID150" s="5"/>
      <c r="IE150" s="5"/>
      <c r="IF150" s="5"/>
      <c r="IG150" s="5"/>
      <c r="IH150" s="5"/>
      <c r="II150" s="5"/>
      <c r="IJ150" s="5"/>
      <c r="IK150" s="5"/>
      <c r="IL150" s="5"/>
      <c r="IM150" s="5"/>
      <c r="IN150" s="5"/>
      <c r="IO150" s="5"/>
      <c r="IP150" s="5"/>
      <c r="IQ150" s="5"/>
      <c r="IR150" s="5"/>
      <c r="IS150" s="5"/>
      <c r="IT150" s="5"/>
      <c r="IU150" s="5"/>
      <c r="IV150" s="5"/>
      <c r="IW150" s="5"/>
      <c r="IX150" s="5"/>
      <c r="IY150" s="5"/>
      <c r="IZ150" s="5"/>
      <c r="JA150" s="5"/>
      <c r="JB150" s="5"/>
      <c r="JC150" s="5"/>
      <c r="JD150" s="5"/>
      <c r="JE150" s="5"/>
      <c r="JF150" s="5"/>
      <c r="JG150" s="5"/>
      <c r="JH150" s="5"/>
      <c r="JI150" s="5"/>
      <c r="JJ150" s="5"/>
      <c r="JK150" s="5"/>
      <c r="JL150" s="5"/>
      <c r="JM150" s="5"/>
      <c r="JN150" s="5"/>
      <c r="JO150" s="5"/>
      <c r="JP150" s="5"/>
      <c r="JQ150" s="5"/>
      <c r="JR150" s="5"/>
      <c r="JS150" s="5"/>
      <c r="JT150" s="5"/>
      <c r="JU150" s="5"/>
      <c r="JV150" s="5"/>
      <c r="JW150" s="5"/>
      <c r="JX150" s="5"/>
      <c r="JY150" s="5"/>
      <c r="JZ150" s="5"/>
      <c r="KA150" s="5"/>
      <c r="KB150" s="5"/>
      <c r="KC150" s="5"/>
      <c r="KD150" s="5"/>
      <c r="KE150" s="5"/>
      <c r="KF150" s="5"/>
      <c r="KG150" s="5"/>
      <c r="KH150" s="5"/>
      <c r="KI150" s="5"/>
      <c r="KJ150" s="5"/>
      <c r="KK150" s="5"/>
      <c r="KL150" s="5"/>
      <c r="KM150" s="5"/>
      <c r="KN150" s="5"/>
      <c r="KO150" s="5"/>
      <c r="KP150" s="5"/>
      <c r="KQ150" s="5"/>
      <c r="KR150" s="5"/>
      <c r="KS150" s="5"/>
      <c r="KT150" s="5"/>
      <c r="KU150" s="5"/>
      <c r="KV150" s="5"/>
      <c r="KW150" s="5"/>
      <c r="KX150" s="5"/>
      <c r="KY150" s="5"/>
      <c r="KZ150" s="5"/>
      <c r="LA150" s="5"/>
      <c r="LB150" s="5"/>
      <c r="LC150" s="5"/>
      <c r="LD150" s="5"/>
      <c r="LE150" s="5"/>
      <c r="LF150" s="5"/>
      <c r="LG150" s="5"/>
      <c r="LH150" s="5"/>
      <c r="LI150" s="5"/>
      <c r="LJ150" s="5"/>
      <c r="LK150" s="5"/>
      <c r="LL150" s="5"/>
      <c r="LM150" s="5"/>
      <c r="LN150" s="5"/>
      <c r="LO150" s="5"/>
      <c r="LP150" s="5"/>
      <c r="LQ150" s="5"/>
      <c r="LR150" s="5"/>
      <c r="LS150" s="5"/>
      <c r="LT150" s="5"/>
      <c r="LU150" s="5"/>
      <c r="LV150" s="5"/>
      <c r="LW150" s="5"/>
      <c r="LX150" s="5"/>
      <c r="LY150" s="5"/>
      <c r="LZ150" s="5"/>
      <c r="MA150" s="5"/>
      <c r="MB150" s="5"/>
      <c r="MC150" s="5"/>
      <c r="MD150" s="5"/>
      <c r="ME150" s="5"/>
      <c r="MF150" s="5"/>
      <c r="MG150" s="5"/>
      <c r="MH150" s="5"/>
      <c r="MI150" s="5"/>
      <c r="MJ150" s="5"/>
      <c r="MK150" s="5"/>
    </row>
    <row r="151" spans="1:349" s="2" customFormat="1" ht="17.7" customHeight="1" x14ac:dyDescent="0.3">
      <c r="A151" s="21">
        <v>150</v>
      </c>
      <c r="B151" s="21">
        <v>8100068</v>
      </c>
      <c r="C151" s="9" t="s">
        <v>183</v>
      </c>
      <c r="D151" s="9" t="s">
        <v>25</v>
      </c>
      <c r="E151" s="9" t="s">
        <v>35</v>
      </c>
      <c r="F151" s="9">
        <v>65.5</v>
      </c>
      <c r="G151" s="9">
        <v>20</v>
      </c>
      <c r="H151" s="9"/>
      <c r="I151" s="9" t="s">
        <v>116</v>
      </c>
      <c r="J151" s="9"/>
      <c r="K151" s="9"/>
      <c r="L151" s="9"/>
      <c r="M151" s="9">
        <f t="shared" si="2"/>
        <v>54.364999999999995</v>
      </c>
      <c r="N151" s="9" t="s">
        <v>28</v>
      </c>
      <c r="O151" s="9" t="s">
        <v>29</v>
      </c>
      <c r="P151" s="9" t="s">
        <v>29</v>
      </c>
      <c r="Q151" s="9"/>
      <c r="R151" s="9"/>
      <c r="S151" s="9"/>
      <c r="T151" s="9"/>
      <c r="U151" s="9"/>
      <c r="V151" s="9"/>
      <c r="W151" s="9"/>
      <c r="X151" s="9" t="s">
        <v>30</v>
      </c>
      <c r="Y151" s="13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  <c r="DE151" s="5"/>
      <c r="DF151" s="5"/>
      <c r="DG151" s="5"/>
      <c r="DH151" s="5"/>
      <c r="DI151" s="5"/>
      <c r="DJ151" s="5"/>
      <c r="DK151" s="5"/>
      <c r="DL151" s="5"/>
      <c r="DM151" s="5"/>
      <c r="DN151" s="5"/>
      <c r="DO151" s="5"/>
      <c r="DP151" s="5"/>
      <c r="DQ151" s="5"/>
      <c r="DR151" s="5"/>
      <c r="DS151" s="5"/>
      <c r="DT151" s="5"/>
      <c r="DU151" s="5"/>
      <c r="DV151" s="5"/>
      <c r="DW151" s="5"/>
      <c r="DX151" s="5"/>
      <c r="DY151" s="5"/>
      <c r="DZ151" s="5"/>
      <c r="EA151" s="5"/>
      <c r="EB151" s="5"/>
      <c r="EC151" s="5"/>
      <c r="ED151" s="5"/>
      <c r="EE151" s="5"/>
      <c r="EF151" s="5"/>
      <c r="EG151" s="5"/>
      <c r="EH151" s="5"/>
      <c r="EI151" s="5"/>
      <c r="EJ151" s="5"/>
      <c r="EK151" s="5"/>
      <c r="EL151" s="5"/>
      <c r="EM151" s="5"/>
      <c r="EN151" s="5"/>
      <c r="EO151" s="5"/>
      <c r="EP151" s="5"/>
      <c r="EQ151" s="5"/>
      <c r="ER151" s="5"/>
      <c r="ES151" s="5"/>
      <c r="ET151" s="5"/>
      <c r="EU151" s="5"/>
      <c r="EV151" s="5"/>
      <c r="EW151" s="5"/>
      <c r="EX151" s="5"/>
      <c r="EY151" s="5"/>
      <c r="EZ151" s="5"/>
      <c r="FA151" s="5"/>
      <c r="FB151" s="5"/>
      <c r="FC151" s="5"/>
      <c r="FD151" s="5"/>
      <c r="FE151" s="5"/>
      <c r="FF151" s="5"/>
      <c r="FG151" s="5"/>
      <c r="FH151" s="5"/>
      <c r="FI151" s="5"/>
      <c r="FJ151" s="5"/>
      <c r="FK151" s="5"/>
      <c r="FL151" s="5"/>
      <c r="FM151" s="5"/>
      <c r="FN151" s="5"/>
      <c r="FO151" s="5"/>
      <c r="FP151" s="5"/>
      <c r="FQ151" s="5"/>
      <c r="FR151" s="5"/>
      <c r="FS151" s="5"/>
      <c r="FT151" s="5"/>
      <c r="FU151" s="5"/>
      <c r="FV151" s="5"/>
      <c r="FW151" s="5"/>
      <c r="FX151" s="5"/>
      <c r="FY151" s="5"/>
      <c r="FZ151" s="5"/>
      <c r="GA151" s="5"/>
      <c r="GB151" s="5"/>
      <c r="GC151" s="5"/>
      <c r="GD151" s="5"/>
      <c r="GE151" s="5"/>
      <c r="GF151" s="5"/>
      <c r="GG151" s="5"/>
      <c r="GH151" s="5"/>
      <c r="GI151" s="5"/>
      <c r="GJ151" s="5"/>
      <c r="GK151" s="5"/>
      <c r="GL151" s="5"/>
      <c r="GM151" s="5"/>
      <c r="GN151" s="5"/>
      <c r="GO151" s="5"/>
      <c r="GP151" s="5"/>
      <c r="GQ151" s="5"/>
      <c r="GR151" s="5"/>
      <c r="GS151" s="5"/>
      <c r="GT151" s="5"/>
      <c r="GU151" s="5"/>
      <c r="GV151" s="5"/>
      <c r="GW151" s="5"/>
      <c r="GX151" s="5"/>
      <c r="GY151" s="5"/>
      <c r="GZ151" s="5"/>
      <c r="HA151" s="5"/>
      <c r="HB151" s="5"/>
      <c r="HC151" s="5"/>
      <c r="HD151" s="5"/>
      <c r="HE151" s="5"/>
      <c r="HF151" s="5"/>
      <c r="HG151" s="5"/>
      <c r="HH151" s="5"/>
      <c r="HI151" s="5"/>
      <c r="HJ151" s="5"/>
      <c r="HK151" s="5"/>
      <c r="HL151" s="5"/>
      <c r="HM151" s="5"/>
      <c r="HN151" s="5"/>
      <c r="HO151" s="5"/>
      <c r="HP151" s="5"/>
      <c r="HQ151" s="5"/>
      <c r="HR151" s="5"/>
      <c r="HS151" s="5"/>
      <c r="HT151" s="5"/>
      <c r="HU151" s="5"/>
      <c r="HV151" s="5"/>
      <c r="HW151" s="5"/>
      <c r="HX151" s="5"/>
      <c r="HY151" s="5"/>
      <c r="HZ151" s="5"/>
      <c r="IA151" s="5"/>
      <c r="IB151" s="5"/>
      <c r="IC151" s="5"/>
      <c r="ID151" s="5"/>
      <c r="IE151" s="5"/>
      <c r="IF151" s="5"/>
      <c r="IG151" s="5"/>
      <c r="IH151" s="5"/>
      <c r="II151" s="5"/>
      <c r="IJ151" s="5"/>
      <c r="IK151" s="5"/>
      <c r="IL151" s="5"/>
      <c r="IM151" s="5"/>
      <c r="IN151" s="5"/>
      <c r="IO151" s="5"/>
      <c r="IP151" s="5"/>
      <c r="IQ151" s="5"/>
      <c r="IR151" s="5"/>
      <c r="IS151" s="5"/>
      <c r="IT151" s="5"/>
      <c r="IU151" s="5"/>
      <c r="IV151" s="5"/>
      <c r="IW151" s="5"/>
      <c r="IX151" s="5"/>
      <c r="IY151" s="5"/>
      <c r="IZ151" s="5"/>
      <c r="JA151" s="5"/>
      <c r="JB151" s="5"/>
      <c r="JC151" s="5"/>
      <c r="JD151" s="5"/>
      <c r="JE151" s="5"/>
      <c r="JF151" s="5"/>
      <c r="JG151" s="5"/>
      <c r="JH151" s="5"/>
      <c r="JI151" s="5"/>
      <c r="JJ151" s="5"/>
      <c r="JK151" s="5"/>
      <c r="JL151" s="5"/>
      <c r="JM151" s="5"/>
      <c r="JN151" s="5"/>
      <c r="JO151" s="5"/>
      <c r="JP151" s="5"/>
      <c r="JQ151" s="5"/>
      <c r="JR151" s="5"/>
      <c r="JS151" s="5"/>
      <c r="JT151" s="5"/>
      <c r="JU151" s="5"/>
      <c r="JV151" s="5"/>
      <c r="JW151" s="5"/>
      <c r="JX151" s="5"/>
      <c r="JY151" s="5"/>
      <c r="JZ151" s="5"/>
      <c r="KA151" s="5"/>
      <c r="KB151" s="5"/>
      <c r="KC151" s="5"/>
      <c r="KD151" s="5"/>
      <c r="KE151" s="5"/>
      <c r="KF151" s="5"/>
      <c r="KG151" s="5"/>
      <c r="KH151" s="5"/>
      <c r="KI151" s="5"/>
      <c r="KJ151" s="5"/>
      <c r="KK151" s="5"/>
      <c r="KL151" s="5"/>
      <c r="KM151" s="5"/>
      <c r="KN151" s="5"/>
      <c r="KO151" s="5"/>
      <c r="KP151" s="5"/>
      <c r="KQ151" s="5"/>
      <c r="KR151" s="5"/>
      <c r="KS151" s="5"/>
      <c r="KT151" s="5"/>
      <c r="KU151" s="5"/>
      <c r="KV151" s="5"/>
      <c r="KW151" s="5"/>
      <c r="KX151" s="5"/>
      <c r="KY151" s="5"/>
      <c r="KZ151" s="5"/>
      <c r="LA151" s="5"/>
      <c r="LB151" s="5"/>
      <c r="LC151" s="5"/>
      <c r="LD151" s="5"/>
      <c r="LE151" s="5"/>
      <c r="LF151" s="5"/>
      <c r="LG151" s="5"/>
      <c r="LH151" s="5"/>
      <c r="LI151" s="5"/>
      <c r="LJ151" s="5"/>
      <c r="LK151" s="5"/>
      <c r="LL151" s="5"/>
      <c r="LM151" s="5"/>
      <c r="LN151" s="5"/>
      <c r="LO151" s="5"/>
      <c r="LP151" s="5"/>
      <c r="LQ151" s="5"/>
      <c r="LR151" s="5"/>
      <c r="LS151" s="5"/>
      <c r="LT151" s="5"/>
      <c r="LU151" s="5"/>
      <c r="LV151" s="5"/>
      <c r="LW151" s="5"/>
      <c r="LX151" s="5"/>
      <c r="LY151" s="5"/>
      <c r="LZ151" s="5"/>
      <c r="MA151" s="5"/>
      <c r="MB151" s="5"/>
      <c r="MC151" s="5"/>
      <c r="MD151" s="5"/>
      <c r="ME151" s="5"/>
      <c r="MF151" s="5"/>
      <c r="MG151" s="5"/>
      <c r="MH151" s="5"/>
      <c r="MI151" s="5"/>
      <c r="MJ151" s="5"/>
      <c r="MK151" s="5"/>
    </row>
    <row r="152" spans="1:349" s="1" customFormat="1" ht="17.7" customHeight="1" x14ac:dyDescent="0.3">
      <c r="A152" s="20">
        <v>151</v>
      </c>
      <c r="B152" s="20">
        <v>8100069</v>
      </c>
      <c r="C152" s="10" t="s">
        <v>184</v>
      </c>
      <c r="D152" s="10" t="s">
        <v>25</v>
      </c>
      <c r="E152" s="10" t="s">
        <v>35</v>
      </c>
      <c r="F152" s="10">
        <v>97.25</v>
      </c>
      <c r="G152" s="10">
        <v>15</v>
      </c>
      <c r="H152" s="10"/>
      <c r="I152" s="10" t="s">
        <v>116</v>
      </c>
      <c r="J152" s="10"/>
      <c r="K152" s="10"/>
      <c r="L152" s="10"/>
      <c r="M152" s="10">
        <f t="shared" si="2"/>
        <v>80.717500000000001</v>
      </c>
      <c r="N152" s="10" t="s">
        <v>28</v>
      </c>
      <c r="O152" s="10" t="s">
        <v>29</v>
      </c>
      <c r="P152" s="10" t="s">
        <v>29</v>
      </c>
      <c r="Q152" s="10"/>
      <c r="R152" s="10"/>
      <c r="S152" s="10"/>
      <c r="T152" s="10"/>
      <c r="U152" s="10"/>
      <c r="V152" s="10"/>
      <c r="W152" s="10"/>
      <c r="X152" s="10" t="s">
        <v>30</v>
      </c>
      <c r="Y152" s="14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6"/>
      <c r="BR152" s="6"/>
      <c r="BS152" s="6"/>
      <c r="BT152" s="6"/>
      <c r="BU152" s="6"/>
      <c r="BV152" s="6"/>
      <c r="BW152" s="6"/>
      <c r="BX152" s="6"/>
      <c r="BY152" s="6"/>
      <c r="BZ152" s="6"/>
      <c r="CA152" s="6"/>
      <c r="CB152" s="6"/>
      <c r="CC152" s="6"/>
      <c r="CD152" s="6"/>
      <c r="CE152" s="6"/>
      <c r="CF152" s="6"/>
      <c r="CG152" s="6"/>
      <c r="CH152" s="6"/>
      <c r="CI152" s="6"/>
      <c r="CJ152" s="6"/>
      <c r="CK152" s="6"/>
      <c r="CL152" s="6"/>
      <c r="CM152" s="6"/>
      <c r="CN152" s="6"/>
      <c r="CO152" s="6"/>
      <c r="CP152" s="6"/>
      <c r="CQ152" s="6"/>
      <c r="CR152" s="6"/>
      <c r="CS152" s="6"/>
      <c r="CT152" s="6"/>
      <c r="CU152" s="6"/>
      <c r="CV152" s="6"/>
      <c r="CW152" s="6"/>
      <c r="CX152" s="6"/>
      <c r="CY152" s="6"/>
      <c r="CZ152" s="6"/>
      <c r="DA152" s="6"/>
      <c r="DB152" s="6"/>
      <c r="DC152" s="6"/>
      <c r="DD152" s="6"/>
      <c r="DE152" s="6"/>
      <c r="DF152" s="6"/>
      <c r="DG152" s="6"/>
      <c r="DH152" s="6"/>
      <c r="DI152" s="6"/>
      <c r="DJ152" s="6"/>
      <c r="DK152" s="6"/>
      <c r="DL152" s="6"/>
      <c r="DM152" s="6"/>
      <c r="DN152" s="6"/>
      <c r="DO152" s="6"/>
      <c r="DP152" s="6"/>
      <c r="DQ152" s="6"/>
      <c r="DR152" s="6"/>
      <c r="DS152" s="6"/>
      <c r="DT152" s="6"/>
      <c r="DU152" s="6"/>
      <c r="DV152" s="6"/>
      <c r="DW152" s="6"/>
      <c r="DX152" s="6"/>
      <c r="DY152" s="6"/>
      <c r="DZ152" s="6"/>
      <c r="EA152" s="6"/>
      <c r="EB152" s="6"/>
      <c r="EC152" s="6"/>
      <c r="ED152" s="6"/>
      <c r="EE152" s="6"/>
      <c r="EF152" s="6"/>
      <c r="EG152" s="6"/>
      <c r="EH152" s="6"/>
      <c r="EI152" s="6"/>
      <c r="EJ152" s="6"/>
      <c r="EK152" s="6"/>
      <c r="EL152" s="6"/>
      <c r="EM152" s="6"/>
      <c r="EN152" s="6"/>
      <c r="EO152" s="6"/>
      <c r="EP152" s="6"/>
      <c r="EQ152" s="6"/>
      <c r="ER152" s="6"/>
      <c r="ES152" s="6"/>
      <c r="ET152" s="6"/>
      <c r="EU152" s="6"/>
      <c r="EV152" s="6"/>
      <c r="EW152" s="6"/>
      <c r="EX152" s="6"/>
      <c r="EY152" s="6"/>
      <c r="EZ152" s="6"/>
      <c r="FA152" s="6"/>
      <c r="FB152" s="6"/>
      <c r="FC152" s="6"/>
      <c r="FD152" s="6"/>
      <c r="FE152" s="6"/>
      <c r="FF152" s="6"/>
      <c r="FG152" s="6"/>
      <c r="FH152" s="6"/>
      <c r="FI152" s="6"/>
      <c r="FJ152" s="6"/>
      <c r="FK152" s="6"/>
      <c r="FL152" s="6"/>
      <c r="FM152" s="6"/>
      <c r="FN152" s="6"/>
      <c r="FO152" s="6"/>
      <c r="FP152" s="6"/>
      <c r="FQ152" s="6"/>
      <c r="FR152" s="6"/>
      <c r="FS152" s="6"/>
      <c r="FT152" s="6"/>
      <c r="FU152" s="6"/>
      <c r="FV152" s="6"/>
      <c r="FW152" s="6"/>
      <c r="FX152" s="6"/>
      <c r="FY152" s="6"/>
      <c r="FZ152" s="6"/>
      <c r="GA152" s="6"/>
      <c r="GB152" s="6"/>
      <c r="GC152" s="6"/>
      <c r="GD152" s="6"/>
      <c r="GE152" s="6"/>
      <c r="GF152" s="6"/>
      <c r="GG152" s="6"/>
      <c r="GH152" s="6"/>
      <c r="GI152" s="6"/>
      <c r="GJ152" s="6"/>
      <c r="GK152" s="6"/>
      <c r="GL152" s="6"/>
      <c r="GM152" s="6"/>
      <c r="GN152" s="6"/>
      <c r="GO152" s="6"/>
      <c r="GP152" s="6"/>
      <c r="GQ152" s="6"/>
      <c r="GR152" s="6"/>
      <c r="GS152" s="6"/>
      <c r="GT152" s="6"/>
      <c r="GU152" s="6"/>
      <c r="GV152" s="6"/>
      <c r="GW152" s="6"/>
      <c r="GX152" s="6"/>
      <c r="GY152" s="6"/>
      <c r="GZ152" s="6"/>
      <c r="HA152" s="6"/>
      <c r="HB152" s="6"/>
      <c r="HC152" s="6"/>
      <c r="HD152" s="6"/>
      <c r="HE152" s="6"/>
      <c r="HF152" s="6"/>
      <c r="HG152" s="6"/>
      <c r="HH152" s="6"/>
      <c r="HI152" s="6"/>
      <c r="HJ152" s="6"/>
      <c r="HK152" s="6"/>
      <c r="HL152" s="6"/>
      <c r="HM152" s="6"/>
      <c r="HN152" s="6"/>
      <c r="HO152" s="6"/>
      <c r="HP152" s="6"/>
      <c r="HQ152" s="6"/>
      <c r="HR152" s="6"/>
      <c r="HS152" s="6"/>
      <c r="HT152" s="6"/>
      <c r="HU152" s="6"/>
      <c r="HV152" s="6"/>
      <c r="HW152" s="6"/>
      <c r="HX152" s="6"/>
      <c r="HY152" s="6"/>
      <c r="HZ152" s="6"/>
      <c r="IA152" s="6"/>
      <c r="IB152" s="6"/>
      <c r="IC152" s="6"/>
      <c r="ID152" s="6"/>
      <c r="IE152" s="6"/>
      <c r="IF152" s="6"/>
      <c r="IG152" s="6"/>
      <c r="IH152" s="6"/>
      <c r="II152" s="6"/>
      <c r="IJ152" s="6"/>
      <c r="IK152" s="6"/>
      <c r="IL152" s="6"/>
      <c r="IM152" s="6"/>
      <c r="IN152" s="6"/>
      <c r="IO152" s="6"/>
      <c r="IP152" s="6"/>
      <c r="IQ152" s="6"/>
      <c r="IR152" s="6"/>
      <c r="IS152" s="6"/>
      <c r="IT152" s="6"/>
      <c r="IU152" s="6"/>
      <c r="IV152" s="6"/>
      <c r="IW152" s="6"/>
      <c r="IX152" s="6"/>
      <c r="IY152" s="6"/>
      <c r="IZ152" s="6"/>
      <c r="JA152" s="6"/>
      <c r="JB152" s="6"/>
      <c r="JC152" s="6"/>
      <c r="JD152" s="6"/>
      <c r="JE152" s="6"/>
      <c r="JF152" s="6"/>
      <c r="JG152" s="6"/>
      <c r="JH152" s="6"/>
      <c r="JI152" s="6"/>
      <c r="JJ152" s="6"/>
      <c r="JK152" s="6"/>
      <c r="JL152" s="6"/>
      <c r="JM152" s="6"/>
      <c r="JN152" s="6"/>
      <c r="JO152" s="6"/>
      <c r="JP152" s="6"/>
      <c r="JQ152" s="6"/>
      <c r="JR152" s="6"/>
      <c r="JS152" s="6"/>
      <c r="JT152" s="6"/>
      <c r="JU152" s="6"/>
      <c r="JV152" s="6"/>
      <c r="JW152" s="6"/>
      <c r="JX152" s="6"/>
      <c r="JY152" s="6"/>
      <c r="JZ152" s="6"/>
      <c r="KA152" s="6"/>
      <c r="KB152" s="6"/>
      <c r="KC152" s="6"/>
      <c r="KD152" s="6"/>
      <c r="KE152" s="6"/>
      <c r="KF152" s="6"/>
      <c r="KG152" s="6"/>
      <c r="KH152" s="6"/>
      <c r="KI152" s="6"/>
      <c r="KJ152" s="6"/>
      <c r="KK152" s="6"/>
      <c r="KL152" s="6"/>
      <c r="KM152" s="6"/>
      <c r="KN152" s="6"/>
      <c r="KO152" s="6"/>
      <c r="KP152" s="6"/>
      <c r="KQ152" s="6"/>
      <c r="KR152" s="6"/>
      <c r="KS152" s="6"/>
      <c r="KT152" s="6"/>
      <c r="KU152" s="6"/>
      <c r="KV152" s="6"/>
      <c r="KW152" s="6"/>
      <c r="KX152" s="6"/>
      <c r="KY152" s="6"/>
      <c r="KZ152" s="6"/>
      <c r="LA152" s="6"/>
      <c r="LB152" s="6"/>
      <c r="LC152" s="6"/>
      <c r="LD152" s="6"/>
      <c r="LE152" s="6"/>
      <c r="LF152" s="6"/>
      <c r="LG152" s="6"/>
      <c r="LH152" s="6"/>
      <c r="LI152" s="6"/>
      <c r="LJ152" s="6"/>
      <c r="LK152" s="6"/>
      <c r="LL152" s="6"/>
      <c r="LM152" s="6"/>
      <c r="LN152" s="6"/>
      <c r="LO152" s="6"/>
      <c r="LP152" s="6"/>
      <c r="LQ152" s="6"/>
      <c r="LR152" s="6"/>
      <c r="LS152" s="6"/>
      <c r="LT152" s="6"/>
      <c r="LU152" s="6"/>
      <c r="LV152" s="6"/>
      <c r="LW152" s="6"/>
      <c r="LX152" s="6"/>
      <c r="LY152" s="6"/>
      <c r="LZ152" s="6"/>
      <c r="MA152" s="6"/>
      <c r="MB152" s="6"/>
      <c r="MC152" s="6"/>
      <c r="MD152" s="6"/>
      <c r="ME152" s="6"/>
      <c r="MF152" s="6"/>
      <c r="MG152" s="6"/>
      <c r="MH152" s="6"/>
      <c r="MI152" s="6"/>
      <c r="MJ152" s="6"/>
      <c r="MK152" s="6"/>
    </row>
    <row r="153" spans="1:349" s="2" customFormat="1" ht="17.7" customHeight="1" x14ac:dyDescent="0.3">
      <c r="A153" s="21">
        <v>152</v>
      </c>
      <c r="B153" s="21">
        <v>8100070</v>
      </c>
      <c r="C153" s="9" t="s">
        <v>185</v>
      </c>
      <c r="D153" s="9" t="s">
        <v>25</v>
      </c>
      <c r="E153" s="9" t="s">
        <v>35</v>
      </c>
      <c r="F153" s="9">
        <v>145.75</v>
      </c>
      <c r="G153" s="9">
        <v>5</v>
      </c>
      <c r="H153" s="9"/>
      <c r="I153" s="9" t="s">
        <v>116</v>
      </c>
      <c r="J153" s="9"/>
      <c r="K153" s="9"/>
      <c r="L153" s="9"/>
      <c r="M153" s="9">
        <f t="shared" si="2"/>
        <v>120.9725</v>
      </c>
      <c r="N153" s="9" t="s">
        <v>28</v>
      </c>
      <c r="O153" s="9" t="s">
        <v>29</v>
      </c>
      <c r="P153" s="9" t="s">
        <v>29</v>
      </c>
      <c r="Q153" s="9"/>
      <c r="R153" s="9"/>
      <c r="S153" s="9"/>
      <c r="T153" s="9"/>
      <c r="U153" s="9"/>
      <c r="V153" s="9"/>
      <c r="W153" s="9"/>
      <c r="X153" s="9" t="s">
        <v>30</v>
      </c>
      <c r="Y153" s="13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  <c r="DE153" s="5"/>
      <c r="DF153" s="5"/>
      <c r="DG153" s="5"/>
      <c r="DH153" s="5"/>
      <c r="DI153" s="5"/>
      <c r="DJ153" s="5"/>
      <c r="DK153" s="5"/>
      <c r="DL153" s="5"/>
      <c r="DM153" s="5"/>
      <c r="DN153" s="5"/>
      <c r="DO153" s="5"/>
      <c r="DP153" s="5"/>
      <c r="DQ153" s="5"/>
      <c r="DR153" s="5"/>
      <c r="DS153" s="5"/>
      <c r="DT153" s="5"/>
      <c r="DU153" s="5"/>
      <c r="DV153" s="5"/>
      <c r="DW153" s="5"/>
      <c r="DX153" s="5"/>
      <c r="DY153" s="5"/>
      <c r="DZ153" s="5"/>
      <c r="EA153" s="5"/>
      <c r="EB153" s="5"/>
      <c r="EC153" s="5"/>
      <c r="ED153" s="5"/>
      <c r="EE153" s="5"/>
      <c r="EF153" s="5"/>
      <c r="EG153" s="5"/>
      <c r="EH153" s="5"/>
      <c r="EI153" s="5"/>
      <c r="EJ153" s="5"/>
      <c r="EK153" s="5"/>
      <c r="EL153" s="5"/>
      <c r="EM153" s="5"/>
      <c r="EN153" s="5"/>
      <c r="EO153" s="5"/>
      <c r="EP153" s="5"/>
      <c r="EQ153" s="5"/>
      <c r="ER153" s="5"/>
      <c r="ES153" s="5"/>
      <c r="ET153" s="5"/>
      <c r="EU153" s="5"/>
      <c r="EV153" s="5"/>
      <c r="EW153" s="5"/>
      <c r="EX153" s="5"/>
      <c r="EY153" s="5"/>
      <c r="EZ153" s="5"/>
      <c r="FA153" s="5"/>
      <c r="FB153" s="5"/>
      <c r="FC153" s="5"/>
      <c r="FD153" s="5"/>
      <c r="FE153" s="5"/>
      <c r="FF153" s="5"/>
      <c r="FG153" s="5"/>
      <c r="FH153" s="5"/>
      <c r="FI153" s="5"/>
      <c r="FJ153" s="5"/>
      <c r="FK153" s="5"/>
      <c r="FL153" s="5"/>
      <c r="FM153" s="5"/>
      <c r="FN153" s="5"/>
      <c r="FO153" s="5"/>
      <c r="FP153" s="5"/>
      <c r="FQ153" s="5"/>
      <c r="FR153" s="5"/>
      <c r="FS153" s="5"/>
      <c r="FT153" s="5"/>
      <c r="FU153" s="5"/>
      <c r="FV153" s="5"/>
      <c r="FW153" s="5"/>
      <c r="FX153" s="5"/>
      <c r="FY153" s="5"/>
      <c r="FZ153" s="5"/>
      <c r="GA153" s="5"/>
      <c r="GB153" s="5"/>
      <c r="GC153" s="5"/>
      <c r="GD153" s="5"/>
      <c r="GE153" s="5"/>
      <c r="GF153" s="5"/>
      <c r="GG153" s="5"/>
      <c r="GH153" s="5"/>
      <c r="GI153" s="5"/>
      <c r="GJ153" s="5"/>
      <c r="GK153" s="5"/>
      <c r="GL153" s="5"/>
      <c r="GM153" s="5"/>
      <c r="GN153" s="5"/>
      <c r="GO153" s="5"/>
      <c r="GP153" s="5"/>
      <c r="GQ153" s="5"/>
      <c r="GR153" s="5"/>
      <c r="GS153" s="5"/>
      <c r="GT153" s="5"/>
      <c r="GU153" s="5"/>
      <c r="GV153" s="5"/>
      <c r="GW153" s="5"/>
      <c r="GX153" s="5"/>
      <c r="GY153" s="5"/>
      <c r="GZ153" s="5"/>
      <c r="HA153" s="5"/>
      <c r="HB153" s="5"/>
      <c r="HC153" s="5"/>
      <c r="HD153" s="5"/>
      <c r="HE153" s="5"/>
      <c r="HF153" s="5"/>
      <c r="HG153" s="5"/>
      <c r="HH153" s="5"/>
      <c r="HI153" s="5"/>
      <c r="HJ153" s="5"/>
      <c r="HK153" s="5"/>
      <c r="HL153" s="5"/>
      <c r="HM153" s="5"/>
      <c r="HN153" s="5"/>
      <c r="HO153" s="5"/>
      <c r="HP153" s="5"/>
      <c r="HQ153" s="5"/>
      <c r="HR153" s="5"/>
      <c r="HS153" s="5"/>
      <c r="HT153" s="5"/>
      <c r="HU153" s="5"/>
      <c r="HV153" s="5"/>
      <c r="HW153" s="5"/>
      <c r="HX153" s="5"/>
      <c r="HY153" s="5"/>
      <c r="HZ153" s="5"/>
      <c r="IA153" s="5"/>
      <c r="IB153" s="5"/>
      <c r="IC153" s="5"/>
      <c r="ID153" s="5"/>
      <c r="IE153" s="5"/>
      <c r="IF153" s="5"/>
      <c r="IG153" s="5"/>
      <c r="IH153" s="5"/>
      <c r="II153" s="5"/>
      <c r="IJ153" s="5"/>
      <c r="IK153" s="5"/>
      <c r="IL153" s="5"/>
      <c r="IM153" s="5"/>
      <c r="IN153" s="5"/>
      <c r="IO153" s="5"/>
      <c r="IP153" s="5"/>
      <c r="IQ153" s="5"/>
      <c r="IR153" s="5"/>
      <c r="IS153" s="5"/>
      <c r="IT153" s="5"/>
      <c r="IU153" s="5"/>
      <c r="IV153" s="5"/>
      <c r="IW153" s="5"/>
      <c r="IX153" s="5"/>
      <c r="IY153" s="5"/>
      <c r="IZ153" s="5"/>
      <c r="JA153" s="5"/>
      <c r="JB153" s="5"/>
      <c r="JC153" s="5"/>
      <c r="JD153" s="5"/>
      <c r="JE153" s="5"/>
      <c r="JF153" s="5"/>
      <c r="JG153" s="5"/>
      <c r="JH153" s="5"/>
      <c r="JI153" s="5"/>
      <c r="JJ153" s="5"/>
      <c r="JK153" s="5"/>
      <c r="JL153" s="5"/>
      <c r="JM153" s="5"/>
      <c r="JN153" s="5"/>
      <c r="JO153" s="5"/>
      <c r="JP153" s="5"/>
      <c r="JQ153" s="5"/>
      <c r="JR153" s="5"/>
      <c r="JS153" s="5"/>
      <c r="JT153" s="5"/>
      <c r="JU153" s="5"/>
      <c r="JV153" s="5"/>
      <c r="JW153" s="5"/>
      <c r="JX153" s="5"/>
      <c r="JY153" s="5"/>
      <c r="JZ153" s="5"/>
      <c r="KA153" s="5"/>
      <c r="KB153" s="5"/>
      <c r="KC153" s="5"/>
      <c r="KD153" s="5"/>
      <c r="KE153" s="5"/>
      <c r="KF153" s="5"/>
      <c r="KG153" s="5"/>
      <c r="KH153" s="5"/>
      <c r="KI153" s="5"/>
      <c r="KJ153" s="5"/>
      <c r="KK153" s="5"/>
      <c r="KL153" s="5"/>
      <c r="KM153" s="5"/>
      <c r="KN153" s="5"/>
      <c r="KO153" s="5"/>
      <c r="KP153" s="5"/>
      <c r="KQ153" s="5"/>
      <c r="KR153" s="5"/>
      <c r="KS153" s="5"/>
      <c r="KT153" s="5"/>
      <c r="KU153" s="5"/>
      <c r="KV153" s="5"/>
      <c r="KW153" s="5"/>
      <c r="KX153" s="5"/>
      <c r="KY153" s="5"/>
      <c r="KZ153" s="5"/>
      <c r="LA153" s="5"/>
      <c r="LB153" s="5"/>
      <c r="LC153" s="5"/>
      <c r="LD153" s="5"/>
      <c r="LE153" s="5"/>
      <c r="LF153" s="5"/>
      <c r="LG153" s="5"/>
      <c r="LH153" s="5"/>
      <c r="LI153" s="5"/>
      <c r="LJ153" s="5"/>
      <c r="LK153" s="5"/>
      <c r="LL153" s="5"/>
      <c r="LM153" s="5"/>
      <c r="LN153" s="5"/>
      <c r="LO153" s="5"/>
      <c r="LP153" s="5"/>
      <c r="LQ153" s="5"/>
      <c r="LR153" s="5"/>
      <c r="LS153" s="5"/>
      <c r="LT153" s="5"/>
      <c r="LU153" s="5"/>
      <c r="LV153" s="5"/>
      <c r="LW153" s="5"/>
      <c r="LX153" s="5"/>
      <c r="LY153" s="5"/>
      <c r="LZ153" s="5"/>
      <c r="MA153" s="5"/>
      <c r="MB153" s="5"/>
      <c r="MC153" s="5"/>
      <c r="MD153" s="5"/>
      <c r="ME153" s="5"/>
      <c r="MF153" s="5"/>
      <c r="MG153" s="5"/>
      <c r="MH153" s="5"/>
      <c r="MI153" s="5"/>
      <c r="MJ153" s="5"/>
      <c r="MK153" s="5"/>
    </row>
    <row r="154" spans="1:349" s="2" customFormat="1" ht="17.7" customHeight="1" x14ac:dyDescent="0.3">
      <c r="A154" s="20">
        <v>153</v>
      </c>
      <c r="B154" s="20">
        <v>8100071</v>
      </c>
      <c r="C154" s="10" t="s">
        <v>186</v>
      </c>
      <c r="D154" s="10" t="s">
        <v>25</v>
      </c>
      <c r="E154" s="10" t="s">
        <v>35</v>
      </c>
      <c r="F154" s="10">
        <v>46.25</v>
      </c>
      <c r="G154" s="10">
        <v>3</v>
      </c>
      <c r="H154" s="10"/>
      <c r="I154" s="10" t="s">
        <v>116</v>
      </c>
      <c r="J154" s="10"/>
      <c r="K154" s="10"/>
      <c r="L154" s="10"/>
      <c r="M154" s="10">
        <f t="shared" si="2"/>
        <v>38.387500000000003</v>
      </c>
      <c r="N154" s="10" t="s">
        <v>28</v>
      </c>
      <c r="O154" s="10" t="s">
        <v>29</v>
      </c>
      <c r="P154" s="10" t="s">
        <v>29</v>
      </c>
      <c r="Q154" s="10"/>
      <c r="R154" s="10"/>
      <c r="S154" s="10"/>
      <c r="T154" s="10"/>
      <c r="U154" s="10"/>
      <c r="V154" s="10"/>
      <c r="W154" s="10"/>
      <c r="X154" s="10" t="s">
        <v>30</v>
      </c>
      <c r="Y154" s="13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  <c r="DE154" s="5"/>
      <c r="DF154" s="5"/>
      <c r="DG154" s="5"/>
      <c r="DH154" s="5"/>
      <c r="DI154" s="5"/>
      <c r="DJ154" s="5"/>
      <c r="DK154" s="5"/>
      <c r="DL154" s="5"/>
      <c r="DM154" s="5"/>
      <c r="DN154" s="5"/>
      <c r="DO154" s="5"/>
      <c r="DP154" s="5"/>
      <c r="DQ154" s="5"/>
      <c r="DR154" s="5"/>
      <c r="DS154" s="5"/>
      <c r="DT154" s="5"/>
      <c r="DU154" s="5"/>
      <c r="DV154" s="5"/>
      <c r="DW154" s="5"/>
      <c r="DX154" s="5"/>
      <c r="DY154" s="5"/>
      <c r="DZ154" s="5"/>
      <c r="EA154" s="5"/>
      <c r="EB154" s="5"/>
      <c r="EC154" s="5"/>
      <c r="ED154" s="5"/>
      <c r="EE154" s="5"/>
      <c r="EF154" s="5"/>
      <c r="EG154" s="5"/>
      <c r="EH154" s="5"/>
      <c r="EI154" s="5"/>
      <c r="EJ154" s="5"/>
      <c r="EK154" s="5"/>
      <c r="EL154" s="5"/>
      <c r="EM154" s="5"/>
      <c r="EN154" s="5"/>
      <c r="EO154" s="5"/>
      <c r="EP154" s="5"/>
      <c r="EQ154" s="5"/>
      <c r="ER154" s="5"/>
      <c r="ES154" s="5"/>
      <c r="ET154" s="5"/>
      <c r="EU154" s="5"/>
      <c r="EV154" s="5"/>
      <c r="EW154" s="5"/>
      <c r="EX154" s="5"/>
      <c r="EY154" s="5"/>
      <c r="EZ154" s="5"/>
      <c r="FA154" s="5"/>
      <c r="FB154" s="5"/>
      <c r="FC154" s="5"/>
      <c r="FD154" s="5"/>
      <c r="FE154" s="5"/>
      <c r="FF154" s="5"/>
      <c r="FG154" s="5"/>
      <c r="FH154" s="5"/>
      <c r="FI154" s="5"/>
      <c r="FJ154" s="5"/>
      <c r="FK154" s="5"/>
      <c r="FL154" s="5"/>
      <c r="FM154" s="5"/>
      <c r="FN154" s="5"/>
      <c r="FO154" s="5"/>
      <c r="FP154" s="5"/>
      <c r="FQ154" s="5"/>
      <c r="FR154" s="5"/>
      <c r="FS154" s="5"/>
      <c r="FT154" s="5"/>
      <c r="FU154" s="5"/>
      <c r="FV154" s="5"/>
      <c r="FW154" s="5"/>
      <c r="FX154" s="5"/>
      <c r="FY154" s="5"/>
      <c r="FZ154" s="5"/>
      <c r="GA154" s="5"/>
      <c r="GB154" s="5"/>
      <c r="GC154" s="5"/>
      <c r="GD154" s="5"/>
      <c r="GE154" s="5"/>
      <c r="GF154" s="5"/>
      <c r="GG154" s="5"/>
      <c r="GH154" s="5"/>
      <c r="GI154" s="5"/>
      <c r="GJ154" s="5"/>
      <c r="GK154" s="5"/>
      <c r="GL154" s="5"/>
      <c r="GM154" s="5"/>
      <c r="GN154" s="5"/>
      <c r="GO154" s="5"/>
      <c r="GP154" s="5"/>
      <c r="GQ154" s="5"/>
      <c r="GR154" s="5"/>
      <c r="GS154" s="5"/>
      <c r="GT154" s="5"/>
      <c r="GU154" s="5"/>
      <c r="GV154" s="5"/>
      <c r="GW154" s="5"/>
      <c r="GX154" s="5"/>
      <c r="GY154" s="5"/>
      <c r="GZ154" s="5"/>
      <c r="HA154" s="5"/>
      <c r="HB154" s="5"/>
      <c r="HC154" s="5"/>
      <c r="HD154" s="5"/>
      <c r="HE154" s="5"/>
      <c r="HF154" s="5"/>
      <c r="HG154" s="5"/>
      <c r="HH154" s="5"/>
      <c r="HI154" s="5"/>
      <c r="HJ154" s="5"/>
      <c r="HK154" s="5"/>
      <c r="HL154" s="5"/>
      <c r="HM154" s="5"/>
      <c r="HN154" s="5"/>
      <c r="HO154" s="5"/>
      <c r="HP154" s="5"/>
      <c r="HQ154" s="5"/>
      <c r="HR154" s="5"/>
      <c r="HS154" s="5"/>
      <c r="HT154" s="5"/>
      <c r="HU154" s="5"/>
      <c r="HV154" s="5"/>
      <c r="HW154" s="5"/>
      <c r="HX154" s="5"/>
      <c r="HY154" s="5"/>
      <c r="HZ154" s="5"/>
      <c r="IA154" s="5"/>
      <c r="IB154" s="5"/>
      <c r="IC154" s="5"/>
      <c r="ID154" s="5"/>
      <c r="IE154" s="5"/>
      <c r="IF154" s="5"/>
      <c r="IG154" s="5"/>
      <c r="IH154" s="5"/>
      <c r="II154" s="5"/>
      <c r="IJ154" s="5"/>
      <c r="IK154" s="5"/>
      <c r="IL154" s="5"/>
      <c r="IM154" s="5"/>
      <c r="IN154" s="5"/>
      <c r="IO154" s="5"/>
      <c r="IP154" s="5"/>
      <c r="IQ154" s="5"/>
      <c r="IR154" s="5"/>
      <c r="IS154" s="5"/>
      <c r="IT154" s="5"/>
      <c r="IU154" s="5"/>
      <c r="IV154" s="5"/>
      <c r="IW154" s="5"/>
      <c r="IX154" s="5"/>
      <c r="IY154" s="5"/>
      <c r="IZ154" s="5"/>
      <c r="JA154" s="5"/>
      <c r="JB154" s="5"/>
      <c r="JC154" s="5"/>
      <c r="JD154" s="5"/>
      <c r="JE154" s="5"/>
      <c r="JF154" s="5"/>
      <c r="JG154" s="5"/>
      <c r="JH154" s="5"/>
      <c r="JI154" s="5"/>
      <c r="JJ154" s="5"/>
      <c r="JK154" s="5"/>
      <c r="JL154" s="5"/>
      <c r="JM154" s="5"/>
      <c r="JN154" s="5"/>
      <c r="JO154" s="5"/>
      <c r="JP154" s="5"/>
      <c r="JQ154" s="5"/>
      <c r="JR154" s="5"/>
      <c r="JS154" s="5"/>
      <c r="JT154" s="5"/>
      <c r="JU154" s="5"/>
      <c r="JV154" s="5"/>
      <c r="JW154" s="5"/>
      <c r="JX154" s="5"/>
      <c r="JY154" s="5"/>
      <c r="JZ154" s="5"/>
      <c r="KA154" s="5"/>
      <c r="KB154" s="5"/>
      <c r="KC154" s="5"/>
      <c r="KD154" s="5"/>
      <c r="KE154" s="5"/>
      <c r="KF154" s="5"/>
      <c r="KG154" s="5"/>
      <c r="KH154" s="5"/>
      <c r="KI154" s="5"/>
      <c r="KJ154" s="5"/>
      <c r="KK154" s="5"/>
      <c r="KL154" s="5"/>
      <c r="KM154" s="5"/>
      <c r="KN154" s="5"/>
      <c r="KO154" s="5"/>
      <c r="KP154" s="5"/>
      <c r="KQ154" s="5"/>
      <c r="KR154" s="5"/>
      <c r="KS154" s="5"/>
      <c r="KT154" s="5"/>
      <c r="KU154" s="5"/>
      <c r="KV154" s="5"/>
      <c r="KW154" s="5"/>
      <c r="KX154" s="5"/>
      <c r="KY154" s="5"/>
      <c r="KZ154" s="5"/>
      <c r="LA154" s="5"/>
      <c r="LB154" s="5"/>
      <c r="LC154" s="5"/>
      <c r="LD154" s="5"/>
      <c r="LE154" s="5"/>
      <c r="LF154" s="5"/>
      <c r="LG154" s="5"/>
      <c r="LH154" s="5"/>
      <c r="LI154" s="5"/>
      <c r="LJ154" s="5"/>
      <c r="LK154" s="5"/>
      <c r="LL154" s="5"/>
      <c r="LM154" s="5"/>
      <c r="LN154" s="5"/>
      <c r="LO154" s="5"/>
      <c r="LP154" s="5"/>
      <c r="LQ154" s="5"/>
      <c r="LR154" s="5"/>
      <c r="LS154" s="5"/>
      <c r="LT154" s="5"/>
      <c r="LU154" s="5"/>
      <c r="LV154" s="5"/>
      <c r="LW154" s="5"/>
      <c r="LX154" s="5"/>
      <c r="LY154" s="5"/>
      <c r="LZ154" s="5"/>
      <c r="MA154" s="5"/>
      <c r="MB154" s="5"/>
      <c r="MC154" s="5"/>
      <c r="MD154" s="5"/>
      <c r="ME154" s="5"/>
      <c r="MF154" s="5"/>
      <c r="MG154" s="5"/>
      <c r="MH154" s="5"/>
      <c r="MI154" s="5"/>
      <c r="MJ154" s="5"/>
      <c r="MK154" s="5"/>
    </row>
    <row r="155" spans="1:349" s="2" customFormat="1" ht="17.7" customHeight="1" x14ac:dyDescent="0.3">
      <c r="A155" s="21">
        <v>154</v>
      </c>
      <c r="B155" s="21">
        <v>8100072</v>
      </c>
      <c r="C155" s="9" t="s">
        <v>187</v>
      </c>
      <c r="D155" s="9" t="s">
        <v>25</v>
      </c>
      <c r="E155" s="9" t="s">
        <v>35</v>
      </c>
      <c r="F155" s="9">
        <v>71.5</v>
      </c>
      <c r="G155" s="9">
        <v>5</v>
      </c>
      <c r="H155" s="9"/>
      <c r="I155" s="9" t="s">
        <v>116</v>
      </c>
      <c r="J155" s="9"/>
      <c r="K155" s="9"/>
      <c r="L155" s="9"/>
      <c r="M155" s="9">
        <f t="shared" si="2"/>
        <v>59.344999999999999</v>
      </c>
      <c r="N155" s="9" t="s">
        <v>28</v>
      </c>
      <c r="O155" s="9" t="s">
        <v>29</v>
      </c>
      <c r="P155" s="9" t="s">
        <v>29</v>
      </c>
      <c r="Q155" s="9"/>
      <c r="R155" s="9"/>
      <c r="S155" s="9"/>
      <c r="T155" s="9"/>
      <c r="U155" s="9"/>
      <c r="V155" s="9"/>
      <c r="W155" s="9"/>
      <c r="X155" s="9" t="s">
        <v>30</v>
      </c>
      <c r="Y155" s="13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  <c r="DE155" s="5"/>
      <c r="DF155" s="5"/>
      <c r="DG155" s="5"/>
      <c r="DH155" s="5"/>
      <c r="DI155" s="5"/>
      <c r="DJ155" s="5"/>
      <c r="DK155" s="5"/>
      <c r="DL155" s="5"/>
      <c r="DM155" s="5"/>
      <c r="DN155" s="5"/>
      <c r="DO155" s="5"/>
      <c r="DP155" s="5"/>
      <c r="DQ155" s="5"/>
      <c r="DR155" s="5"/>
      <c r="DS155" s="5"/>
      <c r="DT155" s="5"/>
      <c r="DU155" s="5"/>
      <c r="DV155" s="5"/>
      <c r="DW155" s="5"/>
      <c r="DX155" s="5"/>
      <c r="DY155" s="5"/>
      <c r="DZ155" s="5"/>
      <c r="EA155" s="5"/>
      <c r="EB155" s="5"/>
      <c r="EC155" s="5"/>
      <c r="ED155" s="5"/>
      <c r="EE155" s="5"/>
      <c r="EF155" s="5"/>
      <c r="EG155" s="5"/>
      <c r="EH155" s="5"/>
      <c r="EI155" s="5"/>
      <c r="EJ155" s="5"/>
      <c r="EK155" s="5"/>
      <c r="EL155" s="5"/>
      <c r="EM155" s="5"/>
      <c r="EN155" s="5"/>
      <c r="EO155" s="5"/>
      <c r="EP155" s="5"/>
      <c r="EQ155" s="5"/>
      <c r="ER155" s="5"/>
      <c r="ES155" s="5"/>
      <c r="ET155" s="5"/>
      <c r="EU155" s="5"/>
      <c r="EV155" s="5"/>
      <c r="EW155" s="5"/>
      <c r="EX155" s="5"/>
      <c r="EY155" s="5"/>
      <c r="EZ155" s="5"/>
      <c r="FA155" s="5"/>
      <c r="FB155" s="5"/>
      <c r="FC155" s="5"/>
      <c r="FD155" s="5"/>
      <c r="FE155" s="5"/>
      <c r="FF155" s="5"/>
      <c r="FG155" s="5"/>
      <c r="FH155" s="5"/>
      <c r="FI155" s="5"/>
      <c r="FJ155" s="5"/>
      <c r="FK155" s="5"/>
      <c r="FL155" s="5"/>
      <c r="FM155" s="5"/>
      <c r="FN155" s="5"/>
      <c r="FO155" s="5"/>
      <c r="FP155" s="5"/>
      <c r="FQ155" s="5"/>
      <c r="FR155" s="5"/>
      <c r="FS155" s="5"/>
      <c r="FT155" s="5"/>
      <c r="FU155" s="5"/>
      <c r="FV155" s="5"/>
      <c r="FW155" s="5"/>
      <c r="FX155" s="5"/>
      <c r="FY155" s="5"/>
      <c r="FZ155" s="5"/>
      <c r="GA155" s="5"/>
      <c r="GB155" s="5"/>
      <c r="GC155" s="5"/>
      <c r="GD155" s="5"/>
      <c r="GE155" s="5"/>
      <c r="GF155" s="5"/>
      <c r="GG155" s="5"/>
      <c r="GH155" s="5"/>
      <c r="GI155" s="5"/>
      <c r="GJ155" s="5"/>
      <c r="GK155" s="5"/>
      <c r="GL155" s="5"/>
      <c r="GM155" s="5"/>
      <c r="GN155" s="5"/>
      <c r="GO155" s="5"/>
      <c r="GP155" s="5"/>
      <c r="GQ155" s="5"/>
      <c r="GR155" s="5"/>
      <c r="GS155" s="5"/>
      <c r="GT155" s="5"/>
      <c r="GU155" s="5"/>
      <c r="GV155" s="5"/>
      <c r="GW155" s="5"/>
      <c r="GX155" s="5"/>
      <c r="GY155" s="5"/>
      <c r="GZ155" s="5"/>
      <c r="HA155" s="5"/>
      <c r="HB155" s="5"/>
      <c r="HC155" s="5"/>
      <c r="HD155" s="5"/>
      <c r="HE155" s="5"/>
      <c r="HF155" s="5"/>
      <c r="HG155" s="5"/>
      <c r="HH155" s="5"/>
      <c r="HI155" s="5"/>
      <c r="HJ155" s="5"/>
      <c r="HK155" s="5"/>
      <c r="HL155" s="5"/>
      <c r="HM155" s="5"/>
      <c r="HN155" s="5"/>
      <c r="HO155" s="5"/>
      <c r="HP155" s="5"/>
      <c r="HQ155" s="5"/>
      <c r="HR155" s="5"/>
      <c r="HS155" s="5"/>
      <c r="HT155" s="5"/>
      <c r="HU155" s="5"/>
      <c r="HV155" s="5"/>
      <c r="HW155" s="5"/>
      <c r="HX155" s="5"/>
      <c r="HY155" s="5"/>
      <c r="HZ155" s="5"/>
      <c r="IA155" s="5"/>
      <c r="IB155" s="5"/>
      <c r="IC155" s="5"/>
      <c r="ID155" s="5"/>
      <c r="IE155" s="5"/>
      <c r="IF155" s="5"/>
      <c r="IG155" s="5"/>
      <c r="IH155" s="5"/>
      <c r="II155" s="5"/>
      <c r="IJ155" s="5"/>
      <c r="IK155" s="5"/>
      <c r="IL155" s="5"/>
      <c r="IM155" s="5"/>
      <c r="IN155" s="5"/>
      <c r="IO155" s="5"/>
      <c r="IP155" s="5"/>
      <c r="IQ155" s="5"/>
      <c r="IR155" s="5"/>
      <c r="IS155" s="5"/>
      <c r="IT155" s="5"/>
      <c r="IU155" s="5"/>
      <c r="IV155" s="5"/>
      <c r="IW155" s="5"/>
      <c r="IX155" s="5"/>
      <c r="IY155" s="5"/>
      <c r="IZ155" s="5"/>
      <c r="JA155" s="5"/>
      <c r="JB155" s="5"/>
      <c r="JC155" s="5"/>
      <c r="JD155" s="5"/>
      <c r="JE155" s="5"/>
      <c r="JF155" s="5"/>
      <c r="JG155" s="5"/>
      <c r="JH155" s="5"/>
      <c r="JI155" s="5"/>
      <c r="JJ155" s="5"/>
      <c r="JK155" s="5"/>
      <c r="JL155" s="5"/>
      <c r="JM155" s="5"/>
      <c r="JN155" s="5"/>
      <c r="JO155" s="5"/>
      <c r="JP155" s="5"/>
      <c r="JQ155" s="5"/>
      <c r="JR155" s="5"/>
      <c r="JS155" s="5"/>
      <c r="JT155" s="5"/>
      <c r="JU155" s="5"/>
      <c r="JV155" s="5"/>
      <c r="JW155" s="5"/>
      <c r="JX155" s="5"/>
      <c r="JY155" s="5"/>
      <c r="JZ155" s="5"/>
      <c r="KA155" s="5"/>
      <c r="KB155" s="5"/>
      <c r="KC155" s="5"/>
      <c r="KD155" s="5"/>
      <c r="KE155" s="5"/>
      <c r="KF155" s="5"/>
      <c r="KG155" s="5"/>
      <c r="KH155" s="5"/>
      <c r="KI155" s="5"/>
      <c r="KJ155" s="5"/>
      <c r="KK155" s="5"/>
      <c r="KL155" s="5"/>
      <c r="KM155" s="5"/>
      <c r="KN155" s="5"/>
      <c r="KO155" s="5"/>
      <c r="KP155" s="5"/>
      <c r="KQ155" s="5"/>
      <c r="KR155" s="5"/>
      <c r="KS155" s="5"/>
      <c r="KT155" s="5"/>
      <c r="KU155" s="5"/>
      <c r="KV155" s="5"/>
      <c r="KW155" s="5"/>
      <c r="KX155" s="5"/>
      <c r="KY155" s="5"/>
      <c r="KZ155" s="5"/>
      <c r="LA155" s="5"/>
      <c r="LB155" s="5"/>
      <c r="LC155" s="5"/>
      <c r="LD155" s="5"/>
      <c r="LE155" s="5"/>
      <c r="LF155" s="5"/>
      <c r="LG155" s="5"/>
      <c r="LH155" s="5"/>
      <c r="LI155" s="5"/>
      <c r="LJ155" s="5"/>
      <c r="LK155" s="5"/>
      <c r="LL155" s="5"/>
      <c r="LM155" s="5"/>
      <c r="LN155" s="5"/>
      <c r="LO155" s="5"/>
      <c r="LP155" s="5"/>
      <c r="LQ155" s="5"/>
      <c r="LR155" s="5"/>
      <c r="LS155" s="5"/>
      <c r="LT155" s="5"/>
      <c r="LU155" s="5"/>
      <c r="LV155" s="5"/>
      <c r="LW155" s="5"/>
      <c r="LX155" s="5"/>
      <c r="LY155" s="5"/>
      <c r="LZ155" s="5"/>
      <c r="MA155" s="5"/>
      <c r="MB155" s="5"/>
      <c r="MC155" s="5"/>
      <c r="MD155" s="5"/>
      <c r="ME155" s="5"/>
      <c r="MF155" s="5"/>
      <c r="MG155" s="5"/>
      <c r="MH155" s="5"/>
      <c r="MI155" s="5"/>
      <c r="MJ155" s="5"/>
      <c r="MK155" s="5"/>
    </row>
    <row r="156" spans="1:349" s="1" customFormat="1" ht="17.7" customHeight="1" x14ac:dyDescent="0.3">
      <c r="A156" s="20">
        <v>155</v>
      </c>
      <c r="B156" s="20">
        <v>8100073</v>
      </c>
      <c r="C156" s="10" t="s">
        <v>188</v>
      </c>
      <c r="D156" s="10" t="s">
        <v>25</v>
      </c>
      <c r="E156" s="10" t="s">
        <v>35</v>
      </c>
      <c r="F156" s="10">
        <v>79</v>
      </c>
      <c r="G156" s="10">
        <v>15</v>
      </c>
      <c r="H156" s="10"/>
      <c r="I156" s="10" t="s">
        <v>116</v>
      </c>
      <c r="J156" s="10"/>
      <c r="K156" s="10"/>
      <c r="L156" s="10"/>
      <c r="M156" s="10">
        <f t="shared" si="2"/>
        <v>65.569999999999993</v>
      </c>
      <c r="N156" s="10" t="s">
        <v>28</v>
      </c>
      <c r="O156" s="10" t="s">
        <v>29</v>
      </c>
      <c r="P156" s="10" t="s">
        <v>29</v>
      </c>
      <c r="Q156" s="10"/>
      <c r="R156" s="10"/>
      <c r="S156" s="10"/>
      <c r="T156" s="10"/>
      <c r="U156" s="10"/>
      <c r="V156" s="10"/>
      <c r="W156" s="10"/>
      <c r="X156" s="10" t="s">
        <v>30</v>
      </c>
      <c r="Y156" s="14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  <c r="BJ156" s="6"/>
      <c r="BK156" s="6"/>
      <c r="BL156" s="6"/>
      <c r="BM156" s="6"/>
      <c r="BN156" s="6"/>
      <c r="BO156" s="6"/>
      <c r="BP156" s="6"/>
      <c r="BQ156" s="6"/>
      <c r="BR156" s="6"/>
      <c r="BS156" s="6"/>
      <c r="BT156" s="6"/>
      <c r="BU156" s="6"/>
      <c r="BV156" s="6"/>
      <c r="BW156" s="6"/>
      <c r="BX156" s="6"/>
      <c r="BY156" s="6"/>
      <c r="BZ156" s="6"/>
      <c r="CA156" s="6"/>
      <c r="CB156" s="6"/>
      <c r="CC156" s="6"/>
      <c r="CD156" s="6"/>
      <c r="CE156" s="6"/>
      <c r="CF156" s="6"/>
      <c r="CG156" s="6"/>
      <c r="CH156" s="6"/>
      <c r="CI156" s="6"/>
      <c r="CJ156" s="6"/>
      <c r="CK156" s="6"/>
      <c r="CL156" s="6"/>
      <c r="CM156" s="6"/>
      <c r="CN156" s="6"/>
      <c r="CO156" s="6"/>
      <c r="CP156" s="6"/>
      <c r="CQ156" s="6"/>
      <c r="CR156" s="6"/>
      <c r="CS156" s="6"/>
      <c r="CT156" s="6"/>
      <c r="CU156" s="6"/>
      <c r="CV156" s="6"/>
      <c r="CW156" s="6"/>
      <c r="CX156" s="6"/>
      <c r="CY156" s="6"/>
      <c r="CZ156" s="6"/>
      <c r="DA156" s="6"/>
      <c r="DB156" s="6"/>
      <c r="DC156" s="6"/>
      <c r="DD156" s="6"/>
      <c r="DE156" s="6"/>
      <c r="DF156" s="6"/>
      <c r="DG156" s="6"/>
      <c r="DH156" s="6"/>
      <c r="DI156" s="6"/>
      <c r="DJ156" s="6"/>
      <c r="DK156" s="6"/>
      <c r="DL156" s="6"/>
      <c r="DM156" s="6"/>
      <c r="DN156" s="6"/>
      <c r="DO156" s="6"/>
      <c r="DP156" s="6"/>
      <c r="DQ156" s="6"/>
      <c r="DR156" s="6"/>
      <c r="DS156" s="6"/>
      <c r="DT156" s="6"/>
      <c r="DU156" s="6"/>
      <c r="DV156" s="6"/>
      <c r="DW156" s="6"/>
      <c r="DX156" s="6"/>
      <c r="DY156" s="6"/>
      <c r="DZ156" s="6"/>
      <c r="EA156" s="6"/>
      <c r="EB156" s="6"/>
      <c r="EC156" s="6"/>
      <c r="ED156" s="6"/>
      <c r="EE156" s="6"/>
      <c r="EF156" s="6"/>
      <c r="EG156" s="6"/>
      <c r="EH156" s="6"/>
      <c r="EI156" s="6"/>
      <c r="EJ156" s="6"/>
      <c r="EK156" s="6"/>
      <c r="EL156" s="6"/>
      <c r="EM156" s="6"/>
      <c r="EN156" s="6"/>
      <c r="EO156" s="6"/>
      <c r="EP156" s="6"/>
      <c r="EQ156" s="6"/>
      <c r="ER156" s="6"/>
      <c r="ES156" s="6"/>
      <c r="ET156" s="6"/>
      <c r="EU156" s="6"/>
      <c r="EV156" s="6"/>
      <c r="EW156" s="6"/>
      <c r="EX156" s="6"/>
      <c r="EY156" s="6"/>
      <c r="EZ156" s="6"/>
      <c r="FA156" s="6"/>
      <c r="FB156" s="6"/>
      <c r="FC156" s="6"/>
      <c r="FD156" s="6"/>
      <c r="FE156" s="6"/>
      <c r="FF156" s="6"/>
      <c r="FG156" s="6"/>
      <c r="FH156" s="6"/>
      <c r="FI156" s="6"/>
      <c r="FJ156" s="6"/>
      <c r="FK156" s="6"/>
      <c r="FL156" s="6"/>
      <c r="FM156" s="6"/>
      <c r="FN156" s="6"/>
      <c r="FO156" s="6"/>
      <c r="FP156" s="6"/>
      <c r="FQ156" s="6"/>
      <c r="FR156" s="6"/>
      <c r="FS156" s="6"/>
      <c r="FT156" s="6"/>
      <c r="FU156" s="6"/>
      <c r="FV156" s="6"/>
      <c r="FW156" s="6"/>
      <c r="FX156" s="6"/>
      <c r="FY156" s="6"/>
      <c r="FZ156" s="6"/>
      <c r="GA156" s="6"/>
      <c r="GB156" s="6"/>
      <c r="GC156" s="6"/>
      <c r="GD156" s="6"/>
      <c r="GE156" s="6"/>
      <c r="GF156" s="6"/>
      <c r="GG156" s="6"/>
      <c r="GH156" s="6"/>
      <c r="GI156" s="6"/>
      <c r="GJ156" s="6"/>
      <c r="GK156" s="6"/>
      <c r="GL156" s="6"/>
      <c r="GM156" s="6"/>
      <c r="GN156" s="6"/>
      <c r="GO156" s="6"/>
      <c r="GP156" s="6"/>
      <c r="GQ156" s="6"/>
      <c r="GR156" s="6"/>
      <c r="GS156" s="6"/>
      <c r="GT156" s="6"/>
      <c r="GU156" s="6"/>
      <c r="GV156" s="6"/>
      <c r="GW156" s="6"/>
      <c r="GX156" s="6"/>
      <c r="GY156" s="6"/>
      <c r="GZ156" s="6"/>
      <c r="HA156" s="6"/>
      <c r="HB156" s="6"/>
      <c r="HC156" s="6"/>
      <c r="HD156" s="6"/>
      <c r="HE156" s="6"/>
      <c r="HF156" s="6"/>
      <c r="HG156" s="6"/>
      <c r="HH156" s="6"/>
      <c r="HI156" s="6"/>
      <c r="HJ156" s="6"/>
      <c r="HK156" s="6"/>
      <c r="HL156" s="6"/>
      <c r="HM156" s="6"/>
      <c r="HN156" s="6"/>
      <c r="HO156" s="6"/>
      <c r="HP156" s="6"/>
      <c r="HQ156" s="6"/>
      <c r="HR156" s="6"/>
      <c r="HS156" s="6"/>
      <c r="HT156" s="6"/>
      <c r="HU156" s="6"/>
      <c r="HV156" s="6"/>
      <c r="HW156" s="6"/>
      <c r="HX156" s="6"/>
      <c r="HY156" s="6"/>
      <c r="HZ156" s="6"/>
      <c r="IA156" s="6"/>
      <c r="IB156" s="6"/>
      <c r="IC156" s="6"/>
      <c r="ID156" s="6"/>
      <c r="IE156" s="6"/>
      <c r="IF156" s="6"/>
      <c r="IG156" s="6"/>
      <c r="IH156" s="6"/>
      <c r="II156" s="6"/>
      <c r="IJ156" s="6"/>
      <c r="IK156" s="6"/>
      <c r="IL156" s="6"/>
      <c r="IM156" s="6"/>
      <c r="IN156" s="6"/>
      <c r="IO156" s="6"/>
      <c r="IP156" s="6"/>
      <c r="IQ156" s="6"/>
      <c r="IR156" s="6"/>
      <c r="IS156" s="6"/>
      <c r="IT156" s="6"/>
      <c r="IU156" s="6"/>
      <c r="IV156" s="6"/>
      <c r="IW156" s="6"/>
      <c r="IX156" s="6"/>
      <c r="IY156" s="6"/>
      <c r="IZ156" s="6"/>
      <c r="JA156" s="6"/>
      <c r="JB156" s="6"/>
      <c r="JC156" s="6"/>
      <c r="JD156" s="6"/>
      <c r="JE156" s="6"/>
      <c r="JF156" s="6"/>
      <c r="JG156" s="6"/>
      <c r="JH156" s="6"/>
      <c r="JI156" s="6"/>
      <c r="JJ156" s="6"/>
      <c r="JK156" s="6"/>
      <c r="JL156" s="6"/>
      <c r="JM156" s="6"/>
      <c r="JN156" s="6"/>
      <c r="JO156" s="6"/>
      <c r="JP156" s="6"/>
      <c r="JQ156" s="6"/>
      <c r="JR156" s="6"/>
      <c r="JS156" s="6"/>
      <c r="JT156" s="6"/>
      <c r="JU156" s="6"/>
      <c r="JV156" s="6"/>
      <c r="JW156" s="6"/>
      <c r="JX156" s="6"/>
      <c r="JY156" s="6"/>
      <c r="JZ156" s="6"/>
      <c r="KA156" s="6"/>
      <c r="KB156" s="6"/>
      <c r="KC156" s="6"/>
      <c r="KD156" s="6"/>
      <c r="KE156" s="6"/>
      <c r="KF156" s="6"/>
      <c r="KG156" s="6"/>
      <c r="KH156" s="6"/>
      <c r="KI156" s="6"/>
      <c r="KJ156" s="6"/>
      <c r="KK156" s="6"/>
      <c r="KL156" s="6"/>
      <c r="KM156" s="6"/>
      <c r="KN156" s="6"/>
      <c r="KO156" s="6"/>
      <c r="KP156" s="6"/>
      <c r="KQ156" s="6"/>
      <c r="KR156" s="6"/>
      <c r="KS156" s="6"/>
      <c r="KT156" s="6"/>
      <c r="KU156" s="6"/>
      <c r="KV156" s="6"/>
      <c r="KW156" s="6"/>
      <c r="KX156" s="6"/>
      <c r="KY156" s="6"/>
      <c r="KZ156" s="6"/>
      <c r="LA156" s="6"/>
      <c r="LB156" s="6"/>
      <c r="LC156" s="6"/>
      <c r="LD156" s="6"/>
      <c r="LE156" s="6"/>
      <c r="LF156" s="6"/>
      <c r="LG156" s="6"/>
      <c r="LH156" s="6"/>
      <c r="LI156" s="6"/>
      <c r="LJ156" s="6"/>
      <c r="LK156" s="6"/>
      <c r="LL156" s="6"/>
      <c r="LM156" s="6"/>
      <c r="LN156" s="6"/>
      <c r="LO156" s="6"/>
      <c r="LP156" s="6"/>
      <c r="LQ156" s="6"/>
      <c r="LR156" s="6"/>
      <c r="LS156" s="6"/>
      <c r="LT156" s="6"/>
      <c r="LU156" s="6"/>
      <c r="LV156" s="6"/>
      <c r="LW156" s="6"/>
      <c r="LX156" s="6"/>
      <c r="LY156" s="6"/>
      <c r="LZ156" s="6"/>
      <c r="MA156" s="6"/>
      <c r="MB156" s="6"/>
      <c r="MC156" s="6"/>
      <c r="MD156" s="6"/>
      <c r="ME156" s="6"/>
      <c r="MF156" s="6"/>
      <c r="MG156" s="6"/>
      <c r="MH156" s="6"/>
      <c r="MI156" s="6"/>
      <c r="MJ156" s="6"/>
      <c r="MK156" s="6"/>
    </row>
    <row r="157" spans="1:349" s="2" customFormat="1" ht="17.7" customHeight="1" x14ac:dyDescent="0.3">
      <c r="A157" s="21">
        <v>156</v>
      </c>
      <c r="B157" s="21">
        <v>8100074</v>
      </c>
      <c r="C157" s="9" t="s">
        <v>189</v>
      </c>
      <c r="D157" s="9" t="s">
        <v>25</v>
      </c>
      <c r="E157" s="9" t="s">
        <v>35</v>
      </c>
      <c r="F157" s="9">
        <v>132.25</v>
      </c>
      <c r="G157" s="9">
        <v>20</v>
      </c>
      <c r="H157" s="9"/>
      <c r="I157" s="9" t="s">
        <v>116</v>
      </c>
      <c r="J157" s="9"/>
      <c r="K157" s="9"/>
      <c r="L157" s="9"/>
      <c r="M157" s="9">
        <f t="shared" si="2"/>
        <v>109.7675</v>
      </c>
      <c r="N157" s="9" t="s">
        <v>28</v>
      </c>
      <c r="O157" s="9" t="s">
        <v>29</v>
      </c>
      <c r="P157" s="9" t="s">
        <v>29</v>
      </c>
      <c r="Q157" s="9"/>
      <c r="R157" s="9"/>
      <c r="S157" s="9"/>
      <c r="T157" s="9"/>
      <c r="U157" s="9"/>
      <c r="V157" s="9"/>
      <c r="W157" s="9"/>
      <c r="X157" s="9" t="s">
        <v>30</v>
      </c>
      <c r="Y157" s="13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  <c r="DE157" s="5"/>
      <c r="DF157" s="5"/>
      <c r="DG157" s="5"/>
      <c r="DH157" s="5"/>
      <c r="DI157" s="5"/>
      <c r="DJ157" s="5"/>
      <c r="DK157" s="5"/>
      <c r="DL157" s="5"/>
      <c r="DM157" s="5"/>
      <c r="DN157" s="5"/>
      <c r="DO157" s="5"/>
      <c r="DP157" s="5"/>
      <c r="DQ157" s="5"/>
      <c r="DR157" s="5"/>
      <c r="DS157" s="5"/>
      <c r="DT157" s="5"/>
      <c r="DU157" s="5"/>
      <c r="DV157" s="5"/>
      <c r="DW157" s="5"/>
      <c r="DX157" s="5"/>
      <c r="DY157" s="5"/>
      <c r="DZ157" s="5"/>
      <c r="EA157" s="5"/>
      <c r="EB157" s="5"/>
      <c r="EC157" s="5"/>
      <c r="ED157" s="5"/>
      <c r="EE157" s="5"/>
      <c r="EF157" s="5"/>
      <c r="EG157" s="5"/>
      <c r="EH157" s="5"/>
      <c r="EI157" s="5"/>
      <c r="EJ157" s="5"/>
      <c r="EK157" s="5"/>
      <c r="EL157" s="5"/>
      <c r="EM157" s="5"/>
      <c r="EN157" s="5"/>
      <c r="EO157" s="5"/>
      <c r="EP157" s="5"/>
      <c r="EQ157" s="5"/>
      <c r="ER157" s="5"/>
      <c r="ES157" s="5"/>
      <c r="ET157" s="5"/>
      <c r="EU157" s="5"/>
      <c r="EV157" s="5"/>
      <c r="EW157" s="5"/>
      <c r="EX157" s="5"/>
      <c r="EY157" s="5"/>
      <c r="EZ157" s="5"/>
      <c r="FA157" s="5"/>
      <c r="FB157" s="5"/>
      <c r="FC157" s="5"/>
      <c r="FD157" s="5"/>
      <c r="FE157" s="5"/>
      <c r="FF157" s="5"/>
      <c r="FG157" s="5"/>
      <c r="FH157" s="5"/>
      <c r="FI157" s="5"/>
      <c r="FJ157" s="5"/>
      <c r="FK157" s="5"/>
      <c r="FL157" s="5"/>
      <c r="FM157" s="5"/>
      <c r="FN157" s="5"/>
      <c r="FO157" s="5"/>
      <c r="FP157" s="5"/>
      <c r="FQ157" s="5"/>
      <c r="FR157" s="5"/>
      <c r="FS157" s="5"/>
      <c r="FT157" s="5"/>
      <c r="FU157" s="5"/>
      <c r="FV157" s="5"/>
      <c r="FW157" s="5"/>
      <c r="FX157" s="5"/>
      <c r="FY157" s="5"/>
      <c r="FZ157" s="5"/>
      <c r="GA157" s="5"/>
      <c r="GB157" s="5"/>
      <c r="GC157" s="5"/>
      <c r="GD157" s="5"/>
      <c r="GE157" s="5"/>
      <c r="GF157" s="5"/>
      <c r="GG157" s="5"/>
      <c r="GH157" s="5"/>
      <c r="GI157" s="5"/>
      <c r="GJ157" s="5"/>
      <c r="GK157" s="5"/>
      <c r="GL157" s="5"/>
      <c r="GM157" s="5"/>
      <c r="GN157" s="5"/>
      <c r="GO157" s="5"/>
      <c r="GP157" s="5"/>
      <c r="GQ157" s="5"/>
      <c r="GR157" s="5"/>
      <c r="GS157" s="5"/>
      <c r="GT157" s="5"/>
      <c r="GU157" s="5"/>
      <c r="GV157" s="5"/>
      <c r="GW157" s="5"/>
      <c r="GX157" s="5"/>
      <c r="GY157" s="5"/>
      <c r="GZ157" s="5"/>
      <c r="HA157" s="5"/>
      <c r="HB157" s="5"/>
      <c r="HC157" s="5"/>
      <c r="HD157" s="5"/>
      <c r="HE157" s="5"/>
      <c r="HF157" s="5"/>
      <c r="HG157" s="5"/>
      <c r="HH157" s="5"/>
      <c r="HI157" s="5"/>
      <c r="HJ157" s="5"/>
      <c r="HK157" s="5"/>
      <c r="HL157" s="5"/>
      <c r="HM157" s="5"/>
      <c r="HN157" s="5"/>
      <c r="HO157" s="5"/>
      <c r="HP157" s="5"/>
      <c r="HQ157" s="5"/>
      <c r="HR157" s="5"/>
      <c r="HS157" s="5"/>
      <c r="HT157" s="5"/>
      <c r="HU157" s="5"/>
      <c r="HV157" s="5"/>
      <c r="HW157" s="5"/>
      <c r="HX157" s="5"/>
      <c r="HY157" s="5"/>
      <c r="HZ157" s="5"/>
      <c r="IA157" s="5"/>
      <c r="IB157" s="5"/>
      <c r="IC157" s="5"/>
      <c r="ID157" s="5"/>
      <c r="IE157" s="5"/>
      <c r="IF157" s="5"/>
      <c r="IG157" s="5"/>
      <c r="IH157" s="5"/>
      <c r="II157" s="5"/>
      <c r="IJ157" s="5"/>
      <c r="IK157" s="5"/>
      <c r="IL157" s="5"/>
      <c r="IM157" s="5"/>
      <c r="IN157" s="5"/>
      <c r="IO157" s="5"/>
      <c r="IP157" s="5"/>
      <c r="IQ157" s="5"/>
      <c r="IR157" s="5"/>
      <c r="IS157" s="5"/>
      <c r="IT157" s="5"/>
      <c r="IU157" s="5"/>
      <c r="IV157" s="5"/>
      <c r="IW157" s="5"/>
      <c r="IX157" s="5"/>
      <c r="IY157" s="5"/>
      <c r="IZ157" s="5"/>
      <c r="JA157" s="5"/>
      <c r="JB157" s="5"/>
      <c r="JC157" s="5"/>
      <c r="JD157" s="5"/>
      <c r="JE157" s="5"/>
      <c r="JF157" s="5"/>
      <c r="JG157" s="5"/>
      <c r="JH157" s="5"/>
      <c r="JI157" s="5"/>
      <c r="JJ157" s="5"/>
      <c r="JK157" s="5"/>
      <c r="JL157" s="5"/>
      <c r="JM157" s="5"/>
      <c r="JN157" s="5"/>
      <c r="JO157" s="5"/>
      <c r="JP157" s="5"/>
      <c r="JQ157" s="5"/>
      <c r="JR157" s="5"/>
      <c r="JS157" s="5"/>
      <c r="JT157" s="5"/>
      <c r="JU157" s="5"/>
      <c r="JV157" s="5"/>
      <c r="JW157" s="5"/>
      <c r="JX157" s="5"/>
      <c r="JY157" s="5"/>
      <c r="JZ157" s="5"/>
      <c r="KA157" s="5"/>
      <c r="KB157" s="5"/>
      <c r="KC157" s="5"/>
      <c r="KD157" s="5"/>
      <c r="KE157" s="5"/>
      <c r="KF157" s="5"/>
      <c r="KG157" s="5"/>
      <c r="KH157" s="5"/>
      <c r="KI157" s="5"/>
      <c r="KJ157" s="5"/>
      <c r="KK157" s="5"/>
      <c r="KL157" s="5"/>
      <c r="KM157" s="5"/>
      <c r="KN157" s="5"/>
      <c r="KO157" s="5"/>
      <c r="KP157" s="5"/>
      <c r="KQ157" s="5"/>
      <c r="KR157" s="5"/>
      <c r="KS157" s="5"/>
      <c r="KT157" s="5"/>
      <c r="KU157" s="5"/>
      <c r="KV157" s="5"/>
      <c r="KW157" s="5"/>
      <c r="KX157" s="5"/>
      <c r="KY157" s="5"/>
      <c r="KZ157" s="5"/>
      <c r="LA157" s="5"/>
      <c r="LB157" s="5"/>
      <c r="LC157" s="5"/>
      <c r="LD157" s="5"/>
      <c r="LE157" s="5"/>
      <c r="LF157" s="5"/>
      <c r="LG157" s="5"/>
      <c r="LH157" s="5"/>
      <c r="LI157" s="5"/>
      <c r="LJ157" s="5"/>
      <c r="LK157" s="5"/>
      <c r="LL157" s="5"/>
      <c r="LM157" s="5"/>
      <c r="LN157" s="5"/>
      <c r="LO157" s="5"/>
      <c r="LP157" s="5"/>
      <c r="LQ157" s="5"/>
      <c r="LR157" s="5"/>
      <c r="LS157" s="5"/>
      <c r="LT157" s="5"/>
      <c r="LU157" s="5"/>
      <c r="LV157" s="5"/>
      <c r="LW157" s="5"/>
      <c r="LX157" s="5"/>
      <c r="LY157" s="5"/>
      <c r="LZ157" s="5"/>
      <c r="MA157" s="5"/>
      <c r="MB157" s="5"/>
      <c r="MC157" s="5"/>
      <c r="MD157" s="5"/>
      <c r="ME157" s="5"/>
      <c r="MF157" s="5"/>
      <c r="MG157" s="5"/>
      <c r="MH157" s="5"/>
      <c r="MI157" s="5"/>
      <c r="MJ157" s="5"/>
      <c r="MK157" s="5"/>
    </row>
    <row r="158" spans="1:349" s="2" customFormat="1" ht="17.7" customHeight="1" x14ac:dyDescent="0.3">
      <c r="A158" s="20">
        <v>157</v>
      </c>
      <c r="B158" s="20">
        <v>8100075</v>
      </c>
      <c r="C158" s="10" t="s">
        <v>190</v>
      </c>
      <c r="D158" s="10" t="s">
        <v>25</v>
      </c>
      <c r="E158" s="10" t="s">
        <v>35</v>
      </c>
      <c r="F158" s="10">
        <v>234.5</v>
      </c>
      <c r="G158" s="10">
        <v>3</v>
      </c>
      <c r="H158" s="10"/>
      <c r="I158" s="10" t="s">
        <v>116</v>
      </c>
      <c r="J158" s="10"/>
      <c r="K158" s="10"/>
      <c r="L158" s="10"/>
      <c r="M158" s="10">
        <f t="shared" si="2"/>
        <v>194.63499999999999</v>
      </c>
      <c r="N158" s="10" t="s">
        <v>28</v>
      </c>
      <c r="O158" s="10" t="s">
        <v>29</v>
      </c>
      <c r="P158" s="10" t="s">
        <v>29</v>
      </c>
      <c r="Q158" s="10"/>
      <c r="R158" s="10"/>
      <c r="S158" s="10"/>
      <c r="T158" s="10"/>
      <c r="U158" s="10"/>
      <c r="V158" s="10"/>
      <c r="W158" s="10"/>
      <c r="X158" s="10" t="s">
        <v>30</v>
      </c>
      <c r="Y158" s="13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  <c r="DE158" s="5"/>
      <c r="DF158" s="5"/>
      <c r="DG158" s="5"/>
      <c r="DH158" s="5"/>
      <c r="DI158" s="5"/>
      <c r="DJ158" s="5"/>
      <c r="DK158" s="5"/>
      <c r="DL158" s="5"/>
      <c r="DM158" s="5"/>
      <c r="DN158" s="5"/>
      <c r="DO158" s="5"/>
      <c r="DP158" s="5"/>
      <c r="DQ158" s="5"/>
      <c r="DR158" s="5"/>
      <c r="DS158" s="5"/>
      <c r="DT158" s="5"/>
      <c r="DU158" s="5"/>
      <c r="DV158" s="5"/>
      <c r="DW158" s="5"/>
      <c r="DX158" s="5"/>
      <c r="DY158" s="5"/>
      <c r="DZ158" s="5"/>
      <c r="EA158" s="5"/>
      <c r="EB158" s="5"/>
      <c r="EC158" s="5"/>
      <c r="ED158" s="5"/>
      <c r="EE158" s="5"/>
      <c r="EF158" s="5"/>
      <c r="EG158" s="5"/>
      <c r="EH158" s="5"/>
      <c r="EI158" s="5"/>
      <c r="EJ158" s="5"/>
      <c r="EK158" s="5"/>
      <c r="EL158" s="5"/>
      <c r="EM158" s="5"/>
      <c r="EN158" s="5"/>
      <c r="EO158" s="5"/>
      <c r="EP158" s="5"/>
      <c r="EQ158" s="5"/>
      <c r="ER158" s="5"/>
      <c r="ES158" s="5"/>
      <c r="ET158" s="5"/>
      <c r="EU158" s="5"/>
      <c r="EV158" s="5"/>
      <c r="EW158" s="5"/>
      <c r="EX158" s="5"/>
      <c r="EY158" s="5"/>
      <c r="EZ158" s="5"/>
      <c r="FA158" s="5"/>
      <c r="FB158" s="5"/>
      <c r="FC158" s="5"/>
      <c r="FD158" s="5"/>
      <c r="FE158" s="5"/>
      <c r="FF158" s="5"/>
      <c r="FG158" s="5"/>
      <c r="FH158" s="5"/>
      <c r="FI158" s="5"/>
      <c r="FJ158" s="5"/>
      <c r="FK158" s="5"/>
      <c r="FL158" s="5"/>
      <c r="FM158" s="5"/>
      <c r="FN158" s="5"/>
      <c r="FO158" s="5"/>
      <c r="FP158" s="5"/>
      <c r="FQ158" s="5"/>
      <c r="FR158" s="5"/>
      <c r="FS158" s="5"/>
      <c r="FT158" s="5"/>
      <c r="FU158" s="5"/>
      <c r="FV158" s="5"/>
      <c r="FW158" s="5"/>
      <c r="FX158" s="5"/>
      <c r="FY158" s="5"/>
      <c r="FZ158" s="5"/>
      <c r="GA158" s="5"/>
      <c r="GB158" s="5"/>
      <c r="GC158" s="5"/>
      <c r="GD158" s="5"/>
      <c r="GE158" s="5"/>
      <c r="GF158" s="5"/>
      <c r="GG158" s="5"/>
      <c r="GH158" s="5"/>
      <c r="GI158" s="5"/>
      <c r="GJ158" s="5"/>
      <c r="GK158" s="5"/>
      <c r="GL158" s="5"/>
      <c r="GM158" s="5"/>
      <c r="GN158" s="5"/>
      <c r="GO158" s="5"/>
      <c r="GP158" s="5"/>
      <c r="GQ158" s="5"/>
      <c r="GR158" s="5"/>
      <c r="GS158" s="5"/>
      <c r="GT158" s="5"/>
      <c r="GU158" s="5"/>
      <c r="GV158" s="5"/>
      <c r="GW158" s="5"/>
      <c r="GX158" s="5"/>
      <c r="GY158" s="5"/>
      <c r="GZ158" s="5"/>
      <c r="HA158" s="5"/>
      <c r="HB158" s="5"/>
      <c r="HC158" s="5"/>
      <c r="HD158" s="5"/>
      <c r="HE158" s="5"/>
      <c r="HF158" s="5"/>
      <c r="HG158" s="5"/>
      <c r="HH158" s="5"/>
      <c r="HI158" s="5"/>
      <c r="HJ158" s="5"/>
      <c r="HK158" s="5"/>
      <c r="HL158" s="5"/>
      <c r="HM158" s="5"/>
      <c r="HN158" s="5"/>
      <c r="HO158" s="5"/>
      <c r="HP158" s="5"/>
      <c r="HQ158" s="5"/>
      <c r="HR158" s="5"/>
      <c r="HS158" s="5"/>
      <c r="HT158" s="5"/>
      <c r="HU158" s="5"/>
      <c r="HV158" s="5"/>
      <c r="HW158" s="5"/>
      <c r="HX158" s="5"/>
      <c r="HY158" s="5"/>
      <c r="HZ158" s="5"/>
      <c r="IA158" s="5"/>
      <c r="IB158" s="5"/>
      <c r="IC158" s="5"/>
      <c r="ID158" s="5"/>
      <c r="IE158" s="5"/>
      <c r="IF158" s="5"/>
      <c r="IG158" s="5"/>
      <c r="IH158" s="5"/>
      <c r="II158" s="5"/>
      <c r="IJ158" s="5"/>
      <c r="IK158" s="5"/>
      <c r="IL158" s="5"/>
      <c r="IM158" s="5"/>
      <c r="IN158" s="5"/>
      <c r="IO158" s="5"/>
      <c r="IP158" s="5"/>
      <c r="IQ158" s="5"/>
      <c r="IR158" s="5"/>
      <c r="IS158" s="5"/>
      <c r="IT158" s="5"/>
      <c r="IU158" s="5"/>
      <c r="IV158" s="5"/>
      <c r="IW158" s="5"/>
      <c r="IX158" s="5"/>
      <c r="IY158" s="5"/>
      <c r="IZ158" s="5"/>
      <c r="JA158" s="5"/>
      <c r="JB158" s="5"/>
      <c r="JC158" s="5"/>
      <c r="JD158" s="5"/>
      <c r="JE158" s="5"/>
      <c r="JF158" s="5"/>
      <c r="JG158" s="5"/>
      <c r="JH158" s="5"/>
      <c r="JI158" s="5"/>
      <c r="JJ158" s="5"/>
      <c r="JK158" s="5"/>
      <c r="JL158" s="5"/>
      <c r="JM158" s="5"/>
      <c r="JN158" s="5"/>
      <c r="JO158" s="5"/>
      <c r="JP158" s="5"/>
      <c r="JQ158" s="5"/>
      <c r="JR158" s="5"/>
      <c r="JS158" s="5"/>
      <c r="JT158" s="5"/>
      <c r="JU158" s="5"/>
      <c r="JV158" s="5"/>
      <c r="JW158" s="5"/>
      <c r="JX158" s="5"/>
      <c r="JY158" s="5"/>
      <c r="JZ158" s="5"/>
      <c r="KA158" s="5"/>
      <c r="KB158" s="5"/>
      <c r="KC158" s="5"/>
      <c r="KD158" s="5"/>
      <c r="KE158" s="5"/>
      <c r="KF158" s="5"/>
      <c r="KG158" s="5"/>
      <c r="KH158" s="5"/>
      <c r="KI158" s="5"/>
      <c r="KJ158" s="5"/>
      <c r="KK158" s="5"/>
      <c r="KL158" s="5"/>
      <c r="KM158" s="5"/>
      <c r="KN158" s="5"/>
      <c r="KO158" s="5"/>
      <c r="KP158" s="5"/>
      <c r="KQ158" s="5"/>
      <c r="KR158" s="5"/>
      <c r="KS158" s="5"/>
      <c r="KT158" s="5"/>
      <c r="KU158" s="5"/>
      <c r="KV158" s="5"/>
      <c r="KW158" s="5"/>
      <c r="KX158" s="5"/>
      <c r="KY158" s="5"/>
      <c r="KZ158" s="5"/>
      <c r="LA158" s="5"/>
      <c r="LB158" s="5"/>
      <c r="LC158" s="5"/>
      <c r="LD158" s="5"/>
      <c r="LE158" s="5"/>
      <c r="LF158" s="5"/>
      <c r="LG158" s="5"/>
      <c r="LH158" s="5"/>
      <c r="LI158" s="5"/>
      <c r="LJ158" s="5"/>
      <c r="LK158" s="5"/>
      <c r="LL158" s="5"/>
      <c r="LM158" s="5"/>
      <c r="LN158" s="5"/>
      <c r="LO158" s="5"/>
      <c r="LP158" s="5"/>
      <c r="LQ158" s="5"/>
      <c r="LR158" s="5"/>
      <c r="LS158" s="5"/>
      <c r="LT158" s="5"/>
      <c r="LU158" s="5"/>
      <c r="LV158" s="5"/>
      <c r="LW158" s="5"/>
      <c r="LX158" s="5"/>
      <c r="LY158" s="5"/>
      <c r="LZ158" s="5"/>
      <c r="MA158" s="5"/>
      <c r="MB158" s="5"/>
      <c r="MC158" s="5"/>
      <c r="MD158" s="5"/>
      <c r="ME158" s="5"/>
      <c r="MF158" s="5"/>
      <c r="MG158" s="5"/>
      <c r="MH158" s="5"/>
      <c r="MI158" s="5"/>
      <c r="MJ158" s="5"/>
      <c r="MK158" s="5"/>
    </row>
    <row r="159" spans="1:349" s="2" customFormat="1" ht="17.7" customHeight="1" x14ac:dyDescent="0.3">
      <c r="A159" s="21">
        <v>158</v>
      </c>
      <c r="B159" s="21">
        <v>8100076</v>
      </c>
      <c r="C159" s="9" t="s">
        <v>191</v>
      </c>
      <c r="D159" s="9" t="s">
        <v>25</v>
      </c>
      <c r="E159" s="9" t="s">
        <v>35</v>
      </c>
      <c r="F159" s="9">
        <v>36.25</v>
      </c>
      <c r="G159" s="9">
        <v>3</v>
      </c>
      <c r="H159" s="9"/>
      <c r="I159" s="9" t="s">
        <v>116</v>
      </c>
      <c r="J159" s="9"/>
      <c r="K159" s="9"/>
      <c r="L159" s="9"/>
      <c r="M159" s="9">
        <f t="shared" si="2"/>
        <v>30.087499999999999</v>
      </c>
      <c r="N159" s="9" t="s">
        <v>28</v>
      </c>
      <c r="O159" s="9" t="s">
        <v>29</v>
      </c>
      <c r="P159" s="9" t="s">
        <v>29</v>
      </c>
      <c r="Q159" s="9"/>
      <c r="R159" s="9"/>
      <c r="S159" s="9"/>
      <c r="T159" s="9"/>
      <c r="U159" s="9"/>
      <c r="V159" s="9"/>
      <c r="W159" s="9"/>
      <c r="X159" s="9" t="s">
        <v>30</v>
      </c>
      <c r="Y159" s="13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  <c r="DE159" s="5"/>
      <c r="DF159" s="5"/>
      <c r="DG159" s="5"/>
      <c r="DH159" s="5"/>
      <c r="DI159" s="5"/>
      <c r="DJ159" s="5"/>
      <c r="DK159" s="5"/>
      <c r="DL159" s="5"/>
      <c r="DM159" s="5"/>
      <c r="DN159" s="5"/>
      <c r="DO159" s="5"/>
      <c r="DP159" s="5"/>
      <c r="DQ159" s="5"/>
      <c r="DR159" s="5"/>
      <c r="DS159" s="5"/>
      <c r="DT159" s="5"/>
      <c r="DU159" s="5"/>
      <c r="DV159" s="5"/>
      <c r="DW159" s="5"/>
      <c r="DX159" s="5"/>
      <c r="DY159" s="5"/>
      <c r="DZ159" s="5"/>
      <c r="EA159" s="5"/>
      <c r="EB159" s="5"/>
      <c r="EC159" s="5"/>
      <c r="ED159" s="5"/>
      <c r="EE159" s="5"/>
      <c r="EF159" s="5"/>
      <c r="EG159" s="5"/>
      <c r="EH159" s="5"/>
      <c r="EI159" s="5"/>
      <c r="EJ159" s="5"/>
      <c r="EK159" s="5"/>
      <c r="EL159" s="5"/>
      <c r="EM159" s="5"/>
      <c r="EN159" s="5"/>
      <c r="EO159" s="5"/>
      <c r="EP159" s="5"/>
      <c r="EQ159" s="5"/>
      <c r="ER159" s="5"/>
      <c r="ES159" s="5"/>
      <c r="ET159" s="5"/>
      <c r="EU159" s="5"/>
      <c r="EV159" s="5"/>
      <c r="EW159" s="5"/>
      <c r="EX159" s="5"/>
      <c r="EY159" s="5"/>
      <c r="EZ159" s="5"/>
      <c r="FA159" s="5"/>
      <c r="FB159" s="5"/>
      <c r="FC159" s="5"/>
      <c r="FD159" s="5"/>
      <c r="FE159" s="5"/>
      <c r="FF159" s="5"/>
      <c r="FG159" s="5"/>
      <c r="FH159" s="5"/>
      <c r="FI159" s="5"/>
      <c r="FJ159" s="5"/>
      <c r="FK159" s="5"/>
      <c r="FL159" s="5"/>
      <c r="FM159" s="5"/>
      <c r="FN159" s="5"/>
      <c r="FO159" s="5"/>
      <c r="FP159" s="5"/>
      <c r="FQ159" s="5"/>
      <c r="FR159" s="5"/>
      <c r="FS159" s="5"/>
      <c r="FT159" s="5"/>
      <c r="FU159" s="5"/>
      <c r="FV159" s="5"/>
      <c r="FW159" s="5"/>
      <c r="FX159" s="5"/>
      <c r="FY159" s="5"/>
      <c r="FZ159" s="5"/>
      <c r="GA159" s="5"/>
      <c r="GB159" s="5"/>
      <c r="GC159" s="5"/>
      <c r="GD159" s="5"/>
      <c r="GE159" s="5"/>
      <c r="GF159" s="5"/>
      <c r="GG159" s="5"/>
      <c r="GH159" s="5"/>
      <c r="GI159" s="5"/>
      <c r="GJ159" s="5"/>
      <c r="GK159" s="5"/>
      <c r="GL159" s="5"/>
      <c r="GM159" s="5"/>
      <c r="GN159" s="5"/>
      <c r="GO159" s="5"/>
      <c r="GP159" s="5"/>
      <c r="GQ159" s="5"/>
      <c r="GR159" s="5"/>
      <c r="GS159" s="5"/>
      <c r="GT159" s="5"/>
      <c r="GU159" s="5"/>
      <c r="GV159" s="5"/>
      <c r="GW159" s="5"/>
      <c r="GX159" s="5"/>
      <c r="GY159" s="5"/>
      <c r="GZ159" s="5"/>
      <c r="HA159" s="5"/>
      <c r="HB159" s="5"/>
      <c r="HC159" s="5"/>
      <c r="HD159" s="5"/>
      <c r="HE159" s="5"/>
      <c r="HF159" s="5"/>
      <c r="HG159" s="5"/>
      <c r="HH159" s="5"/>
      <c r="HI159" s="5"/>
      <c r="HJ159" s="5"/>
      <c r="HK159" s="5"/>
      <c r="HL159" s="5"/>
      <c r="HM159" s="5"/>
      <c r="HN159" s="5"/>
      <c r="HO159" s="5"/>
      <c r="HP159" s="5"/>
      <c r="HQ159" s="5"/>
      <c r="HR159" s="5"/>
      <c r="HS159" s="5"/>
      <c r="HT159" s="5"/>
      <c r="HU159" s="5"/>
      <c r="HV159" s="5"/>
      <c r="HW159" s="5"/>
      <c r="HX159" s="5"/>
      <c r="HY159" s="5"/>
      <c r="HZ159" s="5"/>
      <c r="IA159" s="5"/>
      <c r="IB159" s="5"/>
      <c r="IC159" s="5"/>
      <c r="ID159" s="5"/>
      <c r="IE159" s="5"/>
      <c r="IF159" s="5"/>
      <c r="IG159" s="5"/>
      <c r="IH159" s="5"/>
      <c r="II159" s="5"/>
      <c r="IJ159" s="5"/>
      <c r="IK159" s="5"/>
      <c r="IL159" s="5"/>
      <c r="IM159" s="5"/>
      <c r="IN159" s="5"/>
      <c r="IO159" s="5"/>
      <c r="IP159" s="5"/>
      <c r="IQ159" s="5"/>
      <c r="IR159" s="5"/>
      <c r="IS159" s="5"/>
      <c r="IT159" s="5"/>
      <c r="IU159" s="5"/>
      <c r="IV159" s="5"/>
      <c r="IW159" s="5"/>
      <c r="IX159" s="5"/>
      <c r="IY159" s="5"/>
      <c r="IZ159" s="5"/>
      <c r="JA159" s="5"/>
      <c r="JB159" s="5"/>
      <c r="JC159" s="5"/>
      <c r="JD159" s="5"/>
      <c r="JE159" s="5"/>
      <c r="JF159" s="5"/>
      <c r="JG159" s="5"/>
      <c r="JH159" s="5"/>
      <c r="JI159" s="5"/>
      <c r="JJ159" s="5"/>
      <c r="JK159" s="5"/>
      <c r="JL159" s="5"/>
      <c r="JM159" s="5"/>
      <c r="JN159" s="5"/>
      <c r="JO159" s="5"/>
      <c r="JP159" s="5"/>
      <c r="JQ159" s="5"/>
      <c r="JR159" s="5"/>
      <c r="JS159" s="5"/>
      <c r="JT159" s="5"/>
      <c r="JU159" s="5"/>
      <c r="JV159" s="5"/>
      <c r="JW159" s="5"/>
      <c r="JX159" s="5"/>
      <c r="JY159" s="5"/>
      <c r="JZ159" s="5"/>
      <c r="KA159" s="5"/>
      <c r="KB159" s="5"/>
      <c r="KC159" s="5"/>
      <c r="KD159" s="5"/>
      <c r="KE159" s="5"/>
      <c r="KF159" s="5"/>
      <c r="KG159" s="5"/>
      <c r="KH159" s="5"/>
      <c r="KI159" s="5"/>
      <c r="KJ159" s="5"/>
      <c r="KK159" s="5"/>
      <c r="KL159" s="5"/>
      <c r="KM159" s="5"/>
      <c r="KN159" s="5"/>
      <c r="KO159" s="5"/>
      <c r="KP159" s="5"/>
      <c r="KQ159" s="5"/>
      <c r="KR159" s="5"/>
      <c r="KS159" s="5"/>
      <c r="KT159" s="5"/>
      <c r="KU159" s="5"/>
      <c r="KV159" s="5"/>
      <c r="KW159" s="5"/>
      <c r="KX159" s="5"/>
      <c r="KY159" s="5"/>
      <c r="KZ159" s="5"/>
      <c r="LA159" s="5"/>
      <c r="LB159" s="5"/>
      <c r="LC159" s="5"/>
      <c r="LD159" s="5"/>
      <c r="LE159" s="5"/>
      <c r="LF159" s="5"/>
      <c r="LG159" s="5"/>
      <c r="LH159" s="5"/>
      <c r="LI159" s="5"/>
      <c r="LJ159" s="5"/>
      <c r="LK159" s="5"/>
      <c r="LL159" s="5"/>
      <c r="LM159" s="5"/>
      <c r="LN159" s="5"/>
      <c r="LO159" s="5"/>
      <c r="LP159" s="5"/>
      <c r="LQ159" s="5"/>
      <c r="LR159" s="5"/>
      <c r="LS159" s="5"/>
      <c r="LT159" s="5"/>
      <c r="LU159" s="5"/>
      <c r="LV159" s="5"/>
      <c r="LW159" s="5"/>
      <c r="LX159" s="5"/>
      <c r="LY159" s="5"/>
      <c r="LZ159" s="5"/>
      <c r="MA159" s="5"/>
      <c r="MB159" s="5"/>
      <c r="MC159" s="5"/>
      <c r="MD159" s="5"/>
      <c r="ME159" s="5"/>
      <c r="MF159" s="5"/>
      <c r="MG159" s="5"/>
      <c r="MH159" s="5"/>
      <c r="MI159" s="5"/>
      <c r="MJ159" s="5"/>
      <c r="MK159" s="5"/>
    </row>
    <row r="160" spans="1:349" s="1" customFormat="1" ht="17.7" customHeight="1" x14ac:dyDescent="0.3">
      <c r="A160" s="20">
        <v>159</v>
      </c>
      <c r="B160" s="20">
        <v>8100077</v>
      </c>
      <c r="C160" s="10" t="s">
        <v>192</v>
      </c>
      <c r="D160" s="10" t="s">
        <v>25</v>
      </c>
      <c r="E160" s="10" t="s">
        <v>35</v>
      </c>
      <c r="F160" s="10">
        <v>51.5</v>
      </c>
      <c r="G160" s="10">
        <v>3</v>
      </c>
      <c r="H160" s="10"/>
      <c r="I160" s="10" t="s">
        <v>116</v>
      </c>
      <c r="J160" s="10"/>
      <c r="K160" s="10"/>
      <c r="L160" s="10"/>
      <c r="M160" s="10">
        <f t="shared" si="2"/>
        <v>42.744999999999997</v>
      </c>
      <c r="N160" s="10" t="s">
        <v>28</v>
      </c>
      <c r="O160" s="10" t="s">
        <v>29</v>
      </c>
      <c r="P160" s="10" t="s">
        <v>29</v>
      </c>
      <c r="Q160" s="10"/>
      <c r="R160" s="10"/>
      <c r="S160" s="10"/>
      <c r="T160" s="10"/>
      <c r="U160" s="10"/>
      <c r="V160" s="10"/>
      <c r="W160" s="10"/>
      <c r="X160" s="10" t="s">
        <v>30</v>
      </c>
      <c r="Y160" s="14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  <c r="BJ160" s="6"/>
      <c r="BK160" s="6"/>
      <c r="BL160" s="6"/>
      <c r="BM160" s="6"/>
      <c r="BN160" s="6"/>
      <c r="BO160" s="6"/>
      <c r="BP160" s="6"/>
      <c r="BQ160" s="6"/>
      <c r="BR160" s="6"/>
      <c r="BS160" s="6"/>
      <c r="BT160" s="6"/>
      <c r="BU160" s="6"/>
      <c r="BV160" s="6"/>
      <c r="BW160" s="6"/>
      <c r="BX160" s="6"/>
      <c r="BY160" s="6"/>
      <c r="BZ160" s="6"/>
      <c r="CA160" s="6"/>
      <c r="CB160" s="6"/>
      <c r="CC160" s="6"/>
      <c r="CD160" s="6"/>
      <c r="CE160" s="6"/>
      <c r="CF160" s="6"/>
      <c r="CG160" s="6"/>
      <c r="CH160" s="6"/>
      <c r="CI160" s="6"/>
      <c r="CJ160" s="6"/>
      <c r="CK160" s="6"/>
      <c r="CL160" s="6"/>
      <c r="CM160" s="6"/>
      <c r="CN160" s="6"/>
      <c r="CO160" s="6"/>
      <c r="CP160" s="6"/>
      <c r="CQ160" s="6"/>
      <c r="CR160" s="6"/>
      <c r="CS160" s="6"/>
      <c r="CT160" s="6"/>
      <c r="CU160" s="6"/>
      <c r="CV160" s="6"/>
      <c r="CW160" s="6"/>
      <c r="CX160" s="6"/>
      <c r="CY160" s="6"/>
      <c r="CZ160" s="6"/>
      <c r="DA160" s="6"/>
      <c r="DB160" s="6"/>
      <c r="DC160" s="6"/>
      <c r="DD160" s="6"/>
      <c r="DE160" s="6"/>
      <c r="DF160" s="6"/>
      <c r="DG160" s="6"/>
      <c r="DH160" s="6"/>
      <c r="DI160" s="6"/>
      <c r="DJ160" s="6"/>
      <c r="DK160" s="6"/>
      <c r="DL160" s="6"/>
      <c r="DM160" s="6"/>
      <c r="DN160" s="6"/>
      <c r="DO160" s="6"/>
      <c r="DP160" s="6"/>
      <c r="DQ160" s="6"/>
      <c r="DR160" s="6"/>
      <c r="DS160" s="6"/>
      <c r="DT160" s="6"/>
      <c r="DU160" s="6"/>
      <c r="DV160" s="6"/>
      <c r="DW160" s="6"/>
      <c r="DX160" s="6"/>
      <c r="DY160" s="6"/>
      <c r="DZ160" s="6"/>
      <c r="EA160" s="6"/>
      <c r="EB160" s="6"/>
      <c r="EC160" s="6"/>
      <c r="ED160" s="6"/>
      <c r="EE160" s="6"/>
      <c r="EF160" s="6"/>
      <c r="EG160" s="6"/>
      <c r="EH160" s="6"/>
      <c r="EI160" s="6"/>
      <c r="EJ160" s="6"/>
      <c r="EK160" s="6"/>
      <c r="EL160" s="6"/>
      <c r="EM160" s="6"/>
      <c r="EN160" s="6"/>
      <c r="EO160" s="6"/>
      <c r="EP160" s="6"/>
      <c r="EQ160" s="6"/>
      <c r="ER160" s="6"/>
      <c r="ES160" s="6"/>
      <c r="ET160" s="6"/>
      <c r="EU160" s="6"/>
      <c r="EV160" s="6"/>
      <c r="EW160" s="6"/>
      <c r="EX160" s="6"/>
      <c r="EY160" s="6"/>
      <c r="EZ160" s="6"/>
      <c r="FA160" s="6"/>
      <c r="FB160" s="6"/>
      <c r="FC160" s="6"/>
      <c r="FD160" s="6"/>
      <c r="FE160" s="6"/>
      <c r="FF160" s="6"/>
      <c r="FG160" s="6"/>
      <c r="FH160" s="6"/>
      <c r="FI160" s="6"/>
      <c r="FJ160" s="6"/>
      <c r="FK160" s="6"/>
      <c r="FL160" s="6"/>
      <c r="FM160" s="6"/>
      <c r="FN160" s="6"/>
      <c r="FO160" s="6"/>
      <c r="FP160" s="6"/>
      <c r="FQ160" s="6"/>
      <c r="FR160" s="6"/>
      <c r="FS160" s="6"/>
      <c r="FT160" s="6"/>
      <c r="FU160" s="6"/>
      <c r="FV160" s="6"/>
      <c r="FW160" s="6"/>
      <c r="FX160" s="6"/>
      <c r="FY160" s="6"/>
      <c r="FZ160" s="6"/>
      <c r="GA160" s="6"/>
      <c r="GB160" s="6"/>
      <c r="GC160" s="6"/>
      <c r="GD160" s="6"/>
      <c r="GE160" s="6"/>
      <c r="GF160" s="6"/>
      <c r="GG160" s="6"/>
      <c r="GH160" s="6"/>
      <c r="GI160" s="6"/>
      <c r="GJ160" s="6"/>
      <c r="GK160" s="6"/>
      <c r="GL160" s="6"/>
      <c r="GM160" s="6"/>
      <c r="GN160" s="6"/>
      <c r="GO160" s="6"/>
      <c r="GP160" s="6"/>
      <c r="GQ160" s="6"/>
      <c r="GR160" s="6"/>
      <c r="GS160" s="6"/>
      <c r="GT160" s="6"/>
      <c r="GU160" s="6"/>
      <c r="GV160" s="6"/>
      <c r="GW160" s="6"/>
      <c r="GX160" s="6"/>
      <c r="GY160" s="6"/>
      <c r="GZ160" s="6"/>
      <c r="HA160" s="6"/>
      <c r="HB160" s="6"/>
      <c r="HC160" s="6"/>
      <c r="HD160" s="6"/>
      <c r="HE160" s="6"/>
      <c r="HF160" s="6"/>
      <c r="HG160" s="6"/>
      <c r="HH160" s="6"/>
      <c r="HI160" s="6"/>
      <c r="HJ160" s="6"/>
      <c r="HK160" s="6"/>
      <c r="HL160" s="6"/>
      <c r="HM160" s="6"/>
      <c r="HN160" s="6"/>
      <c r="HO160" s="6"/>
      <c r="HP160" s="6"/>
      <c r="HQ160" s="6"/>
      <c r="HR160" s="6"/>
      <c r="HS160" s="6"/>
      <c r="HT160" s="6"/>
      <c r="HU160" s="6"/>
      <c r="HV160" s="6"/>
      <c r="HW160" s="6"/>
      <c r="HX160" s="6"/>
      <c r="HY160" s="6"/>
      <c r="HZ160" s="6"/>
      <c r="IA160" s="6"/>
      <c r="IB160" s="6"/>
      <c r="IC160" s="6"/>
      <c r="ID160" s="6"/>
      <c r="IE160" s="6"/>
      <c r="IF160" s="6"/>
      <c r="IG160" s="6"/>
      <c r="IH160" s="6"/>
      <c r="II160" s="6"/>
      <c r="IJ160" s="6"/>
      <c r="IK160" s="6"/>
      <c r="IL160" s="6"/>
      <c r="IM160" s="6"/>
      <c r="IN160" s="6"/>
      <c r="IO160" s="6"/>
      <c r="IP160" s="6"/>
      <c r="IQ160" s="6"/>
      <c r="IR160" s="6"/>
      <c r="IS160" s="6"/>
      <c r="IT160" s="6"/>
      <c r="IU160" s="6"/>
      <c r="IV160" s="6"/>
      <c r="IW160" s="6"/>
      <c r="IX160" s="6"/>
      <c r="IY160" s="6"/>
      <c r="IZ160" s="6"/>
      <c r="JA160" s="6"/>
      <c r="JB160" s="6"/>
      <c r="JC160" s="6"/>
      <c r="JD160" s="6"/>
      <c r="JE160" s="6"/>
      <c r="JF160" s="6"/>
      <c r="JG160" s="6"/>
      <c r="JH160" s="6"/>
      <c r="JI160" s="6"/>
      <c r="JJ160" s="6"/>
      <c r="JK160" s="6"/>
      <c r="JL160" s="6"/>
      <c r="JM160" s="6"/>
      <c r="JN160" s="6"/>
      <c r="JO160" s="6"/>
      <c r="JP160" s="6"/>
      <c r="JQ160" s="6"/>
      <c r="JR160" s="6"/>
      <c r="JS160" s="6"/>
      <c r="JT160" s="6"/>
      <c r="JU160" s="6"/>
      <c r="JV160" s="6"/>
      <c r="JW160" s="6"/>
      <c r="JX160" s="6"/>
      <c r="JY160" s="6"/>
      <c r="JZ160" s="6"/>
      <c r="KA160" s="6"/>
      <c r="KB160" s="6"/>
      <c r="KC160" s="6"/>
      <c r="KD160" s="6"/>
      <c r="KE160" s="6"/>
      <c r="KF160" s="6"/>
      <c r="KG160" s="6"/>
      <c r="KH160" s="6"/>
      <c r="KI160" s="6"/>
      <c r="KJ160" s="6"/>
      <c r="KK160" s="6"/>
      <c r="KL160" s="6"/>
      <c r="KM160" s="6"/>
      <c r="KN160" s="6"/>
      <c r="KO160" s="6"/>
      <c r="KP160" s="6"/>
      <c r="KQ160" s="6"/>
      <c r="KR160" s="6"/>
      <c r="KS160" s="6"/>
      <c r="KT160" s="6"/>
      <c r="KU160" s="6"/>
      <c r="KV160" s="6"/>
      <c r="KW160" s="6"/>
      <c r="KX160" s="6"/>
      <c r="KY160" s="6"/>
      <c r="KZ160" s="6"/>
      <c r="LA160" s="6"/>
      <c r="LB160" s="6"/>
      <c r="LC160" s="6"/>
      <c r="LD160" s="6"/>
      <c r="LE160" s="6"/>
      <c r="LF160" s="6"/>
      <c r="LG160" s="6"/>
      <c r="LH160" s="6"/>
      <c r="LI160" s="6"/>
      <c r="LJ160" s="6"/>
      <c r="LK160" s="6"/>
      <c r="LL160" s="6"/>
      <c r="LM160" s="6"/>
      <c r="LN160" s="6"/>
      <c r="LO160" s="6"/>
      <c r="LP160" s="6"/>
      <c r="LQ160" s="6"/>
      <c r="LR160" s="6"/>
      <c r="LS160" s="6"/>
      <c r="LT160" s="6"/>
      <c r="LU160" s="6"/>
      <c r="LV160" s="6"/>
      <c r="LW160" s="6"/>
      <c r="LX160" s="6"/>
      <c r="LY160" s="6"/>
      <c r="LZ160" s="6"/>
      <c r="MA160" s="6"/>
      <c r="MB160" s="6"/>
      <c r="MC160" s="6"/>
      <c r="MD160" s="6"/>
      <c r="ME160" s="6"/>
      <c r="MF160" s="6"/>
      <c r="MG160" s="6"/>
      <c r="MH160" s="6"/>
      <c r="MI160" s="6"/>
      <c r="MJ160" s="6"/>
      <c r="MK160" s="6"/>
    </row>
    <row r="161" spans="1:349" s="2" customFormat="1" ht="17.7" customHeight="1" x14ac:dyDescent="0.3">
      <c r="A161" s="21">
        <v>160</v>
      </c>
      <c r="B161" s="21">
        <v>8100078</v>
      </c>
      <c r="C161" s="9" t="s">
        <v>193</v>
      </c>
      <c r="D161" s="9" t="s">
        <v>25</v>
      </c>
      <c r="E161" s="9" t="s">
        <v>35</v>
      </c>
      <c r="F161" s="9">
        <v>60.5</v>
      </c>
      <c r="G161" s="9">
        <v>5</v>
      </c>
      <c r="H161" s="9"/>
      <c r="I161" s="9" t="s">
        <v>116</v>
      </c>
      <c r="J161" s="9"/>
      <c r="K161" s="9"/>
      <c r="L161" s="9"/>
      <c r="M161" s="9">
        <f t="shared" si="2"/>
        <v>50.215000000000003</v>
      </c>
      <c r="N161" s="9" t="s">
        <v>28</v>
      </c>
      <c r="O161" s="9" t="s">
        <v>29</v>
      </c>
      <c r="P161" s="9" t="s">
        <v>29</v>
      </c>
      <c r="Q161" s="9"/>
      <c r="R161" s="9"/>
      <c r="S161" s="9"/>
      <c r="T161" s="9"/>
      <c r="U161" s="9"/>
      <c r="V161" s="9"/>
      <c r="W161" s="9"/>
      <c r="X161" s="9" t="s">
        <v>30</v>
      </c>
      <c r="Y161" s="13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  <c r="DE161" s="5"/>
      <c r="DF161" s="5"/>
      <c r="DG161" s="5"/>
      <c r="DH161" s="5"/>
      <c r="DI161" s="5"/>
      <c r="DJ161" s="5"/>
      <c r="DK161" s="5"/>
      <c r="DL161" s="5"/>
      <c r="DM161" s="5"/>
      <c r="DN161" s="5"/>
      <c r="DO161" s="5"/>
      <c r="DP161" s="5"/>
      <c r="DQ161" s="5"/>
      <c r="DR161" s="5"/>
      <c r="DS161" s="5"/>
      <c r="DT161" s="5"/>
      <c r="DU161" s="5"/>
      <c r="DV161" s="5"/>
      <c r="DW161" s="5"/>
      <c r="DX161" s="5"/>
      <c r="DY161" s="5"/>
      <c r="DZ161" s="5"/>
      <c r="EA161" s="5"/>
      <c r="EB161" s="5"/>
      <c r="EC161" s="5"/>
      <c r="ED161" s="5"/>
      <c r="EE161" s="5"/>
      <c r="EF161" s="5"/>
      <c r="EG161" s="5"/>
      <c r="EH161" s="5"/>
      <c r="EI161" s="5"/>
      <c r="EJ161" s="5"/>
      <c r="EK161" s="5"/>
      <c r="EL161" s="5"/>
      <c r="EM161" s="5"/>
      <c r="EN161" s="5"/>
      <c r="EO161" s="5"/>
      <c r="EP161" s="5"/>
      <c r="EQ161" s="5"/>
      <c r="ER161" s="5"/>
      <c r="ES161" s="5"/>
      <c r="ET161" s="5"/>
      <c r="EU161" s="5"/>
      <c r="EV161" s="5"/>
      <c r="EW161" s="5"/>
      <c r="EX161" s="5"/>
      <c r="EY161" s="5"/>
      <c r="EZ161" s="5"/>
      <c r="FA161" s="5"/>
      <c r="FB161" s="5"/>
      <c r="FC161" s="5"/>
      <c r="FD161" s="5"/>
      <c r="FE161" s="5"/>
      <c r="FF161" s="5"/>
      <c r="FG161" s="5"/>
      <c r="FH161" s="5"/>
      <c r="FI161" s="5"/>
      <c r="FJ161" s="5"/>
      <c r="FK161" s="5"/>
      <c r="FL161" s="5"/>
      <c r="FM161" s="5"/>
      <c r="FN161" s="5"/>
      <c r="FO161" s="5"/>
      <c r="FP161" s="5"/>
      <c r="FQ161" s="5"/>
      <c r="FR161" s="5"/>
      <c r="FS161" s="5"/>
      <c r="FT161" s="5"/>
      <c r="FU161" s="5"/>
      <c r="FV161" s="5"/>
      <c r="FW161" s="5"/>
      <c r="FX161" s="5"/>
      <c r="FY161" s="5"/>
      <c r="FZ161" s="5"/>
      <c r="GA161" s="5"/>
      <c r="GB161" s="5"/>
      <c r="GC161" s="5"/>
      <c r="GD161" s="5"/>
      <c r="GE161" s="5"/>
      <c r="GF161" s="5"/>
      <c r="GG161" s="5"/>
      <c r="GH161" s="5"/>
      <c r="GI161" s="5"/>
      <c r="GJ161" s="5"/>
      <c r="GK161" s="5"/>
      <c r="GL161" s="5"/>
      <c r="GM161" s="5"/>
      <c r="GN161" s="5"/>
      <c r="GO161" s="5"/>
      <c r="GP161" s="5"/>
      <c r="GQ161" s="5"/>
      <c r="GR161" s="5"/>
      <c r="GS161" s="5"/>
      <c r="GT161" s="5"/>
      <c r="GU161" s="5"/>
      <c r="GV161" s="5"/>
      <c r="GW161" s="5"/>
      <c r="GX161" s="5"/>
      <c r="GY161" s="5"/>
      <c r="GZ161" s="5"/>
      <c r="HA161" s="5"/>
      <c r="HB161" s="5"/>
      <c r="HC161" s="5"/>
      <c r="HD161" s="5"/>
      <c r="HE161" s="5"/>
      <c r="HF161" s="5"/>
      <c r="HG161" s="5"/>
      <c r="HH161" s="5"/>
      <c r="HI161" s="5"/>
      <c r="HJ161" s="5"/>
      <c r="HK161" s="5"/>
      <c r="HL161" s="5"/>
      <c r="HM161" s="5"/>
      <c r="HN161" s="5"/>
      <c r="HO161" s="5"/>
      <c r="HP161" s="5"/>
      <c r="HQ161" s="5"/>
      <c r="HR161" s="5"/>
      <c r="HS161" s="5"/>
      <c r="HT161" s="5"/>
      <c r="HU161" s="5"/>
      <c r="HV161" s="5"/>
      <c r="HW161" s="5"/>
      <c r="HX161" s="5"/>
      <c r="HY161" s="5"/>
      <c r="HZ161" s="5"/>
      <c r="IA161" s="5"/>
      <c r="IB161" s="5"/>
      <c r="IC161" s="5"/>
      <c r="ID161" s="5"/>
      <c r="IE161" s="5"/>
      <c r="IF161" s="5"/>
      <c r="IG161" s="5"/>
      <c r="IH161" s="5"/>
      <c r="II161" s="5"/>
      <c r="IJ161" s="5"/>
      <c r="IK161" s="5"/>
      <c r="IL161" s="5"/>
      <c r="IM161" s="5"/>
      <c r="IN161" s="5"/>
      <c r="IO161" s="5"/>
      <c r="IP161" s="5"/>
      <c r="IQ161" s="5"/>
      <c r="IR161" s="5"/>
      <c r="IS161" s="5"/>
      <c r="IT161" s="5"/>
      <c r="IU161" s="5"/>
      <c r="IV161" s="5"/>
      <c r="IW161" s="5"/>
      <c r="IX161" s="5"/>
      <c r="IY161" s="5"/>
      <c r="IZ161" s="5"/>
      <c r="JA161" s="5"/>
      <c r="JB161" s="5"/>
      <c r="JC161" s="5"/>
      <c r="JD161" s="5"/>
      <c r="JE161" s="5"/>
      <c r="JF161" s="5"/>
      <c r="JG161" s="5"/>
      <c r="JH161" s="5"/>
      <c r="JI161" s="5"/>
      <c r="JJ161" s="5"/>
      <c r="JK161" s="5"/>
      <c r="JL161" s="5"/>
      <c r="JM161" s="5"/>
      <c r="JN161" s="5"/>
      <c r="JO161" s="5"/>
      <c r="JP161" s="5"/>
      <c r="JQ161" s="5"/>
      <c r="JR161" s="5"/>
      <c r="JS161" s="5"/>
      <c r="JT161" s="5"/>
      <c r="JU161" s="5"/>
      <c r="JV161" s="5"/>
      <c r="JW161" s="5"/>
      <c r="JX161" s="5"/>
      <c r="JY161" s="5"/>
      <c r="JZ161" s="5"/>
      <c r="KA161" s="5"/>
      <c r="KB161" s="5"/>
      <c r="KC161" s="5"/>
      <c r="KD161" s="5"/>
      <c r="KE161" s="5"/>
      <c r="KF161" s="5"/>
      <c r="KG161" s="5"/>
      <c r="KH161" s="5"/>
      <c r="KI161" s="5"/>
      <c r="KJ161" s="5"/>
      <c r="KK161" s="5"/>
      <c r="KL161" s="5"/>
      <c r="KM161" s="5"/>
      <c r="KN161" s="5"/>
      <c r="KO161" s="5"/>
      <c r="KP161" s="5"/>
      <c r="KQ161" s="5"/>
      <c r="KR161" s="5"/>
      <c r="KS161" s="5"/>
      <c r="KT161" s="5"/>
      <c r="KU161" s="5"/>
      <c r="KV161" s="5"/>
      <c r="KW161" s="5"/>
      <c r="KX161" s="5"/>
      <c r="KY161" s="5"/>
      <c r="KZ161" s="5"/>
      <c r="LA161" s="5"/>
      <c r="LB161" s="5"/>
      <c r="LC161" s="5"/>
      <c r="LD161" s="5"/>
      <c r="LE161" s="5"/>
      <c r="LF161" s="5"/>
      <c r="LG161" s="5"/>
      <c r="LH161" s="5"/>
      <c r="LI161" s="5"/>
      <c r="LJ161" s="5"/>
      <c r="LK161" s="5"/>
      <c r="LL161" s="5"/>
      <c r="LM161" s="5"/>
      <c r="LN161" s="5"/>
      <c r="LO161" s="5"/>
      <c r="LP161" s="5"/>
      <c r="LQ161" s="5"/>
      <c r="LR161" s="5"/>
      <c r="LS161" s="5"/>
      <c r="LT161" s="5"/>
      <c r="LU161" s="5"/>
      <c r="LV161" s="5"/>
      <c r="LW161" s="5"/>
      <c r="LX161" s="5"/>
      <c r="LY161" s="5"/>
      <c r="LZ161" s="5"/>
      <c r="MA161" s="5"/>
      <c r="MB161" s="5"/>
      <c r="MC161" s="5"/>
      <c r="MD161" s="5"/>
      <c r="ME161" s="5"/>
      <c r="MF161" s="5"/>
      <c r="MG161" s="5"/>
      <c r="MH161" s="5"/>
      <c r="MI161" s="5"/>
      <c r="MJ161" s="5"/>
      <c r="MK161" s="5"/>
    </row>
    <row r="162" spans="1:349" s="2" customFormat="1" ht="17.7" customHeight="1" x14ac:dyDescent="0.3">
      <c r="A162" s="20">
        <v>161</v>
      </c>
      <c r="B162" s="20">
        <v>8100079</v>
      </c>
      <c r="C162" s="10" t="s">
        <v>194</v>
      </c>
      <c r="D162" s="10" t="s">
        <v>25</v>
      </c>
      <c r="E162" s="10" t="s">
        <v>35</v>
      </c>
      <c r="F162" s="10">
        <v>55.25</v>
      </c>
      <c r="G162" s="10">
        <v>5</v>
      </c>
      <c r="H162" s="10"/>
      <c r="I162" s="10" t="s">
        <v>116</v>
      </c>
      <c r="J162" s="10"/>
      <c r="K162" s="10"/>
      <c r="L162" s="10"/>
      <c r="M162" s="10">
        <f t="shared" si="2"/>
        <v>45.857500000000002</v>
      </c>
      <c r="N162" s="10" t="s">
        <v>28</v>
      </c>
      <c r="O162" s="10" t="s">
        <v>29</v>
      </c>
      <c r="P162" s="10" t="s">
        <v>29</v>
      </c>
      <c r="Q162" s="10"/>
      <c r="R162" s="10"/>
      <c r="S162" s="10"/>
      <c r="T162" s="10"/>
      <c r="U162" s="10"/>
      <c r="V162" s="10"/>
      <c r="W162" s="10"/>
      <c r="X162" s="10" t="s">
        <v>30</v>
      </c>
      <c r="Y162" s="13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  <c r="DE162" s="5"/>
      <c r="DF162" s="5"/>
      <c r="DG162" s="5"/>
      <c r="DH162" s="5"/>
      <c r="DI162" s="5"/>
      <c r="DJ162" s="5"/>
      <c r="DK162" s="5"/>
      <c r="DL162" s="5"/>
      <c r="DM162" s="5"/>
      <c r="DN162" s="5"/>
      <c r="DO162" s="5"/>
      <c r="DP162" s="5"/>
      <c r="DQ162" s="5"/>
      <c r="DR162" s="5"/>
      <c r="DS162" s="5"/>
      <c r="DT162" s="5"/>
      <c r="DU162" s="5"/>
      <c r="DV162" s="5"/>
      <c r="DW162" s="5"/>
      <c r="DX162" s="5"/>
      <c r="DY162" s="5"/>
      <c r="DZ162" s="5"/>
      <c r="EA162" s="5"/>
      <c r="EB162" s="5"/>
      <c r="EC162" s="5"/>
      <c r="ED162" s="5"/>
      <c r="EE162" s="5"/>
      <c r="EF162" s="5"/>
      <c r="EG162" s="5"/>
      <c r="EH162" s="5"/>
      <c r="EI162" s="5"/>
      <c r="EJ162" s="5"/>
      <c r="EK162" s="5"/>
      <c r="EL162" s="5"/>
      <c r="EM162" s="5"/>
      <c r="EN162" s="5"/>
      <c r="EO162" s="5"/>
      <c r="EP162" s="5"/>
      <c r="EQ162" s="5"/>
      <c r="ER162" s="5"/>
      <c r="ES162" s="5"/>
      <c r="ET162" s="5"/>
      <c r="EU162" s="5"/>
      <c r="EV162" s="5"/>
      <c r="EW162" s="5"/>
      <c r="EX162" s="5"/>
      <c r="EY162" s="5"/>
      <c r="EZ162" s="5"/>
      <c r="FA162" s="5"/>
      <c r="FB162" s="5"/>
      <c r="FC162" s="5"/>
      <c r="FD162" s="5"/>
      <c r="FE162" s="5"/>
      <c r="FF162" s="5"/>
      <c r="FG162" s="5"/>
      <c r="FH162" s="5"/>
      <c r="FI162" s="5"/>
      <c r="FJ162" s="5"/>
      <c r="FK162" s="5"/>
      <c r="FL162" s="5"/>
      <c r="FM162" s="5"/>
      <c r="FN162" s="5"/>
      <c r="FO162" s="5"/>
      <c r="FP162" s="5"/>
      <c r="FQ162" s="5"/>
      <c r="FR162" s="5"/>
      <c r="FS162" s="5"/>
      <c r="FT162" s="5"/>
      <c r="FU162" s="5"/>
      <c r="FV162" s="5"/>
      <c r="FW162" s="5"/>
      <c r="FX162" s="5"/>
      <c r="FY162" s="5"/>
      <c r="FZ162" s="5"/>
      <c r="GA162" s="5"/>
      <c r="GB162" s="5"/>
      <c r="GC162" s="5"/>
      <c r="GD162" s="5"/>
      <c r="GE162" s="5"/>
      <c r="GF162" s="5"/>
      <c r="GG162" s="5"/>
      <c r="GH162" s="5"/>
      <c r="GI162" s="5"/>
      <c r="GJ162" s="5"/>
      <c r="GK162" s="5"/>
      <c r="GL162" s="5"/>
      <c r="GM162" s="5"/>
      <c r="GN162" s="5"/>
      <c r="GO162" s="5"/>
      <c r="GP162" s="5"/>
      <c r="GQ162" s="5"/>
      <c r="GR162" s="5"/>
      <c r="GS162" s="5"/>
      <c r="GT162" s="5"/>
      <c r="GU162" s="5"/>
      <c r="GV162" s="5"/>
      <c r="GW162" s="5"/>
      <c r="GX162" s="5"/>
      <c r="GY162" s="5"/>
      <c r="GZ162" s="5"/>
      <c r="HA162" s="5"/>
      <c r="HB162" s="5"/>
      <c r="HC162" s="5"/>
      <c r="HD162" s="5"/>
      <c r="HE162" s="5"/>
      <c r="HF162" s="5"/>
      <c r="HG162" s="5"/>
      <c r="HH162" s="5"/>
      <c r="HI162" s="5"/>
      <c r="HJ162" s="5"/>
      <c r="HK162" s="5"/>
      <c r="HL162" s="5"/>
      <c r="HM162" s="5"/>
      <c r="HN162" s="5"/>
      <c r="HO162" s="5"/>
      <c r="HP162" s="5"/>
      <c r="HQ162" s="5"/>
      <c r="HR162" s="5"/>
      <c r="HS162" s="5"/>
      <c r="HT162" s="5"/>
      <c r="HU162" s="5"/>
      <c r="HV162" s="5"/>
      <c r="HW162" s="5"/>
      <c r="HX162" s="5"/>
      <c r="HY162" s="5"/>
      <c r="HZ162" s="5"/>
      <c r="IA162" s="5"/>
      <c r="IB162" s="5"/>
      <c r="IC162" s="5"/>
      <c r="ID162" s="5"/>
      <c r="IE162" s="5"/>
      <c r="IF162" s="5"/>
      <c r="IG162" s="5"/>
      <c r="IH162" s="5"/>
      <c r="II162" s="5"/>
      <c r="IJ162" s="5"/>
      <c r="IK162" s="5"/>
      <c r="IL162" s="5"/>
      <c r="IM162" s="5"/>
      <c r="IN162" s="5"/>
      <c r="IO162" s="5"/>
      <c r="IP162" s="5"/>
      <c r="IQ162" s="5"/>
      <c r="IR162" s="5"/>
      <c r="IS162" s="5"/>
      <c r="IT162" s="5"/>
      <c r="IU162" s="5"/>
      <c r="IV162" s="5"/>
      <c r="IW162" s="5"/>
      <c r="IX162" s="5"/>
      <c r="IY162" s="5"/>
      <c r="IZ162" s="5"/>
      <c r="JA162" s="5"/>
      <c r="JB162" s="5"/>
      <c r="JC162" s="5"/>
      <c r="JD162" s="5"/>
      <c r="JE162" s="5"/>
      <c r="JF162" s="5"/>
      <c r="JG162" s="5"/>
      <c r="JH162" s="5"/>
      <c r="JI162" s="5"/>
      <c r="JJ162" s="5"/>
      <c r="JK162" s="5"/>
      <c r="JL162" s="5"/>
      <c r="JM162" s="5"/>
      <c r="JN162" s="5"/>
      <c r="JO162" s="5"/>
      <c r="JP162" s="5"/>
      <c r="JQ162" s="5"/>
      <c r="JR162" s="5"/>
      <c r="JS162" s="5"/>
      <c r="JT162" s="5"/>
      <c r="JU162" s="5"/>
      <c r="JV162" s="5"/>
      <c r="JW162" s="5"/>
      <c r="JX162" s="5"/>
      <c r="JY162" s="5"/>
      <c r="JZ162" s="5"/>
      <c r="KA162" s="5"/>
      <c r="KB162" s="5"/>
      <c r="KC162" s="5"/>
      <c r="KD162" s="5"/>
      <c r="KE162" s="5"/>
      <c r="KF162" s="5"/>
      <c r="KG162" s="5"/>
      <c r="KH162" s="5"/>
      <c r="KI162" s="5"/>
      <c r="KJ162" s="5"/>
      <c r="KK162" s="5"/>
      <c r="KL162" s="5"/>
      <c r="KM162" s="5"/>
      <c r="KN162" s="5"/>
      <c r="KO162" s="5"/>
      <c r="KP162" s="5"/>
      <c r="KQ162" s="5"/>
      <c r="KR162" s="5"/>
      <c r="KS162" s="5"/>
      <c r="KT162" s="5"/>
      <c r="KU162" s="5"/>
      <c r="KV162" s="5"/>
      <c r="KW162" s="5"/>
      <c r="KX162" s="5"/>
      <c r="KY162" s="5"/>
      <c r="KZ162" s="5"/>
      <c r="LA162" s="5"/>
      <c r="LB162" s="5"/>
      <c r="LC162" s="5"/>
      <c r="LD162" s="5"/>
      <c r="LE162" s="5"/>
      <c r="LF162" s="5"/>
      <c r="LG162" s="5"/>
      <c r="LH162" s="5"/>
      <c r="LI162" s="5"/>
      <c r="LJ162" s="5"/>
      <c r="LK162" s="5"/>
      <c r="LL162" s="5"/>
      <c r="LM162" s="5"/>
      <c r="LN162" s="5"/>
      <c r="LO162" s="5"/>
      <c r="LP162" s="5"/>
      <c r="LQ162" s="5"/>
      <c r="LR162" s="5"/>
      <c r="LS162" s="5"/>
      <c r="LT162" s="5"/>
      <c r="LU162" s="5"/>
      <c r="LV162" s="5"/>
      <c r="LW162" s="5"/>
      <c r="LX162" s="5"/>
      <c r="LY162" s="5"/>
      <c r="LZ162" s="5"/>
      <c r="MA162" s="5"/>
      <c r="MB162" s="5"/>
      <c r="MC162" s="5"/>
      <c r="MD162" s="5"/>
      <c r="ME162" s="5"/>
      <c r="MF162" s="5"/>
      <c r="MG162" s="5"/>
      <c r="MH162" s="5"/>
      <c r="MI162" s="5"/>
      <c r="MJ162" s="5"/>
      <c r="MK162" s="5"/>
    </row>
    <row r="163" spans="1:349" s="2" customFormat="1" ht="17.7" customHeight="1" x14ac:dyDescent="0.3">
      <c r="A163" s="21">
        <v>162</v>
      </c>
      <c r="B163" s="21">
        <v>8100080</v>
      </c>
      <c r="C163" s="9" t="s">
        <v>195</v>
      </c>
      <c r="D163" s="9" t="s">
        <v>25</v>
      </c>
      <c r="E163" s="9" t="s">
        <v>35</v>
      </c>
      <c r="F163" s="9">
        <v>78.75</v>
      </c>
      <c r="G163" s="9">
        <v>3</v>
      </c>
      <c r="H163" s="9"/>
      <c r="I163" s="9" t="s">
        <v>116</v>
      </c>
      <c r="J163" s="9"/>
      <c r="K163" s="9"/>
      <c r="L163" s="9"/>
      <c r="M163" s="9">
        <f t="shared" si="2"/>
        <v>65.362499999999997</v>
      </c>
      <c r="N163" s="9" t="s">
        <v>28</v>
      </c>
      <c r="O163" s="9" t="s">
        <v>29</v>
      </c>
      <c r="P163" s="9" t="s">
        <v>29</v>
      </c>
      <c r="Q163" s="9"/>
      <c r="R163" s="9"/>
      <c r="S163" s="9"/>
      <c r="T163" s="9"/>
      <c r="U163" s="9"/>
      <c r="V163" s="9"/>
      <c r="W163" s="9"/>
      <c r="X163" s="9" t="s">
        <v>30</v>
      </c>
      <c r="Y163" s="13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  <c r="DE163" s="5"/>
      <c r="DF163" s="5"/>
      <c r="DG163" s="5"/>
      <c r="DH163" s="5"/>
      <c r="DI163" s="5"/>
      <c r="DJ163" s="5"/>
      <c r="DK163" s="5"/>
      <c r="DL163" s="5"/>
      <c r="DM163" s="5"/>
      <c r="DN163" s="5"/>
      <c r="DO163" s="5"/>
      <c r="DP163" s="5"/>
      <c r="DQ163" s="5"/>
      <c r="DR163" s="5"/>
      <c r="DS163" s="5"/>
      <c r="DT163" s="5"/>
      <c r="DU163" s="5"/>
      <c r="DV163" s="5"/>
      <c r="DW163" s="5"/>
      <c r="DX163" s="5"/>
      <c r="DY163" s="5"/>
      <c r="DZ163" s="5"/>
      <c r="EA163" s="5"/>
      <c r="EB163" s="5"/>
      <c r="EC163" s="5"/>
      <c r="ED163" s="5"/>
      <c r="EE163" s="5"/>
      <c r="EF163" s="5"/>
      <c r="EG163" s="5"/>
      <c r="EH163" s="5"/>
      <c r="EI163" s="5"/>
      <c r="EJ163" s="5"/>
      <c r="EK163" s="5"/>
      <c r="EL163" s="5"/>
      <c r="EM163" s="5"/>
      <c r="EN163" s="5"/>
      <c r="EO163" s="5"/>
      <c r="EP163" s="5"/>
      <c r="EQ163" s="5"/>
      <c r="ER163" s="5"/>
      <c r="ES163" s="5"/>
      <c r="ET163" s="5"/>
      <c r="EU163" s="5"/>
      <c r="EV163" s="5"/>
      <c r="EW163" s="5"/>
      <c r="EX163" s="5"/>
      <c r="EY163" s="5"/>
      <c r="EZ163" s="5"/>
      <c r="FA163" s="5"/>
      <c r="FB163" s="5"/>
      <c r="FC163" s="5"/>
      <c r="FD163" s="5"/>
      <c r="FE163" s="5"/>
      <c r="FF163" s="5"/>
      <c r="FG163" s="5"/>
      <c r="FH163" s="5"/>
      <c r="FI163" s="5"/>
      <c r="FJ163" s="5"/>
      <c r="FK163" s="5"/>
      <c r="FL163" s="5"/>
      <c r="FM163" s="5"/>
      <c r="FN163" s="5"/>
      <c r="FO163" s="5"/>
      <c r="FP163" s="5"/>
      <c r="FQ163" s="5"/>
      <c r="FR163" s="5"/>
      <c r="FS163" s="5"/>
      <c r="FT163" s="5"/>
      <c r="FU163" s="5"/>
      <c r="FV163" s="5"/>
      <c r="FW163" s="5"/>
      <c r="FX163" s="5"/>
      <c r="FY163" s="5"/>
      <c r="FZ163" s="5"/>
      <c r="GA163" s="5"/>
      <c r="GB163" s="5"/>
      <c r="GC163" s="5"/>
      <c r="GD163" s="5"/>
      <c r="GE163" s="5"/>
      <c r="GF163" s="5"/>
      <c r="GG163" s="5"/>
      <c r="GH163" s="5"/>
      <c r="GI163" s="5"/>
      <c r="GJ163" s="5"/>
      <c r="GK163" s="5"/>
      <c r="GL163" s="5"/>
      <c r="GM163" s="5"/>
      <c r="GN163" s="5"/>
      <c r="GO163" s="5"/>
      <c r="GP163" s="5"/>
      <c r="GQ163" s="5"/>
      <c r="GR163" s="5"/>
      <c r="GS163" s="5"/>
      <c r="GT163" s="5"/>
      <c r="GU163" s="5"/>
      <c r="GV163" s="5"/>
      <c r="GW163" s="5"/>
      <c r="GX163" s="5"/>
      <c r="GY163" s="5"/>
      <c r="GZ163" s="5"/>
      <c r="HA163" s="5"/>
      <c r="HB163" s="5"/>
      <c r="HC163" s="5"/>
      <c r="HD163" s="5"/>
      <c r="HE163" s="5"/>
      <c r="HF163" s="5"/>
      <c r="HG163" s="5"/>
      <c r="HH163" s="5"/>
      <c r="HI163" s="5"/>
      <c r="HJ163" s="5"/>
      <c r="HK163" s="5"/>
      <c r="HL163" s="5"/>
      <c r="HM163" s="5"/>
      <c r="HN163" s="5"/>
      <c r="HO163" s="5"/>
      <c r="HP163" s="5"/>
      <c r="HQ163" s="5"/>
      <c r="HR163" s="5"/>
      <c r="HS163" s="5"/>
      <c r="HT163" s="5"/>
      <c r="HU163" s="5"/>
      <c r="HV163" s="5"/>
      <c r="HW163" s="5"/>
      <c r="HX163" s="5"/>
      <c r="HY163" s="5"/>
      <c r="HZ163" s="5"/>
      <c r="IA163" s="5"/>
      <c r="IB163" s="5"/>
      <c r="IC163" s="5"/>
      <c r="ID163" s="5"/>
      <c r="IE163" s="5"/>
      <c r="IF163" s="5"/>
      <c r="IG163" s="5"/>
      <c r="IH163" s="5"/>
      <c r="II163" s="5"/>
      <c r="IJ163" s="5"/>
      <c r="IK163" s="5"/>
      <c r="IL163" s="5"/>
      <c r="IM163" s="5"/>
      <c r="IN163" s="5"/>
      <c r="IO163" s="5"/>
      <c r="IP163" s="5"/>
      <c r="IQ163" s="5"/>
      <c r="IR163" s="5"/>
      <c r="IS163" s="5"/>
      <c r="IT163" s="5"/>
      <c r="IU163" s="5"/>
      <c r="IV163" s="5"/>
      <c r="IW163" s="5"/>
      <c r="IX163" s="5"/>
      <c r="IY163" s="5"/>
      <c r="IZ163" s="5"/>
      <c r="JA163" s="5"/>
      <c r="JB163" s="5"/>
      <c r="JC163" s="5"/>
      <c r="JD163" s="5"/>
      <c r="JE163" s="5"/>
      <c r="JF163" s="5"/>
      <c r="JG163" s="5"/>
      <c r="JH163" s="5"/>
      <c r="JI163" s="5"/>
      <c r="JJ163" s="5"/>
      <c r="JK163" s="5"/>
      <c r="JL163" s="5"/>
      <c r="JM163" s="5"/>
      <c r="JN163" s="5"/>
      <c r="JO163" s="5"/>
      <c r="JP163" s="5"/>
      <c r="JQ163" s="5"/>
      <c r="JR163" s="5"/>
      <c r="JS163" s="5"/>
      <c r="JT163" s="5"/>
      <c r="JU163" s="5"/>
      <c r="JV163" s="5"/>
      <c r="JW163" s="5"/>
      <c r="JX163" s="5"/>
      <c r="JY163" s="5"/>
      <c r="JZ163" s="5"/>
      <c r="KA163" s="5"/>
      <c r="KB163" s="5"/>
      <c r="KC163" s="5"/>
      <c r="KD163" s="5"/>
      <c r="KE163" s="5"/>
      <c r="KF163" s="5"/>
      <c r="KG163" s="5"/>
      <c r="KH163" s="5"/>
      <c r="KI163" s="5"/>
      <c r="KJ163" s="5"/>
      <c r="KK163" s="5"/>
      <c r="KL163" s="5"/>
      <c r="KM163" s="5"/>
      <c r="KN163" s="5"/>
      <c r="KO163" s="5"/>
      <c r="KP163" s="5"/>
      <c r="KQ163" s="5"/>
      <c r="KR163" s="5"/>
      <c r="KS163" s="5"/>
      <c r="KT163" s="5"/>
      <c r="KU163" s="5"/>
      <c r="KV163" s="5"/>
      <c r="KW163" s="5"/>
      <c r="KX163" s="5"/>
      <c r="KY163" s="5"/>
      <c r="KZ163" s="5"/>
      <c r="LA163" s="5"/>
      <c r="LB163" s="5"/>
      <c r="LC163" s="5"/>
      <c r="LD163" s="5"/>
      <c r="LE163" s="5"/>
      <c r="LF163" s="5"/>
      <c r="LG163" s="5"/>
      <c r="LH163" s="5"/>
      <c r="LI163" s="5"/>
      <c r="LJ163" s="5"/>
      <c r="LK163" s="5"/>
      <c r="LL163" s="5"/>
      <c r="LM163" s="5"/>
      <c r="LN163" s="5"/>
      <c r="LO163" s="5"/>
      <c r="LP163" s="5"/>
      <c r="LQ163" s="5"/>
      <c r="LR163" s="5"/>
      <c r="LS163" s="5"/>
      <c r="LT163" s="5"/>
      <c r="LU163" s="5"/>
      <c r="LV163" s="5"/>
      <c r="LW163" s="5"/>
      <c r="LX163" s="5"/>
      <c r="LY163" s="5"/>
      <c r="LZ163" s="5"/>
      <c r="MA163" s="5"/>
      <c r="MB163" s="5"/>
      <c r="MC163" s="5"/>
      <c r="MD163" s="5"/>
      <c r="ME163" s="5"/>
      <c r="MF163" s="5"/>
      <c r="MG163" s="5"/>
      <c r="MH163" s="5"/>
      <c r="MI163" s="5"/>
      <c r="MJ163" s="5"/>
      <c r="MK163" s="5"/>
    </row>
    <row r="164" spans="1:349" s="1" customFormat="1" ht="17.7" customHeight="1" x14ac:dyDescent="0.3">
      <c r="A164" s="20">
        <v>163</v>
      </c>
      <c r="B164" s="20">
        <v>8100081</v>
      </c>
      <c r="C164" s="10" t="s">
        <v>196</v>
      </c>
      <c r="D164" s="10" t="s">
        <v>25</v>
      </c>
      <c r="E164" s="10" t="s">
        <v>35</v>
      </c>
      <c r="F164" s="10">
        <v>89.75</v>
      </c>
      <c r="G164" s="10">
        <v>20</v>
      </c>
      <c r="H164" s="10"/>
      <c r="I164" s="10" t="s">
        <v>116</v>
      </c>
      <c r="J164" s="10"/>
      <c r="K164" s="10"/>
      <c r="L164" s="10"/>
      <c r="M164" s="10">
        <f t="shared" si="2"/>
        <v>74.492500000000007</v>
      </c>
      <c r="N164" s="10" t="s">
        <v>28</v>
      </c>
      <c r="O164" s="10" t="s">
        <v>29</v>
      </c>
      <c r="P164" s="10" t="s">
        <v>29</v>
      </c>
      <c r="Q164" s="10"/>
      <c r="R164" s="10"/>
      <c r="S164" s="10"/>
      <c r="T164" s="10"/>
      <c r="U164" s="10"/>
      <c r="V164" s="10"/>
      <c r="W164" s="10"/>
      <c r="X164" s="10" t="s">
        <v>30</v>
      </c>
      <c r="Y164" s="14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  <c r="BI164" s="6"/>
      <c r="BJ164" s="6"/>
      <c r="BK164" s="6"/>
      <c r="BL164" s="6"/>
      <c r="BM164" s="6"/>
      <c r="BN164" s="6"/>
      <c r="BO164" s="6"/>
      <c r="BP164" s="6"/>
      <c r="BQ164" s="6"/>
      <c r="BR164" s="6"/>
      <c r="BS164" s="6"/>
      <c r="BT164" s="6"/>
      <c r="BU164" s="6"/>
      <c r="BV164" s="6"/>
      <c r="BW164" s="6"/>
      <c r="BX164" s="6"/>
      <c r="BY164" s="6"/>
      <c r="BZ164" s="6"/>
      <c r="CA164" s="6"/>
      <c r="CB164" s="6"/>
      <c r="CC164" s="6"/>
      <c r="CD164" s="6"/>
      <c r="CE164" s="6"/>
      <c r="CF164" s="6"/>
      <c r="CG164" s="6"/>
      <c r="CH164" s="6"/>
      <c r="CI164" s="6"/>
      <c r="CJ164" s="6"/>
      <c r="CK164" s="6"/>
      <c r="CL164" s="6"/>
      <c r="CM164" s="6"/>
      <c r="CN164" s="6"/>
      <c r="CO164" s="6"/>
      <c r="CP164" s="6"/>
      <c r="CQ164" s="6"/>
      <c r="CR164" s="6"/>
      <c r="CS164" s="6"/>
      <c r="CT164" s="6"/>
      <c r="CU164" s="6"/>
      <c r="CV164" s="6"/>
      <c r="CW164" s="6"/>
      <c r="CX164" s="6"/>
      <c r="CY164" s="6"/>
      <c r="CZ164" s="6"/>
      <c r="DA164" s="6"/>
      <c r="DB164" s="6"/>
      <c r="DC164" s="6"/>
      <c r="DD164" s="6"/>
      <c r="DE164" s="6"/>
      <c r="DF164" s="6"/>
      <c r="DG164" s="6"/>
      <c r="DH164" s="6"/>
      <c r="DI164" s="6"/>
      <c r="DJ164" s="6"/>
      <c r="DK164" s="6"/>
      <c r="DL164" s="6"/>
      <c r="DM164" s="6"/>
      <c r="DN164" s="6"/>
      <c r="DO164" s="6"/>
      <c r="DP164" s="6"/>
      <c r="DQ164" s="6"/>
      <c r="DR164" s="6"/>
      <c r="DS164" s="6"/>
      <c r="DT164" s="6"/>
      <c r="DU164" s="6"/>
      <c r="DV164" s="6"/>
      <c r="DW164" s="6"/>
      <c r="DX164" s="6"/>
      <c r="DY164" s="6"/>
      <c r="DZ164" s="6"/>
      <c r="EA164" s="6"/>
      <c r="EB164" s="6"/>
      <c r="EC164" s="6"/>
      <c r="ED164" s="6"/>
      <c r="EE164" s="6"/>
      <c r="EF164" s="6"/>
      <c r="EG164" s="6"/>
      <c r="EH164" s="6"/>
      <c r="EI164" s="6"/>
      <c r="EJ164" s="6"/>
      <c r="EK164" s="6"/>
      <c r="EL164" s="6"/>
      <c r="EM164" s="6"/>
      <c r="EN164" s="6"/>
      <c r="EO164" s="6"/>
      <c r="EP164" s="6"/>
      <c r="EQ164" s="6"/>
      <c r="ER164" s="6"/>
      <c r="ES164" s="6"/>
      <c r="ET164" s="6"/>
      <c r="EU164" s="6"/>
      <c r="EV164" s="6"/>
      <c r="EW164" s="6"/>
      <c r="EX164" s="6"/>
      <c r="EY164" s="6"/>
      <c r="EZ164" s="6"/>
      <c r="FA164" s="6"/>
      <c r="FB164" s="6"/>
      <c r="FC164" s="6"/>
      <c r="FD164" s="6"/>
      <c r="FE164" s="6"/>
      <c r="FF164" s="6"/>
      <c r="FG164" s="6"/>
      <c r="FH164" s="6"/>
      <c r="FI164" s="6"/>
      <c r="FJ164" s="6"/>
      <c r="FK164" s="6"/>
      <c r="FL164" s="6"/>
      <c r="FM164" s="6"/>
      <c r="FN164" s="6"/>
      <c r="FO164" s="6"/>
      <c r="FP164" s="6"/>
      <c r="FQ164" s="6"/>
      <c r="FR164" s="6"/>
      <c r="FS164" s="6"/>
      <c r="FT164" s="6"/>
      <c r="FU164" s="6"/>
      <c r="FV164" s="6"/>
      <c r="FW164" s="6"/>
      <c r="FX164" s="6"/>
      <c r="FY164" s="6"/>
      <c r="FZ164" s="6"/>
      <c r="GA164" s="6"/>
      <c r="GB164" s="6"/>
      <c r="GC164" s="6"/>
      <c r="GD164" s="6"/>
      <c r="GE164" s="6"/>
      <c r="GF164" s="6"/>
      <c r="GG164" s="6"/>
      <c r="GH164" s="6"/>
      <c r="GI164" s="6"/>
      <c r="GJ164" s="6"/>
      <c r="GK164" s="6"/>
      <c r="GL164" s="6"/>
      <c r="GM164" s="6"/>
      <c r="GN164" s="6"/>
      <c r="GO164" s="6"/>
      <c r="GP164" s="6"/>
      <c r="GQ164" s="6"/>
      <c r="GR164" s="6"/>
      <c r="GS164" s="6"/>
      <c r="GT164" s="6"/>
      <c r="GU164" s="6"/>
      <c r="GV164" s="6"/>
      <c r="GW164" s="6"/>
      <c r="GX164" s="6"/>
      <c r="GY164" s="6"/>
      <c r="GZ164" s="6"/>
      <c r="HA164" s="6"/>
      <c r="HB164" s="6"/>
      <c r="HC164" s="6"/>
      <c r="HD164" s="6"/>
      <c r="HE164" s="6"/>
      <c r="HF164" s="6"/>
      <c r="HG164" s="6"/>
      <c r="HH164" s="6"/>
      <c r="HI164" s="6"/>
      <c r="HJ164" s="6"/>
      <c r="HK164" s="6"/>
      <c r="HL164" s="6"/>
      <c r="HM164" s="6"/>
      <c r="HN164" s="6"/>
      <c r="HO164" s="6"/>
      <c r="HP164" s="6"/>
      <c r="HQ164" s="6"/>
      <c r="HR164" s="6"/>
      <c r="HS164" s="6"/>
      <c r="HT164" s="6"/>
      <c r="HU164" s="6"/>
      <c r="HV164" s="6"/>
      <c r="HW164" s="6"/>
      <c r="HX164" s="6"/>
      <c r="HY164" s="6"/>
      <c r="HZ164" s="6"/>
      <c r="IA164" s="6"/>
      <c r="IB164" s="6"/>
      <c r="IC164" s="6"/>
      <c r="ID164" s="6"/>
      <c r="IE164" s="6"/>
      <c r="IF164" s="6"/>
      <c r="IG164" s="6"/>
      <c r="IH164" s="6"/>
      <c r="II164" s="6"/>
      <c r="IJ164" s="6"/>
      <c r="IK164" s="6"/>
      <c r="IL164" s="6"/>
      <c r="IM164" s="6"/>
      <c r="IN164" s="6"/>
      <c r="IO164" s="6"/>
      <c r="IP164" s="6"/>
      <c r="IQ164" s="6"/>
      <c r="IR164" s="6"/>
      <c r="IS164" s="6"/>
      <c r="IT164" s="6"/>
      <c r="IU164" s="6"/>
      <c r="IV164" s="6"/>
      <c r="IW164" s="6"/>
      <c r="IX164" s="6"/>
      <c r="IY164" s="6"/>
      <c r="IZ164" s="6"/>
      <c r="JA164" s="6"/>
      <c r="JB164" s="6"/>
      <c r="JC164" s="6"/>
      <c r="JD164" s="6"/>
      <c r="JE164" s="6"/>
      <c r="JF164" s="6"/>
      <c r="JG164" s="6"/>
      <c r="JH164" s="6"/>
      <c r="JI164" s="6"/>
      <c r="JJ164" s="6"/>
      <c r="JK164" s="6"/>
      <c r="JL164" s="6"/>
      <c r="JM164" s="6"/>
      <c r="JN164" s="6"/>
      <c r="JO164" s="6"/>
      <c r="JP164" s="6"/>
      <c r="JQ164" s="6"/>
      <c r="JR164" s="6"/>
      <c r="JS164" s="6"/>
      <c r="JT164" s="6"/>
      <c r="JU164" s="6"/>
      <c r="JV164" s="6"/>
      <c r="JW164" s="6"/>
      <c r="JX164" s="6"/>
      <c r="JY164" s="6"/>
      <c r="JZ164" s="6"/>
      <c r="KA164" s="6"/>
      <c r="KB164" s="6"/>
      <c r="KC164" s="6"/>
      <c r="KD164" s="6"/>
      <c r="KE164" s="6"/>
      <c r="KF164" s="6"/>
      <c r="KG164" s="6"/>
      <c r="KH164" s="6"/>
      <c r="KI164" s="6"/>
      <c r="KJ164" s="6"/>
      <c r="KK164" s="6"/>
      <c r="KL164" s="6"/>
      <c r="KM164" s="6"/>
      <c r="KN164" s="6"/>
      <c r="KO164" s="6"/>
      <c r="KP164" s="6"/>
      <c r="KQ164" s="6"/>
      <c r="KR164" s="6"/>
      <c r="KS164" s="6"/>
      <c r="KT164" s="6"/>
      <c r="KU164" s="6"/>
      <c r="KV164" s="6"/>
      <c r="KW164" s="6"/>
      <c r="KX164" s="6"/>
      <c r="KY164" s="6"/>
      <c r="KZ164" s="6"/>
      <c r="LA164" s="6"/>
      <c r="LB164" s="6"/>
      <c r="LC164" s="6"/>
      <c r="LD164" s="6"/>
      <c r="LE164" s="6"/>
      <c r="LF164" s="6"/>
      <c r="LG164" s="6"/>
      <c r="LH164" s="6"/>
      <c r="LI164" s="6"/>
      <c r="LJ164" s="6"/>
      <c r="LK164" s="6"/>
      <c r="LL164" s="6"/>
      <c r="LM164" s="6"/>
      <c r="LN164" s="6"/>
      <c r="LO164" s="6"/>
      <c r="LP164" s="6"/>
      <c r="LQ164" s="6"/>
      <c r="LR164" s="6"/>
      <c r="LS164" s="6"/>
      <c r="LT164" s="6"/>
      <c r="LU164" s="6"/>
      <c r="LV164" s="6"/>
      <c r="LW164" s="6"/>
      <c r="LX164" s="6"/>
      <c r="LY164" s="6"/>
      <c r="LZ164" s="6"/>
      <c r="MA164" s="6"/>
      <c r="MB164" s="6"/>
      <c r="MC164" s="6"/>
      <c r="MD164" s="6"/>
      <c r="ME164" s="6"/>
      <c r="MF164" s="6"/>
      <c r="MG164" s="6"/>
      <c r="MH164" s="6"/>
      <c r="MI164" s="6"/>
      <c r="MJ164" s="6"/>
      <c r="MK164" s="6"/>
    </row>
    <row r="165" spans="1:349" s="2" customFormat="1" ht="17.7" customHeight="1" x14ac:dyDescent="0.3">
      <c r="A165" s="21">
        <v>164</v>
      </c>
      <c r="B165" s="21">
        <v>8100082</v>
      </c>
      <c r="C165" s="9" t="s">
        <v>197</v>
      </c>
      <c r="D165" s="9" t="s">
        <v>25</v>
      </c>
      <c r="E165" s="9" t="s">
        <v>35</v>
      </c>
      <c r="F165" s="9">
        <v>148.75</v>
      </c>
      <c r="G165" s="9">
        <v>15</v>
      </c>
      <c r="H165" s="9"/>
      <c r="I165" s="9" t="s">
        <v>116</v>
      </c>
      <c r="J165" s="9"/>
      <c r="K165" s="9"/>
      <c r="L165" s="9"/>
      <c r="M165" s="9">
        <f t="shared" si="2"/>
        <v>123.46250000000001</v>
      </c>
      <c r="N165" s="9" t="s">
        <v>28</v>
      </c>
      <c r="O165" s="9" t="s">
        <v>29</v>
      </c>
      <c r="P165" s="9" t="s">
        <v>29</v>
      </c>
      <c r="Q165" s="9"/>
      <c r="R165" s="9"/>
      <c r="S165" s="9"/>
      <c r="T165" s="9"/>
      <c r="U165" s="9"/>
      <c r="V165" s="9"/>
      <c r="W165" s="9"/>
      <c r="X165" s="9" t="s">
        <v>30</v>
      </c>
      <c r="Y165" s="13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  <c r="DE165" s="5"/>
      <c r="DF165" s="5"/>
      <c r="DG165" s="5"/>
      <c r="DH165" s="5"/>
      <c r="DI165" s="5"/>
      <c r="DJ165" s="5"/>
      <c r="DK165" s="5"/>
      <c r="DL165" s="5"/>
      <c r="DM165" s="5"/>
      <c r="DN165" s="5"/>
      <c r="DO165" s="5"/>
      <c r="DP165" s="5"/>
      <c r="DQ165" s="5"/>
      <c r="DR165" s="5"/>
      <c r="DS165" s="5"/>
      <c r="DT165" s="5"/>
      <c r="DU165" s="5"/>
      <c r="DV165" s="5"/>
      <c r="DW165" s="5"/>
      <c r="DX165" s="5"/>
      <c r="DY165" s="5"/>
      <c r="DZ165" s="5"/>
      <c r="EA165" s="5"/>
      <c r="EB165" s="5"/>
      <c r="EC165" s="5"/>
      <c r="ED165" s="5"/>
      <c r="EE165" s="5"/>
      <c r="EF165" s="5"/>
      <c r="EG165" s="5"/>
      <c r="EH165" s="5"/>
      <c r="EI165" s="5"/>
      <c r="EJ165" s="5"/>
      <c r="EK165" s="5"/>
      <c r="EL165" s="5"/>
      <c r="EM165" s="5"/>
      <c r="EN165" s="5"/>
      <c r="EO165" s="5"/>
      <c r="EP165" s="5"/>
      <c r="EQ165" s="5"/>
      <c r="ER165" s="5"/>
      <c r="ES165" s="5"/>
      <c r="ET165" s="5"/>
      <c r="EU165" s="5"/>
      <c r="EV165" s="5"/>
      <c r="EW165" s="5"/>
      <c r="EX165" s="5"/>
      <c r="EY165" s="5"/>
      <c r="EZ165" s="5"/>
      <c r="FA165" s="5"/>
      <c r="FB165" s="5"/>
      <c r="FC165" s="5"/>
      <c r="FD165" s="5"/>
      <c r="FE165" s="5"/>
      <c r="FF165" s="5"/>
      <c r="FG165" s="5"/>
      <c r="FH165" s="5"/>
      <c r="FI165" s="5"/>
      <c r="FJ165" s="5"/>
      <c r="FK165" s="5"/>
      <c r="FL165" s="5"/>
      <c r="FM165" s="5"/>
      <c r="FN165" s="5"/>
      <c r="FO165" s="5"/>
      <c r="FP165" s="5"/>
      <c r="FQ165" s="5"/>
      <c r="FR165" s="5"/>
      <c r="FS165" s="5"/>
      <c r="FT165" s="5"/>
      <c r="FU165" s="5"/>
      <c r="FV165" s="5"/>
      <c r="FW165" s="5"/>
      <c r="FX165" s="5"/>
      <c r="FY165" s="5"/>
      <c r="FZ165" s="5"/>
      <c r="GA165" s="5"/>
      <c r="GB165" s="5"/>
      <c r="GC165" s="5"/>
      <c r="GD165" s="5"/>
      <c r="GE165" s="5"/>
      <c r="GF165" s="5"/>
      <c r="GG165" s="5"/>
      <c r="GH165" s="5"/>
      <c r="GI165" s="5"/>
      <c r="GJ165" s="5"/>
      <c r="GK165" s="5"/>
      <c r="GL165" s="5"/>
      <c r="GM165" s="5"/>
      <c r="GN165" s="5"/>
      <c r="GO165" s="5"/>
      <c r="GP165" s="5"/>
      <c r="GQ165" s="5"/>
      <c r="GR165" s="5"/>
      <c r="GS165" s="5"/>
      <c r="GT165" s="5"/>
      <c r="GU165" s="5"/>
      <c r="GV165" s="5"/>
      <c r="GW165" s="5"/>
      <c r="GX165" s="5"/>
      <c r="GY165" s="5"/>
      <c r="GZ165" s="5"/>
      <c r="HA165" s="5"/>
      <c r="HB165" s="5"/>
      <c r="HC165" s="5"/>
      <c r="HD165" s="5"/>
      <c r="HE165" s="5"/>
      <c r="HF165" s="5"/>
      <c r="HG165" s="5"/>
      <c r="HH165" s="5"/>
      <c r="HI165" s="5"/>
      <c r="HJ165" s="5"/>
      <c r="HK165" s="5"/>
      <c r="HL165" s="5"/>
      <c r="HM165" s="5"/>
      <c r="HN165" s="5"/>
      <c r="HO165" s="5"/>
      <c r="HP165" s="5"/>
      <c r="HQ165" s="5"/>
      <c r="HR165" s="5"/>
      <c r="HS165" s="5"/>
      <c r="HT165" s="5"/>
      <c r="HU165" s="5"/>
      <c r="HV165" s="5"/>
      <c r="HW165" s="5"/>
      <c r="HX165" s="5"/>
      <c r="HY165" s="5"/>
      <c r="HZ165" s="5"/>
      <c r="IA165" s="5"/>
      <c r="IB165" s="5"/>
      <c r="IC165" s="5"/>
      <c r="ID165" s="5"/>
      <c r="IE165" s="5"/>
      <c r="IF165" s="5"/>
      <c r="IG165" s="5"/>
      <c r="IH165" s="5"/>
      <c r="II165" s="5"/>
      <c r="IJ165" s="5"/>
      <c r="IK165" s="5"/>
      <c r="IL165" s="5"/>
      <c r="IM165" s="5"/>
      <c r="IN165" s="5"/>
      <c r="IO165" s="5"/>
      <c r="IP165" s="5"/>
      <c r="IQ165" s="5"/>
      <c r="IR165" s="5"/>
      <c r="IS165" s="5"/>
      <c r="IT165" s="5"/>
      <c r="IU165" s="5"/>
      <c r="IV165" s="5"/>
      <c r="IW165" s="5"/>
      <c r="IX165" s="5"/>
      <c r="IY165" s="5"/>
      <c r="IZ165" s="5"/>
      <c r="JA165" s="5"/>
      <c r="JB165" s="5"/>
      <c r="JC165" s="5"/>
      <c r="JD165" s="5"/>
      <c r="JE165" s="5"/>
      <c r="JF165" s="5"/>
      <c r="JG165" s="5"/>
      <c r="JH165" s="5"/>
      <c r="JI165" s="5"/>
      <c r="JJ165" s="5"/>
      <c r="JK165" s="5"/>
      <c r="JL165" s="5"/>
      <c r="JM165" s="5"/>
      <c r="JN165" s="5"/>
      <c r="JO165" s="5"/>
      <c r="JP165" s="5"/>
      <c r="JQ165" s="5"/>
      <c r="JR165" s="5"/>
      <c r="JS165" s="5"/>
      <c r="JT165" s="5"/>
      <c r="JU165" s="5"/>
      <c r="JV165" s="5"/>
      <c r="JW165" s="5"/>
      <c r="JX165" s="5"/>
      <c r="JY165" s="5"/>
      <c r="JZ165" s="5"/>
      <c r="KA165" s="5"/>
      <c r="KB165" s="5"/>
      <c r="KC165" s="5"/>
      <c r="KD165" s="5"/>
      <c r="KE165" s="5"/>
      <c r="KF165" s="5"/>
      <c r="KG165" s="5"/>
      <c r="KH165" s="5"/>
      <c r="KI165" s="5"/>
      <c r="KJ165" s="5"/>
      <c r="KK165" s="5"/>
      <c r="KL165" s="5"/>
      <c r="KM165" s="5"/>
      <c r="KN165" s="5"/>
      <c r="KO165" s="5"/>
      <c r="KP165" s="5"/>
      <c r="KQ165" s="5"/>
      <c r="KR165" s="5"/>
      <c r="KS165" s="5"/>
      <c r="KT165" s="5"/>
      <c r="KU165" s="5"/>
      <c r="KV165" s="5"/>
      <c r="KW165" s="5"/>
      <c r="KX165" s="5"/>
      <c r="KY165" s="5"/>
      <c r="KZ165" s="5"/>
      <c r="LA165" s="5"/>
      <c r="LB165" s="5"/>
      <c r="LC165" s="5"/>
      <c r="LD165" s="5"/>
      <c r="LE165" s="5"/>
      <c r="LF165" s="5"/>
      <c r="LG165" s="5"/>
      <c r="LH165" s="5"/>
      <c r="LI165" s="5"/>
      <c r="LJ165" s="5"/>
      <c r="LK165" s="5"/>
      <c r="LL165" s="5"/>
      <c r="LM165" s="5"/>
      <c r="LN165" s="5"/>
      <c r="LO165" s="5"/>
      <c r="LP165" s="5"/>
      <c r="LQ165" s="5"/>
      <c r="LR165" s="5"/>
      <c r="LS165" s="5"/>
      <c r="LT165" s="5"/>
      <c r="LU165" s="5"/>
      <c r="LV165" s="5"/>
      <c r="LW165" s="5"/>
      <c r="LX165" s="5"/>
      <c r="LY165" s="5"/>
      <c r="LZ165" s="5"/>
      <c r="MA165" s="5"/>
      <c r="MB165" s="5"/>
      <c r="MC165" s="5"/>
      <c r="MD165" s="5"/>
      <c r="ME165" s="5"/>
      <c r="MF165" s="5"/>
      <c r="MG165" s="5"/>
      <c r="MH165" s="5"/>
      <c r="MI165" s="5"/>
      <c r="MJ165" s="5"/>
      <c r="MK165" s="5"/>
    </row>
    <row r="166" spans="1:349" s="2" customFormat="1" ht="17.7" customHeight="1" x14ac:dyDescent="0.3">
      <c r="A166" s="20">
        <v>165</v>
      </c>
      <c r="B166" s="20">
        <v>8100083</v>
      </c>
      <c r="C166" s="10" t="s">
        <v>198</v>
      </c>
      <c r="D166" s="10" t="s">
        <v>25</v>
      </c>
      <c r="E166" s="10" t="s">
        <v>35</v>
      </c>
      <c r="F166" s="10">
        <v>33.75</v>
      </c>
      <c r="G166" s="10">
        <v>5</v>
      </c>
      <c r="H166" s="10"/>
      <c r="I166" s="10" t="s">
        <v>116</v>
      </c>
      <c r="J166" s="10"/>
      <c r="K166" s="10"/>
      <c r="L166" s="10"/>
      <c r="M166" s="10">
        <f t="shared" si="2"/>
        <v>28.012499999999999</v>
      </c>
      <c r="N166" s="10" t="s">
        <v>28</v>
      </c>
      <c r="O166" s="10" t="s">
        <v>29</v>
      </c>
      <c r="P166" s="10" t="s">
        <v>29</v>
      </c>
      <c r="Q166" s="10"/>
      <c r="R166" s="10"/>
      <c r="S166" s="10"/>
      <c r="T166" s="10"/>
      <c r="U166" s="10"/>
      <c r="V166" s="10"/>
      <c r="W166" s="10"/>
      <c r="X166" s="10" t="s">
        <v>30</v>
      </c>
      <c r="Y166" s="13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  <c r="DE166" s="5"/>
      <c r="DF166" s="5"/>
      <c r="DG166" s="5"/>
      <c r="DH166" s="5"/>
      <c r="DI166" s="5"/>
      <c r="DJ166" s="5"/>
      <c r="DK166" s="5"/>
      <c r="DL166" s="5"/>
      <c r="DM166" s="5"/>
      <c r="DN166" s="5"/>
      <c r="DO166" s="5"/>
      <c r="DP166" s="5"/>
      <c r="DQ166" s="5"/>
      <c r="DR166" s="5"/>
      <c r="DS166" s="5"/>
      <c r="DT166" s="5"/>
      <c r="DU166" s="5"/>
      <c r="DV166" s="5"/>
      <c r="DW166" s="5"/>
      <c r="DX166" s="5"/>
      <c r="DY166" s="5"/>
      <c r="DZ166" s="5"/>
      <c r="EA166" s="5"/>
      <c r="EB166" s="5"/>
      <c r="EC166" s="5"/>
      <c r="ED166" s="5"/>
      <c r="EE166" s="5"/>
      <c r="EF166" s="5"/>
      <c r="EG166" s="5"/>
      <c r="EH166" s="5"/>
      <c r="EI166" s="5"/>
      <c r="EJ166" s="5"/>
      <c r="EK166" s="5"/>
      <c r="EL166" s="5"/>
      <c r="EM166" s="5"/>
      <c r="EN166" s="5"/>
      <c r="EO166" s="5"/>
      <c r="EP166" s="5"/>
      <c r="EQ166" s="5"/>
      <c r="ER166" s="5"/>
      <c r="ES166" s="5"/>
      <c r="ET166" s="5"/>
      <c r="EU166" s="5"/>
      <c r="EV166" s="5"/>
      <c r="EW166" s="5"/>
      <c r="EX166" s="5"/>
      <c r="EY166" s="5"/>
      <c r="EZ166" s="5"/>
      <c r="FA166" s="5"/>
      <c r="FB166" s="5"/>
      <c r="FC166" s="5"/>
      <c r="FD166" s="5"/>
      <c r="FE166" s="5"/>
      <c r="FF166" s="5"/>
      <c r="FG166" s="5"/>
      <c r="FH166" s="5"/>
      <c r="FI166" s="5"/>
      <c r="FJ166" s="5"/>
      <c r="FK166" s="5"/>
      <c r="FL166" s="5"/>
      <c r="FM166" s="5"/>
      <c r="FN166" s="5"/>
      <c r="FO166" s="5"/>
      <c r="FP166" s="5"/>
      <c r="FQ166" s="5"/>
      <c r="FR166" s="5"/>
      <c r="FS166" s="5"/>
      <c r="FT166" s="5"/>
      <c r="FU166" s="5"/>
      <c r="FV166" s="5"/>
      <c r="FW166" s="5"/>
      <c r="FX166" s="5"/>
      <c r="FY166" s="5"/>
      <c r="FZ166" s="5"/>
      <c r="GA166" s="5"/>
      <c r="GB166" s="5"/>
      <c r="GC166" s="5"/>
      <c r="GD166" s="5"/>
      <c r="GE166" s="5"/>
      <c r="GF166" s="5"/>
      <c r="GG166" s="5"/>
      <c r="GH166" s="5"/>
      <c r="GI166" s="5"/>
      <c r="GJ166" s="5"/>
      <c r="GK166" s="5"/>
      <c r="GL166" s="5"/>
      <c r="GM166" s="5"/>
      <c r="GN166" s="5"/>
      <c r="GO166" s="5"/>
      <c r="GP166" s="5"/>
      <c r="GQ166" s="5"/>
      <c r="GR166" s="5"/>
      <c r="GS166" s="5"/>
      <c r="GT166" s="5"/>
      <c r="GU166" s="5"/>
      <c r="GV166" s="5"/>
      <c r="GW166" s="5"/>
      <c r="GX166" s="5"/>
      <c r="GY166" s="5"/>
      <c r="GZ166" s="5"/>
      <c r="HA166" s="5"/>
      <c r="HB166" s="5"/>
      <c r="HC166" s="5"/>
      <c r="HD166" s="5"/>
      <c r="HE166" s="5"/>
      <c r="HF166" s="5"/>
      <c r="HG166" s="5"/>
      <c r="HH166" s="5"/>
      <c r="HI166" s="5"/>
      <c r="HJ166" s="5"/>
      <c r="HK166" s="5"/>
      <c r="HL166" s="5"/>
      <c r="HM166" s="5"/>
      <c r="HN166" s="5"/>
      <c r="HO166" s="5"/>
      <c r="HP166" s="5"/>
      <c r="HQ166" s="5"/>
      <c r="HR166" s="5"/>
      <c r="HS166" s="5"/>
      <c r="HT166" s="5"/>
      <c r="HU166" s="5"/>
      <c r="HV166" s="5"/>
      <c r="HW166" s="5"/>
      <c r="HX166" s="5"/>
      <c r="HY166" s="5"/>
      <c r="HZ166" s="5"/>
      <c r="IA166" s="5"/>
      <c r="IB166" s="5"/>
      <c r="IC166" s="5"/>
      <c r="ID166" s="5"/>
      <c r="IE166" s="5"/>
      <c r="IF166" s="5"/>
      <c r="IG166" s="5"/>
      <c r="IH166" s="5"/>
      <c r="II166" s="5"/>
      <c r="IJ166" s="5"/>
      <c r="IK166" s="5"/>
      <c r="IL166" s="5"/>
      <c r="IM166" s="5"/>
      <c r="IN166" s="5"/>
      <c r="IO166" s="5"/>
      <c r="IP166" s="5"/>
      <c r="IQ166" s="5"/>
      <c r="IR166" s="5"/>
      <c r="IS166" s="5"/>
      <c r="IT166" s="5"/>
      <c r="IU166" s="5"/>
      <c r="IV166" s="5"/>
      <c r="IW166" s="5"/>
      <c r="IX166" s="5"/>
      <c r="IY166" s="5"/>
      <c r="IZ166" s="5"/>
      <c r="JA166" s="5"/>
      <c r="JB166" s="5"/>
      <c r="JC166" s="5"/>
      <c r="JD166" s="5"/>
      <c r="JE166" s="5"/>
      <c r="JF166" s="5"/>
      <c r="JG166" s="5"/>
      <c r="JH166" s="5"/>
      <c r="JI166" s="5"/>
      <c r="JJ166" s="5"/>
      <c r="JK166" s="5"/>
      <c r="JL166" s="5"/>
      <c r="JM166" s="5"/>
      <c r="JN166" s="5"/>
      <c r="JO166" s="5"/>
      <c r="JP166" s="5"/>
      <c r="JQ166" s="5"/>
      <c r="JR166" s="5"/>
      <c r="JS166" s="5"/>
      <c r="JT166" s="5"/>
      <c r="JU166" s="5"/>
      <c r="JV166" s="5"/>
      <c r="JW166" s="5"/>
      <c r="JX166" s="5"/>
      <c r="JY166" s="5"/>
      <c r="JZ166" s="5"/>
      <c r="KA166" s="5"/>
      <c r="KB166" s="5"/>
      <c r="KC166" s="5"/>
      <c r="KD166" s="5"/>
      <c r="KE166" s="5"/>
      <c r="KF166" s="5"/>
      <c r="KG166" s="5"/>
      <c r="KH166" s="5"/>
      <c r="KI166" s="5"/>
      <c r="KJ166" s="5"/>
      <c r="KK166" s="5"/>
      <c r="KL166" s="5"/>
      <c r="KM166" s="5"/>
      <c r="KN166" s="5"/>
      <c r="KO166" s="5"/>
      <c r="KP166" s="5"/>
      <c r="KQ166" s="5"/>
      <c r="KR166" s="5"/>
      <c r="KS166" s="5"/>
      <c r="KT166" s="5"/>
      <c r="KU166" s="5"/>
      <c r="KV166" s="5"/>
      <c r="KW166" s="5"/>
      <c r="KX166" s="5"/>
      <c r="KY166" s="5"/>
      <c r="KZ166" s="5"/>
      <c r="LA166" s="5"/>
      <c r="LB166" s="5"/>
      <c r="LC166" s="5"/>
      <c r="LD166" s="5"/>
      <c r="LE166" s="5"/>
      <c r="LF166" s="5"/>
      <c r="LG166" s="5"/>
      <c r="LH166" s="5"/>
      <c r="LI166" s="5"/>
      <c r="LJ166" s="5"/>
      <c r="LK166" s="5"/>
      <c r="LL166" s="5"/>
      <c r="LM166" s="5"/>
      <c r="LN166" s="5"/>
      <c r="LO166" s="5"/>
      <c r="LP166" s="5"/>
      <c r="LQ166" s="5"/>
      <c r="LR166" s="5"/>
      <c r="LS166" s="5"/>
      <c r="LT166" s="5"/>
      <c r="LU166" s="5"/>
      <c r="LV166" s="5"/>
      <c r="LW166" s="5"/>
      <c r="LX166" s="5"/>
      <c r="LY166" s="5"/>
      <c r="LZ166" s="5"/>
      <c r="MA166" s="5"/>
      <c r="MB166" s="5"/>
      <c r="MC166" s="5"/>
      <c r="MD166" s="5"/>
      <c r="ME166" s="5"/>
      <c r="MF166" s="5"/>
      <c r="MG166" s="5"/>
      <c r="MH166" s="5"/>
      <c r="MI166" s="5"/>
      <c r="MJ166" s="5"/>
      <c r="MK166" s="5"/>
    </row>
    <row r="167" spans="1:349" s="2" customFormat="1" ht="17.7" customHeight="1" x14ac:dyDescent="0.3">
      <c r="A167" s="21">
        <v>166</v>
      </c>
      <c r="B167" s="21">
        <v>8100084</v>
      </c>
      <c r="C167" s="9" t="s">
        <v>199</v>
      </c>
      <c r="D167" s="9" t="s">
        <v>25</v>
      </c>
      <c r="E167" s="9" t="s">
        <v>35</v>
      </c>
      <c r="F167" s="9">
        <v>33.75</v>
      </c>
      <c r="G167" s="9">
        <v>5</v>
      </c>
      <c r="H167" s="9"/>
      <c r="I167" s="9" t="s">
        <v>116</v>
      </c>
      <c r="J167" s="9"/>
      <c r="K167" s="9"/>
      <c r="L167" s="9"/>
      <c r="M167" s="9">
        <f t="shared" si="2"/>
        <v>28.012499999999999</v>
      </c>
      <c r="N167" s="9" t="s">
        <v>28</v>
      </c>
      <c r="O167" s="9" t="s">
        <v>29</v>
      </c>
      <c r="P167" s="9" t="s">
        <v>29</v>
      </c>
      <c r="Q167" s="9"/>
      <c r="R167" s="9"/>
      <c r="S167" s="9"/>
      <c r="T167" s="9"/>
      <c r="U167" s="9"/>
      <c r="V167" s="9"/>
      <c r="W167" s="9"/>
      <c r="X167" s="9" t="s">
        <v>30</v>
      </c>
      <c r="Y167" s="13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  <c r="DE167" s="5"/>
      <c r="DF167" s="5"/>
      <c r="DG167" s="5"/>
      <c r="DH167" s="5"/>
      <c r="DI167" s="5"/>
      <c r="DJ167" s="5"/>
      <c r="DK167" s="5"/>
      <c r="DL167" s="5"/>
      <c r="DM167" s="5"/>
      <c r="DN167" s="5"/>
      <c r="DO167" s="5"/>
      <c r="DP167" s="5"/>
      <c r="DQ167" s="5"/>
      <c r="DR167" s="5"/>
      <c r="DS167" s="5"/>
      <c r="DT167" s="5"/>
      <c r="DU167" s="5"/>
      <c r="DV167" s="5"/>
      <c r="DW167" s="5"/>
      <c r="DX167" s="5"/>
      <c r="DY167" s="5"/>
      <c r="DZ167" s="5"/>
      <c r="EA167" s="5"/>
      <c r="EB167" s="5"/>
      <c r="EC167" s="5"/>
      <c r="ED167" s="5"/>
      <c r="EE167" s="5"/>
      <c r="EF167" s="5"/>
      <c r="EG167" s="5"/>
      <c r="EH167" s="5"/>
      <c r="EI167" s="5"/>
      <c r="EJ167" s="5"/>
      <c r="EK167" s="5"/>
      <c r="EL167" s="5"/>
      <c r="EM167" s="5"/>
      <c r="EN167" s="5"/>
      <c r="EO167" s="5"/>
      <c r="EP167" s="5"/>
      <c r="EQ167" s="5"/>
      <c r="ER167" s="5"/>
      <c r="ES167" s="5"/>
      <c r="ET167" s="5"/>
      <c r="EU167" s="5"/>
      <c r="EV167" s="5"/>
      <c r="EW167" s="5"/>
      <c r="EX167" s="5"/>
      <c r="EY167" s="5"/>
      <c r="EZ167" s="5"/>
      <c r="FA167" s="5"/>
      <c r="FB167" s="5"/>
      <c r="FC167" s="5"/>
      <c r="FD167" s="5"/>
      <c r="FE167" s="5"/>
      <c r="FF167" s="5"/>
      <c r="FG167" s="5"/>
      <c r="FH167" s="5"/>
      <c r="FI167" s="5"/>
      <c r="FJ167" s="5"/>
      <c r="FK167" s="5"/>
      <c r="FL167" s="5"/>
      <c r="FM167" s="5"/>
      <c r="FN167" s="5"/>
      <c r="FO167" s="5"/>
      <c r="FP167" s="5"/>
      <c r="FQ167" s="5"/>
      <c r="FR167" s="5"/>
      <c r="FS167" s="5"/>
      <c r="FT167" s="5"/>
      <c r="FU167" s="5"/>
      <c r="FV167" s="5"/>
      <c r="FW167" s="5"/>
      <c r="FX167" s="5"/>
      <c r="FY167" s="5"/>
      <c r="FZ167" s="5"/>
      <c r="GA167" s="5"/>
      <c r="GB167" s="5"/>
      <c r="GC167" s="5"/>
      <c r="GD167" s="5"/>
      <c r="GE167" s="5"/>
      <c r="GF167" s="5"/>
      <c r="GG167" s="5"/>
      <c r="GH167" s="5"/>
      <c r="GI167" s="5"/>
      <c r="GJ167" s="5"/>
      <c r="GK167" s="5"/>
      <c r="GL167" s="5"/>
      <c r="GM167" s="5"/>
      <c r="GN167" s="5"/>
      <c r="GO167" s="5"/>
      <c r="GP167" s="5"/>
      <c r="GQ167" s="5"/>
      <c r="GR167" s="5"/>
      <c r="GS167" s="5"/>
      <c r="GT167" s="5"/>
      <c r="GU167" s="5"/>
      <c r="GV167" s="5"/>
      <c r="GW167" s="5"/>
      <c r="GX167" s="5"/>
      <c r="GY167" s="5"/>
      <c r="GZ167" s="5"/>
      <c r="HA167" s="5"/>
      <c r="HB167" s="5"/>
      <c r="HC167" s="5"/>
      <c r="HD167" s="5"/>
      <c r="HE167" s="5"/>
      <c r="HF167" s="5"/>
      <c r="HG167" s="5"/>
      <c r="HH167" s="5"/>
      <c r="HI167" s="5"/>
      <c r="HJ167" s="5"/>
      <c r="HK167" s="5"/>
      <c r="HL167" s="5"/>
      <c r="HM167" s="5"/>
      <c r="HN167" s="5"/>
      <c r="HO167" s="5"/>
      <c r="HP167" s="5"/>
      <c r="HQ167" s="5"/>
      <c r="HR167" s="5"/>
      <c r="HS167" s="5"/>
      <c r="HT167" s="5"/>
      <c r="HU167" s="5"/>
      <c r="HV167" s="5"/>
      <c r="HW167" s="5"/>
      <c r="HX167" s="5"/>
      <c r="HY167" s="5"/>
      <c r="HZ167" s="5"/>
      <c r="IA167" s="5"/>
      <c r="IB167" s="5"/>
      <c r="IC167" s="5"/>
      <c r="ID167" s="5"/>
      <c r="IE167" s="5"/>
      <c r="IF167" s="5"/>
      <c r="IG167" s="5"/>
      <c r="IH167" s="5"/>
      <c r="II167" s="5"/>
      <c r="IJ167" s="5"/>
      <c r="IK167" s="5"/>
      <c r="IL167" s="5"/>
      <c r="IM167" s="5"/>
      <c r="IN167" s="5"/>
      <c r="IO167" s="5"/>
      <c r="IP167" s="5"/>
      <c r="IQ167" s="5"/>
      <c r="IR167" s="5"/>
      <c r="IS167" s="5"/>
      <c r="IT167" s="5"/>
      <c r="IU167" s="5"/>
      <c r="IV167" s="5"/>
      <c r="IW167" s="5"/>
      <c r="IX167" s="5"/>
      <c r="IY167" s="5"/>
      <c r="IZ167" s="5"/>
      <c r="JA167" s="5"/>
      <c r="JB167" s="5"/>
      <c r="JC167" s="5"/>
      <c r="JD167" s="5"/>
      <c r="JE167" s="5"/>
      <c r="JF167" s="5"/>
      <c r="JG167" s="5"/>
      <c r="JH167" s="5"/>
      <c r="JI167" s="5"/>
      <c r="JJ167" s="5"/>
      <c r="JK167" s="5"/>
      <c r="JL167" s="5"/>
      <c r="JM167" s="5"/>
      <c r="JN167" s="5"/>
      <c r="JO167" s="5"/>
      <c r="JP167" s="5"/>
      <c r="JQ167" s="5"/>
      <c r="JR167" s="5"/>
      <c r="JS167" s="5"/>
      <c r="JT167" s="5"/>
      <c r="JU167" s="5"/>
      <c r="JV167" s="5"/>
      <c r="JW167" s="5"/>
      <c r="JX167" s="5"/>
      <c r="JY167" s="5"/>
      <c r="JZ167" s="5"/>
      <c r="KA167" s="5"/>
      <c r="KB167" s="5"/>
      <c r="KC167" s="5"/>
      <c r="KD167" s="5"/>
      <c r="KE167" s="5"/>
      <c r="KF167" s="5"/>
      <c r="KG167" s="5"/>
      <c r="KH167" s="5"/>
      <c r="KI167" s="5"/>
      <c r="KJ167" s="5"/>
      <c r="KK167" s="5"/>
      <c r="KL167" s="5"/>
      <c r="KM167" s="5"/>
      <c r="KN167" s="5"/>
      <c r="KO167" s="5"/>
      <c r="KP167" s="5"/>
      <c r="KQ167" s="5"/>
      <c r="KR167" s="5"/>
      <c r="KS167" s="5"/>
      <c r="KT167" s="5"/>
      <c r="KU167" s="5"/>
      <c r="KV167" s="5"/>
      <c r="KW167" s="5"/>
      <c r="KX167" s="5"/>
      <c r="KY167" s="5"/>
      <c r="KZ167" s="5"/>
      <c r="LA167" s="5"/>
      <c r="LB167" s="5"/>
      <c r="LC167" s="5"/>
      <c r="LD167" s="5"/>
      <c r="LE167" s="5"/>
      <c r="LF167" s="5"/>
      <c r="LG167" s="5"/>
      <c r="LH167" s="5"/>
      <c r="LI167" s="5"/>
      <c r="LJ167" s="5"/>
      <c r="LK167" s="5"/>
      <c r="LL167" s="5"/>
      <c r="LM167" s="5"/>
      <c r="LN167" s="5"/>
      <c r="LO167" s="5"/>
      <c r="LP167" s="5"/>
      <c r="LQ167" s="5"/>
      <c r="LR167" s="5"/>
      <c r="LS167" s="5"/>
      <c r="LT167" s="5"/>
      <c r="LU167" s="5"/>
      <c r="LV167" s="5"/>
      <c r="LW167" s="5"/>
      <c r="LX167" s="5"/>
      <c r="LY167" s="5"/>
      <c r="LZ167" s="5"/>
      <c r="MA167" s="5"/>
      <c r="MB167" s="5"/>
      <c r="MC167" s="5"/>
      <c r="MD167" s="5"/>
      <c r="ME167" s="5"/>
      <c r="MF167" s="5"/>
      <c r="MG167" s="5"/>
      <c r="MH167" s="5"/>
      <c r="MI167" s="5"/>
      <c r="MJ167" s="5"/>
      <c r="MK167" s="5"/>
    </row>
    <row r="168" spans="1:349" s="1" customFormat="1" ht="17.7" customHeight="1" x14ac:dyDescent="0.3">
      <c r="A168" s="20">
        <v>167</v>
      </c>
      <c r="B168" s="20">
        <v>8100085</v>
      </c>
      <c r="C168" s="10" t="s">
        <v>200</v>
      </c>
      <c r="D168" s="10" t="s">
        <v>25</v>
      </c>
      <c r="E168" s="10" t="s">
        <v>35</v>
      </c>
      <c r="F168" s="10">
        <v>15.25</v>
      </c>
      <c r="G168" s="10">
        <v>10</v>
      </c>
      <c r="H168" s="10"/>
      <c r="I168" s="10" t="s">
        <v>116</v>
      </c>
      <c r="J168" s="10"/>
      <c r="K168" s="10"/>
      <c r="L168" s="10"/>
      <c r="M168" s="10">
        <f t="shared" si="2"/>
        <v>12.657499999999999</v>
      </c>
      <c r="N168" s="10" t="s">
        <v>28</v>
      </c>
      <c r="O168" s="10" t="s">
        <v>29</v>
      </c>
      <c r="P168" s="10" t="s">
        <v>29</v>
      </c>
      <c r="Q168" s="10"/>
      <c r="R168" s="10"/>
      <c r="S168" s="10"/>
      <c r="T168" s="10"/>
      <c r="U168" s="10"/>
      <c r="V168" s="10"/>
      <c r="W168" s="10"/>
      <c r="X168" s="10" t="s">
        <v>30</v>
      </c>
      <c r="Y168" s="14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  <c r="BI168" s="6"/>
      <c r="BJ168" s="6"/>
      <c r="BK168" s="6"/>
      <c r="BL168" s="6"/>
      <c r="BM168" s="6"/>
      <c r="BN168" s="6"/>
      <c r="BO168" s="6"/>
      <c r="BP168" s="6"/>
      <c r="BQ168" s="6"/>
      <c r="BR168" s="6"/>
      <c r="BS168" s="6"/>
      <c r="BT168" s="6"/>
      <c r="BU168" s="6"/>
      <c r="BV168" s="6"/>
      <c r="BW168" s="6"/>
      <c r="BX168" s="6"/>
      <c r="BY168" s="6"/>
      <c r="BZ168" s="6"/>
      <c r="CA168" s="6"/>
      <c r="CB168" s="6"/>
      <c r="CC168" s="6"/>
      <c r="CD168" s="6"/>
      <c r="CE168" s="6"/>
      <c r="CF168" s="6"/>
      <c r="CG168" s="6"/>
      <c r="CH168" s="6"/>
      <c r="CI168" s="6"/>
      <c r="CJ168" s="6"/>
      <c r="CK168" s="6"/>
      <c r="CL168" s="6"/>
      <c r="CM168" s="6"/>
      <c r="CN168" s="6"/>
      <c r="CO168" s="6"/>
      <c r="CP168" s="6"/>
      <c r="CQ168" s="6"/>
      <c r="CR168" s="6"/>
      <c r="CS168" s="6"/>
      <c r="CT168" s="6"/>
      <c r="CU168" s="6"/>
      <c r="CV168" s="6"/>
      <c r="CW168" s="6"/>
      <c r="CX168" s="6"/>
      <c r="CY168" s="6"/>
      <c r="CZ168" s="6"/>
      <c r="DA168" s="6"/>
      <c r="DB168" s="6"/>
      <c r="DC168" s="6"/>
      <c r="DD168" s="6"/>
      <c r="DE168" s="6"/>
      <c r="DF168" s="6"/>
      <c r="DG168" s="6"/>
      <c r="DH168" s="6"/>
      <c r="DI168" s="6"/>
      <c r="DJ168" s="6"/>
      <c r="DK168" s="6"/>
      <c r="DL168" s="6"/>
      <c r="DM168" s="6"/>
      <c r="DN168" s="6"/>
      <c r="DO168" s="6"/>
      <c r="DP168" s="6"/>
      <c r="DQ168" s="6"/>
      <c r="DR168" s="6"/>
      <c r="DS168" s="6"/>
      <c r="DT168" s="6"/>
      <c r="DU168" s="6"/>
      <c r="DV168" s="6"/>
      <c r="DW168" s="6"/>
      <c r="DX168" s="6"/>
      <c r="DY168" s="6"/>
      <c r="DZ168" s="6"/>
      <c r="EA168" s="6"/>
      <c r="EB168" s="6"/>
      <c r="EC168" s="6"/>
      <c r="ED168" s="6"/>
      <c r="EE168" s="6"/>
      <c r="EF168" s="6"/>
      <c r="EG168" s="6"/>
      <c r="EH168" s="6"/>
      <c r="EI168" s="6"/>
      <c r="EJ168" s="6"/>
      <c r="EK168" s="6"/>
      <c r="EL168" s="6"/>
      <c r="EM168" s="6"/>
      <c r="EN168" s="6"/>
      <c r="EO168" s="6"/>
      <c r="EP168" s="6"/>
      <c r="EQ168" s="6"/>
      <c r="ER168" s="6"/>
      <c r="ES168" s="6"/>
      <c r="ET168" s="6"/>
      <c r="EU168" s="6"/>
      <c r="EV168" s="6"/>
      <c r="EW168" s="6"/>
      <c r="EX168" s="6"/>
      <c r="EY168" s="6"/>
      <c r="EZ168" s="6"/>
      <c r="FA168" s="6"/>
      <c r="FB168" s="6"/>
      <c r="FC168" s="6"/>
      <c r="FD168" s="6"/>
      <c r="FE168" s="6"/>
      <c r="FF168" s="6"/>
      <c r="FG168" s="6"/>
      <c r="FH168" s="6"/>
      <c r="FI168" s="6"/>
      <c r="FJ168" s="6"/>
      <c r="FK168" s="6"/>
      <c r="FL168" s="6"/>
      <c r="FM168" s="6"/>
      <c r="FN168" s="6"/>
      <c r="FO168" s="6"/>
      <c r="FP168" s="6"/>
      <c r="FQ168" s="6"/>
      <c r="FR168" s="6"/>
      <c r="FS168" s="6"/>
      <c r="FT168" s="6"/>
      <c r="FU168" s="6"/>
      <c r="FV168" s="6"/>
      <c r="FW168" s="6"/>
      <c r="FX168" s="6"/>
      <c r="FY168" s="6"/>
      <c r="FZ168" s="6"/>
      <c r="GA168" s="6"/>
      <c r="GB168" s="6"/>
      <c r="GC168" s="6"/>
      <c r="GD168" s="6"/>
      <c r="GE168" s="6"/>
      <c r="GF168" s="6"/>
      <c r="GG168" s="6"/>
      <c r="GH168" s="6"/>
      <c r="GI168" s="6"/>
      <c r="GJ168" s="6"/>
      <c r="GK168" s="6"/>
      <c r="GL168" s="6"/>
      <c r="GM168" s="6"/>
      <c r="GN168" s="6"/>
      <c r="GO168" s="6"/>
      <c r="GP168" s="6"/>
      <c r="GQ168" s="6"/>
      <c r="GR168" s="6"/>
      <c r="GS168" s="6"/>
      <c r="GT168" s="6"/>
      <c r="GU168" s="6"/>
      <c r="GV168" s="6"/>
      <c r="GW168" s="6"/>
      <c r="GX168" s="6"/>
      <c r="GY168" s="6"/>
      <c r="GZ168" s="6"/>
      <c r="HA168" s="6"/>
      <c r="HB168" s="6"/>
      <c r="HC168" s="6"/>
      <c r="HD168" s="6"/>
      <c r="HE168" s="6"/>
      <c r="HF168" s="6"/>
      <c r="HG168" s="6"/>
      <c r="HH168" s="6"/>
      <c r="HI168" s="6"/>
      <c r="HJ168" s="6"/>
      <c r="HK168" s="6"/>
      <c r="HL168" s="6"/>
      <c r="HM168" s="6"/>
      <c r="HN168" s="6"/>
      <c r="HO168" s="6"/>
      <c r="HP168" s="6"/>
      <c r="HQ168" s="6"/>
      <c r="HR168" s="6"/>
      <c r="HS168" s="6"/>
      <c r="HT168" s="6"/>
      <c r="HU168" s="6"/>
      <c r="HV168" s="6"/>
      <c r="HW168" s="6"/>
      <c r="HX168" s="6"/>
      <c r="HY168" s="6"/>
      <c r="HZ168" s="6"/>
      <c r="IA168" s="6"/>
      <c r="IB168" s="6"/>
      <c r="IC168" s="6"/>
      <c r="ID168" s="6"/>
      <c r="IE168" s="6"/>
      <c r="IF168" s="6"/>
      <c r="IG168" s="6"/>
      <c r="IH168" s="6"/>
      <c r="II168" s="6"/>
      <c r="IJ168" s="6"/>
      <c r="IK168" s="6"/>
      <c r="IL168" s="6"/>
      <c r="IM168" s="6"/>
      <c r="IN168" s="6"/>
      <c r="IO168" s="6"/>
      <c r="IP168" s="6"/>
      <c r="IQ168" s="6"/>
      <c r="IR168" s="6"/>
      <c r="IS168" s="6"/>
      <c r="IT168" s="6"/>
      <c r="IU168" s="6"/>
      <c r="IV168" s="6"/>
      <c r="IW168" s="6"/>
      <c r="IX168" s="6"/>
      <c r="IY168" s="6"/>
      <c r="IZ168" s="6"/>
      <c r="JA168" s="6"/>
      <c r="JB168" s="6"/>
      <c r="JC168" s="6"/>
      <c r="JD168" s="6"/>
      <c r="JE168" s="6"/>
      <c r="JF168" s="6"/>
      <c r="JG168" s="6"/>
      <c r="JH168" s="6"/>
      <c r="JI168" s="6"/>
      <c r="JJ168" s="6"/>
      <c r="JK168" s="6"/>
      <c r="JL168" s="6"/>
      <c r="JM168" s="6"/>
      <c r="JN168" s="6"/>
      <c r="JO168" s="6"/>
      <c r="JP168" s="6"/>
      <c r="JQ168" s="6"/>
      <c r="JR168" s="6"/>
      <c r="JS168" s="6"/>
      <c r="JT168" s="6"/>
      <c r="JU168" s="6"/>
      <c r="JV168" s="6"/>
      <c r="JW168" s="6"/>
      <c r="JX168" s="6"/>
      <c r="JY168" s="6"/>
      <c r="JZ168" s="6"/>
      <c r="KA168" s="6"/>
      <c r="KB168" s="6"/>
      <c r="KC168" s="6"/>
      <c r="KD168" s="6"/>
      <c r="KE168" s="6"/>
      <c r="KF168" s="6"/>
      <c r="KG168" s="6"/>
      <c r="KH168" s="6"/>
      <c r="KI168" s="6"/>
      <c r="KJ168" s="6"/>
      <c r="KK168" s="6"/>
      <c r="KL168" s="6"/>
      <c r="KM168" s="6"/>
      <c r="KN168" s="6"/>
      <c r="KO168" s="6"/>
      <c r="KP168" s="6"/>
      <c r="KQ168" s="6"/>
      <c r="KR168" s="6"/>
      <c r="KS168" s="6"/>
      <c r="KT168" s="6"/>
      <c r="KU168" s="6"/>
      <c r="KV168" s="6"/>
      <c r="KW168" s="6"/>
      <c r="KX168" s="6"/>
      <c r="KY168" s="6"/>
      <c r="KZ168" s="6"/>
      <c r="LA168" s="6"/>
      <c r="LB168" s="6"/>
      <c r="LC168" s="6"/>
      <c r="LD168" s="6"/>
      <c r="LE168" s="6"/>
      <c r="LF168" s="6"/>
      <c r="LG168" s="6"/>
      <c r="LH168" s="6"/>
      <c r="LI168" s="6"/>
      <c r="LJ168" s="6"/>
      <c r="LK168" s="6"/>
      <c r="LL168" s="6"/>
      <c r="LM168" s="6"/>
      <c r="LN168" s="6"/>
      <c r="LO168" s="6"/>
      <c r="LP168" s="6"/>
      <c r="LQ168" s="6"/>
      <c r="LR168" s="6"/>
      <c r="LS168" s="6"/>
      <c r="LT168" s="6"/>
      <c r="LU168" s="6"/>
      <c r="LV168" s="6"/>
      <c r="LW168" s="6"/>
      <c r="LX168" s="6"/>
      <c r="LY168" s="6"/>
      <c r="LZ168" s="6"/>
      <c r="MA168" s="6"/>
      <c r="MB168" s="6"/>
      <c r="MC168" s="6"/>
      <c r="MD168" s="6"/>
      <c r="ME168" s="6"/>
      <c r="MF168" s="6"/>
      <c r="MG168" s="6"/>
      <c r="MH168" s="6"/>
      <c r="MI168" s="6"/>
      <c r="MJ168" s="6"/>
      <c r="MK168" s="6"/>
    </row>
    <row r="169" spans="1:349" s="2" customFormat="1" ht="17.7" customHeight="1" x14ac:dyDescent="0.3">
      <c r="A169" s="21">
        <v>168</v>
      </c>
      <c r="B169" s="21">
        <v>8100086</v>
      </c>
      <c r="C169" s="9" t="s">
        <v>201</v>
      </c>
      <c r="D169" s="9" t="s">
        <v>25</v>
      </c>
      <c r="E169" s="9" t="s">
        <v>35</v>
      </c>
      <c r="F169" s="9">
        <v>30.75</v>
      </c>
      <c r="G169" s="9">
        <v>5</v>
      </c>
      <c r="H169" s="9"/>
      <c r="I169" s="9" t="s">
        <v>116</v>
      </c>
      <c r="J169" s="9"/>
      <c r="K169" s="9"/>
      <c r="L169" s="9"/>
      <c r="M169" s="9">
        <f t="shared" si="2"/>
        <v>25.522500000000001</v>
      </c>
      <c r="N169" s="9" t="s">
        <v>28</v>
      </c>
      <c r="O169" s="9" t="s">
        <v>29</v>
      </c>
      <c r="P169" s="9" t="s">
        <v>29</v>
      </c>
      <c r="Q169" s="9"/>
      <c r="R169" s="9"/>
      <c r="S169" s="9"/>
      <c r="T169" s="9"/>
      <c r="U169" s="9"/>
      <c r="V169" s="9"/>
      <c r="W169" s="9"/>
      <c r="X169" s="9" t="s">
        <v>30</v>
      </c>
      <c r="Y169" s="13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  <c r="DE169" s="5"/>
      <c r="DF169" s="5"/>
      <c r="DG169" s="5"/>
      <c r="DH169" s="5"/>
      <c r="DI169" s="5"/>
      <c r="DJ169" s="5"/>
      <c r="DK169" s="5"/>
      <c r="DL169" s="5"/>
      <c r="DM169" s="5"/>
      <c r="DN169" s="5"/>
      <c r="DO169" s="5"/>
      <c r="DP169" s="5"/>
      <c r="DQ169" s="5"/>
      <c r="DR169" s="5"/>
      <c r="DS169" s="5"/>
      <c r="DT169" s="5"/>
      <c r="DU169" s="5"/>
      <c r="DV169" s="5"/>
      <c r="DW169" s="5"/>
      <c r="DX169" s="5"/>
      <c r="DY169" s="5"/>
      <c r="DZ169" s="5"/>
      <c r="EA169" s="5"/>
      <c r="EB169" s="5"/>
      <c r="EC169" s="5"/>
      <c r="ED169" s="5"/>
      <c r="EE169" s="5"/>
      <c r="EF169" s="5"/>
      <c r="EG169" s="5"/>
      <c r="EH169" s="5"/>
      <c r="EI169" s="5"/>
      <c r="EJ169" s="5"/>
      <c r="EK169" s="5"/>
      <c r="EL169" s="5"/>
      <c r="EM169" s="5"/>
      <c r="EN169" s="5"/>
      <c r="EO169" s="5"/>
      <c r="EP169" s="5"/>
      <c r="EQ169" s="5"/>
      <c r="ER169" s="5"/>
      <c r="ES169" s="5"/>
      <c r="ET169" s="5"/>
      <c r="EU169" s="5"/>
      <c r="EV169" s="5"/>
      <c r="EW169" s="5"/>
      <c r="EX169" s="5"/>
      <c r="EY169" s="5"/>
      <c r="EZ169" s="5"/>
      <c r="FA169" s="5"/>
      <c r="FB169" s="5"/>
      <c r="FC169" s="5"/>
      <c r="FD169" s="5"/>
      <c r="FE169" s="5"/>
      <c r="FF169" s="5"/>
      <c r="FG169" s="5"/>
      <c r="FH169" s="5"/>
      <c r="FI169" s="5"/>
      <c r="FJ169" s="5"/>
      <c r="FK169" s="5"/>
      <c r="FL169" s="5"/>
      <c r="FM169" s="5"/>
      <c r="FN169" s="5"/>
      <c r="FO169" s="5"/>
      <c r="FP169" s="5"/>
      <c r="FQ169" s="5"/>
      <c r="FR169" s="5"/>
      <c r="FS169" s="5"/>
      <c r="FT169" s="5"/>
      <c r="FU169" s="5"/>
      <c r="FV169" s="5"/>
      <c r="FW169" s="5"/>
      <c r="FX169" s="5"/>
      <c r="FY169" s="5"/>
      <c r="FZ169" s="5"/>
      <c r="GA169" s="5"/>
      <c r="GB169" s="5"/>
      <c r="GC169" s="5"/>
      <c r="GD169" s="5"/>
      <c r="GE169" s="5"/>
      <c r="GF169" s="5"/>
      <c r="GG169" s="5"/>
      <c r="GH169" s="5"/>
      <c r="GI169" s="5"/>
      <c r="GJ169" s="5"/>
      <c r="GK169" s="5"/>
      <c r="GL169" s="5"/>
      <c r="GM169" s="5"/>
      <c r="GN169" s="5"/>
      <c r="GO169" s="5"/>
      <c r="GP169" s="5"/>
      <c r="GQ169" s="5"/>
      <c r="GR169" s="5"/>
      <c r="GS169" s="5"/>
      <c r="GT169" s="5"/>
      <c r="GU169" s="5"/>
      <c r="GV169" s="5"/>
      <c r="GW169" s="5"/>
      <c r="GX169" s="5"/>
      <c r="GY169" s="5"/>
      <c r="GZ169" s="5"/>
      <c r="HA169" s="5"/>
      <c r="HB169" s="5"/>
      <c r="HC169" s="5"/>
      <c r="HD169" s="5"/>
      <c r="HE169" s="5"/>
      <c r="HF169" s="5"/>
      <c r="HG169" s="5"/>
      <c r="HH169" s="5"/>
      <c r="HI169" s="5"/>
      <c r="HJ169" s="5"/>
      <c r="HK169" s="5"/>
      <c r="HL169" s="5"/>
      <c r="HM169" s="5"/>
      <c r="HN169" s="5"/>
      <c r="HO169" s="5"/>
      <c r="HP169" s="5"/>
      <c r="HQ169" s="5"/>
      <c r="HR169" s="5"/>
      <c r="HS169" s="5"/>
      <c r="HT169" s="5"/>
      <c r="HU169" s="5"/>
      <c r="HV169" s="5"/>
      <c r="HW169" s="5"/>
      <c r="HX169" s="5"/>
      <c r="HY169" s="5"/>
      <c r="HZ169" s="5"/>
      <c r="IA169" s="5"/>
      <c r="IB169" s="5"/>
      <c r="IC169" s="5"/>
      <c r="ID169" s="5"/>
      <c r="IE169" s="5"/>
      <c r="IF169" s="5"/>
      <c r="IG169" s="5"/>
      <c r="IH169" s="5"/>
      <c r="II169" s="5"/>
      <c r="IJ169" s="5"/>
      <c r="IK169" s="5"/>
      <c r="IL169" s="5"/>
      <c r="IM169" s="5"/>
      <c r="IN169" s="5"/>
      <c r="IO169" s="5"/>
      <c r="IP169" s="5"/>
      <c r="IQ169" s="5"/>
      <c r="IR169" s="5"/>
      <c r="IS169" s="5"/>
      <c r="IT169" s="5"/>
      <c r="IU169" s="5"/>
      <c r="IV169" s="5"/>
      <c r="IW169" s="5"/>
      <c r="IX169" s="5"/>
      <c r="IY169" s="5"/>
      <c r="IZ169" s="5"/>
      <c r="JA169" s="5"/>
      <c r="JB169" s="5"/>
      <c r="JC169" s="5"/>
      <c r="JD169" s="5"/>
      <c r="JE169" s="5"/>
      <c r="JF169" s="5"/>
      <c r="JG169" s="5"/>
      <c r="JH169" s="5"/>
      <c r="JI169" s="5"/>
      <c r="JJ169" s="5"/>
      <c r="JK169" s="5"/>
      <c r="JL169" s="5"/>
      <c r="JM169" s="5"/>
      <c r="JN169" s="5"/>
      <c r="JO169" s="5"/>
      <c r="JP169" s="5"/>
      <c r="JQ169" s="5"/>
      <c r="JR169" s="5"/>
      <c r="JS169" s="5"/>
      <c r="JT169" s="5"/>
      <c r="JU169" s="5"/>
      <c r="JV169" s="5"/>
      <c r="JW169" s="5"/>
      <c r="JX169" s="5"/>
      <c r="JY169" s="5"/>
      <c r="JZ169" s="5"/>
      <c r="KA169" s="5"/>
      <c r="KB169" s="5"/>
      <c r="KC169" s="5"/>
      <c r="KD169" s="5"/>
      <c r="KE169" s="5"/>
      <c r="KF169" s="5"/>
      <c r="KG169" s="5"/>
      <c r="KH169" s="5"/>
      <c r="KI169" s="5"/>
      <c r="KJ169" s="5"/>
      <c r="KK169" s="5"/>
      <c r="KL169" s="5"/>
      <c r="KM169" s="5"/>
      <c r="KN169" s="5"/>
      <c r="KO169" s="5"/>
      <c r="KP169" s="5"/>
      <c r="KQ169" s="5"/>
      <c r="KR169" s="5"/>
      <c r="KS169" s="5"/>
      <c r="KT169" s="5"/>
      <c r="KU169" s="5"/>
      <c r="KV169" s="5"/>
      <c r="KW169" s="5"/>
      <c r="KX169" s="5"/>
      <c r="KY169" s="5"/>
      <c r="KZ169" s="5"/>
      <c r="LA169" s="5"/>
      <c r="LB169" s="5"/>
      <c r="LC169" s="5"/>
      <c r="LD169" s="5"/>
      <c r="LE169" s="5"/>
      <c r="LF169" s="5"/>
      <c r="LG169" s="5"/>
      <c r="LH169" s="5"/>
      <c r="LI169" s="5"/>
      <c r="LJ169" s="5"/>
      <c r="LK169" s="5"/>
      <c r="LL169" s="5"/>
      <c r="LM169" s="5"/>
      <c r="LN169" s="5"/>
      <c r="LO169" s="5"/>
      <c r="LP169" s="5"/>
      <c r="LQ169" s="5"/>
      <c r="LR169" s="5"/>
      <c r="LS169" s="5"/>
      <c r="LT169" s="5"/>
      <c r="LU169" s="5"/>
      <c r="LV169" s="5"/>
      <c r="LW169" s="5"/>
      <c r="LX169" s="5"/>
      <c r="LY169" s="5"/>
      <c r="LZ169" s="5"/>
      <c r="MA169" s="5"/>
      <c r="MB169" s="5"/>
      <c r="MC169" s="5"/>
      <c r="MD169" s="5"/>
      <c r="ME169" s="5"/>
      <c r="MF169" s="5"/>
      <c r="MG169" s="5"/>
      <c r="MH169" s="5"/>
      <c r="MI169" s="5"/>
      <c r="MJ169" s="5"/>
      <c r="MK169" s="5"/>
    </row>
    <row r="170" spans="1:349" s="2" customFormat="1" ht="17.7" customHeight="1" x14ac:dyDescent="0.3">
      <c r="A170" s="20">
        <v>169</v>
      </c>
      <c r="B170" s="20">
        <v>8100087</v>
      </c>
      <c r="C170" s="10" t="s">
        <v>202</v>
      </c>
      <c r="D170" s="10" t="s">
        <v>25</v>
      </c>
      <c r="E170" s="10" t="s">
        <v>35</v>
      </c>
      <c r="F170" s="10">
        <v>36</v>
      </c>
      <c r="G170" s="10">
        <v>5</v>
      </c>
      <c r="H170" s="10"/>
      <c r="I170" s="10" t="s">
        <v>116</v>
      </c>
      <c r="J170" s="10"/>
      <c r="K170" s="10"/>
      <c r="L170" s="10"/>
      <c r="M170" s="10">
        <f t="shared" si="2"/>
        <v>29.88</v>
      </c>
      <c r="N170" s="10" t="s">
        <v>28</v>
      </c>
      <c r="O170" s="10" t="s">
        <v>29</v>
      </c>
      <c r="P170" s="10" t="s">
        <v>29</v>
      </c>
      <c r="Q170" s="10"/>
      <c r="R170" s="10"/>
      <c r="S170" s="10"/>
      <c r="T170" s="10"/>
      <c r="U170" s="10"/>
      <c r="V170" s="10"/>
      <c r="W170" s="10"/>
      <c r="X170" s="10" t="s">
        <v>30</v>
      </c>
      <c r="Y170" s="13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  <c r="DE170" s="5"/>
      <c r="DF170" s="5"/>
      <c r="DG170" s="5"/>
      <c r="DH170" s="5"/>
      <c r="DI170" s="5"/>
      <c r="DJ170" s="5"/>
      <c r="DK170" s="5"/>
      <c r="DL170" s="5"/>
      <c r="DM170" s="5"/>
      <c r="DN170" s="5"/>
      <c r="DO170" s="5"/>
      <c r="DP170" s="5"/>
      <c r="DQ170" s="5"/>
      <c r="DR170" s="5"/>
      <c r="DS170" s="5"/>
      <c r="DT170" s="5"/>
      <c r="DU170" s="5"/>
      <c r="DV170" s="5"/>
      <c r="DW170" s="5"/>
      <c r="DX170" s="5"/>
      <c r="DY170" s="5"/>
      <c r="DZ170" s="5"/>
      <c r="EA170" s="5"/>
      <c r="EB170" s="5"/>
      <c r="EC170" s="5"/>
      <c r="ED170" s="5"/>
      <c r="EE170" s="5"/>
      <c r="EF170" s="5"/>
      <c r="EG170" s="5"/>
      <c r="EH170" s="5"/>
      <c r="EI170" s="5"/>
      <c r="EJ170" s="5"/>
      <c r="EK170" s="5"/>
      <c r="EL170" s="5"/>
      <c r="EM170" s="5"/>
      <c r="EN170" s="5"/>
      <c r="EO170" s="5"/>
      <c r="EP170" s="5"/>
      <c r="EQ170" s="5"/>
      <c r="ER170" s="5"/>
      <c r="ES170" s="5"/>
      <c r="ET170" s="5"/>
      <c r="EU170" s="5"/>
      <c r="EV170" s="5"/>
      <c r="EW170" s="5"/>
      <c r="EX170" s="5"/>
      <c r="EY170" s="5"/>
      <c r="EZ170" s="5"/>
      <c r="FA170" s="5"/>
      <c r="FB170" s="5"/>
      <c r="FC170" s="5"/>
      <c r="FD170" s="5"/>
      <c r="FE170" s="5"/>
      <c r="FF170" s="5"/>
      <c r="FG170" s="5"/>
      <c r="FH170" s="5"/>
      <c r="FI170" s="5"/>
      <c r="FJ170" s="5"/>
      <c r="FK170" s="5"/>
      <c r="FL170" s="5"/>
      <c r="FM170" s="5"/>
      <c r="FN170" s="5"/>
      <c r="FO170" s="5"/>
      <c r="FP170" s="5"/>
      <c r="FQ170" s="5"/>
      <c r="FR170" s="5"/>
      <c r="FS170" s="5"/>
      <c r="FT170" s="5"/>
      <c r="FU170" s="5"/>
      <c r="FV170" s="5"/>
      <c r="FW170" s="5"/>
      <c r="FX170" s="5"/>
      <c r="FY170" s="5"/>
      <c r="FZ170" s="5"/>
      <c r="GA170" s="5"/>
      <c r="GB170" s="5"/>
      <c r="GC170" s="5"/>
      <c r="GD170" s="5"/>
      <c r="GE170" s="5"/>
      <c r="GF170" s="5"/>
      <c r="GG170" s="5"/>
      <c r="GH170" s="5"/>
      <c r="GI170" s="5"/>
      <c r="GJ170" s="5"/>
      <c r="GK170" s="5"/>
      <c r="GL170" s="5"/>
      <c r="GM170" s="5"/>
      <c r="GN170" s="5"/>
      <c r="GO170" s="5"/>
      <c r="GP170" s="5"/>
      <c r="GQ170" s="5"/>
      <c r="GR170" s="5"/>
      <c r="GS170" s="5"/>
      <c r="GT170" s="5"/>
      <c r="GU170" s="5"/>
      <c r="GV170" s="5"/>
      <c r="GW170" s="5"/>
      <c r="GX170" s="5"/>
      <c r="GY170" s="5"/>
      <c r="GZ170" s="5"/>
      <c r="HA170" s="5"/>
      <c r="HB170" s="5"/>
      <c r="HC170" s="5"/>
      <c r="HD170" s="5"/>
      <c r="HE170" s="5"/>
      <c r="HF170" s="5"/>
      <c r="HG170" s="5"/>
      <c r="HH170" s="5"/>
      <c r="HI170" s="5"/>
      <c r="HJ170" s="5"/>
      <c r="HK170" s="5"/>
      <c r="HL170" s="5"/>
      <c r="HM170" s="5"/>
      <c r="HN170" s="5"/>
      <c r="HO170" s="5"/>
      <c r="HP170" s="5"/>
      <c r="HQ170" s="5"/>
      <c r="HR170" s="5"/>
      <c r="HS170" s="5"/>
      <c r="HT170" s="5"/>
      <c r="HU170" s="5"/>
      <c r="HV170" s="5"/>
      <c r="HW170" s="5"/>
      <c r="HX170" s="5"/>
      <c r="HY170" s="5"/>
      <c r="HZ170" s="5"/>
      <c r="IA170" s="5"/>
      <c r="IB170" s="5"/>
      <c r="IC170" s="5"/>
      <c r="ID170" s="5"/>
      <c r="IE170" s="5"/>
      <c r="IF170" s="5"/>
      <c r="IG170" s="5"/>
      <c r="IH170" s="5"/>
      <c r="II170" s="5"/>
      <c r="IJ170" s="5"/>
      <c r="IK170" s="5"/>
      <c r="IL170" s="5"/>
      <c r="IM170" s="5"/>
      <c r="IN170" s="5"/>
      <c r="IO170" s="5"/>
      <c r="IP170" s="5"/>
      <c r="IQ170" s="5"/>
      <c r="IR170" s="5"/>
      <c r="IS170" s="5"/>
      <c r="IT170" s="5"/>
      <c r="IU170" s="5"/>
      <c r="IV170" s="5"/>
      <c r="IW170" s="5"/>
      <c r="IX170" s="5"/>
      <c r="IY170" s="5"/>
      <c r="IZ170" s="5"/>
      <c r="JA170" s="5"/>
      <c r="JB170" s="5"/>
      <c r="JC170" s="5"/>
      <c r="JD170" s="5"/>
      <c r="JE170" s="5"/>
      <c r="JF170" s="5"/>
      <c r="JG170" s="5"/>
      <c r="JH170" s="5"/>
      <c r="JI170" s="5"/>
      <c r="JJ170" s="5"/>
      <c r="JK170" s="5"/>
      <c r="JL170" s="5"/>
      <c r="JM170" s="5"/>
      <c r="JN170" s="5"/>
      <c r="JO170" s="5"/>
      <c r="JP170" s="5"/>
      <c r="JQ170" s="5"/>
      <c r="JR170" s="5"/>
      <c r="JS170" s="5"/>
      <c r="JT170" s="5"/>
      <c r="JU170" s="5"/>
      <c r="JV170" s="5"/>
      <c r="JW170" s="5"/>
      <c r="JX170" s="5"/>
      <c r="JY170" s="5"/>
      <c r="JZ170" s="5"/>
      <c r="KA170" s="5"/>
      <c r="KB170" s="5"/>
      <c r="KC170" s="5"/>
      <c r="KD170" s="5"/>
      <c r="KE170" s="5"/>
      <c r="KF170" s="5"/>
      <c r="KG170" s="5"/>
      <c r="KH170" s="5"/>
      <c r="KI170" s="5"/>
      <c r="KJ170" s="5"/>
      <c r="KK170" s="5"/>
      <c r="KL170" s="5"/>
      <c r="KM170" s="5"/>
      <c r="KN170" s="5"/>
      <c r="KO170" s="5"/>
      <c r="KP170" s="5"/>
      <c r="KQ170" s="5"/>
      <c r="KR170" s="5"/>
      <c r="KS170" s="5"/>
      <c r="KT170" s="5"/>
      <c r="KU170" s="5"/>
      <c r="KV170" s="5"/>
      <c r="KW170" s="5"/>
      <c r="KX170" s="5"/>
      <c r="KY170" s="5"/>
      <c r="KZ170" s="5"/>
      <c r="LA170" s="5"/>
      <c r="LB170" s="5"/>
      <c r="LC170" s="5"/>
      <c r="LD170" s="5"/>
      <c r="LE170" s="5"/>
      <c r="LF170" s="5"/>
      <c r="LG170" s="5"/>
      <c r="LH170" s="5"/>
      <c r="LI170" s="5"/>
      <c r="LJ170" s="5"/>
      <c r="LK170" s="5"/>
      <c r="LL170" s="5"/>
      <c r="LM170" s="5"/>
      <c r="LN170" s="5"/>
      <c r="LO170" s="5"/>
      <c r="LP170" s="5"/>
      <c r="LQ170" s="5"/>
      <c r="LR170" s="5"/>
      <c r="LS170" s="5"/>
      <c r="LT170" s="5"/>
      <c r="LU170" s="5"/>
      <c r="LV170" s="5"/>
      <c r="LW170" s="5"/>
      <c r="LX170" s="5"/>
      <c r="LY170" s="5"/>
      <c r="LZ170" s="5"/>
      <c r="MA170" s="5"/>
      <c r="MB170" s="5"/>
      <c r="MC170" s="5"/>
      <c r="MD170" s="5"/>
      <c r="ME170" s="5"/>
      <c r="MF170" s="5"/>
      <c r="MG170" s="5"/>
      <c r="MH170" s="5"/>
      <c r="MI170" s="5"/>
      <c r="MJ170" s="5"/>
      <c r="MK170" s="5"/>
    </row>
    <row r="171" spans="1:349" s="2" customFormat="1" ht="17.7" customHeight="1" x14ac:dyDescent="0.3">
      <c r="A171" s="21">
        <v>170</v>
      </c>
      <c r="B171" s="21">
        <v>8100088</v>
      </c>
      <c r="C171" s="9" t="s">
        <v>203</v>
      </c>
      <c r="D171" s="9" t="s">
        <v>25</v>
      </c>
      <c r="E171" s="9" t="s">
        <v>35</v>
      </c>
      <c r="F171" s="9">
        <v>42</v>
      </c>
      <c r="G171" s="9">
        <v>10</v>
      </c>
      <c r="H171" s="9"/>
      <c r="I171" s="9" t="s">
        <v>116</v>
      </c>
      <c r="J171" s="9"/>
      <c r="K171" s="9"/>
      <c r="L171" s="9"/>
      <c r="M171" s="9">
        <f t="shared" si="2"/>
        <v>34.86</v>
      </c>
      <c r="N171" s="9" t="s">
        <v>28</v>
      </c>
      <c r="O171" s="9" t="s">
        <v>29</v>
      </c>
      <c r="P171" s="9" t="s">
        <v>29</v>
      </c>
      <c r="Q171" s="9"/>
      <c r="R171" s="9"/>
      <c r="S171" s="9"/>
      <c r="T171" s="9"/>
      <c r="U171" s="9"/>
      <c r="V171" s="9"/>
      <c r="W171" s="9"/>
      <c r="X171" s="9" t="s">
        <v>30</v>
      </c>
      <c r="Y171" s="13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  <c r="DE171" s="5"/>
      <c r="DF171" s="5"/>
      <c r="DG171" s="5"/>
      <c r="DH171" s="5"/>
      <c r="DI171" s="5"/>
      <c r="DJ171" s="5"/>
      <c r="DK171" s="5"/>
      <c r="DL171" s="5"/>
      <c r="DM171" s="5"/>
      <c r="DN171" s="5"/>
      <c r="DO171" s="5"/>
      <c r="DP171" s="5"/>
      <c r="DQ171" s="5"/>
      <c r="DR171" s="5"/>
      <c r="DS171" s="5"/>
      <c r="DT171" s="5"/>
      <c r="DU171" s="5"/>
      <c r="DV171" s="5"/>
      <c r="DW171" s="5"/>
      <c r="DX171" s="5"/>
      <c r="DY171" s="5"/>
      <c r="DZ171" s="5"/>
      <c r="EA171" s="5"/>
      <c r="EB171" s="5"/>
      <c r="EC171" s="5"/>
      <c r="ED171" s="5"/>
      <c r="EE171" s="5"/>
      <c r="EF171" s="5"/>
      <c r="EG171" s="5"/>
      <c r="EH171" s="5"/>
      <c r="EI171" s="5"/>
      <c r="EJ171" s="5"/>
      <c r="EK171" s="5"/>
      <c r="EL171" s="5"/>
      <c r="EM171" s="5"/>
      <c r="EN171" s="5"/>
      <c r="EO171" s="5"/>
      <c r="EP171" s="5"/>
      <c r="EQ171" s="5"/>
      <c r="ER171" s="5"/>
      <c r="ES171" s="5"/>
      <c r="ET171" s="5"/>
      <c r="EU171" s="5"/>
      <c r="EV171" s="5"/>
      <c r="EW171" s="5"/>
      <c r="EX171" s="5"/>
      <c r="EY171" s="5"/>
      <c r="EZ171" s="5"/>
      <c r="FA171" s="5"/>
      <c r="FB171" s="5"/>
      <c r="FC171" s="5"/>
      <c r="FD171" s="5"/>
      <c r="FE171" s="5"/>
      <c r="FF171" s="5"/>
      <c r="FG171" s="5"/>
      <c r="FH171" s="5"/>
      <c r="FI171" s="5"/>
      <c r="FJ171" s="5"/>
      <c r="FK171" s="5"/>
      <c r="FL171" s="5"/>
      <c r="FM171" s="5"/>
      <c r="FN171" s="5"/>
      <c r="FO171" s="5"/>
      <c r="FP171" s="5"/>
      <c r="FQ171" s="5"/>
      <c r="FR171" s="5"/>
      <c r="FS171" s="5"/>
      <c r="FT171" s="5"/>
      <c r="FU171" s="5"/>
      <c r="FV171" s="5"/>
      <c r="FW171" s="5"/>
      <c r="FX171" s="5"/>
      <c r="FY171" s="5"/>
      <c r="FZ171" s="5"/>
      <c r="GA171" s="5"/>
      <c r="GB171" s="5"/>
      <c r="GC171" s="5"/>
      <c r="GD171" s="5"/>
      <c r="GE171" s="5"/>
      <c r="GF171" s="5"/>
      <c r="GG171" s="5"/>
      <c r="GH171" s="5"/>
      <c r="GI171" s="5"/>
      <c r="GJ171" s="5"/>
      <c r="GK171" s="5"/>
      <c r="GL171" s="5"/>
      <c r="GM171" s="5"/>
      <c r="GN171" s="5"/>
      <c r="GO171" s="5"/>
      <c r="GP171" s="5"/>
      <c r="GQ171" s="5"/>
      <c r="GR171" s="5"/>
      <c r="GS171" s="5"/>
      <c r="GT171" s="5"/>
      <c r="GU171" s="5"/>
      <c r="GV171" s="5"/>
      <c r="GW171" s="5"/>
      <c r="GX171" s="5"/>
      <c r="GY171" s="5"/>
      <c r="GZ171" s="5"/>
      <c r="HA171" s="5"/>
      <c r="HB171" s="5"/>
      <c r="HC171" s="5"/>
      <c r="HD171" s="5"/>
      <c r="HE171" s="5"/>
      <c r="HF171" s="5"/>
      <c r="HG171" s="5"/>
      <c r="HH171" s="5"/>
      <c r="HI171" s="5"/>
      <c r="HJ171" s="5"/>
      <c r="HK171" s="5"/>
      <c r="HL171" s="5"/>
      <c r="HM171" s="5"/>
      <c r="HN171" s="5"/>
      <c r="HO171" s="5"/>
      <c r="HP171" s="5"/>
      <c r="HQ171" s="5"/>
      <c r="HR171" s="5"/>
      <c r="HS171" s="5"/>
      <c r="HT171" s="5"/>
      <c r="HU171" s="5"/>
      <c r="HV171" s="5"/>
      <c r="HW171" s="5"/>
      <c r="HX171" s="5"/>
      <c r="HY171" s="5"/>
      <c r="HZ171" s="5"/>
      <c r="IA171" s="5"/>
      <c r="IB171" s="5"/>
      <c r="IC171" s="5"/>
      <c r="ID171" s="5"/>
      <c r="IE171" s="5"/>
      <c r="IF171" s="5"/>
      <c r="IG171" s="5"/>
      <c r="IH171" s="5"/>
      <c r="II171" s="5"/>
      <c r="IJ171" s="5"/>
      <c r="IK171" s="5"/>
      <c r="IL171" s="5"/>
      <c r="IM171" s="5"/>
      <c r="IN171" s="5"/>
      <c r="IO171" s="5"/>
      <c r="IP171" s="5"/>
      <c r="IQ171" s="5"/>
      <c r="IR171" s="5"/>
      <c r="IS171" s="5"/>
      <c r="IT171" s="5"/>
      <c r="IU171" s="5"/>
      <c r="IV171" s="5"/>
      <c r="IW171" s="5"/>
      <c r="IX171" s="5"/>
      <c r="IY171" s="5"/>
      <c r="IZ171" s="5"/>
      <c r="JA171" s="5"/>
      <c r="JB171" s="5"/>
      <c r="JC171" s="5"/>
      <c r="JD171" s="5"/>
      <c r="JE171" s="5"/>
      <c r="JF171" s="5"/>
      <c r="JG171" s="5"/>
      <c r="JH171" s="5"/>
      <c r="JI171" s="5"/>
      <c r="JJ171" s="5"/>
      <c r="JK171" s="5"/>
      <c r="JL171" s="5"/>
      <c r="JM171" s="5"/>
      <c r="JN171" s="5"/>
      <c r="JO171" s="5"/>
      <c r="JP171" s="5"/>
      <c r="JQ171" s="5"/>
      <c r="JR171" s="5"/>
      <c r="JS171" s="5"/>
      <c r="JT171" s="5"/>
      <c r="JU171" s="5"/>
      <c r="JV171" s="5"/>
      <c r="JW171" s="5"/>
      <c r="JX171" s="5"/>
      <c r="JY171" s="5"/>
      <c r="JZ171" s="5"/>
      <c r="KA171" s="5"/>
      <c r="KB171" s="5"/>
      <c r="KC171" s="5"/>
      <c r="KD171" s="5"/>
      <c r="KE171" s="5"/>
      <c r="KF171" s="5"/>
      <c r="KG171" s="5"/>
      <c r="KH171" s="5"/>
      <c r="KI171" s="5"/>
      <c r="KJ171" s="5"/>
      <c r="KK171" s="5"/>
      <c r="KL171" s="5"/>
      <c r="KM171" s="5"/>
      <c r="KN171" s="5"/>
      <c r="KO171" s="5"/>
      <c r="KP171" s="5"/>
      <c r="KQ171" s="5"/>
      <c r="KR171" s="5"/>
      <c r="KS171" s="5"/>
      <c r="KT171" s="5"/>
      <c r="KU171" s="5"/>
      <c r="KV171" s="5"/>
      <c r="KW171" s="5"/>
      <c r="KX171" s="5"/>
      <c r="KY171" s="5"/>
      <c r="KZ171" s="5"/>
      <c r="LA171" s="5"/>
      <c r="LB171" s="5"/>
      <c r="LC171" s="5"/>
      <c r="LD171" s="5"/>
      <c r="LE171" s="5"/>
      <c r="LF171" s="5"/>
      <c r="LG171" s="5"/>
      <c r="LH171" s="5"/>
      <c r="LI171" s="5"/>
      <c r="LJ171" s="5"/>
      <c r="LK171" s="5"/>
      <c r="LL171" s="5"/>
      <c r="LM171" s="5"/>
      <c r="LN171" s="5"/>
      <c r="LO171" s="5"/>
      <c r="LP171" s="5"/>
      <c r="LQ171" s="5"/>
      <c r="LR171" s="5"/>
      <c r="LS171" s="5"/>
      <c r="LT171" s="5"/>
      <c r="LU171" s="5"/>
      <c r="LV171" s="5"/>
      <c r="LW171" s="5"/>
      <c r="LX171" s="5"/>
      <c r="LY171" s="5"/>
      <c r="LZ171" s="5"/>
      <c r="MA171" s="5"/>
      <c r="MB171" s="5"/>
      <c r="MC171" s="5"/>
      <c r="MD171" s="5"/>
      <c r="ME171" s="5"/>
      <c r="MF171" s="5"/>
      <c r="MG171" s="5"/>
      <c r="MH171" s="5"/>
      <c r="MI171" s="5"/>
      <c r="MJ171" s="5"/>
      <c r="MK171" s="5"/>
    </row>
    <row r="172" spans="1:349" s="1" customFormat="1" ht="17.7" customHeight="1" x14ac:dyDescent="0.3">
      <c r="A172" s="20">
        <v>171</v>
      </c>
      <c r="B172" s="20">
        <v>8100089</v>
      </c>
      <c r="C172" s="10" t="s">
        <v>204</v>
      </c>
      <c r="D172" s="10" t="s">
        <v>25</v>
      </c>
      <c r="E172" s="10" t="s">
        <v>35</v>
      </c>
      <c r="F172" s="10">
        <v>60.25</v>
      </c>
      <c r="G172" s="10">
        <v>20</v>
      </c>
      <c r="H172" s="10"/>
      <c r="I172" s="10" t="s">
        <v>116</v>
      </c>
      <c r="J172" s="10"/>
      <c r="K172" s="10"/>
      <c r="L172" s="10"/>
      <c r="M172" s="10">
        <f t="shared" si="2"/>
        <v>50.0075</v>
      </c>
      <c r="N172" s="10" t="s">
        <v>28</v>
      </c>
      <c r="O172" s="10" t="s">
        <v>29</v>
      </c>
      <c r="P172" s="10" t="s">
        <v>29</v>
      </c>
      <c r="Q172" s="10"/>
      <c r="R172" s="10"/>
      <c r="S172" s="10"/>
      <c r="T172" s="10"/>
      <c r="U172" s="10"/>
      <c r="V172" s="10"/>
      <c r="W172" s="10"/>
      <c r="X172" s="10" t="s">
        <v>30</v>
      </c>
      <c r="Y172" s="14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  <c r="BI172" s="6"/>
      <c r="BJ172" s="6"/>
      <c r="BK172" s="6"/>
      <c r="BL172" s="6"/>
      <c r="BM172" s="6"/>
      <c r="BN172" s="6"/>
      <c r="BO172" s="6"/>
      <c r="BP172" s="6"/>
      <c r="BQ172" s="6"/>
      <c r="BR172" s="6"/>
      <c r="BS172" s="6"/>
      <c r="BT172" s="6"/>
      <c r="BU172" s="6"/>
      <c r="BV172" s="6"/>
      <c r="BW172" s="6"/>
      <c r="BX172" s="6"/>
      <c r="BY172" s="6"/>
      <c r="BZ172" s="6"/>
      <c r="CA172" s="6"/>
      <c r="CB172" s="6"/>
      <c r="CC172" s="6"/>
      <c r="CD172" s="6"/>
      <c r="CE172" s="6"/>
      <c r="CF172" s="6"/>
      <c r="CG172" s="6"/>
      <c r="CH172" s="6"/>
      <c r="CI172" s="6"/>
      <c r="CJ172" s="6"/>
      <c r="CK172" s="6"/>
      <c r="CL172" s="6"/>
      <c r="CM172" s="6"/>
      <c r="CN172" s="6"/>
      <c r="CO172" s="6"/>
      <c r="CP172" s="6"/>
      <c r="CQ172" s="6"/>
      <c r="CR172" s="6"/>
      <c r="CS172" s="6"/>
      <c r="CT172" s="6"/>
      <c r="CU172" s="6"/>
      <c r="CV172" s="6"/>
      <c r="CW172" s="6"/>
      <c r="CX172" s="6"/>
      <c r="CY172" s="6"/>
      <c r="CZ172" s="6"/>
      <c r="DA172" s="6"/>
      <c r="DB172" s="6"/>
      <c r="DC172" s="6"/>
      <c r="DD172" s="6"/>
      <c r="DE172" s="6"/>
      <c r="DF172" s="6"/>
      <c r="DG172" s="6"/>
      <c r="DH172" s="6"/>
      <c r="DI172" s="6"/>
      <c r="DJ172" s="6"/>
      <c r="DK172" s="6"/>
      <c r="DL172" s="6"/>
      <c r="DM172" s="6"/>
      <c r="DN172" s="6"/>
      <c r="DO172" s="6"/>
      <c r="DP172" s="6"/>
      <c r="DQ172" s="6"/>
      <c r="DR172" s="6"/>
      <c r="DS172" s="6"/>
      <c r="DT172" s="6"/>
      <c r="DU172" s="6"/>
      <c r="DV172" s="6"/>
      <c r="DW172" s="6"/>
      <c r="DX172" s="6"/>
      <c r="DY172" s="6"/>
      <c r="DZ172" s="6"/>
      <c r="EA172" s="6"/>
      <c r="EB172" s="6"/>
      <c r="EC172" s="6"/>
      <c r="ED172" s="6"/>
      <c r="EE172" s="6"/>
      <c r="EF172" s="6"/>
      <c r="EG172" s="6"/>
      <c r="EH172" s="6"/>
      <c r="EI172" s="6"/>
      <c r="EJ172" s="6"/>
      <c r="EK172" s="6"/>
      <c r="EL172" s="6"/>
      <c r="EM172" s="6"/>
      <c r="EN172" s="6"/>
      <c r="EO172" s="6"/>
      <c r="EP172" s="6"/>
      <c r="EQ172" s="6"/>
      <c r="ER172" s="6"/>
      <c r="ES172" s="6"/>
      <c r="ET172" s="6"/>
      <c r="EU172" s="6"/>
      <c r="EV172" s="6"/>
      <c r="EW172" s="6"/>
      <c r="EX172" s="6"/>
      <c r="EY172" s="6"/>
      <c r="EZ172" s="6"/>
      <c r="FA172" s="6"/>
      <c r="FB172" s="6"/>
      <c r="FC172" s="6"/>
      <c r="FD172" s="6"/>
      <c r="FE172" s="6"/>
      <c r="FF172" s="6"/>
      <c r="FG172" s="6"/>
      <c r="FH172" s="6"/>
      <c r="FI172" s="6"/>
      <c r="FJ172" s="6"/>
      <c r="FK172" s="6"/>
      <c r="FL172" s="6"/>
      <c r="FM172" s="6"/>
      <c r="FN172" s="6"/>
      <c r="FO172" s="6"/>
      <c r="FP172" s="6"/>
      <c r="FQ172" s="6"/>
      <c r="FR172" s="6"/>
      <c r="FS172" s="6"/>
      <c r="FT172" s="6"/>
      <c r="FU172" s="6"/>
      <c r="FV172" s="6"/>
      <c r="FW172" s="6"/>
      <c r="FX172" s="6"/>
      <c r="FY172" s="6"/>
      <c r="FZ172" s="6"/>
      <c r="GA172" s="6"/>
      <c r="GB172" s="6"/>
      <c r="GC172" s="6"/>
      <c r="GD172" s="6"/>
      <c r="GE172" s="6"/>
      <c r="GF172" s="6"/>
      <c r="GG172" s="6"/>
      <c r="GH172" s="6"/>
      <c r="GI172" s="6"/>
      <c r="GJ172" s="6"/>
      <c r="GK172" s="6"/>
      <c r="GL172" s="6"/>
      <c r="GM172" s="6"/>
      <c r="GN172" s="6"/>
      <c r="GO172" s="6"/>
      <c r="GP172" s="6"/>
      <c r="GQ172" s="6"/>
      <c r="GR172" s="6"/>
      <c r="GS172" s="6"/>
      <c r="GT172" s="6"/>
      <c r="GU172" s="6"/>
      <c r="GV172" s="6"/>
      <c r="GW172" s="6"/>
      <c r="GX172" s="6"/>
      <c r="GY172" s="6"/>
      <c r="GZ172" s="6"/>
      <c r="HA172" s="6"/>
      <c r="HB172" s="6"/>
      <c r="HC172" s="6"/>
      <c r="HD172" s="6"/>
      <c r="HE172" s="6"/>
      <c r="HF172" s="6"/>
      <c r="HG172" s="6"/>
      <c r="HH172" s="6"/>
      <c r="HI172" s="6"/>
      <c r="HJ172" s="6"/>
      <c r="HK172" s="6"/>
      <c r="HL172" s="6"/>
      <c r="HM172" s="6"/>
      <c r="HN172" s="6"/>
      <c r="HO172" s="6"/>
      <c r="HP172" s="6"/>
      <c r="HQ172" s="6"/>
      <c r="HR172" s="6"/>
      <c r="HS172" s="6"/>
      <c r="HT172" s="6"/>
      <c r="HU172" s="6"/>
      <c r="HV172" s="6"/>
      <c r="HW172" s="6"/>
      <c r="HX172" s="6"/>
      <c r="HY172" s="6"/>
      <c r="HZ172" s="6"/>
      <c r="IA172" s="6"/>
      <c r="IB172" s="6"/>
      <c r="IC172" s="6"/>
      <c r="ID172" s="6"/>
      <c r="IE172" s="6"/>
      <c r="IF172" s="6"/>
      <c r="IG172" s="6"/>
      <c r="IH172" s="6"/>
      <c r="II172" s="6"/>
      <c r="IJ172" s="6"/>
      <c r="IK172" s="6"/>
      <c r="IL172" s="6"/>
      <c r="IM172" s="6"/>
      <c r="IN172" s="6"/>
      <c r="IO172" s="6"/>
      <c r="IP172" s="6"/>
      <c r="IQ172" s="6"/>
      <c r="IR172" s="6"/>
      <c r="IS172" s="6"/>
      <c r="IT172" s="6"/>
      <c r="IU172" s="6"/>
      <c r="IV172" s="6"/>
      <c r="IW172" s="6"/>
      <c r="IX172" s="6"/>
      <c r="IY172" s="6"/>
      <c r="IZ172" s="6"/>
      <c r="JA172" s="6"/>
      <c r="JB172" s="6"/>
      <c r="JC172" s="6"/>
      <c r="JD172" s="6"/>
      <c r="JE172" s="6"/>
      <c r="JF172" s="6"/>
      <c r="JG172" s="6"/>
      <c r="JH172" s="6"/>
      <c r="JI172" s="6"/>
      <c r="JJ172" s="6"/>
      <c r="JK172" s="6"/>
      <c r="JL172" s="6"/>
      <c r="JM172" s="6"/>
      <c r="JN172" s="6"/>
      <c r="JO172" s="6"/>
      <c r="JP172" s="6"/>
      <c r="JQ172" s="6"/>
      <c r="JR172" s="6"/>
      <c r="JS172" s="6"/>
      <c r="JT172" s="6"/>
      <c r="JU172" s="6"/>
      <c r="JV172" s="6"/>
      <c r="JW172" s="6"/>
      <c r="JX172" s="6"/>
      <c r="JY172" s="6"/>
      <c r="JZ172" s="6"/>
      <c r="KA172" s="6"/>
      <c r="KB172" s="6"/>
      <c r="KC172" s="6"/>
      <c r="KD172" s="6"/>
      <c r="KE172" s="6"/>
      <c r="KF172" s="6"/>
      <c r="KG172" s="6"/>
      <c r="KH172" s="6"/>
      <c r="KI172" s="6"/>
      <c r="KJ172" s="6"/>
      <c r="KK172" s="6"/>
      <c r="KL172" s="6"/>
      <c r="KM172" s="6"/>
      <c r="KN172" s="6"/>
      <c r="KO172" s="6"/>
      <c r="KP172" s="6"/>
      <c r="KQ172" s="6"/>
      <c r="KR172" s="6"/>
      <c r="KS172" s="6"/>
      <c r="KT172" s="6"/>
      <c r="KU172" s="6"/>
      <c r="KV172" s="6"/>
      <c r="KW172" s="6"/>
      <c r="KX172" s="6"/>
      <c r="KY172" s="6"/>
      <c r="KZ172" s="6"/>
      <c r="LA172" s="6"/>
      <c r="LB172" s="6"/>
      <c r="LC172" s="6"/>
      <c r="LD172" s="6"/>
      <c r="LE172" s="6"/>
      <c r="LF172" s="6"/>
      <c r="LG172" s="6"/>
      <c r="LH172" s="6"/>
      <c r="LI172" s="6"/>
      <c r="LJ172" s="6"/>
      <c r="LK172" s="6"/>
      <c r="LL172" s="6"/>
      <c r="LM172" s="6"/>
      <c r="LN172" s="6"/>
      <c r="LO172" s="6"/>
      <c r="LP172" s="6"/>
      <c r="LQ172" s="6"/>
      <c r="LR172" s="6"/>
      <c r="LS172" s="6"/>
      <c r="LT172" s="6"/>
      <c r="LU172" s="6"/>
      <c r="LV172" s="6"/>
      <c r="LW172" s="6"/>
      <c r="LX172" s="6"/>
      <c r="LY172" s="6"/>
      <c r="LZ172" s="6"/>
      <c r="MA172" s="6"/>
      <c r="MB172" s="6"/>
      <c r="MC172" s="6"/>
      <c r="MD172" s="6"/>
      <c r="ME172" s="6"/>
      <c r="MF172" s="6"/>
      <c r="MG172" s="6"/>
      <c r="MH172" s="6"/>
      <c r="MI172" s="6"/>
      <c r="MJ172" s="6"/>
      <c r="MK172" s="6"/>
    </row>
    <row r="173" spans="1:349" s="2" customFormat="1" ht="17.7" customHeight="1" x14ac:dyDescent="0.3">
      <c r="A173" s="21">
        <v>172</v>
      </c>
      <c r="B173" s="21">
        <v>8100090</v>
      </c>
      <c r="C173" s="9" t="s">
        <v>205</v>
      </c>
      <c r="D173" s="9" t="s">
        <v>25</v>
      </c>
      <c r="E173" s="9" t="s">
        <v>35</v>
      </c>
      <c r="F173" s="9">
        <v>113.5</v>
      </c>
      <c r="G173" s="9">
        <v>5</v>
      </c>
      <c r="H173" s="9"/>
      <c r="I173" s="9" t="s">
        <v>116</v>
      </c>
      <c r="J173" s="9"/>
      <c r="K173" s="9"/>
      <c r="L173" s="9"/>
      <c r="M173" s="9">
        <f t="shared" si="2"/>
        <v>94.204999999999998</v>
      </c>
      <c r="N173" s="9" t="s">
        <v>28</v>
      </c>
      <c r="O173" s="9" t="s">
        <v>29</v>
      </c>
      <c r="P173" s="9" t="s">
        <v>29</v>
      </c>
      <c r="Q173" s="9"/>
      <c r="R173" s="9"/>
      <c r="S173" s="9"/>
      <c r="T173" s="9"/>
      <c r="U173" s="9"/>
      <c r="V173" s="9"/>
      <c r="W173" s="9"/>
      <c r="X173" s="9" t="s">
        <v>30</v>
      </c>
      <c r="Y173" s="13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  <c r="DE173" s="5"/>
      <c r="DF173" s="5"/>
      <c r="DG173" s="5"/>
      <c r="DH173" s="5"/>
      <c r="DI173" s="5"/>
      <c r="DJ173" s="5"/>
      <c r="DK173" s="5"/>
      <c r="DL173" s="5"/>
      <c r="DM173" s="5"/>
      <c r="DN173" s="5"/>
      <c r="DO173" s="5"/>
      <c r="DP173" s="5"/>
      <c r="DQ173" s="5"/>
      <c r="DR173" s="5"/>
      <c r="DS173" s="5"/>
      <c r="DT173" s="5"/>
      <c r="DU173" s="5"/>
      <c r="DV173" s="5"/>
      <c r="DW173" s="5"/>
      <c r="DX173" s="5"/>
      <c r="DY173" s="5"/>
      <c r="DZ173" s="5"/>
      <c r="EA173" s="5"/>
      <c r="EB173" s="5"/>
      <c r="EC173" s="5"/>
      <c r="ED173" s="5"/>
      <c r="EE173" s="5"/>
      <c r="EF173" s="5"/>
      <c r="EG173" s="5"/>
      <c r="EH173" s="5"/>
      <c r="EI173" s="5"/>
      <c r="EJ173" s="5"/>
      <c r="EK173" s="5"/>
      <c r="EL173" s="5"/>
      <c r="EM173" s="5"/>
      <c r="EN173" s="5"/>
      <c r="EO173" s="5"/>
      <c r="EP173" s="5"/>
      <c r="EQ173" s="5"/>
      <c r="ER173" s="5"/>
      <c r="ES173" s="5"/>
      <c r="ET173" s="5"/>
      <c r="EU173" s="5"/>
      <c r="EV173" s="5"/>
      <c r="EW173" s="5"/>
      <c r="EX173" s="5"/>
      <c r="EY173" s="5"/>
      <c r="EZ173" s="5"/>
      <c r="FA173" s="5"/>
      <c r="FB173" s="5"/>
      <c r="FC173" s="5"/>
      <c r="FD173" s="5"/>
      <c r="FE173" s="5"/>
      <c r="FF173" s="5"/>
      <c r="FG173" s="5"/>
      <c r="FH173" s="5"/>
      <c r="FI173" s="5"/>
      <c r="FJ173" s="5"/>
      <c r="FK173" s="5"/>
      <c r="FL173" s="5"/>
      <c r="FM173" s="5"/>
      <c r="FN173" s="5"/>
      <c r="FO173" s="5"/>
      <c r="FP173" s="5"/>
      <c r="FQ173" s="5"/>
      <c r="FR173" s="5"/>
      <c r="FS173" s="5"/>
      <c r="FT173" s="5"/>
      <c r="FU173" s="5"/>
      <c r="FV173" s="5"/>
      <c r="FW173" s="5"/>
      <c r="FX173" s="5"/>
      <c r="FY173" s="5"/>
      <c r="FZ173" s="5"/>
      <c r="GA173" s="5"/>
      <c r="GB173" s="5"/>
      <c r="GC173" s="5"/>
      <c r="GD173" s="5"/>
      <c r="GE173" s="5"/>
      <c r="GF173" s="5"/>
      <c r="GG173" s="5"/>
      <c r="GH173" s="5"/>
      <c r="GI173" s="5"/>
      <c r="GJ173" s="5"/>
      <c r="GK173" s="5"/>
      <c r="GL173" s="5"/>
      <c r="GM173" s="5"/>
      <c r="GN173" s="5"/>
      <c r="GO173" s="5"/>
      <c r="GP173" s="5"/>
      <c r="GQ173" s="5"/>
      <c r="GR173" s="5"/>
      <c r="GS173" s="5"/>
      <c r="GT173" s="5"/>
      <c r="GU173" s="5"/>
      <c r="GV173" s="5"/>
      <c r="GW173" s="5"/>
      <c r="GX173" s="5"/>
      <c r="GY173" s="5"/>
      <c r="GZ173" s="5"/>
      <c r="HA173" s="5"/>
      <c r="HB173" s="5"/>
      <c r="HC173" s="5"/>
      <c r="HD173" s="5"/>
      <c r="HE173" s="5"/>
      <c r="HF173" s="5"/>
      <c r="HG173" s="5"/>
      <c r="HH173" s="5"/>
      <c r="HI173" s="5"/>
      <c r="HJ173" s="5"/>
      <c r="HK173" s="5"/>
      <c r="HL173" s="5"/>
      <c r="HM173" s="5"/>
      <c r="HN173" s="5"/>
      <c r="HO173" s="5"/>
      <c r="HP173" s="5"/>
      <c r="HQ173" s="5"/>
      <c r="HR173" s="5"/>
      <c r="HS173" s="5"/>
      <c r="HT173" s="5"/>
      <c r="HU173" s="5"/>
      <c r="HV173" s="5"/>
      <c r="HW173" s="5"/>
      <c r="HX173" s="5"/>
      <c r="HY173" s="5"/>
      <c r="HZ173" s="5"/>
      <c r="IA173" s="5"/>
      <c r="IB173" s="5"/>
      <c r="IC173" s="5"/>
      <c r="ID173" s="5"/>
      <c r="IE173" s="5"/>
      <c r="IF173" s="5"/>
      <c r="IG173" s="5"/>
      <c r="IH173" s="5"/>
      <c r="II173" s="5"/>
      <c r="IJ173" s="5"/>
      <c r="IK173" s="5"/>
      <c r="IL173" s="5"/>
      <c r="IM173" s="5"/>
      <c r="IN173" s="5"/>
      <c r="IO173" s="5"/>
      <c r="IP173" s="5"/>
      <c r="IQ173" s="5"/>
      <c r="IR173" s="5"/>
      <c r="IS173" s="5"/>
      <c r="IT173" s="5"/>
      <c r="IU173" s="5"/>
      <c r="IV173" s="5"/>
      <c r="IW173" s="5"/>
      <c r="IX173" s="5"/>
      <c r="IY173" s="5"/>
      <c r="IZ173" s="5"/>
      <c r="JA173" s="5"/>
      <c r="JB173" s="5"/>
      <c r="JC173" s="5"/>
      <c r="JD173" s="5"/>
      <c r="JE173" s="5"/>
      <c r="JF173" s="5"/>
      <c r="JG173" s="5"/>
      <c r="JH173" s="5"/>
      <c r="JI173" s="5"/>
      <c r="JJ173" s="5"/>
      <c r="JK173" s="5"/>
      <c r="JL173" s="5"/>
      <c r="JM173" s="5"/>
      <c r="JN173" s="5"/>
      <c r="JO173" s="5"/>
      <c r="JP173" s="5"/>
      <c r="JQ173" s="5"/>
      <c r="JR173" s="5"/>
      <c r="JS173" s="5"/>
      <c r="JT173" s="5"/>
      <c r="JU173" s="5"/>
      <c r="JV173" s="5"/>
      <c r="JW173" s="5"/>
      <c r="JX173" s="5"/>
      <c r="JY173" s="5"/>
      <c r="JZ173" s="5"/>
      <c r="KA173" s="5"/>
      <c r="KB173" s="5"/>
      <c r="KC173" s="5"/>
      <c r="KD173" s="5"/>
      <c r="KE173" s="5"/>
      <c r="KF173" s="5"/>
      <c r="KG173" s="5"/>
      <c r="KH173" s="5"/>
      <c r="KI173" s="5"/>
      <c r="KJ173" s="5"/>
      <c r="KK173" s="5"/>
      <c r="KL173" s="5"/>
      <c r="KM173" s="5"/>
      <c r="KN173" s="5"/>
      <c r="KO173" s="5"/>
      <c r="KP173" s="5"/>
      <c r="KQ173" s="5"/>
      <c r="KR173" s="5"/>
      <c r="KS173" s="5"/>
      <c r="KT173" s="5"/>
      <c r="KU173" s="5"/>
      <c r="KV173" s="5"/>
      <c r="KW173" s="5"/>
      <c r="KX173" s="5"/>
      <c r="KY173" s="5"/>
      <c r="KZ173" s="5"/>
      <c r="LA173" s="5"/>
      <c r="LB173" s="5"/>
      <c r="LC173" s="5"/>
      <c r="LD173" s="5"/>
      <c r="LE173" s="5"/>
      <c r="LF173" s="5"/>
      <c r="LG173" s="5"/>
      <c r="LH173" s="5"/>
      <c r="LI173" s="5"/>
      <c r="LJ173" s="5"/>
      <c r="LK173" s="5"/>
      <c r="LL173" s="5"/>
      <c r="LM173" s="5"/>
      <c r="LN173" s="5"/>
      <c r="LO173" s="5"/>
      <c r="LP173" s="5"/>
      <c r="LQ173" s="5"/>
      <c r="LR173" s="5"/>
      <c r="LS173" s="5"/>
      <c r="LT173" s="5"/>
      <c r="LU173" s="5"/>
      <c r="LV173" s="5"/>
      <c r="LW173" s="5"/>
      <c r="LX173" s="5"/>
      <c r="LY173" s="5"/>
      <c r="LZ173" s="5"/>
      <c r="MA173" s="5"/>
      <c r="MB173" s="5"/>
      <c r="MC173" s="5"/>
      <c r="MD173" s="5"/>
      <c r="ME173" s="5"/>
      <c r="MF173" s="5"/>
      <c r="MG173" s="5"/>
      <c r="MH173" s="5"/>
      <c r="MI173" s="5"/>
      <c r="MJ173" s="5"/>
      <c r="MK173" s="5"/>
    </row>
    <row r="174" spans="1:349" s="2" customFormat="1" ht="17.7" customHeight="1" x14ac:dyDescent="0.3">
      <c r="A174" s="20">
        <v>173</v>
      </c>
      <c r="B174" s="20">
        <v>8100091</v>
      </c>
      <c r="C174" s="10" t="s">
        <v>206</v>
      </c>
      <c r="D174" s="10" t="s">
        <v>25</v>
      </c>
      <c r="E174" s="10" t="s">
        <v>35</v>
      </c>
      <c r="F174" s="10">
        <v>35</v>
      </c>
      <c r="G174" s="10">
        <v>5</v>
      </c>
      <c r="H174" s="10"/>
      <c r="I174" s="10" t="s">
        <v>116</v>
      </c>
      <c r="J174" s="10"/>
      <c r="K174" s="10"/>
      <c r="L174" s="10"/>
      <c r="M174" s="10">
        <f t="shared" si="2"/>
        <v>29.05</v>
      </c>
      <c r="N174" s="10" t="s">
        <v>28</v>
      </c>
      <c r="O174" s="10" t="s">
        <v>29</v>
      </c>
      <c r="P174" s="10" t="s">
        <v>29</v>
      </c>
      <c r="Q174" s="10"/>
      <c r="R174" s="10"/>
      <c r="S174" s="10"/>
      <c r="T174" s="10"/>
      <c r="U174" s="10"/>
      <c r="V174" s="10"/>
      <c r="W174" s="10"/>
      <c r="X174" s="10" t="s">
        <v>30</v>
      </c>
      <c r="Y174" s="13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  <c r="DE174" s="5"/>
      <c r="DF174" s="5"/>
      <c r="DG174" s="5"/>
      <c r="DH174" s="5"/>
      <c r="DI174" s="5"/>
      <c r="DJ174" s="5"/>
      <c r="DK174" s="5"/>
      <c r="DL174" s="5"/>
      <c r="DM174" s="5"/>
      <c r="DN174" s="5"/>
      <c r="DO174" s="5"/>
      <c r="DP174" s="5"/>
      <c r="DQ174" s="5"/>
      <c r="DR174" s="5"/>
      <c r="DS174" s="5"/>
      <c r="DT174" s="5"/>
      <c r="DU174" s="5"/>
      <c r="DV174" s="5"/>
      <c r="DW174" s="5"/>
      <c r="DX174" s="5"/>
      <c r="DY174" s="5"/>
      <c r="DZ174" s="5"/>
      <c r="EA174" s="5"/>
      <c r="EB174" s="5"/>
      <c r="EC174" s="5"/>
      <c r="ED174" s="5"/>
      <c r="EE174" s="5"/>
      <c r="EF174" s="5"/>
      <c r="EG174" s="5"/>
      <c r="EH174" s="5"/>
      <c r="EI174" s="5"/>
      <c r="EJ174" s="5"/>
      <c r="EK174" s="5"/>
      <c r="EL174" s="5"/>
      <c r="EM174" s="5"/>
      <c r="EN174" s="5"/>
      <c r="EO174" s="5"/>
      <c r="EP174" s="5"/>
      <c r="EQ174" s="5"/>
      <c r="ER174" s="5"/>
      <c r="ES174" s="5"/>
      <c r="ET174" s="5"/>
      <c r="EU174" s="5"/>
      <c r="EV174" s="5"/>
      <c r="EW174" s="5"/>
      <c r="EX174" s="5"/>
      <c r="EY174" s="5"/>
      <c r="EZ174" s="5"/>
      <c r="FA174" s="5"/>
      <c r="FB174" s="5"/>
      <c r="FC174" s="5"/>
      <c r="FD174" s="5"/>
      <c r="FE174" s="5"/>
      <c r="FF174" s="5"/>
      <c r="FG174" s="5"/>
      <c r="FH174" s="5"/>
      <c r="FI174" s="5"/>
      <c r="FJ174" s="5"/>
      <c r="FK174" s="5"/>
      <c r="FL174" s="5"/>
      <c r="FM174" s="5"/>
      <c r="FN174" s="5"/>
      <c r="FO174" s="5"/>
      <c r="FP174" s="5"/>
      <c r="FQ174" s="5"/>
      <c r="FR174" s="5"/>
      <c r="FS174" s="5"/>
      <c r="FT174" s="5"/>
      <c r="FU174" s="5"/>
      <c r="FV174" s="5"/>
      <c r="FW174" s="5"/>
      <c r="FX174" s="5"/>
      <c r="FY174" s="5"/>
      <c r="FZ174" s="5"/>
      <c r="GA174" s="5"/>
      <c r="GB174" s="5"/>
      <c r="GC174" s="5"/>
      <c r="GD174" s="5"/>
      <c r="GE174" s="5"/>
      <c r="GF174" s="5"/>
      <c r="GG174" s="5"/>
      <c r="GH174" s="5"/>
      <c r="GI174" s="5"/>
      <c r="GJ174" s="5"/>
      <c r="GK174" s="5"/>
      <c r="GL174" s="5"/>
      <c r="GM174" s="5"/>
      <c r="GN174" s="5"/>
      <c r="GO174" s="5"/>
      <c r="GP174" s="5"/>
      <c r="GQ174" s="5"/>
      <c r="GR174" s="5"/>
      <c r="GS174" s="5"/>
      <c r="GT174" s="5"/>
      <c r="GU174" s="5"/>
      <c r="GV174" s="5"/>
      <c r="GW174" s="5"/>
      <c r="GX174" s="5"/>
      <c r="GY174" s="5"/>
      <c r="GZ174" s="5"/>
      <c r="HA174" s="5"/>
      <c r="HB174" s="5"/>
      <c r="HC174" s="5"/>
      <c r="HD174" s="5"/>
      <c r="HE174" s="5"/>
      <c r="HF174" s="5"/>
      <c r="HG174" s="5"/>
      <c r="HH174" s="5"/>
      <c r="HI174" s="5"/>
      <c r="HJ174" s="5"/>
      <c r="HK174" s="5"/>
      <c r="HL174" s="5"/>
      <c r="HM174" s="5"/>
      <c r="HN174" s="5"/>
      <c r="HO174" s="5"/>
      <c r="HP174" s="5"/>
      <c r="HQ174" s="5"/>
      <c r="HR174" s="5"/>
      <c r="HS174" s="5"/>
      <c r="HT174" s="5"/>
      <c r="HU174" s="5"/>
      <c r="HV174" s="5"/>
      <c r="HW174" s="5"/>
      <c r="HX174" s="5"/>
      <c r="HY174" s="5"/>
      <c r="HZ174" s="5"/>
      <c r="IA174" s="5"/>
      <c r="IB174" s="5"/>
      <c r="IC174" s="5"/>
      <c r="ID174" s="5"/>
      <c r="IE174" s="5"/>
      <c r="IF174" s="5"/>
      <c r="IG174" s="5"/>
      <c r="IH174" s="5"/>
      <c r="II174" s="5"/>
      <c r="IJ174" s="5"/>
      <c r="IK174" s="5"/>
      <c r="IL174" s="5"/>
      <c r="IM174" s="5"/>
      <c r="IN174" s="5"/>
      <c r="IO174" s="5"/>
      <c r="IP174" s="5"/>
      <c r="IQ174" s="5"/>
      <c r="IR174" s="5"/>
      <c r="IS174" s="5"/>
      <c r="IT174" s="5"/>
      <c r="IU174" s="5"/>
      <c r="IV174" s="5"/>
      <c r="IW174" s="5"/>
      <c r="IX174" s="5"/>
      <c r="IY174" s="5"/>
      <c r="IZ174" s="5"/>
      <c r="JA174" s="5"/>
      <c r="JB174" s="5"/>
      <c r="JC174" s="5"/>
      <c r="JD174" s="5"/>
      <c r="JE174" s="5"/>
      <c r="JF174" s="5"/>
      <c r="JG174" s="5"/>
      <c r="JH174" s="5"/>
      <c r="JI174" s="5"/>
      <c r="JJ174" s="5"/>
      <c r="JK174" s="5"/>
      <c r="JL174" s="5"/>
      <c r="JM174" s="5"/>
      <c r="JN174" s="5"/>
      <c r="JO174" s="5"/>
      <c r="JP174" s="5"/>
      <c r="JQ174" s="5"/>
      <c r="JR174" s="5"/>
      <c r="JS174" s="5"/>
      <c r="JT174" s="5"/>
      <c r="JU174" s="5"/>
      <c r="JV174" s="5"/>
      <c r="JW174" s="5"/>
      <c r="JX174" s="5"/>
      <c r="JY174" s="5"/>
      <c r="JZ174" s="5"/>
      <c r="KA174" s="5"/>
      <c r="KB174" s="5"/>
      <c r="KC174" s="5"/>
      <c r="KD174" s="5"/>
      <c r="KE174" s="5"/>
      <c r="KF174" s="5"/>
      <c r="KG174" s="5"/>
      <c r="KH174" s="5"/>
      <c r="KI174" s="5"/>
      <c r="KJ174" s="5"/>
      <c r="KK174" s="5"/>
      <c r="KL174" s="5"/>
      <c r="KM174" s="5"/>
      <c r="KN174" s="5"/>
      <c r="KO174" s="5"/>
      <c r="KP174" s="5"/>
      <c r="KQ174" s="5"/>
      <c r="KR174" s="5"/>
      <c r="KS174" s="5"/>
      <c r="KT174" s="5"/>
      <c r="KU174" s="5"/>
      <c r="KV174" s="5"/>
      <c r="KW174" s="5"/>
      <c r="KX174" s="5"/>
      <c r="KY174" s="5"/>
      <c r="KZ174" s="5"/>
      <c r="LA174" s="5"/>
      <c r="LB174" s="5"/>
      <c r="LC174" s="5"/>
      <c r="LD174" s="5"/>
      <c r="LE174" s="5"/>
      <c r="LF174" s="5"/>
      <c r="LG174" s="5"/>
      <c r="LH174" s="5"/>
      <c r="LI174" s="5"/>
      <c r="LJ174" s="5"/>
      <c r="LK174" s="5"/>
      <c r="LL174" s="5"/>
      <c r="LM174" s="5"/>
      <c r="LN174" s="5"/>
      <c r="LO174" s="5"/>
      <c r="LP174" s="5"/>
      <c r="LQ174" s="5"/>
      <c r="LR174" s="5"/>
      <c r="LS174" s="5"/>
      <c r="LT174" s="5"/>
      <c r="LU174" s="5"/>
      <c r="LV174" s="5"/>
      <c r="LW174" s="5"/>
      <c r="LX174" s="5"/>
      <c r="LY174" s="5"/>
      <c r="LZ174" s="5"/>
      <c r="MA174" s="5"/>
      <c r="MB174" s="5"/>
      <c r="MC174" s="5"/>
      <c r="MD174" s="5"/>
      <c r="ME174" s="5"/>
      <c r="MF174" s="5"/>
      <c r="MG174" s="5"/>
      <c r="MH174" s="5"/>
      <c r="MI174" s="5"/>
      <c r="MJ174" s="5"/>
      <c r="MK174" s="5"/>
    </row>
    <row r="175" spans="1:349" s="2" customFormat="1" ht="17.7" customHeight="1" x14ac:dyDescent="0.3">
      <c r="A175" s="21">
        <v>174</v>
      </c>
      <c r="B175" s="21">
        <v>8100092</v>
      </c>
      <c r="C175" s="9" t="s">
        <v>207</v>
      </c>
      <c r="D175" s="9" t="s">
        <v>25</v>
      </c>
      <c r="E175" s="9" t="s">
        <v>35</v>
      </c>
      <c r="F175" s="9">
        <v>43.25</v>
      </c>
      <c r="G175" s="9">
        <v>5</v>
      </c>
      <c r="H175" s="9"/>
      <c r="I175" s="9" t="s">
        <v>116</v>
      </c>
      <c r="J175" s="9"/>
      <c r="K175" s="9"/>
      <c r="L175" s="9"/>
      <c r="M175" s="9">
        <f t="shared" si="2"/>
        <v>35.897500000000001</v>
      </c>
      <c r="N175" s="9" t="s">
        <v>28</v>
      </c>
      <c r="O175" s="9" t="s">
        <v>29</v>
      </c>
      <c r="P175" s="9" t="s">
        <v>29</v>
      </c>
      <c r="Q175" s="9"/>
      <c r="R175" s="9"/>
      <c r="S175" s="9"/>
      <c r="T175" s="9"/>
      <c r="U175" s="9"/>
      <c r="V175" s="9"/>
      <c r="W175" s="9"/>
      <c r="X175" s="9" t="s">
        <v>30</v>
      </c>
      <c r="Y175" s="13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  <c r="DE175" s="5"/>
      <c r="DF175" s="5"/>
      <c r="DG175" s="5"/>
      <c r="DH175" s="5"/>
      <c r="DI175" s="5"/>
      <c r="DJ175" s="5"/>
      <c r="DK175" s="5"/>
      <c r="DL175" s="5"/>
      <c r="DM175" s="5"/>
      <c r="DN175" s="5"/>
      <c r="DO175" s="5"/>
      <c r="DP175" s="5"/>
      <c r="DQ175" s="5"/>
      <c r="DR175" s="5"/>
      <c r="DS175" s="5"/>
      <c r="DT175" s="5"/>
      <c r="DU175" s="5"/>
      <c r="DV175" s="5"/>
      <c r="DW175" s="5"/>
      <c r="DX175" s="5"/>
      <c r="DY175" s="5"/>
      <c r="DZ175" s="5"/>
      <c r="EA175" s="5"/>
      <c r="EB175" s="5"/>
      <c r="EC175" s="5"/>
      <c r="ED175" s="5"/>
      <c r="EE175" s="5"/>
      <c r="EF175" s="5"/>
      <c r="EG175" s="5"/>
      <c r="EH175" s="5"/>
      <c r="EI175" s="5"/>
      <c r="EJ175" s="5"/>
      <c r="EK175" s="5"/>
      <c r="EL175" s="5"/>
      <c r="EM175" s="5"/>
      <c r="EN175" s="5"/>
      <c r="EO175" s="5"/>
      <c r="EP175" s="5"/>
      <c r="EQ175" s="5"/>
      <c r="ER175" s="5"/>
      <c r="ES175" s="5"/>
      <c r="ET175" s="5"/>
      <c r="EU175" s="5"/>
      <c r="EV175" s="5"/>
      <c r="EW175" s="5"/>
      <c r="EX175" s="5"/>
      <c r="EY175" s="5"/>
      <c r="EZ175" s="5"/>
      <c r="FA175" s="5"/>
      <c r="FB175" s="5"/>
      <c r="FC175" s="5"/>
      <c r="FD175" s="5"/>
      <c r="FE175" s="5"/>
      <c r="FF175" s="5"/>
      <c r="FG175" s="5"/>
      <c r="FH175" s="5"/>
      <c r="FI175" s="5"/>
      <c r="FJ175" s="5"/>
      <c r="FK175" s="5"/>
      <c r="FL175" s="5"/>
      <c r="FM175" s="5"/>
      <c r="FN175" s="5"/>
      <c r="FO175" s="5"/>
      <c r="FP175" s="5"/>
      <c r="FQ175" s="5"/>
      <c r="FR175" s="5"/>
      <c r="FS175" s="5"/>
      <c r="FT175" s="5"/>
      <c r="FU175" s="5"/>
      <c r="FV175" s="5"/>
      <c r="FW175" s="5"/>
      <c r="FX175" s="5"/>
      <c r="FY175" s="5"/>
      <c r="FZ175" s="5"/>
      <c r="GA175" s="5"/>
      <c r="GB175" s="5"/>
      <c r="GC175" s="5"/>
      <c r="GD175" s="5"/>
      <c r="GE175" s="5"/>
      <c r="GF175" s="5"/>
      <c r="GG175" s="5"/>
      <c r="GH175" s="5"/>
      <c r="GI175" s="5"/>
      <c r="GJ175" s="5"/>
      <c r="GK175" s="5"/>
      <c r="GL175" s="5"/>
      <c r="GM175" s="5"/>
      <c r="GN175" s="5"/>
      <c r="GO175" s="5"/>
      <c r="GP175" s="5"/>
      <c r="GQ175" s="5"/>
      <c r="GR175" s="5"/>
      <c r="GS175" s="5"/>
      <c r="GT175" s="5"/>
      <c r="GU175" s="5"/>
      <c r="GV175" s="5"/>
      <c r="GW175" s="5"/>
      <c r="GX175" s="5"/>
      <c r="GY175" s="5"/>
      <c r="GZ175" s="5"/>
      <c r="HA175" s="5"/>
      <c r="HB175" s="5"/>
      <c r="HC175" s="5"/>
      <c r="HD175" s="5"/>
      <c r="HE175" s="5"/>
      <c r="HF175" s="5"/>
      <c r="HG175" s="5"/>
      <c r="HH175" s="5"/>
      <c r="HI175" s="5"/>
      <c r="HJ175" s="5"/>
      <c r="HK175" s="5"/>
      <c r="HL175" s="5"/>
      <c r="HM175" s="5"/>
      <c r="HN175" s="5"/>
      <c r="HO175" s="5"/>
      <c r="HP175" s="5"/>
      <c r="HQ175" s="5"/>
      <c r="HR175" s="5"/>
      <c r="HS175" s="5"/>
      <c r="HT175" s="5"/>
      <c r="HU175" s="5"/>
      <c r="HV175" s="5"/>
      <c r="HW175" s="5"/>
      <c r="HX175" s="5"/>
      <c r="HY175" s="5"/>
      <c r="HZ175" s="5"/>
      <c r="IA175" s="5"/>
      <c r="IB175" s="5"/>
      <c r="IC175" s="5"/>
      <c r="ID175" s="5"/>
      <c r="IE175" s="5"/>
      <c r="IF175" s="5"/>
      <c r="IG175" s="5"/>
      <c r="IH175" s="5"/>
      <c r="II175" s="5"/>
      <c r="IJ175" s="5"/>
      <c r="IK175" s="5"/>
      <c r="IL175" s="5"/>
      <c r="IM175" s="5"/>
      <c r="IN175" s="5"/>
      <c r="IO175" s="5"/>
      <c r="IP175" s="5"/>
      <c r="IQ175" s="5"/>
      <c r="IR175" s="5"/>
      <c r="IS175" s="5"/>
      <c r="IT175" s="5"/>
      <c r="IU175" s="5"/>
      <c r="IV175" s="5"/>
      <c r="IW175" s="5"/>
      <c r="IX175" s="5"/>
      <c r="IY175" s="5"/>
      <c r="IZ175" s="5"/>
      <c r="JA175" s="5"/>
      <c r="JB175" s="5"/>
      <c r="JC175" s="5"/>
      <c r="JD175" s="5"/>
      <c r="JE175" s="5"/>
      <c r="JF175" s="5"/>
      <c r="JG175" s="5"/>
      <c r="JH175" s="5"/>
      <c r="JI175" s="5"/>
      <c r="JJ175" s="5"/>
      <c r="JK175" s="5"/>
      <c r="JL175" s="5"/>
      <c r="JM175" s="5"/>
      <c r="JN175" s="5"/>
      <c r="JO175" s="5"/>
      <c r="JP175" s="5"/>
      <c r="JQ175" s="5"/>
      <c r="JR175" s="5"/>
      <c r="JS175" s="5"/>
      <c r="JT175" s="5"/>
      <c r="JU175" s="5"/>
      <c r="JV175" s="5"/>
      <c r="JW175" s="5"/>
      <c r="JX175" s="5"/>
      <c r="JY175" s="5"/>
      <c r="JZ175" s="5"/>
      <c r="KA175" s="5"/>
      <c r="KB175" s="5"/>
      <c r="KC175" s="5"/>
      <c r="KD175" s="5"/>
      <c r="KE175" s="5"/>
      <c r="KF175" s="5"/>
      <c r="KG175" s="5"/>
      <c r="KH175" s="5"/>
      <c r="KI175" s="5"/>
      <c r="KJ175" s="5"/>
      <c r="KK175" s="5"/>
      <c r="KL175" s="5"/>
      <c r="KM175" s="5"/>
      <c r="KN175" s="5"/>
      <c r="KO175" s="5"/>
      <c r="KP175" s="5"/>
      <c r="KQ175" s="5"/>
      <c r="KR175" s="5"/>
      <c r="KS175" s="5"/>
      <c r="KT175" s="5"/>
      <c r="KU175" s="5"/>
      <c r="KV175" s="5"/>
      <c r="KW175" s="5"/>
      <c r="KX175" s="5"/>
      <c r="KY175" s="5"/>
      <c r="KZ175" s="5"/>
      <c r="LA175" s="5"/>
      <c r="LB175" s="5"/>
      <c r="LC175" s="5"/>
      <c r="LD175" s="5"/>
      <c r="LE175" s="5"/>
      <c r="LF175" s="5"/>
      <c r="LG175" s="5"/>
      <c r="LH175" s="5"/>
      <c r="LI175" s="5"/>
      <c r="LJ175" s="5"/>
      <c r="LK175" s="5"/>
      <c r="LL175" s="5"/>
      <c r="LM175" s="5"/>
      <c r="LN175" s="5"/>
      <c r="LO175" s="5"/>
      <c r="LP175" s="5"/>
      <c r="LQ175" s="5"/>
      <c r="LR175" s="5"/>
      <c r="LS175" s="5"/>
      <c r="LT175" s="5"/>
      <c r="LU175" s="5"/>
      <c r="LV175" s="5"/>
      <c r="LW175" s="5"/>
      <c r="LX175" s="5"/>
      <c r="LY175" s="5"/>
      <c r="LZ175" s="5"/>
      <c r="MA175" s="5"/>
      <c r="MB175" s="5"/>
      <c r="MC175" s="5"/>
      <c r="MD175" s="5"/>
      <c r="ME175" s="5"/>
      <c r="MF175" s="5"/>
      <c r="MG175" s="5"/>
      <c r="MH175" s="5"/>
      <c r="MI175" s="5"/>
      <c r="MJ175" s="5"/>
      <c r="MK175" s="5"/>
    </row>
    <row r="176" spans="1:349" s="1" customFormat="1" ht="17.7" customHeight="1" x14ac:dyDescent="0.3">
      <c r="A176" s="20">
        <v>175</v>
      </c>
      <c r="B176" s="20">
        <v>8100093</v>
      </c>
      <c r="C176" s="10" t="s">
        <v>208</v>
      </c>
      <c r="D176" s="10" t="s">
        <v>25</v>
      </c>
      <c r="E176" s="10" t="s">
        <v>35</v>
      </c>
      <c r="F176" s="10">
        <v>63.25</v>
      </c>
      <c r="G176" s="10">
        <v>10</v>
      </c>
      <c r="H176" s="10"/>
      <c r="I176" s="10" t="s">
        <v>116</v>
      </c>
      <c r="J176" s="10"/>
      <c r="K176" s="10"/>
      <c r="L176" s="10"/>
      <c r="M176" s="10">
        <f t="shared" si="2"/>
        <v>52.497500000000002</v>
      </c>
      <c r="N176" s="10" t="s">
        <v>28</v>
      </c>
      <c r="O176" s="10" t="s">
        <v>29</v>
      </c>
      <c r="P176" s="10" t="s">
        <v>29</v>
      </c>
      <c r="Q176" s="10"/>
      <c r="R176" s="10"/>
      <c r="S176" s="10"/>
      <c r="T176" s="10"/>
      <c r="U176" s="10"/>
      <c r="V176" s="10"/>
      <c r="W176" s="10"/>
      <c r="X176" s="10" t="s">
        <v>30</v>
      </c>
      <c r="Y176" s="14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  <c r="BI176" s="6"/>
      <c r="BJ176" s="6"/>
      <c r="BK176" s="6"/>
      <c r="BL176" s="6"/>
      <c r="BM176" s="6"/>
      <c r="BN176" s="6"/>
      <c r="BO176" s="6"/>
      <c r="BP176" s="6"/>
      <c r="BQ176" s="6"/>
      <c r="BR176" s="6"/>
      <c r="BS176" s="6"/>
      <c r="BT176" s="6"/>
      <c r="BU176" s="6"/>
      <c r="BV176" s="6"/>
      <c r="BW176" s="6"/>
      <c r="BX176" s="6"/>
      <c r="BY176" s="6"/>
      <c r="BZ176" s="6"/>
      <c r="CA176" s="6"/>
      <c r="CB176" s="6"/>
      <c r="CC176" s="6"/>
      <c r="CD176" s="6"/>
      <c r="CE176" s="6"/>
      <c r="CF176" s="6"/>
      <c r="CG176" s="6"/>
      <c r="CH176" s="6"/>
      <c r="CI176" s="6"/>
      <c r="CJ176" s="6"/>
      <c r="CK176" s="6"/>
      <c r="CL176" s="6"/>
      <c r="CM176" s="6"/>
      <c r="CN176" s="6"/>
      <c r="CO176" s="6"/>
      <c r="CP176" s="6"/>
      <c r="CQ176" s="6"/>
      <c r="CR176" s="6"/>
      <c r="CS176" s="6"/>
      <c r="CT176" s="6"/>
      <c r="CU176" s="6"/>
      <c r="CV176" s="6"/>
      <c r="CW176" s="6"/>
      <c r="CX176" s="6"/>
      <c r="CY176" s="6"/>
      <c r="CZ176" s="6"/>
      <c r="DA176" s="6"/>
      <c r="DB176" s="6"/>
      <c r="DC176" s="6"/>
      <c r="DD176" s="6"/>
      <c r="DE176" s="6"/>
      <c r="DF176" s="6"/>
      <c r="DG176" s="6"/>
      <c r="DH176" s="6"/>
      <c r="DI176" s="6"/>
      <c r="DJ176" s="6"/>
      <c r="DK176" s="6"/>
      <c r="DL176" s="6"/>
      <c r="DM176" s="6"/>
      <c r="DN176" s="6"/>
      <c r="DO176" s="6"/>
      <c r="DP176" s="6"/>
      <c r="DQ176" s="6"/>
      <c r="DR176" s="6"/>
      <c r="DS176" s="6"/>
      <c r="DT176" s="6"/>
      <c r="DU176" s="6"/>
      <c r="DV176" s="6"/>
      <c r="DW176" s="6"/>
      <c r="DX176" s="6"/>
      <c r="DY176" s="6"/>
      <c r="DZ176" s="6"/>
      <c r="EA176" s="6"/>
      <c r="EB176" s="6"/>
      <c r="EC176" s="6"/>
      <c r="ED176" s="6"/>
      <c r="EE176" s="6"/>
      <c r="EF176" s="6"/>
      <c r="EG176" s="6"/>
      <c r="EH176" s="6"/>
      <c r="EI176" s="6"/>
      <c r="EJ176" s="6"/>
      <c r="EK176" s="6"/>
      <c r="EL176" s="6"/>
      <c r="EM176" s="6"/>
      <c r="EN176" s="6"/>
      <c r="EO176" s="6"/>
      <c r="EP176" s="6"/>
      <c r="EQ176" s="6"/>
      <c r="ER176" s="6"/>
      <c r="ES176" s="6"/>
      <c r="ET176" s="6"/>
      <c r="EU176" s="6"/>
      <c r="EV176" s="6"/>
      <c r="EW176" s="6"/>
      <c r="EX176" s="6"/>
      <c r="EY176" s="6"/>
      <c r="EZ176" s="6"/>
      <c r="FA176" s="6"/>
      <c r="FB176" s="6"/>
      <c r="FC176" s="6"/>
      <c r="FD176" s="6"/>
      <c r="FE176" s="6"/>
      <c r="FF176" s="6"/>
      <c r="FG176" s="6"/>
      <c r="FH176" s="6"/>
      <c r="FI176" s="6"/>
      <c r="FJ176" s="6"/>
      <c r="FK176" s="6"/>
      <c r="FL176" s="6"/>
      <c r="FM176" s="6"/>
      <c r="FN176" s="6"/>
      <c r="FO176" s="6"/>
      <c r="FP176" s="6"/>
      <c r="FQ176" s="6"/>
      <c r="FR176" s="6"/>
      <c r="FS176" s="6"/>
      <c r="FT176" s="6"/>
      <c r="FU176" s="6"/>
      <c r="FV176" s="6"/>
      <c r="FW176" s="6"/>
      <c r="FX176" s="6"/>
      <c r="FY176" s="6"/>
      <c r="FZ176" s="6"/>
      <c r="GA176" s="6"/>
      <c r="GB176" s="6"/>
      <c r="GC176" s="6"/>
      <c r="GD176" s="6"/>
      <c r="GE176" s="6"/>
      <c r="GF176" s="6"/>
      <c r="GG176" s="6"/>
      <c r="GH176" s="6"/>
      <c r="GI176" s="6"/>
      <c r="GJ176" s="6"/>
      <c r="GK176" s="6"/>
      <c r="GL176" s="6"/>
      <c r="GM176" s="6"/>
      <c r="GN176" s="6"/>
      <c r="GO176" s="6"/>
      <c r="GP176" s="6"/>
      <c r="GQ176" s="6"/>
      <c r="GR176" s="6"/>
      <c r="GS176" s="6"/>
      <c r="GT176" s="6"/>
      <c r="GU176" s="6"/>
      <c r="GV176" s="6"/>
      <c r="GW176" s="6"/>
      <c r="GX176" s="6"/>
      <c r="GY176" s="6"/>
      <c r="GZ176" s="6"/>
      <c r="HA176" s="6"/>
      <c r="HB176" s="6"/>
      <c r="HC176" s="6"/>
      <c r="HD176" s="6"/>
      <c r="HE176" s="6"/>
      <c r="HF176" s="6"/>
      <c r="HG176" s="6"/>
      <c r="HH176" s="6"/>
      <c r="HI176" s="6"/>
      <c r="HJ176" s="6"/>
      <c r="HK176" s="6"/>
      <c r="HL176" s="6"/>
      <c r="HM176" s="6"/>
      <c r="HN176" s="6"/>
      <c r="HO176" s="6"/>
      <c r="HP176" s="6"/>
      <c r="HQ176" s="6"/>
      <c r="HR176" s="6"/>
      <c r="HS176" s="6"/>
      <c r="HT176" s="6"/>
      <c r="HU176" s="6"/>
      <c r="HV176" s="6"/>
      <c r="HW176" s="6"/>
      <c r="HX176" s="6"/>
      <c r="HY176" s="6"/>
      <c r="HZ176" s="6"/>
      <c r="IA176" s="6"/>
      <c r="IB176" s="6"/>
      <c r="IC176" s="6"/>
      <c r="ID176" s="6"/>
      <c r="IE176" s="6"/>
      <c r="IF176" s="6"/>
      <c r="IG176" s="6"/>
      <c r="IH176" s="6"/>
      <c r="II176" s="6"/>
      <c r="IJ176" s="6"/>
      <c r="IK176" s="6"/>
      <c r="IL176" s="6"/>
      <c r="IM176" s="6"/>
      <c r="IN176" s="6"/>
      <c r="IO176" s="6"/>
      <c r="IP176" s="6"/>
      <c r="IQ176" s="6"/>
      <c r="IR176" s="6"/>
      <c r="IS176" s="6"/>
      <c r="IT176" s="6"/>
      <c r="IU176" s="6"/>
      <c r="IV176" s="6"/>
      <c r="IW176" s="6"/>
      <c r="IX176" s="6"/>
      <c r="IY176" s="6"/>
      <c r="IZ176" s="6"/>
      <c r="JA176" s="6"/>
      <c r="JB176" s="6"/>
      <c r="JC176" s="6"/>
      <c r="JD176" s="6"/>
      <c r="JE176" s="6"/>
      <c r="JF176" s="6"/>
      <c r="JG176" s="6"/>
      <c r="JH176" s="6"/>
      <c r="JI176" s="6"/>
      <c r="JJ176" s="6"/>
      <c r="JK176" s="6"/>
      <c r="JL176" s="6"/>
      <c r="JM176" s="6"/>
      <c r="JN176" s="6"/>
      <c r="JO176" s="6"/>
      <c r="JP176" s="6"/>
      <c r="JQ176" s="6"/>
      <c r="JR176" s="6"/>
      <c r="JS176" s="6"/>
      <c r="JT176" s="6"/>
      <c r="JU176" s="6"/>
      <c r="JV176" s="6"/>
      <c r="JW176" s="6"/>
      <c r="JX176" s="6"/>
      <c r="JY176" s="6"/>
      <c r="JZ176" s="6"/>
      <c r="KA176" s="6"/>
      <c r="KB176" s="6"/>
      <c r="KC176" s="6"/>
      <c r="KD176" s="6"/>
      <c r="KE176" s="6"/>
      <c r="KF176" s="6"/>
      <c r="KG176" s="6"/>
      <c r="KH176" s="6"/>
      <c r="KI176" s="6"/>
      <c r="KJ176" s="6"/>
      <c r="KK176" s="6"/>
      <c r="KL176" s="6"/>
      <c r="KM176" s="6"/>
      <c r="KN176" s="6"/>
      <c r="KO176" s="6"/>
      <c r="KP176" s="6"/>
      <c r="KQ176" s="6"/>
      <c r="KR176" s="6"/>
      <c r="KS176" s="6"/>
      <c r="KT176" s="6"/>
      <c r="KU176" s="6"/>
      <c r="KV176" s="6"/>
      <c r="KW176" s="6"/>
      <c r="KX176" s="6"/>
      <c r="KY176" s="6"/>
      <c r="KZ176" s="6"/>
      <c r="LA176" s="6"/>
      <c r="LB176" s="6"/>
      <c r="LC176" s="6"/>
      <c r="LD176" s="6"/>
      <c r="LE176" s="6"/>
      <c r="LF176" s="6"/>
      <c r="LG176" s="6"/>
      <c r="LH176" s="6"/>
      <c r="LI176" s="6"/>
      <c r="LJ176" s="6"/>
      <c r="LK176" s="6"/>
      <c r="LL176" s="6"/>
      <c r="LM176" s="6"/>
      <c r="LN176" s="6"/>
      <c r="LO176" s="6"/>
      <c r="LP176" s="6"/>
      <c r="LQ176" s="6"/>
      <c r="LR176" s="6"/>
      <c r="LS176" s="6"/>
      <c r="LT176" s="6"/>
      <c r="LU176" s="6"/>
      <c r="LV176" s="6"/>
      <c r="LW176" s="6"/>
      <c r="LX176" s="6"/>
      <c r="LY176" s="6"/>
      <c r="LZ176" s="6"/>
      <c r="MA176" s="6"/>
      <c r="MB176" s="6"/>
      <c r="MC176" s="6"/>
      <c r="MD176" s="6"/>
      <c r="ME176" s="6"/>
      <c r="MF176" s="6"/>
      <c r="MG176" s="6"/>
      <c r="MH176" s="6"/>
      <c r="MI176" s="6"/>
      <c r="MJ176" s="6"/>
      <c r="MK176" s="6"/>
    </row>
    <row r="177" spans="1:349" s="2" customFormat="1" ht="17.7" customHeight="1" x14ac:dyDescent="0.3">
      <c r="A177" s="21">
        <v>176</v>
      </c>
      <c r="B177" s="21">
        <v>8100094</v>
      </c>
      <c r="C177" s="9" t="s">
        <v>209</v>
      </c>
      <c r="D177" s="9" t="s">
        <v>25</v>
      </c>
      <c r="E177" s="9" t="s">
        <v>35</v>
      </c>
      <c r="F177" s="9">
        <v>1882.25</v>
      </c>
      <c r="G177" s="9">
        <v>3</v>
      </c>
      <c r="H177" s="9"/>
      <c r="I177" s="9" t="s">
        <v>116</v>
      </c>
      <c r="J177" s="9"/>
      <c r="K177" s="9"/>
      <c r="L177" s="9"/>
      <c r="M177" s="9"/>
      <c r="N177" s="9" t="s">
        <v>28</v>
      </c>
      <c r="O177" s="9" t="s">
        <v>29</v>
      </c>
      <c r="P177" s="9" t="s">
        <v>29</v>
      </c>
      <c r="Q177" s="9"/>
      <c r="R177" s="9"/>
      <c r="S177" s="9"/>
      <c r="T177" s="9"/>
      <c r="U177" s="9"/>
      <c r="V177" s="9"/>
      <c r="W177" s="9"/>
      <c r="X177" s="9" t="s">
        <v>30</v>
      </c>
      <c r="Y177" s="13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  <c r="DE177" s="5"/>
      <c r="DF177" s="5"/>
      <c r="DG177" s="5"/>
      <c r="DH177" s="5"/>
      <c r="DI177" s="5"/>
      <c r="DJ177" s="5"/>
      <c r="DK177" s="5"/>
      <c r="DL177" s="5"/>
      <c r="DM177" s="5"/>
      <c r="DN177" s="5"/>
      <c r="DO177" s="5"/>
      <c r="DP177" s="5"/>
      <c r="DQ177" s="5"/>
      <c r="DR177" s="5"/>
      <c r="DS177" s="5"/>
      <c r="DT177" s="5"/>
      <c r="DU177" s="5"/>
      <c r="DV177" s="5"/>
      <c r="DW177" s="5"/>
      <c r="DX177" s="5"/>
      <c r="DY177" s="5"/>
      <c r="DZ177" s="5"/>
      <c r="EA177" s="5"/>
      <c r="EB177" s="5"/>
      <c r="EC177" s="5"/>
      <c r="ED177" s="5"/>
      <c r="EE177" s="5"/>
      <c r="EF177" s="5"/>
      <c r="EG177" s="5"/>
      <c r="EH177" s="5"/>
      <c r="EI177" s="5"/>
      <c r="EJ177" s="5"/>
      <c r="EK177" s="5"/>
      <c r="EL177" s="5"/>
      <c r="EM177" s="5"/>
      <c r="EN177" s="5"/>
      <c r="EO177" s="5"/>
      <c r="EP177" s="5"/>
      <c r="EQ177" s="5"/>
      <c r="ER177" s="5"/>
      <c r="ES177" s="5"/>
      <c r="ET177" s="5"/>
      <c r="EU177" s="5"/>
      <c r="EV177" s="5"/>
      <c r="EW177" s="5"/>
      <c r="EX177" s="5"/>
      <c r="EY177" s="5"/>
      <c r="EZ177" s="5"/>
      <c r="FA177" s="5"/>
      <c r="FB177" s="5"/>
      <c r="FC177" s="5"/>
      <c r="FD177" s="5"/>
      <c r="FE177" s="5"/>
      <c r="FF177" s="5"/>
      <c r="FG177" s="5"/>
      <c r="FH177" s="5"/>
      <c r="FI177" s="5"/>
      <c r="FJ177" s="5"/>
      <c r="FK177" s="5"/>
      <c r="FL177" s="5"/>
      <c r="FM177" s="5"/>
      <c r="FN177" s="5"/>
      <c r="FO177" s="5"/>
      <c r="FP177" s="5"/>
      <c r="FQ177" s="5"/>
      <c r="FR177" s="5"/>
      <c r="FS177" s="5"/>
      <c r="FT177" s="5"/>
      <c r="FU177" s="5"/>
      <c r="FV177" s="5"/>
      <c r="FW177" s="5"/>
      <c r="FX177" s="5"/>
      <c r="FY177" s="5"/>
      <c r="FZ177" s="5"/>
      <c r="GA177" s="5"/>
      <c r="GB177" s="5"/>
      <c r="GC177" s="5"/>
      <c r="GD177" s="5"/>
      <c r="GE177" s="5"/>
      <c r="GF177" s="5"/>
      <c r="GG177" s="5"/>
      <c r="GH177" s="5"/>
      <c r="GI177" s="5"/>
      <c r="GJ177" s="5"/>
      <c r="GK177" s="5"/>
      <c r="GL177" s="5"/>
      <c r="GM177" s="5"/>
      <c r="GN177" s="5"/>
      <c r="GO177" s="5"/>
      <c r="GP177" s="5"/>
      <c r="GQ177" s="5"/>
      <c r="GR177" s="5"/>
      <c r="GS177" s="5"/>
      <c r="GT177" s="5"/>
      <c r="GU177" s="5"/>
      <c r="GV177" s="5"/>
      <c r="GW177" s="5"/>
      <c r="GX177" s="5"/>
      <c r="GY177" s="5"/>
      <c r="GZ177" s="5"/>
      <c r="HA177" s="5"/>
      <c r="HB177" s="5"/>
      <c r="HC177" s="5"/>
      <c r="HD177" s="5"/>
      <c r="HE177" s="5"/>
      <c r="HF177" s="5"/>
      <c r="HG177" s="5"/>
      <c r="HH177" s="5"/>
      <c r="HI177" s="5"/>
      <c r="HJ177" s="5"/>
      <c r="HK177" s="5"/>
      <c r="HL177" s="5"/>
      <c r="HM177" s="5"/>
      <c r="HN177" s="5"/>
      <c r="HO177" s="5"/>
      <c r="HP177" s="5"/>
      <c r="HQ177" s="5"/>
      <c r="HR177" s="5"/>
      <c r="HS177" s="5"/>
      <c r="HT177" s="5"/>
      <c r="HU177" s="5"/>
      <c r="HV177" s="5"/>
      <c r="HW177" s="5"/>
      <c r="HX177" s="5"/>
      <c r="HY177" s="5"/>
      <c r="HZ177" s="5"/>
      <c r="IA177" s="5"/>
      <c r="IB177" s="5"/>
      <c r="IC177" s="5"/>
      <c r="ID177" s="5"/>
      <c r="IE177" s="5"/>
      <c r="IF177" s="5"/>
      <c r="IG177" s="5"/>
      <c r="IH177" s="5"/>
      <c r="II177" s="5"/>
      <c r="IJ177" s="5"/>
      <c r="IK177" s="5"/>
      <c r="IL177" s="5"/>
      <c r="IM177" s="5"/>
      <c r="IN177" s="5"/>
      <c r="IO177" s="5"/>
      <c r="IP177" s="5"/>
      <c r="IQ177" s="5"/>
      <c r="IR177" s="5"/>
      <c r="IS177" s="5"/>
      <c r="IT177" s="5"/>
      <c r="IU177" s="5"/>
      <c r="IV177" s="5"/>
      <c r="IW177" s="5"/>
      <c r="IX177" s="5"/>
      <c r="IY177" s="5"/>
      <c r="IZ177" s="5"/>
      <c r="JA177" s="5"/>
      <c r="JB177" s="5"/>
      <c r="JC177" s="5"/>
      <c r="JD177" s="5"/>
      <c r="JE177" s="5"/>
      <c r="JF177" s="5"/>
      <c r="JG177" s="5"/>
      <c r="JH177" s="5"/>
      <c r="JI177" s="5"/>
      <c r="JJ177" s="5"/>
      <c r="JK177" s="5"/>
      <c r="JL177" s="5"/>
      <c r="JM177" s="5"/>
      <c r="JN177" s="5"/>
      <c r="JO177" s="5"/>
      <c r="JP177" s="5"/>
      <c r="JQ177" s="5"/>
      <c r="JR177" s="5"/>
      <c r="JS177" s="5"/>
      <c r="JT177" s="5"/>
      <c r="JU177" s="5"/>
      <c r="JV177" s="5"/>
      <c r="JW177" s="5"/>
      <c r="JX177" s="5"/>
      <c r="JY177" s="5"/>
      <c r="JZ177" s="5"/>
      <c r="KA177" s="5"/>
      <c r="KB177" s="5"/>
      <c r="KC177" s="5"/>
      <c r="KD177" s="5"/>
      <c r="KE177" s="5"/>
      <c r="KF177" s="5"/>
      <c r="KG177" s="5"/>
      <c r="KH177" s="5"/>
      <c r="KI177" s="5"/>
      <c r="KJ177" s="5"/>
      <c r="KK177" s="5"/>
      <c r="KL177" s="5"/>
      <c r="KM177" s="5"/>
      <c r="KN177" s="5"/>
      <c r="KO177" s="5"/>
      <c r="KP177" s="5"/>
      <c r="KQ177" s="5"/>
      <c r="KR177" s="5"/>
      <c r="KS177" s="5"/>
      <c r="KT177" s="5"/>
      <c r="KU177" s="5"/>
      <c r="KV177" s="5"/>
      <c r="KW177" s="5"/>
      <c r="KX177" s="5"/>
      <c r="KY177" s="5"/>
      <c r="KZ177" s="5"/>
      <c r="LA177" s="5"/>
      <c r="LB177" s="5"/>
      <c r="LC177" s="5"/>
      <c r="LD177" s="5"/>
      <c r="LE177" s="5"/>
      <c r="LF177" s="5"/>
      <c r="LG177" s="5"/>
      <c r="LH177" s="5"/>
      <c r="LI177" s="5"/>
      <c r="LJ177" s="5"/>
      <c r="LK177" s="5"/>
      <c r="LL177" s="5"/>
      <c r="LM177" s="5"/>
      <c r="LN177" s="5"/>
      <c r="LO177" s="5"/>
      <c r="LP177" s="5"/>
      <c r="LQ177" s="5"/>
      <c r="LR177" s="5"/>
      <c r="LS177" s="5"/>
      <c r="LT177" s="5"/>
      <c r="LU177" s="5"/>
      <c r="LV177" s="5"/>
      <c r="LW177" s="5"/>
      <c r="LX177" s="5"/>
      <c r="LY177" s="5"/>
      <c r="LZ177" s="5"/>
      <c r="MA177" s="5"/>
      <c r="MB177" s="5"/>
      <c r="MC177" s="5"/>
      <c r="MD177" s="5"/>
      <c r="ME177" s="5"/>
      <c r="MF177" s="5"/>
      <c r="MG177" s="5"/>
      <c r="MH177" s="5"/>
      <c r="MI177" s="5"/>
      <c r="MJ177" s="5"/>
      <c r="MK177" s="5"/>
    </row>
    <row r="178" spans="1:349" s="2" customFormat="1" ht="17.7" customHeight="1" x14ac:dyDescent="0.3">
      <c r="A178" s="20">
        <v>177</v>
      </c>
      <c r="B178" s="20">
        <v>8100095</v>
      </c>
      <c r="C178" s="10" t="s">
        <v>210</v>
      </c>
      <c r="D178" s="10" t="s">
        <v>25</v>
      </c>
      <c r="E178" s="10" t="s">
        <v>35</v>
      </c>
      <c r="F178" s="10">
        <v>2295.25</v>
      </c>
      <c r="G178" s="10">
        <v>3</v>
      </c>
      <c r="H178" s="10"/>
      <c r="I178" s="10" t="s">
        <v>116</v>
      </c>
      <c r="J178" s="10"/>
      <c r="K178" s="10"/>
      <c r="L178" s="10"/>
      <c r="M178" s="10"/>
      <c r="N178" s="10" t="s">
        <v>28</v>
      </c>
      <c r="O178" s="10" t="s">
        <v>29</v>
      </c>
      <c r="P178" s="10" t="s">
        <v>29</v>
      </c>
      <c r="Q178" s="10"/>
      <c r="R178" s="10"/>
      <c r="S178" s="10"/>
      <c r="T178" s="10"/>
      <c r="U178" s="10"/>
      <c r="V178" s="10"/>
      <c r="W178" s="10"/>
      <c r="X178" s="10" t="s">
        <v>30</v>
      </c>
      <c r="Y178" s="13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  <c r="DE178" s="5"/>
      <c r="DF178" s="5"/>
      <c r="DG178" s="5"/>
      <c r="DH178" s="5"/>
      <c r="DI178" s="5"/>
      <c r="DJ178" s="5"/>
      <c r="DK178" s="5"/>
      <c r="DL178" s="5"/>
      <c r="DM178" s="5"/>
      <c r="DN178" s="5"/>
      <c r="DO178" s="5"/>
      <c r="DP178" s="5"/>
      <c r="DQ178" s="5"/>
      <c r="DR178" s="5"/>
      <c r="DS178" s="5"/>
      <c r="DT178" s="5"/>
      <c r="DU178" s="5"/>
      <c r="DV178" s="5"/>
      <c r="DW178" s="5"/>
      <c r="DX178" s="5"/>
      <c r="DY178" s="5"/>
      <c r="DZ178" s="5"/>
      <c r="EA178" s="5"/>
      <c r="EB178" s="5"/>
      <c r="EC178" s="5"/>
      <c r="ED178" s="5"/>
      <c r="EE178" s="5"/>
      <c r="EF178" s="5"/>
      <c r="EG178" s="5"/>
      <c r="EH178" s="5"/>
      <c r="EI178" s="5"/>
      <c r="EJ178" s="5"/>
      <c r="EK178" s="5"/>
      <c r="EL178" s="5"/>
      <c r="EM178" s="5"/>
      <c r="EN178" s="5"/>
      <c r="EO178" s="5"/>
      <c r="EP178" s="5"/>
      <c r="EQ178" s="5"/>
      <c r="ER178" s="5"/>
      <c r="ES178" s="5"/>
      <c r="ET178" s="5"/>
      <c r="EU178" s="5"/>
      <c r="EV178" s="5"/>
      <c r="EW178" s="5"/>
      <c r="EX178" s="5"/>
      <c r="EY178" s="5"/>
      <c r="EZ178" s="5"/>
      <c r="FA178" s="5"/>
      <c r="FB178" s="5"/>
      <c r="FC178" s="5"/>
      <c r="FD178" s="5"/>
      <c r="FE178" s="5"/>
      <c r="FF178" s="5"/>
      <c r="FG178" s="5"/>
      <c r="FH178" s="5"/>
      <c r="FI178" s="5"/>
      <c r="FJ178" s="5"/>
      <c r="FK178" s="5"/>
      <c r="FL178" s="5"/>
      <c r="FM178" s="5"/>
      <c r="FN178" s="5"/>
      <c r="FO178" s="5"/>
      <c r="FP178" s="5"/>
      <c r="FQ178" s="5"/>
      <c r="FR178" s="5"/>
      <c r="FS178" s="5"/>
      <c r="FT178" s="5"/>
      <c r="FU178" s="5"/>
      <c r="FV178" s="5"/>
      <c r="FW178" s="5"/>
      <c r="FX178" s="5"/>
      <c r="FY178" s="5"/>
      <c r="FZ178" s="5"/>
      <c r="GA178" s="5"/>
      <c r="GB178" s="5"/>
      <c r="GC178" s="5"/>
      <c r="GD178" s="5"/>
      <c r="GE178" s="5"/>
      <c r="GF178" s="5"/>
      <c r="GG178" s="5"/>
      <c r="GH178" s="5"/>
      <c r="GI178" s="5"/>
      <c r="GJ178" s="5"/>
      <c r="GK178" s="5"/>
      <c r="GL178" s="5"/>
      <c r="GM178" s="5"/>
      <c r="GN178" s="5"/>
      <c r="GO178" s="5"/>
      <c r="GP178" s="5"/>
      <c r="GQ178" s="5"/>
      <c r="GR178" s="5"/>
      <c r="GS178" s="5"/>
      <c r="GT178" s="5"/>
      <c r="GU178" s="5"/>
      <c r="GV178" s="5"/>
      <c r="GW178" s="5"/>
      <c r="GX178" s="5"/>
      <c r="GY178" s="5"/>
      <c r="GZ178" s="5"/>
      <c r="HA178" s="5"/>
      <c r="HB178" s="5"/>
      <c r="HC178" s="5"/>
      <c r="HD178" s="5"/>
      <c r="HE178" s="5"/>
      <c r="HF178" s="5"/>
      <c r="HG178" s="5"/>
      <c r="HH178" s="5"/>
      <c r="HI178" s="5"/>
      <c r="HJ178" s="5"/>
      <c r="HK178" s="5"/>
      <c r="HL178" s="5"/>
      <c r="HM178" s="5"/>
      <c r="HN178" s="5"/>
      <c r="HO178" s="5"/>
      <c r="HP178" s="5"/>
      <c r="HQ178" s="5"/>
      <c r="HR178" s="5"/>
      <c r="HS178" s="5"/>
      <c r="HT178" s="5"/>
      <c r="HU178" s="5"/>
      <c r="HV178" s="5"/>
      <c r="HW178" s="5"/>
      <c r="HX178" s="5"/>
      <c r="HY178" s="5"/>
      <c r="HZ178" s="5"/>
      <c r="IA178" s="5"/>
      <c r="IB178" s="5"/>
      <c r="IC178" s="5"/>
      <c r="ID178" s="5"/>
      <c r="IE178" s="5"/>
      <c r="IF178" s="5"/>
      <c r="IG178" s="5"/>
      <c r="IH178" s="5"/>
      <c r="II178" s="5"/>
      <c r="IJ178" s="5"/>
      <c r="IK178" s="5"/>
      <c r="IL178" s="5"/>
      <c r="IM178" s="5"/>
      <c r="IN178" s="5"/>
      <c r="IO178" s="5"/>
      <c r="IP178" s="5"/>
      <c r="IQ178" s="5"/>
      <c r="IR178" s="5"/>
      <c r="IS178" s="5"/>
      <c r="IT178" s="5"/>
      <c r="IU178" s="5"/>
      <c r="IV178" s="5"/>
      <c r="IW178" s="5"/>
      <c r="IX178" s="5"/>
      <c r="IY178" s="5"/>
      <c r="IZ178" s="5"/>
      <c r="JA178" s="5"/>
      <c r="JB178" s="5"/>
      <c r="JC178" s="5"/>
      <c r="JD178" s="5"/>
      <c r="JE178" s="5"/>
      <c r="JF178" s="5"/>
      <c r="JG178" s="5"/>
      <c r="JH178" s="5"/>
      <c r="JI178" s="5"/>
      <c r="JJ178" s="5"/>
      <c r="JK178" s="5"/>
      <c r="JL178" s="5"/>
      <c r="JM178" s="5"/>
      <c r="JN178" s="5"/>
      <c r="JO178" s="5"/>
      <c r="JP178" s="5"/>
      <c r="JQ178" s="5"/>
      <c r="JR178" s="5"/>
      <c r="JS178" s="5"/>
      <c r="JT178" s="5"/>
      <c r="JU178" s="5"/>
      <c r="JV178" s="5"/>
      <c r="JW178" s="5"/>
      <c r="JX178" s="5"/>
      <c r="JY178" s="5"/>
      <c r="JZ178" s="5"/>
      <c r="KA178" s="5"/>
      <c r="KB178" s="5"/>
      <c r="KC178" s="5"/>
      <c r="KD178" s="5"/>
      <c r="KE178" s="5"/>
      <c r="KF178" s="5"/>
      <c r="KG178" s="5"/>
      <c r="KH178" s="5"/>
      <c r="KI178" s="5"/>
      <c r="KJ178" s="5"/>
      <c r="KK178" s="5"/>
      <c r="KL178" s="5"/>
      <c r="KM178" s="5"/>
      <c r="KN178" s="5"/>
      <c r="KO178" s="5"/>
      <c r="KP178" s="5"/>
      <c r="KQ178" s="5"/>
      <c r="KR178" s="5"/>
      <c r="KS178" s="5"/>
      <c r="KT178" s="5"/>
      <c r="KU178" s="5"/>
      <c r="KV178" s="5"/>
      <c r="KW178" s="5"/>
      <c r="KX178" s="5"/>
      <c r="KY178" s="5"/>
      <c r="KZ178" s="5"/>
      <c r="LA178" s="5"/>
      <c r="LB178" s="5"/>
      <c r="LC178" s="5"/>
      <c r="LD178" s="5"/>
      <c r="LE178" s="5"/>
      <c r="LF178" s="5"/>
      <c r="LG178" s="5"/>
      <c r="LH178" s="5"/>
      <c r="LI178" s="5"/>
      <c r="LJ178" s="5"/>
      <c r="LK178" s="5"/>
      <c r="LL178" s="5"/>
      <c r="LM178" s="5"/>
      <c r="LN178" s="5"/>
      <c r="LO178" s="5"/>
      <c r="LP178" s="5"/>
      <c r="LQ178" s="5"/>
      <c r="LR178" s="5"/>
      <c r="LS178" s="5"/>
      <c r="LT178" s="5"/>
      <c r="LU178" s="5"/>
      <c r="LV178" s="5"/>
      <c r="LW178" s="5"/>
      <c r="LX178" s="5"/>
      <c r="LY178" s="5"/>
      <c r="LZ178" s="5"/>
      <c r="MA178" s="5"/>
      <c r="MB178" s="5"/>
      <c r="MC178" s="5"/>
      <c r="MD178" s="5"/>
      <c r="ME178" s="5"/>
      <c r="MF178" s="5"/>
      <c r="MG178" s="5"/>
      <c r="MH178" s="5"/>
      <c r="MI178" s="5"/>
      <c r="MJ178" s="5"/>
      <c r="MK178" s="5"/>
    </row>
    <row r="179" spans="1:349" s="2" customFormat="1" ht="17.7" customHeight="1" x14ac:dyDescent="0.3">
      <c r="A179" s="21">
        <v>178</v>
      </c>
      <c r="B179" s="21">
        <v>8100096</v>
      </c>
      <c r="C179" s="9" t="s">
        <v>211</v>
      </c>
      <c r="D179" s="9" t="s">
        <v>25</v>
      </c>
      <c r="E179" s="9" t="s">
        <v>35</v>
      </c>
      <c r="F179" s="9">
        <v>1156</v>
      </c>
      <c r="G179" s="9">
        <v>3</v>
      </c>
      <c r="H179" s="9"/>
      <c r="I179" s="9" t="s">
        <v>116</v>
      </c>
      <c r="J179" s="9"/>
      <c r="K179" s="9"/>
      <c r="L179" s="9"/>
      <c r="M179" s="9">
        <v>959.48</v>
      </c>
      <c r="N179" s="9" t="s">
        <v>28</v>
      </c>
      <c r="O179" s="9" t="s">
        <v>29</v>
      </c>
      <c r="P179" s="9" t="s">
        <v>29</v>
      </c>
      <c r="Q179" s="9"/>
      <c r="R179" s="9"/>
      <c r="S179" s="9"/>
      <c r="T179" s="9"/>
      <c r="U179" s="9"/>
      <c r="V179" s="9"/>
      <c r="W179" s="9"/>
      <c r="X179" s="9" t="s">
        <v>30</v>
      </c>
      <c r="Y179" s="13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  <c r="DE179" s="5"/>
      <c r="DF179" s="5"/>
      <c r="DG179" s="5"/>
      <c r="DH179" s="5"/>
      <c r="DI179" s="5"/>
      <c r="DJ179" s="5"/>
      <c r="DK179" s="5"/>
      <c r="DL179" s="5"/>
      <c r="DM179" s="5"/>
      <c r="DN179" s="5"/>
      <c r="DO179" s="5"/>
      <c r="DP179" s="5"/>
      <c r="DQ179" s="5"/>
      <c r="DR179" s="5"/>
      <c r="DS179" s="5"/>
      <c r="DT179" s="5"/>
      <c r="DU179" s="5"/>
      <c r="DV179" s="5"/>
      <c r="DW179" s="5"/>
      <c r="DX179" s="5"/>
      <c r="DY179" s="5"/>
      <c r="DZ179" s="5"/>
      <c r="EA179" s="5"/>
      <c r="EB179" s="5"/>
      <c r="EC179" s="5"/>
      <c r="ED179" s="5"/>
      <c r="EE179" s="5"/>
      <c r="EF179" s="5"/>
      <c r="EG179" s="5"/>
      <c r="EH179" s="5"/>
      <c r="EI179" s="5"/>
      <c r="EJ179" s="5"/>
      <c r="EK179" s="5"/>
      <c r="EL179" s="5"/>
      <c r="EM179" s="5"/>
      <c r="EN179" s="5"/>
      <c r="EO179" s="5"/>
      <c r="EP179" s="5"/>
      <c r="EQ179" s="5"/>
      <c r="ER179" s="5"/>
      <c r="ES179" s="5"/>
      <c r="ET179" s="5"/>
      <c r="EU179" s="5"/>
      <c r="EV179" s="5"/>
      <c r="EW179" s="5"/>
      <c r="EX179" s="5"/>
      <c r="EY179" s="5"/>
      <c r="EZ179" s="5"/>
      <c r="FA179" s="5"/>
      <c r="FB179" s="5"/>
      <c r="FC179" s="5"/>
      <c r="FD179" s="5"/>
      <c r="FE179" s="5"/>
      <c r="FF179" s="5"/>
      <c r="FG179" s="5"/>
      <c r="FH179" s="5"/>
      <c r="FI179" s="5"/>
      <c r="FJ179" s="5"/>
      <c r="FK179" s="5"/>
      <c r="FL179" s="5"/>
      <c r="FM179" s="5"/>
      <c r="FN179" s="5"/>
      <c r="FO179" s="5"/>
      <c r="FP179" s="5"/>
      <c r="FQ179" s="5"/>
      <c r="FR179" s="5"/>
      <c r="FS179" s="5"/>
      <c r="FT179" s="5"/>
      <c r="FU179" s="5"/>
      <c r="FV179" s="5"/>
      <c r="FW179" s="5"/>
      <c r="FX179" s="5"/>
      <c r="FY179" s="5"/>
      <c r="FZ179" s="5"/>
      <c r="GA179" s="5"/>
      <c r="GB179" s="5"/>
      <c r="GC179" s="5"/>
      <c r="GD179" s="5"/>
      <c r="GE179" s="5"/>
      <c r="GF179" s="5"/>
      <c r="GG179" s="5"/>
      <c r="GH179" s="5"/>
      <c r="GI179" s="5"/>
      <c r="GJ179" s="5"/>
      <c r="GK179" s="5"/>
      <c r="GL179" s="5"/>
      <c r="GM179" s="5"/>
      <c r="GN179" s="5"/>
      <c r="GO179" s="5"/>
      <c r="GP179" s="5"/>
      <c r="GQ179" s="5"/>
      <c r="GR179" s="5"/>
      <c r="GS179" s="5"/>
      <c r="GT179" s="5"/>
      <c r="GU179" s="5"/>
      <c r="GV179" s="5"/>
      <c r="GW179" s="5"/>
      <c r="GX179" s="5"/>
      <c r="GY179" s="5"/>
      <c r="GZ179" s="5"/>
      <c r="HA179" s="5"/>
      <c r="HB179" s="5"/>
      <c r="HC179" s="5"/>
      <c r="HD179" s="5"/>
      <c r="HE179" s="5"/>
      <c r="HF179" s="5"/>
      <c r="HG179" s="5"/>
      <c r="HH179" s="5"/>
      <c r="HI179" s="5"/>
      <c r="HJ179" s="5"/>
      <c r="HK179" s="5"/>
      <c r="HL179" s="5"/>
      <c r="HM179" s="5"/>
      <c r="HN179" s="5"/>
      <c r="HO179" s="5"/>
      <c r="HP179" s="5"/>
      <c r="HQ179" s="5"/>
      <c r="HR179" s="5"/>
      <c r="HS179" s="5"/>
      <c r="HT179" s="5"/>
      <c r="HU179" s="5"/>
      <c r="HV179" s="5"/>
      <c r="HW179" s="5"/>
      <c r="HX179" s="5"/>
      <c r="HY179" s="5"/>
      <c r="HZ179" s="5"/>
      <c r="IA179" s="5"/>
      <c r="IB179" s="5"/>
      <c r="IC179" s="5"/>
      <c r="ID179" s="5"/>
      <c r="IE179" s="5"/>
      <c r="IF179" s="5"/>
      <c r="IG179" s="5"/>
      <c r="IH179" s="5"/>
      <c r="II179" s="5"/>
      <c r="IJ179" s="5"/>
      <c r="IK179" s="5"/>
      <c r="IL179" s="5"/>
      <c r="IM179" s="5"/>
      <c r="IN179" s="5"/>
      <c r="IO179" s="5"/>
      <c r="IP179" s="5"/>
      <c r="IQ179" s="5"/>
      <c r="IR179" s="5"/>
      <c r="IS179" s="5"/>
      <c r="IT179" s="5"/>
      <c r="IU179" s="5"/>
      <c r="IV179" s="5"/>
      <c r="IW179" s="5"/>
      <c r="IX179" s="5"/>
      <c r="IY179" s="5"/>
      <c r="IZ179" s="5"/>
      <c r="JA179" s="5"/>
      <c r="JB179" s="5"/>
      <c r="JC179" s="5"/>
      <c r="JD179" s="5"/>
      <c r="JE179" s="5"/>
      <c r="JF179" s="5"/>
      <c r="JG179" s="5"/>
      <c r="JH179" s="5"/>
      <c r="JI179" s="5"/>
      <c r="JJ179" s="5"/>
      <c r="JK179" s="5"/>
      <c r="JL179" s="5"/>
      <c r="JM179" s="5"/>
      <c r="JN179" s="5"/>
      <c r="JO179" s="5"/>
      <c r="JP179" s="5"/>
      <c r="JQ179" s="5"/>
      <c r="JR179" s="5"/>
      <c r="JS179" s="5"/>
      <c r="JT179" s="5"/>
      <c r="JU179" s="5"/>
      <c r="JV179" s="5"/>
      <c r="JW179" s="5"/>
      <c r="JX179" s="5"/>
      <c r="JY179" s="5"/>
      <c r="JZ179" s="5"/>
      <c r="KA179" s="5"/>
      <c r="KB179" s="5"/>
      <c r="KC179" s="5"/>
      <c r="KD179" s="5"/>
      <c r="KE179" s="5"/>
      <c r="KF179" s="5"/>
      <c r="KG179" s="5"/>
      <c r="KH179" s="5"/>
      <c r="KI179" s="5"/>
      <c r="KJ179" s="5"/>
      <c r="KK179" s="5"/>
      <c r="KL179" s="5"/>
      <c r="KM179" s="5"/>
      <c r="KN179" s="5"/>
      <c r="KO179" s="5"/>
      <c r="KP179" s="5"/>
      <c r="KQ179" s="5"/>
      <c r="KR179" s="5"/>
      <c r="KS179" s="5"/>
      <c r="KT179" s="5"/>
      <c r="KU179" s="5"/>
      <c r="KV179" s="5"/>
      <c r="KW179" s="5"/>
      <c r="KX179" s="5"/>
      <c r="KY179" s="5"/>
      <c r="KZ179" s="5"/>
      <c r="LA179" s="5"/>
      <c r="LB179" s="5"/>
      <c r="LC179" s="5"/>
      <c r="LD179" s="5"/>
      <c r="LE179" s="5"/>
      <c r="LF179" s="5"/>
      <c r="LG179" s="5"/>
      <c r="LH179" s="5"/>
      <c r="LI179" s="5"/>
      <c r="LJ179" s="5"/>
      <c r="LK179" s="5"/>
      <c r="LL179" s="5"/>
      <c r="LM179" s="5"/>
      <c r="LN179" s="5"/>
      <c r="LO179" s="5"/>
      <c r="LP179" s="5"/>
      <c r="LQ179" s="5"/>
      <c r="LR179" s="5"/>
      <c r="LS179" s="5"/>
      <c r="LT179" s="5"/>
      <c r="LU179" s="5"/>
      <c r="LV179" s="5"/>
      <c r="LW179" s="5"/>
      <c r="LX179" s="5"/>
      <c r="LY179" s="5"/>
      <c r="LZ179" s="5"/>
      <c r="MA179" s="5"/>
      <c r="MB179" s="5"/>
      <c r="MC179" s="5"/>
      <c r="MD179" s="5"/>
      <c r="ME179" s="5"/>
      <c r="MF179" s="5"/>
      <c r="MG179" s="5"/>
      <c r="MH179" s="5"/>
      <c r="MI179" s="5"/>
      <c r="MJ179" s="5"/>
      <c r="MK179" s="5"/>
    </row>
    <row r="180" spans="1:349" s="2" customFormat="1" ht="17.7" customHeight="1" x14ac:dyDescent="0.3">
      <c r="A180" s="20">
        <v>179</v>
      </c>
      <c r="B180" s="20">
        <v>8100097</v>
      </c>
      <c r="C180" s="10" t="s">
        <v>212</v>
      </c>
      <c r="D180" s="10" t="s">
        <v>25</v>
      </c>
      <c r="E180" s="10" t="s">
        <v>35</v>
      </c>
      <c r="F180" s="10">
        <v>245.75</v>
      </c>
      <c r="G180" s="10">
        <v>5</v>
      </c>
      <c r="H180" s="10"/>
      <c r="I180" s="10" t="s">
        <v>116</v>
      </c>
      <c r="J180" s="10"/>
      <c r="K180" s="10"/>
      <c r="L180" s="10"/>
      <c r="M180" s="10">
        <v>203.9725</v>
      </c>
      <c r="N180" s="10" t="s">
        <v>28</v>
      </c>
      <c r="O180" s="10" t="s">
        <v>29</v>
      </c>
      <c r="P180" s="10" t="s">
        <v>29</v>
      </c>
      <c r="Q180" s="10"/>
      <c r="R180" s="10"/>
      <c r="S180" s="10"/>
      <c r="T180" s="10"/>
      <c r="U180" s="10"/>
      <c r="V180" s="10"/>
      <c r="W180" s="10"/>
      <c r="X180" s="10" t="s">
        <v>30</v>
      </c>
      <c r="Y180" s="13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  <c r="DE180" s="5"/>
      <c r="DF180" s="5"/>
      <c r="DG180" s="5"/>
      <c r="DH180" s="5"/>
      <c r="DI180" s="5"/>
      <c r="DJ180" s="5"/>
      <c r="DK180" s="5"/>
      <c r="DL180" s="5"/>
      <c r="DM180" s="5"/>
      <c r="DN180" s="5"/>
      <c r="DO180" s="5"/>
      <c r="DP180" s="5"/>
      <c r="DQ180" s="5"/>
      <c r="DR180" s="5"/>
      <c r="DS180" s="5"/>
      <c r="DT180" s="5"/>
      <c r="DU180" s="5"/>
      <c r="DV180" s="5"/>
      <c r="DW180" s="5"/>
      <c r="DX180" s="5"/>
      <c r="DY180" s="5"/>
      <c r="DZ180" s="5"/>
      <c r="EA180" s="5"/>
      <c r="EB180" s="5"/>
      <c r="EC180" s="5"/>
      <c r="ED180" s="5"/>
      <c r="EE180" s="5"/>
      <c r="EF180" s="5"/>
      <c r="EG180" s="5"/>
      <c r="EH180" s="5"/>
      <c r="EI180" s="5"/>
      <c r="EJ180" s="5"/>
      <c r="EK180" s="5"/>
      <c r="EL180" s="5"/>
      <c r="EM180" s="5"/>
      <c r="EN180" s="5"/>
      <c r="EO180" s="5"/>
      <c r="EP180" s="5"/>
      <c r="EQ180" s="5"/>
      <c r="ER180" s="5"/>
      <c r="ES180" s="5"/>
      <c r="ET180" s="5"/>
      <c r="EU180" s="5"/>
      <c r="EV180" s="5"/>
      <c r="EW180" s="5"/>
      <c r="EX180" s="5"/>
      <c r="EY180" s="5"/>
      <c r="EZ180" s="5"/>
      <c r="FA180" s="5"/>
      <c r="FB180" s="5"/>
      <c r="FC180" s="5"/>
      <c r="FD180" s="5"/>
      <c r="FE180" s="5"/>
      <c r="FF180" s="5"/>
      <c r="FG180" s="5"/>
      <c r="FH180" s="5"/>
      <c r="FI180" s="5"/>
      <c r="FJ180" s="5"/>
      <c r="FK180" s="5"/>
      <c r="FL180" s="5"/>
      <c r="FM180" s="5"/>
      <c r="FN180" s="5"/>
      <c r="FO180" s="5"/>
      <c r="FP180" s="5"/>
      <c r="FQ180" s="5"/>
      <c r="FR180" s="5"/>
      <c r="FS180" s="5"/>
      <c r="FT180" s="5"/>
      <c r="FU180" s="5"/>
      <c r="FV180" s="5"/>
      <c r="FW180" s="5"/>
      <c r="FX180" s="5"/>
      <c r="FY180" s="5"/>
      <c r="FZ180" s="5"/>
      <c r="GA180" s="5"/>
      <c r="GB180" s="5"/>
      <c r="GC180" s="5"/>
      <c r="GD180" s="5"/>
      <c r="GE180" s="5"/>
      <c r="GF180" s="5"/>
      <c r="GG180" s="5"/>
      <c r="GH180" s="5"/>
      <c r="GI180" s="5"/>
      <c r="GJ180" s="5"/>
      <c r="GK180" s="5"/>
      <c r="GL180" s="5"/>
      <c r="GM180" s="5"/>
      <c r="GN180" s="5"/>
      <c r="GO180" s="5"/>
      <c r="GP180" s="5"/>
      <c r="GQ180" s="5"/>
      <c r="GR180" s="5"/>
      <c r="GS180" s="5"/>
      <c r="GT180" s="5"/>
      <c r="GU180" s="5"/>
      <c r="GV180" s="5"/>
      <c r="GW180" s="5"/>
      <c r="GX180" s="5"/>
      <c r="GY180" s="5"/>
      <c r="GZ180" s="5"/>
      <c r="HA180" s="5"/>
      <c r="HB180" s="5"/>
      <c r="HC180" s="5"/>
      <c r="HD180" s="5"/>
      <c r="HE180" s="5"/>
      <c r="HF180" s="5"/>
      <c r="HG180" s="5"/>
      <c r="HH180" s="5"/>
      <c r="HI180" s="5"/>
      <c r="HJ180" s="5"/>
      <c r="HK180" s="5"/>
      <c r="HL180" s="5"/>
      <c r="HM180" s="5"/>
      <c r="HN180" s="5"/>
      <c r="HO180" s="5"/>
      <c r="HP180" s="5"/>
      <c r="HQ180" s="5"/>
      <c r="HR180" s="5"/>
      <c r="HS180" s="5"/>
      <c r="HT180" s="5"/>
      <c r="HU180" s="5"/>
      <c r="HV180" s="5"/>
      <c r="HW180" s="5"/>
      <c r="HX180" s="5"/>
      <c r="HY180" s="5"/>
      <c r="HZ180" s="5"/>
      <c r="IA180" s="5"/>
      <c r="IB180" s="5"/>
      <c r="IC180" s="5"/>
      <c r="ID180" s="5"/>
      <c r="IE180" s="5"/>
      <c r="IF180" s="5"/>
      <c r="IG180" s="5"/>
      <c r="IH180" s="5"/>
      <c r="II180" s="5"/>
      <c r="IJ180" s="5"/>
      <c r="IK180" s="5"/>
      <c r="IL180" s="5"/>
      <c r="IM180" s="5"/>
      <c r="IN180" s="5"/>
      <c r="IO180" s="5"/>
      <c r="IP180" s="5"/>
      <c r="IQ180" s="5"/>
      <c r="IR180" s="5"/>
      <c r="IS180" s="5"/>
      <c r="IT180" s="5"/>
      <c r="IU180" s="5"/>
      <c r="IV180" s="5"/>
      <c r="IW180" s="5"/>
      <c r="IX180" s="5"/>
      <c r="IY180" s="5"/>
      <c r="IZ180" s="5"/>
      <c r="JA180" s="5"/>
      <c r="JB180" s="5"/>
      <c r="JC180" s="5"/>
      <c r="JD180" s="5"/>
      <c r="JE180" s="5"/>
      <c r="JF180" s="5"/>
      <c r="JG180" s="5"/>
      <c r="JH180" s="5"/>
      <c r="JI180" s="5"/>
      <c r="JJ180" s="5"/>
      <c r="JK180" s="5"/>
      <c r="JL180" s="5"/>
      <c r="JM180" s="5"/>
      <c r="JN180" s="5"/>
      <c r="JO180" s="5"/>
      <c r="JP180" s="5"/>
      <c r="JQ180" s="5"/>
      <c r="JR180" s="5"/>
      <c r="JS180" s="5"/>
      <c r="JT180" s="5"/>
      <c r="JU180" s="5"/>
      <c r="JV180" s="5"/>
      <c r="JW180" s="5"/>
      <c r="JX180" s="5"/>
      <c r="JY180" s="5"/>
      <c r="JZ180" s="5"/>
      <c r="KA180" s="5"/>
      <c r="KB180" s="5"/>
      <c r="KC180" s="5"/>
      <c r="KD180" s="5"/>
      <c r="KE180" s="5"/>
      <c r="KF180" s="5"/>
      <c r="KG180" s="5"/>
      <c r="KH180" s="5"/>
      <c r="KI180" s="5"/>
      <c r="KJ180" s="5"/>
      <c r="KK180" s="5"/>
      <c r="KL180" s="5"/>
      <c r="KM180" s="5"/>
      <c r="KN180" s="5"/>
      <c r="KO180" s="5"/>
      <c r="KP180" s="5"/>
      <c r="KQ180" s="5"/>
      <c r="KR180" s="5"/>
      <c r="KS180" s="5"/>
      <c r="KT180" s="5"/>
      <c r="KU180" s="5"/>
      <c r="KV180" s="5"/>
      <c r="KW180" s="5"/>
      <c r="KX180" s="5"/>
      <c r="KY180" s="5"/>
      <c r="KZ180" s="5"/>
      <c r="LA180" s="5"/>
      <c r="LB180" s="5"/>
      <c r="LC180" s="5"/>
      <c r="LD180" s="5"/>
      <c r="LE180" s="5"/>
      <c r="LF180" s="5"/>
      <c r="LG180" s="5"/>
      <c r="LH180" s="5"/>
      <c r="LI180" s="5"/>
      <c r="LJ180" s="5"/>
      <c r="LK180" s="5"/>
      <c r="LL180" s="5"/>
      <c r="LM180" s="5"/>
      <c r="LN180" s="5"/>
      <c r="LO180" s="5"/>
      <c r="LP180" s="5"/>
      <c r="LQ180" s="5"/>
      <c r="LR180" s="5"/>
      <c r="LS180" s="5"/>
      <c r="LT180" s="5"/>
      <c r="LU180" s="5"/>
      <c r="LV180" s="5"/>
      <c r="LW180" s="5"/>
      <c r="LX180" s="5"/>
      <c r="LY180" s="5"/>
      <c r="LZ180" s="5"/>
      <c r="MA180" s="5"/>
      <c r="MB180" s="5"/>
      <c r="MC180" s="5"/>
      <c r="MD180" s="5"/>
      <c r="ME180" s="5"/>
      <c r="MF180" s="5"/>
      <c r="MG180" s="5"/>
      <c r="MH180" s="5"/>
      <c r="MI180" s="5"/>
      <c r="MJ180" s="5"/>
      <c r="MK180" s="5"/>
    </row>
    <row r="181" spans="1:349" s="2" customFormat="1" ht="17.7" customHeight="1" x14ac:dyDescent="0.3">
      <c r="A181" s="21">
        <v>180</v>
      </c>
      <c r="B181" s="21">
        <v>8100098</v>
      </c>
      <c r="C181" s="9" t="s">
        <v>213</v>
      </c>
      <c r="D181" s="9" t="s">
        <v>25</v>
      </c>
      <c r="E181" s="9" t="s">
        <v>35</v>
      </c>
      <c r="F181" s="9">
        <v>549.75</v>
      </c>
      <c r="G181" s="9">
        <v>3</v>
      </c>
      <c r="H181" s="9"/>
      <c r="I181" s="9" t="s">
        <v>116</v>
      </c>
      <c r="J181" s="9"/>
      <c r="K181" s="9"/>
      <c r="L181" s="9"/>
      <c r="M181" s="9">
        <v>456.29250000000002</v>
      </c>
      <c r="N181" s="9" t="s">
        <v>28</v>
      </c>
      <c r="O181" s="9" t="s">
        <v>29</v>
      </c>
      <c r="P181" s="9" t="s">
        <v>29</v>
      </c>
      <c r="Q181" s="9"/>
      <c r="R181" s="9"/>
      <c r="S181" s="9"/>
      <c r="T181" s="9"/>
      <c r="U181" s="9"/>
      <c r="V181" s="9"/>
      <c r="W181" s="9"/>
      <c r="X181" s="9" t="s">
        <v>30</v>
      </c>
      <c r="Y181" s="13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  <c r="DE181" s="5"/>
      <c r="DF181" s="5"/>
      <c r="DG181" s="5"/>
      <c r="DH181" s="5"/>
      <c r="DI181" s="5"/>
      <c r="DJ181" s="5"/>
      <c r="DK181" s="5"/>
      <c r="DL181" s="5"/>
      <c r="DM181" s="5"/>
      <c r="DN181" s="5"/>
      <c r="DO181" s="5"/>
      <c r="DP181" s="5"/>
      <c r="DQ181" s="5"/>
      <c r="DR181" s="5"/>
      <c r="DS181" s="5"/>
      <c r="DT181" s="5"/>
      <c r="DU181" s="5"/>
      <c r="DV181" s="5"/>
      <c r="DW181" s="5"/>
      <c r="DX181" s="5"/>
      <c r="DY181" s="5"/>
      <c r="DZ181" s="5"/>
      <c r="EA181" s="5"/>
      <c r="EB181" s="5"/>
      <c r="EC181" s="5"/>
      <c r="ED181" s="5"/>
      <c r="EE181" s="5"/>
      <c r="EF181" s="5"/>
      <c r="EG181" s="5"/>
      <c r="EH181" s="5"/>
      <c r="EI181" s="5"/>
      <c r="EJ181" s="5"/>
      <c r="EK181" s="5"/>
      <c r="EL181" s="5"/>
      <c r="EM181" s="5"/>
      <c r="EN181" s="5"/>
      <c r="EO181" s="5"/>
      <c r="EP181" s="5"/>
      <c r="EQ181" s="5"/>
      <c r="ER181" s="5"/>
      <c r="ES181" s="5"/>
      <c r="ET181" s="5"/>
      <c r="EU181" s="5"/>
      <c r="EV181" s="5"/>
      <c r="EW181" s="5"/>
      <c r="EX181" s="5"/>
      <c r="EY181" s="5"/>
      <c r="EZ181" s="5"/>
      <c r="FA181" s="5"/>
      <c r="FB181" s="5"/>
      <c r="FC181" s="5"/>
      <c r="FD181" s="5"/>
      <c r="FE181" s="5"/>
      <c r="FF181" s="5"/>
      <c r="FG181" s="5"/>
      <c r="FH181" s="5"/>
      <c r="FI181" s="5"/>
      <c r="FJ181" s="5"/>
      <c r="FK181" s="5"/>
      <c r="FL181" s="5"/>
      <c r="FM181" s="5"/>
      <c r="FN181" s="5"/>
      <c r="FO181" s="5"/>
      <c r="FP181" s="5"/>
      <c r="FQ181" s="5"/>
      <c r="FR181" s="5"/>
      <c r="FS181" s="5"/>
      <c r="FT181" s="5"/>
      <c r="FU181" s="5"/>
      <c r="FV181" s="5"/>
      <c r="FW181" s="5"/>
      <c r="FX181" s="5"/>
      <c r="FY181" s="5"/>
      <c r="FZ181" s="5"/>
      <c r="GA181" s="5"/>
      <c r="GB181" s="5"/>
      <c r="GC181" s="5"/>
      <c r="GD181" s="5"/>
      <c r="GE181" s="5"/>
      <c r="GF181" s="5"/>
      <c r="GG181" s="5"/>
      <c r="GH181" s="5"/>
      <c r="GI181" s="5"/>
      <c r="GJ181" s="5"/>
      <c r="GK181" s="5"/>
      <c r="GL181" s="5"/>
      <c r="GM181" s="5"/>
      <c r="GN181" s="5"/>
      <c r="GO181" s="5"/>
      <c r="GP181" s="5"/>
      <c r="GQ181" s="5"/>
      <c r="GR181" s="5"/>
      <c r="GS181" s="5"/>
      <c r="GT181" s="5"/>
      <c r="GU181" s="5"/>
      <c r="GV181" s="5"/>
      <c r="GW181" s="5"/>
      <c r="GX181" s="5"/>
      <c r="GY181" s="5"/>
      <c r="GZ181" s="5"/>
      <c r="HA181" s="5"/>
      <c r="HB181" s="5"/>
      <c r="HC181" s="5"/>
      <c r="HD181" s="5"/>
      <c r="HE181" s="5"/>
      <c r="HF181" s="5"/>
      <c r="HG181" s="5"/>
      <c r="HH181" s="5"/>
      <c r="HI181" s="5"/>
      <c r="HJ181" s="5"/>
      <c r="HK181" s="5"/>
      <c r="HL181" s="5"/>
      <c r="HM181" s="5"/>
      <c r="HN181" s="5"/>
      <c r="HO181" s="5"/>
      <c r="HP181" s="5"/>
      <c r="HQ181" s="5"/>
      <c r="HR181" s="5"/>
      <c r="HS181" s="5"/>
      <c r="HT181" s="5"/>
      <c r="HU181" s="5"/>
      <c r="HV181" s="5"/>
      <c r="HW181" s="5"/>
      <c r="HX181" s="5"/>
      <c r="HY181" s="5"/>
      <c r="HZ181" s="5"/>
      <c r="IA181" s="5"/>
      <c r="IB181" s="5"/>
      <c r="IC181" s="5"/>
      <c r="ID181" s="5"/>
      <c r="IE181" s="5"/>
      <c r="IF181" s="5"/>
      <c r="IG181" s="5"/>
      <c r="IH181" s="5"/>
      <c r="II181" s="5"/>
      <c r="IJ181" s="5"/>
      <c r="IK181" s="5"/>
      <c r="IL181" s="5"/>
      <c r="IM181" s="5"/>
      <c r="IN181" s="5"/>
      <c r="IO181" s="5"/>
      <c r="IP181" s="5"/>
      <c r="IQ181" s="5"/>
      <c r="IR181" s="5"/>
      <c r="IS181" s="5"/>
      <c r="IT181" s="5"/>
      <c r="IU181" s="5"/>
      <c r="IV181" s="5"/>
      <c r="IW181" s="5"/>
      <c r="IX181" s="5"/>
      <c r="IY181" s="5"/>
      <c r="IZ181" s="5"/>
      <c r="JA181" s="5"/>
      <c r="JB181" s="5"/>
      <c r="JC181" s="5"/>
      <c r="JD181" s="5"/>
      <c r="JE181" s="5"/>
      <c r="JF181" s="5"/>
      <c r="JG181" s="5"/>
      <c r="JH181" s="5"/>
      <c r="JI181" s="5"/>
      <c r="JJ181" s="5"/>
      <c r="JK181" s="5"/>
      <c r="JL181" s="5"/>
      <c r="JM181" s="5"/>
      <c r="JN181" s="5"/>
      <c r="JO181" s="5"/>
      <c r="JP181" s="5"/>
      <c r="JQ181" s="5"/>
      <c r="JR181" s="5"/>
      <c r="JS181" s="5"/>
      <c r="JT181" s="5"/>
      <c r="JU181" s="5"/>
      <c r="JV181" s="5"/>
      <c r="JW181" s="5"/>
      <c r="JX181" s="5"/>
      <c r="JY181" s="5"/>
      <c r="JZ181" s="5"/>
      <c r="KA181" s="5"/>
      <c r="KB181" s="5"/>
      <c r="KC181" s="5"/>
      <c r="KD181" s="5"/>
      <c r="KE181" s="5"/>
      <c r="KF181" s="5"/>
      <c r="KG181" s="5"/>
      <c r="KH181" s="5"/>
      <c r="KI181" s="5"/>
      <c r="KJ181" s="5"/>
      <c r="KK181" s="5"/>
      <c r="KL181" s="5"/>
      <c r="KM181" s="5"/>
      <c r="KN181" s="5"/>
      <c r="KO181" s="5"/>
      <c r="KP181" s="5"/>
      <c r="KQ181" s="5"/>
      <c r="KR181" s="5"/>
      <c r="KS181" s="5"/>
      <c r="KT181" s="5"/>
      <c r="KU181" s="5"/>
      <c r="KV181" s="5"/>
      <c r="KW181" s="5"/>
      <c r="KX181" s="5"/>
      <c r="KY181" s="5"/>
      <c r="KZ181" s="5"/>
      <c r="LA181" s="5"/>
      <c r="LB181" s="5"/>
      <c r="LC181" s="5"/>
      <c r="LD181" s="5"/>
      <c r="LE181" s="5"/>
      <c r="LF181" s="5"/>
      <c r="LG181" s="5"/>
      <c r="LH181" s="5"/>
      <c r="LI181" s="5"/>
      <c r="LJ181" s="5"/>
      <c r="LK181" s="5"/>
      <c r="LL181" s="5"/>
      <c r="LM181" s="5"/>
      <c r="LN181" s="5"/>
      <c r="LO181" s="5"/>
      <c r="LP181" s="5"/>
      <c r="LQ181" s="5"/>
      <c r="LR181" s="5"/>
      <c r="LS181" s="5"/>
      <c r="LT181" s="5"/>
      <c r="LU181" s="5"/>
      <c r="LV181" s="5"/>
      <c r="LW181" s="5"/>
      <c r="LX181" s="5"/>
      <c r="LY181" s="5"/>
      <c r="LZ181" s="5"/>
      <c r="MA181" s="5"/>
      <c r="MB181" s="5"/>
      <c r="MC181" s="5"/>
      <c r="MD181" s="5"/>
      <c r="ME181" s="5"/>
      <c r="MF181" s="5"/>
      <c r="MG181" s="5"/>
      <c r="MH181" s="5"/>
      <c r="MI181" s="5"/>
      <c r="MJ181" s="5"/>
      <c r="MK181" s="5"/>
    </row>
    <row r="182" spans="1:349" s="1" customFormat="1" ht="17.7" customHeight="1" x14ac:dyDescent="0.3">
      <c r="A182" s="20">
        <v>181</v>
      </c>
      <c r="B182" s="20">
        <v>8100099</v>
      </c>
      <c r="C182" s="10" t="s">
        <v>214</v>
      </c>
      <c r="D182" s="10" t="s">
        <v>25</v>
      </c>
      <c r="E182" s="10" t="s">
        <v>35</v>
      </c>
      <c r="F182" s="10">
        <v>659.5</v>
      </c>
      <c r="G182" s="10">
        <v>3</v>
      </c>
      <c r="H182" s="10"/>
      <c r="I182" s="10" t="s">
        <v>116</v>
      </c>
      <c r="J182" s="10"/>
      <c r="K182" s="10"/>
      <c r="L182" s="10"/>
      <c r="M182" s="10">
        <f t="shared" ref="M182:M245" si="3">F182-F182*17%</f>
        <v>547.38499999999999</v>
      </c>
      <c r="N182" s="10" t="s">
        <v>28</v>
      </c>
      <c r="O182" s="10" t="s">
        <v>29</v>
      </c>
      <c r="P182" s="10" t="s">
        <v>29</v>
      </c>
      <c r="Q182" s="10"/>
      <c r="R182" s="10"/>
      <c r="S182" s="10"/>
      <c r="T182" s="10"/>
      <c r="U182" s="10"/>
      <c r="V182" s="10"/>
      <c r="W182" s="10"/>
      <c r="X182" s="10" t="s">
        <v>30</v>
      </c>
      <c r="Y182" s="14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6"/>
      <c r="BI182" s="6"/>
      <c r="BJ182" s="6"/>
      <c r="BK182" s="6"/>
      <c r="BL182" s="6"/>
      <c r="BM182" s="6"/>
      <c r="BN182" s="6"/>
      <c r="BO182" s="6"/>
      <c r="BP182" s="6"/>
      <c r="BQ182" s="6"/>
      <c r="BR182" s="6"/>
      <c r="BS182" s="6"/>
      <c r="BT182" s="6"/>
      <c r="BU182" s="6"/>
      <c r="BV182" s="6"/>
      <c r="BW182" s="6"/>
      <c r="BX182" s="6"/>
      <c r="BY182" s="6"/>
      <c r="BZ182" s="6"/>
      <c r="CA182" s="6"/>
      <c r="CB182" s="6"/>
      <c r="CC182" s="6"/>
      <c r="CD182" s="6"/>
      <c r="CE182" s="6"/>
      <c r="CF182" s="6"/>
      <c r="CG182" s="6"/>
      <c r="CH182" s="6"/>
      <c r="CI182" s="6"/>
      <c r="CJ182" s="6"/>
      <c r="CK182" s="6"/>
      <c r="CL182" s="6"/>
      <c r="CM182" s="6"/>
      <c r="CN182" s="6"/>
      <c r="CO182" s="6"/>
      <c r="CP182" s="6"/>
      <c r="CQ182" s="6"/>
      <c r="CR182" s="6"/>
      <c r="CS182" s="6"/>
      <c r="CT182" s="6"/>
      <c r="CU182" s="6"/>
      <c r="CV182" s="6"/>
      <c r="CW182" s="6"/>
      <c r="CX182" s="6"/>
      <c r="CY182" s="6"/>
      <c r="CZ182" s="6"/>
      <c r="DA182" s="6"/>
      <c r="DB182" s="6"/>
      <c r="DC182" s="6"/>
      <c r="DD182" s="6"/>
      <c r="DE182" s="6"/>
      <c r="DF182" s="6"/>
      <c r="DG182" s="6"/>
      <c r="DH182" s="6"/>
      <c r="DI182" s="6"/>
      <c r="DJ182" s="6"/>
      <c r="DK182" s="6"/>
      <c r="DL182" s="6"/>
      <c r="DM182" s="6"/>
      <c r="DN182" s="6"/>
      <c r="DO182" s="6"/>
      <c r="DP182" s="6"/>
      <c r="DQ182" s="6"/>
      <c r="DR182" s="6"/>
      <c r="DS182" s="6"/>
      <c r="DT182" s="6"/>
      <c r="DU182" s="6"/>
      <c r="DV182" s="6"/>
      <c r="DW182" s="6"/>
      <c r="DX182" s="6"/>
      <c r="DY182" s="6"/>
      <c r="DZ182" s="6"/>
      <c r="EA182" s="6"/>
      <c r="EB182" s="6"/>
      <c r="EC182" s="6"/>
      <c r="ED182" s="6"/>
      <c r="EE182" s="6"/>
      <c r="EF182" s="6"/>
      <c r="EG182" s="6"/>
      <c r="EH182" s="6"/>
      <c r="EI182" s="6"/>
      <c r="EJ182" s="6"/>
      <c r="EK182" s="6"/>
      <c r="EL182" s="6"/>
      <c r="EM182" s="6"/>
      <c r="EN182" s="6"/>
      <c r="EO182" s="6"/>
      <c r="EP182" s="6"/>
      <c r="EQ182" s="6"/>
      <c r="ER182" s="6"/>
      <c r="ES182" s="6"/>
      <c r="ET182" s="6"/>
      <c r="EU182" s="6"/>
      <c r="EV182" s="6"/>
      <c r="EW182" s="6"/>
      <c r="EX182" s="6"/>
      <c r="EY182" s="6"/>
      <c r="EZ182" s="6"/>
      <c r="FA182" s="6"/>
      <c r="FB182" s="6"/>
      <c r="FC182" s="6"/>
      <c r="FD182" s="6"/>
      <c r="FE182" s="6"/>
      <c r="FF182" s="6"/>
      <c r="FG182" s="6"/>
      <c r="FH182" s="6"/>
      <c r="FI182" s="6"/>
      <c r="FJ182" s="6"/>
      <c r="FK182" s="6"/>
      <c r="FL182" s="6"/>
      <c r="FM182" s="6"/>
      <c r="FN182" s="6"/>
      <c r="FO182" s="6"/>
      <c r="FP182" s="6"/>
      <c r="FQ182" s="6"/>
      <c r="FR182" s="6"/>
      <c r="FS182" s="6"/>
      <c r="FT182" s="6"/>
      <c r="FU182" s="6"/>
      <c r="FV182" s="6"/>
      <c r="FW182" s="6"/>
      <c r="FX182" s="6"/>
      <c r="FY182" s="6"/>
      <c r="FZ182" s="6"/>
      <c r="GA182" s="6"/>
      <c r="GB182" s="6"/>
      <c r="GC182" s="6"/>
      <c r="GD182" s="6"/>
      <c r="GE182" s="6"/>
      <c r="GF182" s="6"/>
      <c r="GG182" s="6"/>
      <c r="GH182" s="6"/>
      <c r="GI182" s="6"/>
      <c r="GJ182" s="6"/>
      <c r="GK182" s="6"/>
      <c r="GL182" s="6"/>
      <c r="GM182" s="6"/>
      <c r="GN182" s="6"/>
      <c r="GO182" s="6"/>
      <c r="GP182" s="6"/>
      <c r="GQ182" s="6"/>
      <c r="GR182" s="6"/>
      <c r="GS182" s="6"/>
      <c r="GT182" s="6"/>
      <c r="GU182" s="6"/>
      <c r="GV182" s="6"/>
      <c r="GW182" s="6"/>
      <c r="GX182" s="6"/>
      <c r="GY182" s="6"/>
      <c r="GZ182" s="6"/>
      <c r="HA182" s="6"/>
      <c r="HB182" s="6"/>
      <c r="HC182" s="6"/>
      <c r="HD182" s="6"/>
      <c r="HE182" s="6"/>
      <c r="HF182" s="6"/>
      <c r="HG182" s="6"/>
      <c r="HH182" s="6"/>
      <c r="HI182" s="6"/>
      <c r="HJ182" s="6"/>
      <c r="HK182" s="6"/>
      <c r="HL182" s="6"/>
      <c r="HM182" s="6"/>
      <c r="HN182" s="6"/>
      <c r="HO182" s="6"/>
      <c r="HP182" s="6"/>
      <c r="HQ182" s="6"/>
      <c r="HR182" s="6"/>
      <c r="HS182" s="6"/>
      <c r="HT182" s="6"/>
      <c r="HU182" s="6"/>
      <c r="HV182" s="6"/>
      <c r="HW182" s="6"/>
      <c r="HX182" s="6"/>
      <c r="HY182" s="6"/>
      <c r="HZ182" s="6"/>
      <c r="IA182" s="6"/>
      <c r="IB182" s="6"/>
      <c r="IC182" s="6"/>
      <c r="ID182" s="6"/>
      <c r="IE182" s="6"/>
      <c r="IF182" s="6"/>
      <c r="IG182" s="6"/>
      <c r="IH182" s="6"/>
      <c r="II182" s="6"/>
      <c r="IJ182" s="6"/>
      <c r="IK182" s="6"/>
      <c r="IL182" s="6"/>
      <c r="IM182" s="6"/>
      <c r="IN182" s="6"/>
      <c r="IO182" s="6"/>
      <c r="IP182" s="6"/>
      <c r="IQ182" s="6"/>
      <c r="IR182" s="6"/>
      <c r="IS182" s="6"/>
      <c r="IT182" s="6"/>
      <c r="IU182" s="6"/>
      <c r="IV182" s="6"/>
      <c r="IW182" s="6"/>
      <c r="IX182" s="6"/>
      <c r="IY182" s="6"/>
      <c r="IZ182" s="6"/>
      <c r="JA182" s="6"/>
      <c r="JB182" s="6"/>
      <c r="JC182" s="6"/>
      <c r="JD182" s="6"/>
      <c r="JE182" s="6"/>
      <c r="JF182" s="6"/>
      <c r="JG182" s="6"/>
      <c r="JH182" s="6"/>
      <c r="JI182" s="6"/>
      <c r="JJ182" s="6"/>
      <c r="JK182" s="6"/>
      <c r="JL182" s="6"/>
      <c r="JM182" s="6"/>
      <c r="JN182" s="6"/>
      <c r="JO182" s="6"/>
      <c r="JP182" s="6"/>
      <c r="JQ182" s="6"/>
      <c r="JR182" s="6"/>
      <c r="JS182" s="6"/>
      <c r="JT182" s="6"/>
      <c r="JU182" s="6"/>
      <c r="JV182" s="6"/>
      <c r="JW182" s="6"/>
      <c r="JX182" s="6"/>
      <c r="JY182" s="6"/>
      <c r="JZ182" s="6"/>
      <c r="KA182" s="6"/>
      <c r="KB182" s="6"/>
      <c r="KC182" s="6"/>
      <c r="KD182" s="6"/>
      <c r="KE182" s="6"/>
      <c r="KF182" s="6"/>
      <c r="KG182" s="6"/>
      <c r="KH182" s="6"/>
      <c r="KI182" s="6"/>
      <c r="KJ182" s="6"/>
      <c r="KK182" s="6"/>
      <c r="KL182" s="6"/>
      <c r="KM182" s="6"/>
      <c r="KN182" s="6"/>
      <c r="KO182" s="6"/>
      <c r="KP182" s="6"/>
      <c r="KQ182" s="6"/>
      <c r="KR182" s="6"/>
      <c r="KS182" s="6"/>
      <c r="KT182" s="6"/>
      <c r="KU182" s="6"/>
      <c r="KV182" s="6"/>
      <c r="KW182" s="6"/>
      <c r="KX182" s="6"/>
      <c r="KY182" s="6"/>
      <c r="KZ182" s="6"/>
      <c r="LA182" s="6"/>
      <c r="LB182" s="6"/>
      <c r="LC182" s="6"/>
      <c r="LD182" s="6"/>
      <c r="LE182" s="6"/>
      <c r="LF182" s="6"/>
      <c r="LG182" s="6"/>
      <c r="LH182" s="6"/>
      <c r="LI182" s="6"/>
      <c r="LJ182" s="6"/>
      <c r="LK182" s="6"/>
      <c r="LL182" s="6"/>
      <c r="LM182" s="6"/>
      <c r="LN182" s="6"/>
      <c r="LO182" s="6"/>
      <c r="LP182" s="6"/>
      <c r="LQ182" s="6"/>
      <c r="LR182" s="6"/>
      <c r="LS182" s="6"/>
      <c r="LT182" s="6"/>
      <c r="LU182" s="6"/>
      <c r="LV182" s="6"/>
      <c r="LW182" s="6"/>
      <c r="LX182" s="6"/>
      <c r="LY182" s="6"/>
      <c r="LZ182" s="6"/>
      <c r="MA182" s="6"/>
      <c r="MB182" s="6"/>
      <c r="MC182" s="6"/>
      <c r="MD182" s="6"/>
      <c r="ME182" s="6"/>
      <c r="MF182" s="6"/>
      <c r="MG182" s="6"/>
      <c r="MH182" s="6"/>
      <c r="MI182" s="6"/>
      <c r="MJ182" s="6"/>
      <c r="MK182" s="6"/>
    </row>
    <row r="183" spans="1:349" s="4" customFormat="1" ht="17.7" customHeight="1" x14ac:dyDescent="0.3">
      <c r="A183" s="21">
        <v>182</v>
      </c>
      <c r="B183" s="21">
        <v>8100100</v>
      </c>
      <c r="C183" s="9" t="s">
        <v>215</v>
      </c>
      <c r="D183" s="9" t="s">
        <v>25</v>
      </c>
      <c r="E183" s="9" t="s">
        <v>35</v>
      </c>
      <c r="F183" s="9">
        <v>549.75</v>
      </c>
      <c r="G183" s="9">
        <v>3</v>
      </c>
      <c r="H183" s="9"/>
      <c r="I183" s="9" t="s">
        <v>116</v>
      </c>
      <c r="J183" s="9"/>
      <c r="K183" s="9"/>
      <c r="L183" s="9"/>
      <c r="M183" s="9">
        <f t="shared" si="3"/>
        <v>456.29250000000002</v>
      </c>
      <c r="N183" s="9" t="s">
        <v>28</v>
      </c>
      <c r="O183" s="9" t="s">
        <v>29</v>
      </c>
      <c r="P183" s="9" t="s">
        <v>29</v>
      </c>
      <c r="Q183" s="9"/>
      <c r="R183" s="9"/>
      <c r="S183" s="9"/>
      <c r="T183" s="9"/>
      <c r="U183" s="9"/>
      <c r="V183" s="9"/>
      <c r="W183" s="9"/>
      <c r="X183" s="9" t="s">
        <v>30</v>
      </c>
      <c r="Y183" s="12"/>
    </row>
    <row r="184" spans="1:349" s="4" customFormat="1" ht="17.7" customHeight="1" x14ac:dyDescent="0.3">
      <c r="A184" s="20">
        <v>183</v>
      </c>
      <c r="B184" s="20">
        <v>8100101</v>
      </c>
      <c r="C184" s="10" t="s">
        <v>216</v>
      </c>
      <c r="D184" s="10" t="s">
        <v>25</v>
      </c>
      <c r="E184" s="10" t="s">
        <v>35</v>
      </c>
      <c r="F184" s="10">
        <v>659.5</v>
      </c>
      <c r="G184" s="10">
        <v>3</v>
      </c>
      <c r="H184" s="10"/>
      <c r="I184" s="10" t="s">
        <v>116</v>
      </c>
      <c r="J184" s="10"/>
      <c r="K184" s="10"/>
      <c r="L184" s="10"/>
      <c r="M184" s="10">
        <f t="shared" si="3"/>
        <v>547.38499999999999</v>
      </c>
      <c r="N184" s="10" t="s">
        <v>28</v>
      </c>
      <c r="O184" s="10" t="s">
        <v>29</v>
      </c>
      <c r="P184" s="10" t="s">
        <v>29</v>
      </c>
      <c r="Q184" s="10"/>
      <c r="R184" s="10"/>
      <c r="S184" s="10"/>
      <c r="T184" s="10"/>
      <c r="U184" s="10"/>
      <c r="V184" s="10"/>
      <c r="W184" s="10"/>
      <c r="X184" s="10" t="s">
        <v>30</v>
      </c>
      <c r="Y184" s="12"/>
    </row>
    <row r="185" spans="1:349" s="3" customFormat="1" ht="17.7" customHeight="1" x14ac:dyDescent="0.3">
      <c r="A185" s="21">
        <v>184</v>
      </c>
      <c r="B185" s="21">
        <v>8100102</v>
      </c>
      <c r="C185" s="9" t="s">
        <v>217</v>
      </c>
      <c r="D185" s="9" t="s">
        <v>25</v>
      </c>
      <c r="E185" s="9" t="s">
        <v>35</v>
      </c>
      <c r="F185" s="9">
        <v>549.75</v>
      </c>
      <c r="G185" s="9">
        <v>3</v>
      </c>
      <c r="H185" s="9"/>
      <c r="I185" s="9" t="s">
        <v>116</v>
      </c>
      <c r="J185" s="9"/>
      <c r="K185" s="9"/>
      <c r="L185" s="9"/>
      <c r="M185" s="9">
        <f t="shared" si="3"/>
        <v>456.29250000000002</v>
      </c>
      <c r="N185" s="9" t="s">
        <v>28</v>
      </c>
      <c r="O185" s="9" t="s">
        <v>29</v>
      </c>
      <c r="P185" s="9" t="s">
        <v>29</v>
      </c>
      <c r="Q185" s="9"/>
      <c r="R185" s="9"/>
      <c r="S185" s="9"/>
      <c r="T185" s="9"/>
      <c r="U185" s="9"/>
      <c r="V185" s="9"/>
      <c r="W185" s="9"/>
      <c r="X185" s="9" t="s">
        <v>30</v>
      </c>
      <c r="Y185" s="11"/>
    </row>
    <row r="186" spans="1:349" s="3" customFormat="1" ht="17.7" customHeight="1" x14ac:dyDescent="0.3">
      <c r="A186" s="20">
        <v>185</v>
      </c>
      <c r="B186" s="20">
        <v>8100103</v>
      </c>
      <c r="C186" s="10" t="s">
        <v>218</v>
      </c>
      <c r="D186" s="10" t="s">
        <v>25</v>
      </c>
      <c r="E186" s="10" t="s">
        <v>35</v>
      </c>
      <c r="F186" s="10">
        <v>659.5</v>
      </c>
      <c r="G186" s="10">
        <v>3</v>
      </c>
      <c r="H186" s="10"/>
      <c r="I186" s="10" t="s">
        <v>116</v>
      </c>
      <c r="J186" s="10"/>
      <c r="K186" s="10"/>
      <c r="L186" s="10"/>
      <c r="M186" s="10">
        <f t="shared" si="3"/>
        <v>547.38499999999999</v>
      </c>
      <c r="N186" s="10" t="s">
        <v>28</v>
      </c>
      <c r="O186" s="10" t="s">
        <v>29</v>
      </c>
      <c r="P186" s="10" t="s">
        <v>29</v>
      </c>
      <c r="Q186" s="10"/>
      <c r="R186" s="10"/>
      <c r="S186" s="10"/>
      <c r="T186" s="10"/>
      <c r="U186" s="10"/>
      <c r="V186" s="10"/>
      <c r="W186" s="10"/>
      <c r="X186" s="10" t="s">
        <v>30</v>
      </c>
      <c r="Y186" s="11"/>
    </row>
    <row r="187" spans="1:349" s="3" customFormat="1" ht="17.7" customHeight="1" x14ac:dyDescent="0.3">
      <c r="A187" s="21">
        <v>186</v>
      </c>
      <c r="B187" s="21">
        <v>8100104</v>
      </c>
      <c r="C187" s="9" t="s">
        <v>219</v>
      </c>
      <c r="D187" s="9" t="s">
        <v>25</v>
      </c>
      <c r="E187" s="9" t="s">
        <v>35</v>
      </c>
      <c r="F187" s="9">
        <v>549.75</v>
      </c>
      <c r="G187" s="9">
        <v>3</v>
      </c>
      <c r="H187" s="9"/>
      <c r="I187" s="9" t="s">
        <v>116</v>
      </c>
      <c r="J187" s="9"/>
      <c r="K187" s="9"/>
      <c r="L187" s="9"/>
      <c r="M187" s="9">
        <f t="shared" si="3"/>
        <v>456.29250000000002</v>
      </c>
      <c r="N187" s="9" t="s">
        <v>28</v>
      </c>
      <c r="O187" s="9" t="s">
        <v>29</v>
      </c>
      <c r="P187" s="9" t="s">
        <v>29</v>
      </c>
      <c r="Q187" s="9"/>
      <c r="R187" s="9"/>
      <c r="S187" s="9"/>
      <c r="T187" s="9"/>
      <c r="U187" s="9"/>
      <c r="V187" s="9"/>
      <c r="W187" s="9"/>
      <c r="X187" s="9" t="s">
        <v>30</v>
      </c>
      <c r="Y187" s="11"/>
    </row>
    <row r="188" spans="1:349" s="3" customFormat="1" ht="17.7" customHeight="1" x14ac:dyDescent="0.3">
      <c r="A188" s="20">
        <v>187</v>
      </c>
      <c r="B188" s="20">
        <v>8100105</v>
      </c>
      <c r="C188" s="10" t="s">
        <v>220</v>
      </c>
      <c r="D188" s="10" t="s">
        <v>25</v>
      </c>
      <c r="E188" s="10" t="s">
        <v>35</v>
      </c>
      <c r="F188" s="10">
        <v>659.5</v>
      </c>
      <c r="G188" s="10">
        <v>3</v>
      </c>
      <c r="H188" s="10"/>
      <c r="I188" s="10" t="s">
        <v>116</v>
      </c>
      <c r="J188" s="10"/>
      <c r="K188" s="10"/>
      <c r="L188" s="10"/>
      <c r="M188" s="10">
        <f t="shared" si="3"/>
        <v>547.38499999999999</v>
      </c>
      <c r="N188" s="10" t="s">
        <v>28</v>
      </c>
      <c r="O188" s="10" t="s">
        <v>29</v>
      </c>
      <c r="P188" s="10" t="s">
        <v>29</v>
      </c>
      <c r="Q188" s="10"/>
      <c r="R188" s="10"/>
      <c r="S188" s="10"/>
      <c r="T188" s="10"/>
      <c r="U188" s="10"/>
      <c r="V188" s="10"/>
      <c r="W188" s="10"/>
      <c r="X188" s="10" t="s">
        <v>30</v>
      </c>
      <c r="Y188" s="11"/>
    </row>
    <row r="189" spans="1:349" s="3" customFormat="1" ht="17.7" customHeight="1" x14ac:dyDescent="0.3">
      <c r="A189" s="21">
        <v>188</v>
      </c>
      <c r="B189" s="21">
        <v>8100106</v>
      </c>
      <c r="C189" s="9" t="s">
        <v>221</v>
      </c>
      <c r="D189" s="9" t="s">
        <v>25</v>
      </c>
      <c r="E189" s="9" t="s">
        <v>35</v>
      </c>
      <c r="F189" s="9">
        <v>549.75</v>
      </c>
      <c r="G189" s="9">
        <v>3</v>
      </c>
      <c r="H189" s="9"/>
      <c r="I189" s="9" t="s">
        <v>116</v>
      </c>
      <c r="J189" s="9"/>
      <c r="K189" s="9"/>
      <c r="L189" s="9"/>
      <c r="M189" s="9">
        <f t="shared" si="3"/>
        <v>456.29250000000002</v>
      </c>
      <c r="N189" s="9" t="s">
        <v>28</v>
      </c>
      <c r="O189" s="9" t="s">
        <v>29</v>
      </c>
      <c r="P189" s="9" t="s">
        <v>29</v>
      </c>
      <c r="Q189" s="9"/>
      <c r="R189" s="9"/>
      <c r="S189" s="9"/>
      <c r="T189" s="9"/>
      <c r="U189" s="9"/>
      <c r="V189" s="9"/>
      <c r="W189" s="9"/>
      <c r="X189" s="9" t="s">
        <v>30</v>
      </c>
      <c r="Y189" s="11"/>
    </row>
    <row r="190" spans="1:349" s="3" customFormat="1" ht="17.7" customHeight="1" x14ac:dyDescent="0.3">
      <c r="A190" s="20">
        <v>189</v>
      </c>
      <c r="B190" s="20">
        <v>8100107</v>
      </c>
      <c r="C190" s="10" t="s">
        <v>222</v>
      </c>
      <c r="D190" s="10" t="s">
        <v>25</v>
      </c>
      <c r="E190" s="10" t="s">
        <v>35</v>
      </c>
      <c r="F190" s="10">
        <v>659.5</v>
      </c>
      <c r="G190" s="10">
        <v>3</v>
      </c>
      <c r="H190" s="10"/>
      <c r="I190" s="10" t="s">
        <v>116</v>
      </c>
      <c r="J190" s="10"/>
      <c r="K190" s="10"/>
      <c r="L190" s="10"/>
      <c r="M190" s="10">
        <f t="shared" si="3"/>
        <v>547.38499999999999</v>
      </c>
      <c r="N190" s="10" t="s">
        <v>28</v>
      </c>
      <c r="O190" s="10" t="s">
        <v>29</v>
      </c>
      <c r="P190" s="10" t="s">
        <v>29</v>
      </c>
      <c r="Q190" s="10"/>
      <c r="R190" s="10"/>
      <c r="S190" s="10"/>
      <c r="T190" s="10"/>
      <c r="U190" s="10"/>
      <c r="V190" s="10"/>
      <c r="W190" s="10"/>
      <c r="X190" s="10" t="s">
        <v>30</v>
      </c>
      <c r="Y190" s="11"/>
    </row>
    <row r="191" spans="1:349" s="3" customFormat="1" ht="17.7" customHeight="1" x14ac:dyDescent="0.3">
      <c r="A191" s="21">
        <v>190</v>
      </c>
      <c r="B191" s="21">
        <v>8100108</v>
      </c>
      <c r="C191" s="9" t="s">
        <v>223</v>
      </c>
      <c r="D191" s="9" t="s">
        <v>25</v>
      </c>
      <c r="E191" s="9" t="s">
        <v>35</v>
      </c>
      <c r="F191" s="9">
        <v>549.75</v>
      </c>
      <c r="G191" s="9">
        <v>3</v>
      </c>
      <c r="H191" s="9"/>
      <c r="I191" s="9" t="s">
        <v>116</v>
      </c>
      <c r="J191" s="9"/>
      <c r="K191" s="9"/>
      <c r="L191" s="9"/>
      <c r="M191" s="9">
        <f t="shared" si="3"/>
        <v>456.29250000000002</v>
      </c>
      <c r="N191" s="9" t="s">
        <v>28</v>
      </c>
      <c r="O191" s="9" t="s">
        <v>29</v>
      </c>
      <c r="P191" s="9" t="s">
        <v>29</v>
      </c>
      <c r="Q191" s="9"/>
      <c r="R191" s="9"/>
      <c r="S191" s="9"/>
      <c r="T191" s="9"/>
      <c r="U191" s="9"/>
      <c r="V191" s="9"/>
      <c r="W191" s="9"/>
      <c r="X191" s="9" t="s">
        <v>30</v>
      </c>
      <c r="Y191" s="11"/>
    </row>
    <row r="192" spans="1:349" s="3" customFormat="1" ht="17.7" customHeight="1" x14ac:dyDescent="0.3">
      <c r="A192" s="20">
        <v>191</v>
      </c>
      <c r="B192" s="20">
        <v>8100109</v>
      </c>
      <c r="C192" s="10" t="s">
        <v>224</v>
      </c>
      <c r="D192" s="10" t="s">
        <v>25</v>
      </c>
      <c r="E192" s="10" t="s">
        <v>35</v>
      </c>
      <c r="F192" s="10">
        <v>659.5</v>
      </c>
      <c r="G192" s="10">
        <v>3</v>
      </c>
      <c r="H192" s="10"/>
      <c r="I192" s="10" t="s">
        <v>116</v>
      </c>
      <c r="J192" s="10"/>
      <c r="K192" s="10"/>
      <c r="L192" s="10"/>
      <c r="M192" s="10">
        <f t="shared" si="3"/>
        <v>547.38499999999999</v>
      </c>
      <c r="N192" s="10" t="s">
        <v>28</v>
      </c>
      <c r="O192" s="10" t="s">
        <v>29</v>
      </c>
      <c r="P192" s="10" t="s">
        <v>29</v>
      </c>
      <c r="Q192" s="10"/>
      <c r="R192" s="10"/>
      <c r="S192" s="10"/>
      <c r="T192" s="10"/>
      <c r="U192" s="10"/>
      <c r="V192" s="10"/>
      <c r="W192" s="10"/>
      <c r="X192" s="10" t="s">
        <v>30</v>
      </c>
      <c r="Y192" s="11"/>
    </row>
    <row r="193" spans="1:25" s="3" customFormat="1" ht="17.7" customHeight="1" x14ac:dyDescent="0.3">
      <c r="A193" s="21">
        <v>192</v>
      </c>
      <c r="B193" s="21">
        <v>8100110</v>
      </c>
      <c r="C193" s="9" t="s">
        <v>225</v>
      </c>
      <c r="D193" s="9" t="s">
        <v>25</v>
      </c>
      <c r="E193" s="9" t="s">
        <v>35</v>
      </c>
      <c r="F193" s="9">
        <v>549.75</v>
      </c>
      <c r="G193" s="9">
        <v>3</v>
      </c>
      <c r="H193" s="9"/>
      <c r="I193" s="9" t="s">
        <v>116</v>
      </c>
      <c r="J193" s="9"/>
      <c r="K193" s="9"/>
      <c r="L193" s="9"/>
      <c r="M193" s="9">
        <f t="shared" si="3"/>
        <v>456.29250000000002</v>
      </c>
      <c r="N193" s="9" t="s">
        <v>28</v>
      </c>
      <c r="O193" s="9" t="s">
        <v>29</v>
      </c>
      <c r="P193" s="9" t="s">
        <v>29</v>
      </c>
      <c r="Q193" s="9"/>
      <c r="R193" s="9"/>
      <c r="S193" s="9"/>
      <c r="T193" s="9"/>
      <c r="U193" s="9"/>
      <c r="V193" s="9"/>
      <c r="W193" s="9"/>
      <c r="X193" s="9" t="s">
        <v>30</v>
      </c>
      <c r="Y193" s="11"/>
    </row>
    <row r="194" spans="1:25" s="3" customFormat="1" ht="17.7" customHeight="1" x14ac:dyDescent="0.3">
      <c r="A194" s="20">
        <v>193</v>
      </c>
      <c r="B194" s="20">
        <v>8100111</v>
      </c>
      <c r="C194" s="10" t="s">
        <v>226</v>
      </c>
      <c r="D194" s="10" t="s">
        <v>25</v>
      </c>
      <c r="E194" s="10" t="s">
        <v>35</v>
      </c>
      <c r="F194" s="10">
        <v>659.5</v>
      </c>
      <c r="G194" s="10">
        <v>3</v>
      </c>
      <c r="H194" s="10"/>
      <c r="I194" s="10" t="s">
        <v>116</v>
      </c>
      <c r="J194" s="10"/>
      <c r="K194" s="10"/>
      <c r="L194" s="10"/>
      <c r="M194" s="10">
        <f t="shared" si="3"/>
        <v>547.38499999999999</v>
      </c>
      <c r="N194" s="10" t="s">
        <v>28</v>
      </c>
      <c r="O194" s="10" t="s">
        <v>29</v>
      </c>
      <c r="P194" s="10" t="s">
        <v>29</v>
      </c>
      <c r="Q194" s="10"/>
      <c r="R194" s="10"/>
      <c r="S194" s="10"/>
      <c r="T194" s="10"/>
      <c r="U194" s="10"/>
      <c r="V194" s="10"/>
      <c r="W194" s="10"/>
      <c r="X194" s="10" t="s">
        <v>30</v>
      </c>
      <c r="Y194" s="11"/>
    </row>
    <row r="195" spans="1:25" s="3" customFormat="1" ht="17.7" customHeight="1" x14ac:dyDescent="0.3">
      <c r="A195" s="21">
        <v>194</v>
      </c>
      <c r="B195" s="21">
        <v>8100112</v>
      </c>
      <c r="C195" s="9" t="s">
        <v>227</v>
      </c>
      <c r="D195" s="9" t="s">
        <v>25</v>
      </c>
      <c r="E195" s="9" t="s">
        <v>35</v>
      </c>
      <c r="F195" s="9">
        <v>1122.25</v>
      </c>
      <c r="G195" s="9">
        <v>3</v>
      </c>
      <c r="H195" s="9"/>
      <c r="I195" s="9" t="s">
        <v>116</v>
      </c>
      <c r="J195" s="9"/>
      <c r="K195" s="9"/>
      <c r="L195" s="9"/>
      <c r="M195" s="9">
        <f t="shared" si="3"/>
        <v>931.46749999999997</v>
      </c>
      <c r="N195" s="9" t="s">
        <v>28</v>
      </c>
      <c r="O195" s="9" t="s">
        <v>29</v>
      </c>
      <c r="P195" s="9" t="s">
        <v>29</v>
      </c>
      <c r="Q195" s="9"/>
      <c r="R195" s="9"/>
      <c r="S195" s="9"/>
      <c r="T195" s="9"/>
      <c r="U195" s="9"/>
      <c r="V195" s="9"/>
      <c r="W195" s="9"/>
      <c r="X195" s="9" t="s">
        <v>30</v>
      </c>
      <c r="Y195" s="11"/>
    </row>
    <row r="196" spans="1:25" s="3" customFormat="1" ht="17.7" customHeight="1" x14ac:dyDescent="0.3">
      <c r="A196" s="20">
        <v>195</v>
      </c>
      <c r="B196" s="20">
        <v>8100113</v>
      </c>
      <c r="C196" s="10" t="s">
        <v>175</v>
      </c>
      <c r="D196" s="10" t="s">
        <v>25</v>
      </c>
      <c r="E196" s="10" t="s">
        <v>35</v>
      </c>
      <c r="F196" s="10">
        <v>294.5</v>
      </c>
      <c r="G196" s="10">
        <v>5</v>
      </c>
      <c r="H196" s="10"/>
      <c r="I196" s="10" t="s">
        <v>116</v>
      </c>
      <c r="J196" s="10"/>
      <c r="K196" s="10"/>
      <c r="L196" s="10"/>
      <c r="M196" s="10">
        <f t="shared" si="3"/>
        <v>244.435</v>
      </c>
      <c r="N196" s="10" t="s">
        <v>28</v>
      </c>
      <c r="O196" s="10" t="s">
        <v>29</v>
      </c>
      <c r="P196" s="10" t="s">
        <v>29</v>
      </c>
      <c r="Q196" s="10"/>
      <c r="R196" s="10"/>
      <c r="S196" s="10"/>
      <c r="T196" s="10"/>
      <c r="U196" s="10"/>
      <c r="V196" s="10"/>
      <c r="W196" s="10"/>
      <c r="X196" s="10" t="s">
        <v>30</v>
      </c>
      <c r="Y196" s="11"/>
    </row>
    <row r="197" spans="1:25" s="3" customFormat="1" ht="17.7" customHeight="1" x14ac:dyDescent="0.3">
      <c r="A197" s="21">
        <v>196</v>
      </c>
      <c r="B197" s="21">
        <v>8100114</v>
      </c>
      <c r="C197" s="9" t="s">
        <v>228</v>
      </c>
      <c r="D197" s="9" t="s">
        <v>25</v>
      </c>
      <c r="E197" s="9" t="s">
        <v>35</v>
      </c>
      <c r="F197" s="9">
        <v>1163.25</v>
      </c>
      <c r="G197" s="9">
        <v>3</v>
      </c>
      <c r="H197" s="9"/>
      <c r="I197" s="9" t="s">
        <v>116</v>
      </c>
      <c r="J197" s="9"/>
      <c r="K197" s="9"/>
      <c r="L197" s="9"/>
      <c r="M197" s="9">
        <f t="shared" si="3"/>
        <v>965.49749999999995</v>
      </c>
      <c r="N197" s="9" t="s">
        <v>28</v>
      </c>
      <c r="O197" s="9" t="s">
        <v>29</v>
      </c>
      <c r="P197" s="9" t="s">
        <v>29</v>
      </c>
      <c r="Q197" s="9"/>
      <c r="R197" s="9"/>
      <c r="S197" s="9"/>
      <c r="T197" s="9"/>
      <c r="U197" s="9"/>
      <c r="V197" s="9"/>
      <c r="W197" s="9"/>
      <c r="X197" s="9" t="s">
        <v>30</v>
      </c>
      <c r="Y197" s="11"/>
    </row>
    <row r="198" spans="1:25" s="3" customFormat="1" ht="17.7" customHeight="1" x14ac:dyDescent="0.3">
      <c r="A198" s="20">
        <v>197</v>
      </c>
      <c r="B198" s="20">
        <v>8100115</v>
      </c>
      <c r="C198" s="10" t="s">
        <v>229</v>
      </c>
      <c r="D198" s="10" t="s">
        <v>25</v>
      </c>
      <c r="E198" s="10" t="s">
        <v>35</v>
      </c>
      <c r="F198" s="10">
        <v>1348</v>
      </c>
      <c r="G198" s="10">
        <v>3</v>
      </c>
      <c r="H198" s="10"/>
      <c r="I198" s="10" t="s">
        <v>116</v>
      </c>
      <c r="J198" s="10"/>
      <c r="K198" s="10"/>
      <c r="L198" s="10"/>
      <c r="M198" s="10">
        <f t="shared" si="3"/>
        <v>1118.8399999999999</v>
      </c>
      <c r="N198" s="10" t="s">
        <v>28</v>
      </c>
      <c r="O198" s="10" t="s">
        <v>29</v>
      </c>
      <c r="P198" s="10" t="s">
        <v>29</v>
      </c>
      <c r="Q198" s="10"/>
      <c r="R198" s="10"/>
      <c r="S198" s="10"/>
      <c r="T198" s="10"/>
      <c r="U198" s="10"/>
      <c r="V198" s="10"/>
      <c r="W198" s="10"/>
      <c r="X198" s="10" t="s">
        <v>30</v>
      </c>
      <c r="Y198" s="11"/>
    </row>
    <row r="199" spans="1:25" s="3" customFormat="1" ht="17.7" customHeight="1" x14ac:dyDescent="0.3">
      <c r="A199" s="21">
        <v>198</v>
      </c>
      <c r="B199" s="21">
        <v>8100116</v>
      </c>
      <c r="C199" s="9" t="s">
        <v>230</v>
      </c>
      <c r="D199" s="9" t="s">
        <v>25</v>
      </c>
      <c r="E199" s="9" t="s">
        <v>35</v>
      </c>
      <c r="F199" s="9">
        <v>1216</v>
      </c>
      <c r="G199" s="9">
        <v>3</v>
      </c>
      <c r="H199" s="9"/>
      <c r="I199" s="9" t="s">
        <v>116</v>
      </c>
      <c r="J199" s="9"/>
      <c r="K199" s="9"/>
      <c r="L199" s="9"/>
      <c r="M199" s="9">
        <f t="shared" si="3"/>
        <v>1009.28</v>
      </c>
      <c r="N199" s="9" t="s">
        <v>28</v>
      </c>
      <c r="O199" s="9" t="s">
        <v>29</v>
      </c>
      <c r="P199" s="9" t="s">
        <v>29</v>
      </c>
      <c r="Q199" s="9"/>
      <c r="R199" s="9"/>
      <c r="S199" s="9"/>
      <c r="T199" s="9"/>
      <c r="U199" s="9"/>
      <c r="V199" s="9"/>
      <c r="W199" s="9"/>
      <c r="X199" s="9" t="s">
        <v>30</v>
      </c>
      <c r="Y199" s="11"/>
    </row>
    <row r="200" spans="1:25" s="3" customFormat="1" ht="17.7" customHeight="1" x14ac:dyDescent="0.3">
      <c r="A200" s="20">
        <v>199</v>
      </c>
      <c r="B200" s="20">
        <v>8100117</v>
      </c>
      <c r="C200" s="10" t="s">
        <v>231</v>
      </c>
      <c r="D200" s="10" t="s">
        <v>25</v>
      </c>
      <c r="E200" s="10" t="s">
        <v>35</v>
      </c>
      <c r="F200" s="10">
        <v>1454</v>
      </c>
      <c r="G200" s="10">
        <v>3</v>
      </c>
      <c r="H200" s="10"/>
      <c r="I200" s="10" t="s">
        <v>116</v>
      </c>
      <c r="J200" s="10"/>
      <c r="K200" s="10"/>
      <c r="L200" s="10"/>
      <c r="M200" s="10">
        <f t="shared" si="3"/>
        <v>1206.82</v>
      </c>
      <c r="N200" s="10" t="s">
        <v>28</v>
      </c>
      <c r="O200" s="10" t="s">
        <v>29</v>
      </c>
      <c r="P200" s="10" t="s">
        <v>29</v>
      </c>
      <c r="Q200" s="10"/>
      <c r="R200" s="10"/>
      <c r="S200" s="10"/>
      <c r="T200" s="10"/>
      <c r="U200" s="10"/>
      <c r="V200" s="10"/>
      <c r="W200" s="10"/>
      <c r="X200" s="10" t="s">
        <v>30</v>
      </c>
      <c r="Y200" s="11"/>
    </row>
    <row r="201" spans="1:25" s="3" customFormat="1" ht="17.7" customHeight="1" x14ac:dyDescent="0.3">
      <c r="A201" s="21">
        <v>200</v>
      </c>
      <c r="B201" s="21">
        <v>8100118</v>
      </c>
      <c r="C201" s="9" t="s">
        <v>232</v>
      </c>
      <c r="D201" s="9" t="s">
        <v>25</v>
      </c>
      <c r="E201" s="9" t="s">
        <v>35</v>
      </c>
      <c r="F201" s="9">
        <v>1122.75</v>
      </c>
      <c r="G201" s="9">
        <v>3</v>
      </c>
      <c r="H201" s="9"/>
      <c r="I201" s="9" t="s">
        <v>116</v>
      </c>
      <c r="J201" s="9"/>
      <c r="K201" s="9"/>
      <c r="L201" s="9"/>
      <c r="M201" s="9">
        <f t="shared" si="3"/>
        <v>931.88249999999994</v>
      </c>
      <c r="N201" s="9" t="s">
        <v>28</v>
      </c>
      <c r="O201" s="9" t="s">
        <v>29</v>
      </c>
      <c r="P201" s="9" t="s">
        <v>29</v>
      </c>
      <c r="Q201" s="9"/>
      <c r="R201" s="9"/>
      <c r="S201" s="9"/>
      <c r="T201" s="9"/>
      <c r="U201" s="9"/>
      <c r="V201" s="9"/>
      <c r="W201" s="9"/>
      <c r="X201" s="9" t="s">
        <v>30</v>
      </c>
      <c r="Y201" s="11"/>
    </row>
    <row r="202" spans="1:25" s="3" customFormat="1" ht="17.7" customHeight="1" x14ac:dyDescent="0.3">
      <c r="A202" s="20">
        <v>201</v>
      </c>
      <c r="B202" s="20">
        <v>8100119</v>
      </c>
      <c r="C202" s="10" t="s">
        <v>233</v>
      </c>
      <c r="D202" s="10" t="s">
        <v>25</v>
      </c>
      <c r="E202" s="10" t="s">
        <v>35</v>
      </c>
      <c r="F202" s="10">
        <v>1374.5</v>
      </c>
      <c r="G202" s="10">
        <v>3</v>
      </c>
      <c r="H202" s="10"/>
      <c r="I202" s="10" t="s">
        <v>116</v>
      </c>
      <c r="J202" s="10"/>
      <c r="K202" s="10"/>
      <c r="L202" s="10"/>
      <c r="M202" s="10">
        <f t="shared" si="3"/>
        <v>1140.835</v>
      </c>
      <c r="N202" s="10" t="s">
        <v>28</v>
      </c>
      <c r="O202" s="10" t="s">
        <v>29</v>
      </c>
      <c r="P202" s="10" t="s">
        <v>29</v>
      </c>
      <c r="Q202" s="10"/>
      <c r="R202" s="10"/>
      <c r="S202" s="10"/>
      <c r="T202" s="10"/>
      <c r="U202" s="10"/>
      <c r="V202" s="10"/>
      <c r="W202" s="10"/>
      <c r="X202" s="10" t="s">
        <v>30</v>
      </c>
      <c r="Y202" s="11"/>
    </row>
    <row r="203" spans="1:25" s="3" customFormat="1" ht="17.7" customHeight="1" x14ac:dyDescent="0.3">
      <c r="A203" s="21">
        <v>202</v>
      </c>
      <c r="B203" s="21">
        <v>8100120</v>
      </c>
      <c r="C203" s="9" t="s">
        <v>234</v>
      </c>
      <c r="D203" s="9" t="s">
        <v>25</v>
      </c>
      <c r="E203" s="9" t="s">
        <v>35</v>
      </c>
      <c r="F203" s="9">
        <v>1242.25</v>
      </c>
      <c r="G203" s="9">
        <v>3</v>
      </c>
      <c r="H203" s="9"/>
      <c r="I203" s="9" t="s">
        <v>116</v>
      </c>
      <c r="J203" s="9"/>
      <c r="K203" s="9"/>
      <c r="L203" s="9"/>
      <c r="M203" s="9">
        <f t="shared" si="3"/>
        <v>1031.0675000000001</v>
      </c>
      <c r="N203" s="9" t="s">
        <v>28</v>
      </c>
      <c r="O203" s="9" t="s">
        <v>29</v>
      </c>
      <c r="P203" s="9" t="s">
        <v>29</v>
      </c>
      <c r="Q203" s="9"/>
      <c r="R203" s="9"/>
      <c r="S203" s="9"/>
      <c r="T203" s="9"/>
      <c r="U203" s="9"/>
      <c r="V203" s="9"/>
      <c r="W203" s="9"/>
      <c r="X203" s="9" t="s">
        <v>30</v>
      </c>
      <c r="Y203" s="11"/>
    </row>
    <row r="204" spans="1:25" s="3" customFormat="1" ht="17.7" customHeight="1" x14ac:dyDescent="0.3">
      <c r="A204" s="20">
        <v>203</v>
      </c>
      <c r="B204" s="20">
        <v>8100121</v>
      </c>
      <c r="C204" s="10" t="s">
        <v>235</v>
      </c>
      <c r="D204" s="10" t="s">
        <v>25</v>
      </c>
      <c r="E204" s="10" t="s">
        <v>35</v>
      </c>
      <c r="F204" s="10">
        <v>1493.25</v>
      </c>
      <c r="G204" s="10">
        <v>3</v>
      </c>
      <c r="H204" s="10"/>
      <c r="I204" s="10" t="s">
        <v>116</v>
      </c>
      <c r="J204" s="10"/>
      <c r="K204" s="10"/>
      <c r="L204" s="10"/>
      <c r="M204" s="10">
        <f t="shared" si="3"/>
        <v>1239.3975</v>
      </c>
      <c r="N204" s="10" t="s">
        <v>28</v>
      </c>
      <c r="O204" s="10" t="s">
        <v>29</v>
      </c>
      <c r="P204" s="10" t="s">
        <v>29</v>
      </c>
      <c r="Q204" s="10"/>
      <c r="R204" s="10"/>
      <c r="S204" s="10"/>
      <c r="T204" s="10"/>
      <c r="U204" s="10"/>
      <c r="V204" s="10"/>
      <c r="W204" s="10"/>
      <c r="X204" s="10" t="s">
        <v>30</v>
      </c>
      <c r="Y204" s="11"/>
    </row>
    <row r="205" spans="1:25" s="3" customFormat="1" ht="17.7" customHeight="1" x14ac:dyDescent="0.3">
      <c r="A205" s="21">
        <v>204</v>
      </c>
      <c r="B205" s="21">
        <v>8100122</v>
      </c>
      <c r="C205" s="9" t="s">
        <v>236</v>
      </c>
      <c r="D205" s="9" t="s">
        <v>25</v>
      </c>
      <c r="E205" s="9" t="s">
        <v>35</v>
      </c>
      <c r="F205" s="9">
        <v>1794</v>
      </c>
      <c r="G205" s="9">
        <v>3</v>
      </c>
      <c r="H205" s="9"/>
      <c r="I205" s="9" t="s">
        <v>116</v>
      </c>
      <c r="J205" s="9"/>
      <c r="K205" s="9"/>
      <c r="L205" s="9"/>
      <c r="M205" s="9">
        <f t="shared" si="3"/>
        <v>1489.02</v>
      </c>
      <c r="N205" s="9" t="s">
        <v>28</v>
      </c>
      <c r="O205" s="9" t="s">
        <v>29</v>
      </c>
      <c r="P205" s="9" t="s">
        <v>29</v>
      </c>
      <c r="Q205" s="9"/>
      <c r="R205" s="9"/>
      <c r="S205" s="9"/>
      <c r="T205" s="9"/>
      <c r="U205" s="9"/>
      <c r="V205" s="9"/>
      <c r="W205" s="9"/>
      <c r="X205" s="9" t="s">
        <v>30</v>
      </c>
      <c r="Y205" s="11"/>
    </row>
    <row r="206" spans="1:25" s="3" customFormat="1" ht="17.7" customHeight="1" x14ac:dyDescent="0.3">
      <c r="A206" s="20">
        <v>205</v>
      </c>
      <c r="B206" s="20">
        <v>8100123</v>
      </c>
      <c r="C206" s="10" t="s">
        <v>237</v>
      </c>
      <c r="D206" s="10" t="s">
        <v>25</v>
      </c>
      <c r="E206" s="10" t="s">
        <v>35</v>
      </c>
      <c r="F206" s="10">
        <v>606</v>
      </c>
      <c r="G206" s="10">
        <v>3</v>
      </c>
      <c r="H206" s="10"/>
      <c r="I206" s="10" t="s">
        <v>116</v>
      </c>
      <c r="J206" s="10"/>
      <c r="K206" s="10"/>
      <c r="L206" s="10"/>
      <c r="M206" s="10">
        <f t="shared" si="3"/>
        <v>502.98</v>
      </c>
      <c r="N206" s="10" t="s">
        <v>28</v>
      </c>
      <c r="O206" s="10" t="s">
        <v>29</v>
      </c>
      <c r="P206" s="10" t="s">
        <v>29</v>
      </c>
      <c r="Q206" s="10"/>
      <c r="R206" s="10"/>
      <c r="S206" s="10"/>
      <c r="T206" s="10"/>
      <c r="U206" s="10"/>
      <c r="V206" s="10"/>
      <c r="W206" s="10"/>
      <c r="X206" s="10" t="s">
        <v>30</v>
      </c>
      <c r="Y206" s="11"/>
    </row>
    <row r="207" spans="1:25" s="3" customFormat="1" ht="17.7" customHeight="1" x14ac:dyDescent="0.3">
      <c r="A207" s="21">
        <v>206</v>
      </c>
      <c r="B207" s="21">
        <v>8100124</v>
      </c>
      <c r="C207" s="9" t="s">
        <v>238</v>
      </c>
      <c r="D207" s="9" t="s">
        <v>25</v>
      </c>
      <c r="E207" s="9" t="s">
        <v>35</v>
      </c>
      <c r="F207" s="9">
        <v>2126.5</v>
      </c>
      <c r="G207" s="9">
        <v>3</v>
      </c>
      <c r="H207" s="9"/>
      <c r="I207" s="9" t="s">
        <v>116</v>
      </c>
      <c r="J207" s="9"/>
      <c r="K207" s="9"/>
      <c r="L207" s="9"/>
      <c r="M207" s="9">
        <f t="shared" si="3"/>
        <v>1764.9949999999999</v>
      </c>
      <c r="N207" s="9" t="s">
        <v>28</v>
      </c>
      <c r="O207" s="9" t="s">
        <v>29</v>
      </c>
      <c r="P207" s="9" t="s">
        <v>29</v>
      </c>
      <c r="Q207" s="9"/>
      <c r="R207" s="9"/>
      <c r="S207" s="9"/>
      <c r="T207" s="9"/>
      <c r="U207" s="9"/>
      <c r="V207" s="9"/>
      <c r="W207" s="9"/>
      <c r="X207" s="9" t="s">
        <v>30</v>
      </c>
      <c r="Y207" s="11"/>
    </row>
    <row r="208" spans="1:25" s="3" customFormat="1" ht="17.7" customHeight="1" x14ac:dyDescent="0.3">
      <c r="A208" s="20">
        <v>207</v>
      </c>
      <c r="B208" s="20">
        <v>8100125</v>
      </c>
      <c r="C208" s="10" t="s">
        <v>239</v>
      </c>
      <c r="D208" s="10" t="s">
        <v>25</v>
      </c>
      <c r="E208" s="10" t="s">
        <v>35</v>
      </c>
      <c r="F208" s="10">
        <v>529</v>
      </c>
      <c r="G208" s="10">
        <v>3</v>
      </c>
      <c r="H208" s="10"/>
      <c r="I208" s="10" t="s">
        <v>116</v>
      </c>
      <c r="J208" s="10"/>
      <c r="K208" s="10"/>
      <c r="L208" s="10"/>
      <c r="M208" s="10">
        <f t="shared" si="3"/>
        <v>439.07</v>
      </c>
      <c r="N208" s="10" t="s">
        <v>28</v>
      </c>
      <c r="O208" s="10" t="s">
        <v>29</v>
      </c>
      <c r="P208" s="10" t="s">
        <v>29</v>
      </c>
      <c r="Q208" s="10"/>
      <c r="R208" s="10"/>
      <c r="S208" s="10"/>
      <c r="T208" s="10"/>
      <c r="U208" s="10"/>
      <c r="V208" s="10"/>
      <c r="W208" s="10"/>
      <c r="X208" s="10" t="s">
        <v>30</v>
      </c>
      <c r="Y208" s="11"/>
    </row>
    <row r="209" spans="1:25" s="3" customFormat="1" ht="17.7" customHeight="1" x14ac:dyDescent="0.3">
      <c r="A209" s="21">
        <v>208</v>
      </c>
      <c r="B209" s="21">
        <v>8100126</v>
      </c>
      <c r="C209" s="9" t="s">
        <v>240</v>
      </c>
      <c r="D209" s="9" t="s">
        <v>25</v>
      </c>
      <c r="E209" s="9" t="s">
        <v>35</v>
      </c>
      <c r="F209" s="9">
        <v>459.75</v>
      </c>
      <c r="G209" s="9">
        <v>5</v>
      </c>
      <c r="H209" s="9"/>
      <c r="I209" s="9" t="s">
        <v>116</v>
      </c>
      <c r="J209" s="9"/>
      <c r="K209" s="9"/>
      <c r="L209" s="9"/>
      <c r="M209" s="9">
        <f t="shared" si="3"/>
        <v>381.59249999999997</v>
      </c>
      <c r="N209" s="9" t="s">
        <v>28</v>
      </c>
      <c r="O209" s="9" t="s">
        <v>29</v>
      </c>
      <c r="P209" s="9" t="s">
        <v>29</v>
      </c>
      <c r="Q209" s="9"/>
      <c r="R209" s="9"/>
      <c r="S209" s="9"/>
      <c r="T209" s="9"/>
      <c r="U209" s="9"/>
      <c r="V209" s="9"/>
      <c r="W209" s="9"/>
      <c r="X209" s="9" t="s">
        <v>30</v>
      </c>
      <c r="Y209" s="11"/>
    </row>
    <row r="210" spans="1:25" s="3" customFormat="1" ht="17.7" customHeight="1" x14ac:dyDescent="0.3">
      <c r="A210" s="20">
        <v>209</v>
      </c>
      <c r="B210" s="20">
        <v>8100127</v>
      </c>
      <c r="C210" s="10" t="s">
        <v>241</v>
      </c>
      <c r="D210" s="10" t="s">
        <v>25</v>
      </c>
      <c r="E210" s="10" t="s">
        <v>35</v>
      </c>
      <c r="F210" s="10">
        <v>804.25</v>
      </c>
      <c r="G210" s="10">
        <v>3</v>
      </c>
      <c r="H210" s="10"/>
      <c r="I210" s="10" t="s">
        <v>116</v>
      </c>
      <c r="J210" s="10"/>
      <c r="K210" s="10"/>
      <c r="L210" s="10"/>
      <c r="M210" s="10">
        <f t="shared" si="3"/>
        <v>667.52750000000003</v>
      </c>
      <c r="N210" s="10" t="s">
        <v>28</v>
      </c>
      <c r="O210" s="10" t="s">
        <v>29</v>
      </c>
      <c r="P210" s="10" t="s">
        <v>29</v>
      </c>
      <c r="Q210" s="10"/>
      <c r="R210" s="10"/>
      <c r="S210" s="10"/>
      <c r="T210" s="10"/>
      <c r="U210" s="10"/>
      <c r="V210" s="10"/>
      <c r="W210" s="10"/>
      <c r="X210" s="10" t="s">
        <v>30</v>
      </c>
      <c r="Y210" s="11"/>
    </row>
    <row r="211" spans="1:25" s="3" customFormat="1" ht="17.7" customHeight="1" x14ac:dyDescent="0.3">
      <c r="A211" s="21">
        <v>210</v>
      </c>
      <c r="B211" s="21">
        <v>8100128</v>
      </c>
      <c r="C211" s="9" t="s">
        <v>242</v>
      </c>
      <c r="D211" s="9" t="s">
        <v>25</v>
      </c>
      <c r="E211" s="9" t="s">
        <v>35</v>
      </c>
      <c r="F211" s="9">
        <v>1156</v>
      </c>
      <c r="G211" s="9">
        <v>3</v>
      </c>
      <c r="H211" s="9"/>
      <c r="I211" s="9" t="s">
        <v>116</v>
      </c>
      <c r="J211" s="9"/>
      <c r="K211" s="9"/>
      <c r="L211" s="9"/>
      <c r="M211" s="9">
        <f t="shared" si="3"/>
        <v>959.48</v>
      </c>
      <c r="N211" s="9" t="s">
        <v>28</v>
      </c>
      <c r="O211" s="9" t="s">
        <v>29</v>
      </c>
      <c r="P211" s="9" t="s">
        <v>29</v>
      </c>
      <c r="Q211" s="9"/>
      <c r="R211" s="9"/>
      <c r="S211" s="9"/>
      <c r="T211" s="9"/>
      <c r="U211" s="9"/>
      <c r="V211" s="9"/>
      <c r="W211" s="9"/>
      <c r="X211" s="9" t="s">
        <v>30</v>
      </c>
      <c r="Y211" s="11"/>
    </row>
    <row r="212" spans="1:25" s="3" customFormat="1" ht="17.7" customHeight="1" x14ac:dyDescent="0.3">
      <c r="A212" s="20">
        <v>211</v>
      </c>
      <c r="B212" s="20">
        <v>8100129</v>
      </c>
      <c r="C212" s="10" t="s">
        <v>243</v>
      </c>
      <c r="D212" s="10" t="s">
        <v>25</v>
      </c>
      <c r="E212" s="10" t="s">
        <v>35</v>
      </c>
      <c r="F212" s="10">
        <v>1353.75</v>
      </c>
      <c r="G212" s="10">
        <v>3</v>
      </c>
      <c r="H212" s="10"/>
      <c r="I212" s="10" t="s">
        <v>116</v>
      </c>
      <c r="J212" s="10"/>
      <c r="K212" s="10"/>
      <c r="L212" s="10"/>
      <c r="M212" s="10">
        <f t="shared" si="3"/>
        <v>1123.6125</v>
      </c>
      <c r="N212" s="10" t="s">
        <v>28</v>
      </c>
      <c r="O212" s="10" t="s">
        <v>29</v>
      </c>
      <c r="P212" s="10" t="s">
        <v>29</v>
      </c>
      <c r="Q212" s="10"/>
      <c r="R212" s="10"/>
      <c r="S212" s="10"/>
      <c r="T212" s="10"/>
      <c r="U212" s="10"/>
      <c r="V212" s="10"/>
      <c r="W212" s="10"/>
      <c r="X212" s="10" t="s">
        <v>30</v>
      </c>
      <c r="Y212" s="11"/>
    </row>
    <row r="213" spans="1:25" s="3" customFormat="1" ht="17.7" customHeight="1" x14ac:dyDescent="0.3">
      <c r="A213" s="21">
        <v>212</v>
      </c>
      <c r="B213" s="21">
        <v>8100130</v>
      </c>
      <c r="C213" s="9" t="s">
        <v>244</v>
      </c>
      <c r="D213" s="9" t="s">
        <v>25</v>
      </c>
      <c r="E213" s="9" t="s">
        <v>35</v>
      </c>
      <c r="F213" s="9">
        <v>1156</v>
      </c>
      <c r="G213" s="9">
        <v>3</v>
      </c>
      <c r="H213" s="9"/>
      <c r="I213" s="9" t="s">
        <v>116</v>
      </c>
      <c r="J213" s="9"/>
      <c r="K213" s="9"/>
      <c r="L213" s="9"/>
      <c r="M213" s="9">
        <f t="shared" si="3"/>
        <v>959.48</v>
      </c>
      <c r="N213" s="9" t="s">
        <v>28</v>
      </c>
      <c r="O213" s="9" t="s">
        <v>29</v>
      </c>
      <c r="P213" s="9" t="s">
        <v>29</v>
      </c>
      <c r="Q213" s="9"/>
      <c r="R213" s="9"/>
      <c r="S213" s="9"/>
      <c r="T213" s="9"/>
      <c r="U213" s="9"/>
      <c r="V213" s="9"/>
      <c r="W213" s="9"/>
      <c r="X213" s="9" t="s">
        <v>30</v>
      </c>
      <c r="Y213" s="11"/>
    </row>
    <row r="214" spans="1:25" s="3" customFormat="1" ht="17.7" customHeight="1" x14ac:dyDescent="0.3">
      <c r="A214" s="20">
        <v>213</v>
      </c>
      <c r="B214" s="20">
        <v>8100131</v>
      </c>
      <c r="C214" s="10" t="s">
        <v>245</v>
      </c>
      <c r="D214" s="10" t="s">
        <v>25</v>
      </c>
      <c r="E214" s="10" t="s">
        <v>35</v>
      </c>
      <c r="F214" s="10">
        <v>1353.75</v>
      </c>
      <c r="G214" s="10">
        <v>3</v>
      </c>
      <c r="H214" s="10"/>
      <c r="I214" s="10" t="s">
        <v>116</v>
      </c>
      <c r="J214" s="10"/>
      <c r="K214" s="10"/>
      <c r="L214" s="10"/>
      <c r="M214" s="10">
        <f t="shared" si="3"/>
        <v>1123.6125</v>
      </c>
      <c r="N214" s="10" t="s">
        <v>28</v>
      </c>
      <c r="O214" s="10" t="s">
        <v>29</v>
      </c>
      <c r="P214" s="10" t="s">
        <v>29</v>
      </c>
      <c r="Q214" s="10"/>
      <c r="R214" s="10"/>
      <c r="S214" s="10"/>
      <c r="T214" s="10"/>
      <c r="U214" s="10"/>
      <c r="V214" s="10"/>
      <c r="W214" s="10"/>
      <c r="X214" s="10" t="s">
        <v>30</v>
      </c>
      <c r="Y214" s="11"/>
    </row>
    <row r="215" spans="1:25" s="3" customFormat="1" ht="17.7" customHeight="1" x14ac:dyDescent="0.3">
      <c r="A215" s="21">
        <v>214</v>
      </c>
      <c r="B215" s="21">
        <v>8100132</v>
      </c>
      <c r="C215" s="9" t="s">
        <v>246</v>
      </c>
      <c r="D215" s="9" t="s">
        <v>25</v>
      </c>
      <c r="E215" s="9" t="s">
        <v>35</v>
      </c>
      <c r="F215" s="9">
        <v>1188.75</v>
      </c>
      <c r="G215" s="9">
        <v>3</v>
      </c>
      <c r="H215" s="9"/>
      <c r="I215" s="9" t="s">
        <v>116</v>
      </c>
      <c r="J215" s="9"/>
      <c r="K215" s="9"/>
      <c r="L215" s="9"/>
      <c r="M215" s="9">
        <f t="shared" si="3"/>
        <v>986.66250000000002</v>
      </c>
      <c r="N215" s="9" t="s">
        <v>28</v>
      </c>
      <c r="O215" s="9" t="s">
        <v>29</v>
      </c>
      <c r="P215" s="9" t="s">
        <v>29</v>
      </c>
      <c r="Q215" s="9"/>
      <c r="R215" s="9"/>
      <c r="S215" s="9"/>
      <c r="T215" s="9"/>
      <c r="U215" s="9"/>
      <c r="V215" s="9"/>
      <c r="W215" s="9"/>
      <c r="X215" s="9" t="s">
        <v>30</v>
      </c>
      <c r="Y215" s="11"/>
    </row>
    <row r="216" spans="1:25" s="3" customFormat="1" ht="17.7" customHeight="1" x14ac:dyDescent="0.3">
      <c r="A216" s="20">
        <v>215</v>
      </c>
      <c r="B216" s="20">
        <v>8100133</v>
      </c>
      <c r="C216" s="10" t="s">
        <v>247</v>
      </c>
      <c r="D216" s="10" t="s">
        <v>25</v>
      </c>
      <c r="E216" s="10" t="s">
        <v>35</v>
      </c>
      <c r="F216" s="10">
        <v>66.5</v>
      </c>
      <c r="G216" s="10">
        <v>5</v>
      </c>
      <c r="H216" s="10"/>
      <c r="I216" s="10" t="s">
        <v>116</v>
      </c>
      <c r="J216" s="10"/>
      <c r="K216" s="10"/>
      <c r="L216" s="10"/>
      <c r="M216" s="10">
        <f t="shared" si="3"/>
        <v>55.195</v>
      </c>
      <c r="N216" s="10" t="s">
        <v>28</v>
      </c>
      <c r="O216" s="10" t="s">
        <v>29</v>
      </c>
      <c r="P216" s="10" t="s">
        <v>29</v>
      </c>
      <c r="Q216" s="10"/>
      <c r="R216" s="10"/>
      <c r="S216" s="10"/>
      <c r="T216" s="10"/>
      <c r="U216" s="10"/>
      <c r="V216" s="10"/>
      <c r="W216" s="10"/>
      <c r="X216" s="10" t="s">
        <v>30</v>
      </c>
      <c r="Y216" s="11"/>
    </row>
    <row r="217" spans="1:25" s="3" customFormat="1" ht="17.7" customHeight="1" x14ac:dyDescent="0.3">
      <c r="A217" s="21">
        <v>216</v>
      </c>
      <c r="B217" s="21">
        <v>8100134</v>
      </c>
      <c r="C217" s="9" t="s">
        <v>248</v>
      </c>
      <c r="D217" s="9" t="s">
        <v>25</v>
      </c>
      <c r="E217" s="9" t="s">
        <v>35</v>
      </c>
      <c r="F217" s="9">
        <v>227</v>
      </c>
      <c r="G217" s="9">
        <v>5</v>
      </c>
      <c r="H217" s="9"/>
      <c r="I217" s="9" t="s">
        <v>116</v>
      </c>
      <c r="J217" s="9"/>
      <c r="K217" s="9"/>
      <c r="L217" s="9"/>
      <c r="M217" s="9">
        <f t="shared" si="3"/>
        <v>188.41</v>
      </c>
      <c r="N217" s="9" t="s">
        <v>28</v>
      </c>
      <c r="O217" s="9" t="s">
        <v>29</v>
      </c>
      <c r="P217" s="9" t="s">
        <v>29</v>
      </c>
      <c r="Q217" s="9"/>
      <c r="R217" s="9"/>
      <c r="S217" s="9"/>
      <c r="T217" s="9"/>
      <c r="U217" s="9"/>
      <c r="V217" s="9"/>
      <c r="W217" s="9"/>
      <c r="X217" s="9" t="s">
        <v>30</v>
      </c>
      <c r="Y217" s="11"/>
    </row>
    <row r="218" spans="1:25" s="3" customFormat="1" ht="17.7" customHeight="1" x14ac:dyDescent="0.3">
      <c r="A218" s="20">
        <v>217</v>
      </c>
      <c r="B218" s="20">
        <v>8100135</v>
      </c>
      <c r="C218" s="10" t="s">
        <v>249</v>
      </c>
      <c r="D218" s="10" t="s">
        <v>25</v>
      </c>
      <c r="E218" s="10" t="s">
        <v>35</v>
      </c>
      <c r="F218" s="10">
        <v>225</v>
      </c>
      <c r="G218" s="10">
        <v>5</v>
      </c>
      <c r="H218" s="10"/>
      <c r="I218" s="10" t="s">
        <v>116</v>
      </c>
      <c r="J218" s="10"/>
      <c r="K218" s="10"/>
      <c r="L218" s="10"/>
      <c r="M218" s="10">
        <f t="shared" si="3"/>
        <v>186.75</v>
      </c>
      <c r="N218" s="10" t="s">
        <v>28</v>
      </c>
      <c r="O218" s="10" t="s">
        <v>29</v>
      </c>
      <c r="P218" s="10" t="s">
        <v>29</v>
      </c>
      <c r="Q218" s="10"/>
      <c r="R218" s="10"/>
      <c r="S218" s="10"/>
      <c r="T218" s="10"/>
      <c r="U218" s="10"/>
      <c r="V218" s="10"/>
      <c r="W218" s="10"/>
      <c r="X218" s="10" t="s">
        <v>30</v>
      </c>
      <c r="Y218" s="11"/>
    </row>
    <row r="219" spans="1:25" s="3" customFormat="1" ht="17.7" customHeight="1" x14ac:dyDescent="0.3">
      <c r="A219" s="21">
        <v>218</v>
      </c>
      <c r="B219" s="21">
        <v>8100136</v>
      </c>
      <c r="C219" s="9" t="s">
        <v>250</v>
      </c>
      <c r="D219" s="9" t="s">
        <v>25</v>
      </c>
      <c r="E219" s="9" t="s">
        <v>35</v>
      </c>
      <c r="F219" s="9">
        <v>292.5</v>
      </c>
      <c r="G219" s="9">
        <v>5</v>
      </c>
      <c r="H219" s="9"/>
      <c r="I219" s="9" t="s">
        <v>116</v>
      </c>
      <c r="J219" s="9"/>
      <c r="K219" s="9"/>
      <c r="L219" s="9"/>
      <c r="M219" s="9">
        <f t="shared" si="3"/>
        <v>242.77500000000001</v>
      </c>
      <c r="N219" s="9" t="s">
        <v>28</v>
      </c>
      <c r="O219" s="9" t="s">
        <v>29</v>
      </c>
      <c r="P219" s="9" t="s">
        <v>29</v>
      </c>
      <c r="Q219" s="9"/>
      <c r="R219" s="9"/>
      <c r="S219" s="9"/>
      <c r="T219" s="9"/>
      <c r="U219" s="9"/>
      <c r="V219" s="9"/>
      <c r="W219" s="9"/>
      <c r="X219" s="9" t="s">
        <v>30</v>
      </c>
      <c r="Y219" s="11"/>
    </row>
    <row r="220" spans="1:25" s="3" customFormat="1" ht="17.7" customHeight="1" x14ac:dyDescent="0.3">
      <c r="A220" s="20">
        <v>219</v>
      </c>
      <c r="B220" s="20">
        <v>8100137</v>
      </c>
      <c r="C220" s="10" t="s">
        <v>251</v>
      </c>
      <c r="D220" s="10" t="s">
        <v>25</v>
      </c>
      <c r="E220" s="10" t="s">
        <v>35</v>
      </c>
      <c r="F220" s="10">
        <v>290</v>
      </c>
      <c r="G220" s="10">
        <v>5</v>
      </c>
      <c r="H220" s="10"/>
      <c r="I220" s="10" t="s">
        <v>116</v>
      </c>
      <c r="J220" s="10"/>
      <c r="K220" s="10"/>
      <c r="L220" s="10"/>
      <c r="M220" s="10">
        <f t="shared" si="3"/>
        <v>240.7</v>
      </c>
      <c r="N220" s="10" t="s">
        <v>28</v>
      </c>
      <c r="O220" s="10" t="s">
        <v>29</v>
      </c>
      <c r="P220" s="10" t="s">
        <v>29</v>
      </c>
      <c r="Q220" s="10"/>
      <c r="R220" s="10"/>
      <c r="S220" s="10"/>
      <c r="T220" s="10"/>
      <c r="U220" s="10"/>
      <c r="V220" s="10"/>
      <c r="W220" s="10"/>
      <c r="X220" s="10" t="s">
        <v>30</v>
      </c>
      <c r="Y220" s="11"/>
    </row>
    <row r="221" spans="1:25" s="3" customFormat="1" ht="17.7" customHeight="1" x14ac:dyDescent="0.3">
      <c r="A221" s="21">
        <v>220</v>
      </c>
      <c r="B221" s="21">
        <v>8100138</v>
      </c>
      <c r="C221" s="9" t="s">
        <v>252</v>
      </c>
      <c r="D221" s="9" t="s">
        <v>25</v>
      </c>
      <c r="E221" s="9" t="s">
        <v>35</v>
      </c>
      <c r="F221" s="9">
        <v>1156</v>
      </c>
      <c r="G221" s="9">
        <v>3</v>
      </c>
      <c r="H221" s="9"/>
      <c r="I221" s="9" t="s">
        <v>116</v>
      </c>
      <c r="J221" s="9"/>
      <c r="K221" s="9"/>
      <c r="L221" s="9"/>
      <c r="M221" s="9">
        <f t="shared" si="3"/>
        <v>959.48</v>
      </c>
      <c r="N221" s="9" t="s">
        <v>28</v>
      </c>
      <c r="O221" s="9" t="s">
        <v>29</v>
      </c>
      <c r="P221" s="9" t="s">
        <v>29</v>
      </c>
      <c r="Q221" s="9"/>
      <c r="R221" s="9"/>
      <c r="S221" s="9"/>
      <c r="T221" s="9"/>
      <c r="U221" s="9"/>
      <c r="V221" s="9"/>
      <c r="W221" s="9"/>
      <c r="X221" s="9" t="s">
        <v>30</v>
      </c>
      <c r="Y221" s="11"/>
    </row>
    <row r="222" spans="1:25" s="3" customFormat="1" ht="17.7" customHeight="1" x14ac:dyDescent="0.3">
      <c r="A222" s="20">
        <v>221</v>
      </c>
      <c r="B222" s="20">
        <v>8100139</v>
      </c>
      <c r="C222" s="10" t="s">
        <v>253</v>
      </c>
      <c r="D222" s="10" t="s">
        <v>25</v>
      </c>
      <c r="E222" s="10" t="s">
        <v>35</v>
      </c>
      <c r="F222" s="10">
        <v>1156</v>
      </c>
      <c r="G222" s="10">
        <v>3</v>
      </c>
      <c r="H222" s="10"/>
      <c r="I222" s="10" t="s">
        <v>116</v>
      </c>
      <c r="J222" s="10"/>
      <c r="K222" s="10"/>
      <c r="L222" s="10"/>
      <c r="M222" s="10">
        <f t="shared" si="3"/>
        <v>959.48</v>
      </c>
      <c r="N222" s="10" t="s">
        <v>28</v>
      </c>
      <c r="O222" s="10" t="s">
        <v>29</v>
      </c>
      <c r="P222" s="10" t="s">
        <v>29</v>
      </c>
      <c r="Q222" s="10"/>
      <c r="R222" s="10"/>
      <c r="S222" s="10"/>
      <c r="T222" s="10"/>
      <c r="U222" s="10"/>
      <c r="V222" s="10"/>
      <c r="W222" s="10"/>
      <c r="X222" s="10" t="s">
        <v>30</v>
      </c>
      <c r="Y222" s="11"/>
    </row>
    <row r="223" spans="1:25" s="3" customFormat="1" ht="17.7" customHeight="1" x14ac:dyDescent="0.3">
      <c r="A223" s="21">
        <v>222</v>
      </c>
      <c r="B223" s="21">
        <v>8100140</v>
      </c>
      <c r="C223" s="9" t="s">
        <v>254</v>
      </c>
      <c r="D223" s="9" t="s">
        <v>25</v>
      </c>
      <c r="E223" s="9" t="s">
        <v>35</v>
      </c>
      <c r="F223" s="9">
        <v>1156</v>
      </c>
      <c r="G223" s="9">
        <v>3</v>
      </c>
      <c r="H223" s="9"/>
      <c r="I223" s="9" t="s">
        <v>116</v>
      </c>
      <c r="J223" s="9"/>
      <c r="K223" s="9"/>
      <c r="L223" s="9"/>
      <c r="M223" s="9">
        <f t="shared" si="3"/>
        <v>959.48</v>
      </c>
      <c r="N223" s="9" t="s">
        <v>28</v>
      </c>
      <c r="O223" s="9" t="s">
        <v>29</v>
      </c>
      <c r="P223" s="9" t="s">
        <v>29</v>
      </c>
      <c r="Q223" s="9"/>
      <c r="R223" s="9"/>
      <c r="S223" s="9"/>
      <c r="T223" s="9"/>
      <c r="U223" s="9"/>
      <c r="V223" s="9"/>
      <c r="W223" s="9"/>
      <c r="X223" s="9" t="s">
        <v>30</v>
      </c>
      <c r="Y223" s="11"/>
    </row>
    <row r="224" spans="1:25" s="3" customFormat="1" ht="17.7" customHeight="1" x14ac:dyDescent="0.3">
      <c r="A224" s="20">
        <v>223</v>
      </c>
      <c r="B224" s="20">
        <v>8100141</v>
      </c>
      <c r="C224" s="10" t="s">
        <v>255</v>
      </c>
      <c r="D224" s="10" t="s">
        <v>25</v>
      </c>
      <c r="E224" s="10" t="s">
        <v>35</v>
      </c>
      <c r="F224" s="10">
        <v>1156</v>
      </c>
      <c r="G224" s="10">
        <v>3</v>
      </c>
      <c r="H224" s="10"/>
      <c r="I224" s="10" t="s">
        <v>116</v>
      </c>
      <c r="J224" s="10"/>
      <c r="K224" s="10"/>
      <c r="L224" s="10"/>
      <c r="M224" s="10">
        <f t="shared" si="3"/>
        <v>959.48</v>
      </c>
      <c r="N224" s="10" t="s">
        <v>28</v>
      </c>
      <c r="O224" s="10" t="s">
        <v>29</v>
      </c>
      <c r="P224" s="10" t="s">
        <v>29</v>
      </c>
      <c r="Q224" s="10"/>
      <c r="R224" s="10"/>
      <c r="S224" s="10"/>
      <c r="T224" s="10"/>
      <c r="U224" s="10"/>
      <c r="V224" s="10"/>
      <c r="W224" s="10"/>
      <c r="X224" s="10" t="s">
        <v>30</v>
      </c>
      <c r="Y224" s="11"/>
    </row>
    <row r="225" spans="1:25" s="3" customFormat="1" ht="17.7" customHeight="1" x14ac:dyDescent="0.3">
      <c r="A225" s="21">
        <v>224</v>
      </c>
      <c r="B225" s="21">
        <v>8100142</v>
      </c>
      <c r="C225" s="9" t="s">
        <v>256</v>
      </c>
      <c r="D225" s="9" t="s">
        <v>25</v>
      </c>
      <c r="E225" s="9" t="s">
        <v>35</v>
      </c>
      <c r="F225" s="9">
        <v>1156</v>
      </c>
      <c r="G225" s="9">
        <v>3</v>
      </c>
      <c r="H225" s="9"/>
      <c r="I225" s="9" t="s">
        <v>116</v>
      </c>
      <c r="J225" s="9"/>
      <c r="K225" s="9"/>
      <c r="L225" s="9"/>
      <c r="M225" s="9">
        <f t="shared" si="3"/>
        <v>959.48</v>
      </c>
      <c r="N225" s="9" t="s">
        <v>28</v>
      </c>
      <c r="O225" s="9" t="s">
        <v>29</v>
      </c>
      <c r="P225" s="9" t="s">
        <v>29</v>
      </c>
      <c r="Q225" s="9"/>
      <c r="R225" s="9"/>
      <c r="S225" s="9"/>
      <c r="T225" s="9"/>
      <c r="U225" s="9"/>
      <c r="V225" s="9"/>
      <c r="W225" s="9"/>
      <c r="X225" s="9" t="s">
        <v>30</v>
      </c>
      <c r="Y225" s="11"/>
    </row>
    <row r="226" spans="1:25" s="3" customFormat="1" ht="17.7" customHeight="1" x14ac:dyDescent="0.3">
      <c r="A226" s="20">
        <v>225</v>
      </c>
      <c r="B226" s="20">
        <v>8100143</v>
      </c>
      <c r="C226" s="10" t="s">
        <v>257</v>
      </c>
      <c r="D226" s="10" t="s">
        <v>25</v>
      </c>
      <c r="E226" s="10" t="s">
        <v>35</v>
      </c>
      <c r="F226" s="10">
        <v>1353.75</v>
      </c>
      <c r="G226" s="10">
        <v>3</v>
      </c>
      <c r="H226" s="10"/>
      <c r="I226" s="10" t="s">
        <v>116</v>
      </c>
      <c r="J226" s="10"/>
      <c r="K226" s="10"/>
      <c r="L226" s="10"/>
      <c r="M226" s="10">
        <f t="shared" si="3"/>
        <v>1123.6125</v>
      </c>
      <c r="N226" s="10" t="s">
        <v>28</v>
      </c>
      <c r="O226" s="10" t="s">
        <v>29</v>
      </c>
      <c r="P226" s="10" t="s">
        <v>29</v>
      </c>
      <c r="Q226" s="10"/>
      <c r="R226" s="10"/>
      <c r="S226" s="10"/>
      <c r="T226" s="10"/>
      <c r="U226" s="10"/>
      <c r="V226" s="10"/>
      <c r="W226" s="10"/>
      <c r="X226" s="10" t="s">
        <v>30</v>
      </c>
      <c r="Y226" s="11"/>
    </row>
    <row r="227" spans="1:25" s="3" customFormat="1" ht="17.7" customHeight="1" x14ac:dyDescent="0.3">
      <c r="A227" s="21">
        <v>226</v>
      </c>
      <c r="B227" s="21">
        <v>8100144</v>
      </c>
      <c r="C227" s="9" t="s">
        <v>258</v>
      </c>
      <c r="D227" s="9" t="s">
        <v>25</v>
      </c>
      <c r="E227" s="9" t="s">
        <v>35</v>
      </c>
      <c r="F227" s="9">
        <v>1353.75</v>
      </c>
      <c r="G227" s="9">
        <v>3</v>
      </c>
      <c r="H227" s="9"/>
      <c r="I227" s="9" t="s">
        <v>116</v>
      </c>
      <c r="J227" s="9"/>
      <c r="K227" s="9"/>
      <c r="L227" s="9"/>
      <c r="M227" s="9">
        <f t="shared" si="3"/>
        <v>1123.6125</v>
      </c>
      <c r="N227" s="9" t="s">
        <v>28</v>
      </c>
      <c r="O227" s="9" t="s">
        <v>29</v>
      </c>
      <c r="P227" s="9" t="s">
        <v>29</v>
      </c>
      <c r="Q227" s="9"/>
      <c r="R227" s="9"/>
      <c r="S227" s="9"/>
      <c r="T227" s="9"/>
      <c r="U227" s="9"/>
      <c r="V227" s="9"/>
      <c r="W227" s="9"/>
      <c r="X227" s="9" t="s">
        <v>30</v>
      </c>
      <c r="Y227" s="11"/>
    </row>
    <row r="228" spans="1:25" s="3" customFormat="1" ht="17.7" customHeight="1" x14ac:dyDescent="0.3">
      <c r="A228" s="20">
        <v>227</v>
      </c>
      <c r="B228" s="20">
        <v>8100145</v>
      </c>
      <c r="C228" s="10" t="s">
        <v>259</v>
      </c>
      <c r="D228" s="10" t="s">
        <v>25</v>
      </c>
      <c r="E228" s="10" t="s">
        <v>35</v>
      </c>
      <c r="F228" s="10">
        <v>1353.75</v>
      </c>
      <c r="G228" s="10">
        <v>3</v>
      </c>
      <c r="H228" s="10"/>
      <c r="I228" s="10" t="s">
        <v>116</v>
      </c>
      <c r="J228" s="10"/>
      <c r="K228" s="10"/>
      <c r="L228" s="10"/>
      <c r="M228" s="10">
        <f t="shared" si="3"/>
        <v>1123.6125</v>
      </c>
      <c r="N228" s="10" t="s">
        <v>28</v>
      </c>
      <c r="O228" s="10" t="s">
        <v>29</v>
      </c>
      <c r="P228" s="10" t="s">
        <v>29</v>
      </c>
      <c r="Q228" s="10"/>
      <c r="R228" s="10"/>
      <c r="S228" s="10"/>
      <c r="T228" s="10"/>
      <c r="U228" s="10"/>
      <c r="V228" s="10"/>
      <c r="W228" s="10"/>
      <c r="X228" s="10" t="s">
        <v>30</v>
      </c>
      <c r="Y228" s="11"/>
    </row>
    <row r="229" spans="1:25" s="3" customFormat="1" ht="17.7" customHeight="1" x14ac:dyDescent="0.3">
      <c r="A229" s="21">
        <v>228</v>
      </c>
      <c r="B229" s="21">
        <v>8100146</v>
      </c>
      <c r="C229" s="9" t="s">
        <v>260</v>
      </c>
      <c r="D229" s="9" t="s">
        <v>25</v>
      </c>
      <c r="E229" s="9" t="s">
        <v>35</v>
      </c>
      <c r="F229" s="9">
        <v>1353.75</v>
      </c>
      <c r="G229" s="9">
        <v>3</v>
      </c>
      <c r="H229" s="9"/>
      <c r="I229" s="9" t="s">
        <v>116</v>
      </c>
      <c r="J229" s="9"/>
      <c r="K229" s="9"/>
      <c r="L229" s="9"/>
      <c r="M229" s="9">
        <f t="shared" si="3"/>
        <v>1123.6125</v>
      </c>
      <c r="N229" s="9" t="s">
        <v>28</v>
      </c>
      <c r="O229" s="9" t="s">
        <v>29</v>
      </c>
      <c r="P229" s="9" t="s">
        <v>29</v>
      </c>
      <c r="Q229" s="9"/>
      <c r="R229" s="9"/>
      <c r="S229" s="9"/>
      <c r="T229" s="9"/>
      <c r="U229" s="9"/>
      <c r="V229" s="9"/>
      <c r="W229" s="9"/>
      <c r="X229" s="9" t="s">
        <v>30</v>
      </c>
      <c r="Y229" s="11"/>
    </row>
    <row r="230" spans="1:25" s="3" customFormat="1" ht="17.7" customHeight="1" x14ac:dyDescent="0.3">
      <c r="A230" s="20">
        <v>229</v>
      </c>
      <c r="B230" s="20">
        <v>8100147</v>
      </c>
      <c r="C230" s="10" t="s">
        <v>261</v>
      </c>
      <c r="D230" s="10" t="s">
        <v>25</v>
      </c>
      <c r="E230" s="10" t="s">
        <v>35</v>
      </c>
      <c r="F230" s="10">
        <v>1353.75</v>
      </c>
      <c r="G230" s="10">
        <v>3</v>
      </c>
      <c r="H230" s="10"/>
      <c r="I230" s="10" t="s">
        <v>116</v>
      </c>
      <c r="J230" s="10"/>
      <c r="K230" s="10"/>
      <c r="L230" s="10"/>
      <c r="M230" s="10">
        <f t="shared" si="3"/>
        <v>1123.6125</v>
      </c>
      <c r="N230" s="10" t="s">
        <v>28</v>
      </c>
      <c r="O230" s="10" t="s">
        <v>29</v>
      </c>
      <c r="P230" s="10" t="s">
        <v>29</v>
      </c>
      <c r="Q230" s="10"/>
      <c r="R230" s="10"/>
      <c r="S230" s="10"/>
      <c r="T230" s="10"/>
      <c r="U230" s="10"/>
      <c r="V230" s="10"/>
      <c r="W230" s="10"/>
      <c r="X230" s="10" t="s">
        <v>30</v>
      </c>
      <c r="Y230" s="11"/>
    </row>
    <row r="231" spans="1:25" s="3" customFormat="1" ht="17.7" customHeight="1" x14ac:dyDescent="0.3">
      <c r="A231" s="21">
        <v>230</v>
      </c>
      <c r="B231" s="21">
        <v>8100148</v>
      </c>
      <c r="C231" s="9" t="s">
        <v>262</v>
      </c>
      <c r="D231" s="9" t="s">
        <v>25</v>
      </c>
      <c r="E231" s="9" t="s">
        <v>26</v>
      </c>
      <c r="F231" s="9">
        <v>278</v>
      </c>
      <c r="G231" s="9">
        <v>5</v>
      </c>
      <c r="H231" s="9"/>
      <c r="I231" s="9" t="s">
        <v>116</v>
      </c>
      <c r="J231" s="9"/>
      <c r="K231" s="9"/>
      <c r="L231" s="9"/>
      <c r="M231" s="9">
        <f t="shared" si="3"/>
        <v>230.74</v>
      </c>
      <c r="N231" s="9" t="s">
        <v>28</v>
      </c>
      <c r="O231" s="9" t="s">
        <v>29</v>
      </c>
      <c r="P231" s="9" t="s">
        <v>29</v>
      </c>
      <c r="Q231" s="9"/>
      <c r="R231" s="9"/>
      <c r="S231" s="9"/>
      <c r="T231" s="9"/>
      <c r="U231" s="9"/>
      <c r="V231" s="9"/>
      <c r="W231" s="9"/>
      <c r="X231" s="9" t="s">
        <v>30</v>
      </c>
      <c r="Y231" s="11"/>
    </row>
    <row r="232" spans="1:25" s="3" customFormat="1" ht="17.7" customHeight="1" x14ac:dyDescent="0.3">
      <c r="A232" s="20">
        <v>231</v>
      </c>
      <c r="B232" s="20">
        <v>8100149</v>
      </c>
      <c r="C232" s="10" t="s">
        <v>263</v>
      </c>
      <c r="D232" s="10" t="s">
        <v>25</v>
      </c>
      <c r="E232" s="10" t="s">
        <v>26</v>
      </c>
      <c r="F232" s="10">
        <v>461.5</v>
      </c>
      <c r="G232" s="10">
        <v>3</v>
      </c>
      <c r="H232" s="10"/>
      <c r="I232" s="10" t="s">
        <v>116</v>
      </c>
      <c r="J232" s="10"/>
      <c r="K232" s="10"/>
      <c r="L232" s="10"/>
      <c r="M232" s="10">
        <f t="shared" si="3"/>
        <v>383.04499999999996</v>
      </c>
      <c r="N232" s="10" t="s">
        <v>28</v>
      </c>
      <c r="O232" s="10" t="s">
        <v>29</v>
      </c>
      <c r="P232" s="10" t="s">
        <v>29</v>
      </c>
      <c r="Q232" s="10"/>
      <c r="R232" s="10"/>
      <c r="S232" s="10"/>
      <c r="T232" s="10"/>
      <c r="U232" s="10"/>
      <c r="V232" s="10"/>
      <c r="W232" s="10"/>
      <c r="X232" s="10" t="s">
        <v>30</v>
      </c>
      <c r="Y232" s="11"/>
    </row>
    <row r="233" spans="1:25" s="3" customFormat="1" ht="17.7" customHeight="1" x14ac:dyDescent="0.3">
      <c r="A233" s="21">
        <v>232</v>
      </c>
      <c r="B233" s="21">
        <v>8100150</v>
      </c>
      <c r="C233" s="9" t="s">
        <v>264</v>
      </c>
      <c r="D233" s="9" t="s">
        <v>25</v>
      </c>
      <c r="E233" s="9" t="s">
        <v>26</v>
      </c>
      <c r="F233" s="9">
        <v>570</v>
      </c>
      <c r="G233" s="9">
        <v>3</v>
      </c>
      <c r="H233" s="9"/>
      <c r="I233" s="9" t="s">
        <v>116</v>
      </c>
      <c r="J233" s="9"/>
      <c r="K233" s="9"/>
      <c r="L233" s="9"/>
      <c r="M233" s="9">
        <f t="shared" si="3"/>
        <v>473.1</v>
      </c>
      <c r="N233" s="9" t="s">
        <v>28</v>
      </c>
      <c r="O233" s="9" t="s">
        <v>29</v>
      </c>
      <c r="P233" s="9" t="s">
        <v>29</v>
      </c>
      <c r="Q233" s="9"/>
      <c r="R233" s="9"/>
      <c r="S233" s="9"/>
      <c r="T233" s="9"/>
      <c r="U233" s="9"/>
      <c r="V233" s="9"/>
      <c r="W233" s="9"/>
      <c r="X233" s="9" t="s">
        <v>30</v>
      </c>
      <c r="Y233" s="11"/>
    </row>
    <row r="234" spans="1:25" s="3" customFormat="1" ht="17.7" customHeight="1" x14ac:dyDescent="0.3">
      <c r="A234" s="20">
        <v>233</v>
      </c>
      <c r="B234" s="20">
        <v>8100151</v>
      </c>
      <c r="C234" s="10" t="s">
        <v>265</v>
      </c>
      <c r="D234" s="10" t="s">
        <v>25</v>
      </c>
      <c r="E234" s="10" t="s">
        <v>35</v>
      </c>
      <c r="F234" s="10">
        <v>108.5</v>
      </c>
      <c r="G234" s="10">
        <v>8</v>
      </c>
      <c r="H234" s="10"/>
      <c r="I234" s="10" t="s">
        <v>116</v>
      </c>
      <c r="J234" s="10"/>
      <c r="K234" s="10"/>
      <c r="L234" s="10"/>
      <c r="M234" s="10">
        <f t="shared" si="3"/>
        <v>90.055000000000007</v>
      </c>
      <c r="N234" s="10" t="s">
        <v>28</v>
      </c>
      <c r="O234" s="10" t="s">
        <v>29</v>
      </c>
      <c r="P234" s="10" t="s">
        <v>29</v>
      </c>
      <c r="Q234" s="10"/>
      <c r="R234" s="10"/>
      <c r="S234" s="10"/>
      <c r="T234" s="10"/>
      <c r="U234" s="10"/>
      <c r="V234" s="10"/>
      <c r="W234" s="10"/>
      <c r="X234" s="10" t="s">
        <v>30</v>
      </c>
      <c r="Y234" s="11"/>
    </row>
    <row r="235" spans="1:25" s="3" customFormat="1" ht="17.7" customHeight="1" x14ac:dyDescent="0.3">
      <c r="A235" s="21">
        <v>234</v>
      </c>
      <c r="B235" s="21">
        <v>8100152</v>
      </c>
      <c r="C235" s="9" t="s">
        <v>266</v>
      </c>
      <c r="D235" s="9" t="s">
        <v>25</v>
      </c>
      <c r="E235" s="9" t="s">
        <v>35</v>
      </c>
      <c r="F235" s="9">
        <v>211.75</v>
      </c>
      <c r="G235" s="9">
        <v>3</v>
      </c>
      <c r="H235" s="9"/>
      <c r="I235" s="9" t="s">
        <v>116</v>
      </c>
      <c r="J235" s="9"/>
      <c r="K235" s="9"/>
      <c r="L235" s="9"/>
      <c r="M235" s="9">
        <f t="shared" si="3"/>
        <v>175.7525</v>
      </c>
      <c r="N235" s="9" t="s">
        <v>28</v>
      </c>
      <c r="O235" s="9" t="s">
        <v>29</v>
      </c>
      <c r="P235" s="9" t="s">
        <v>29</v>
      </c>
      <c r="Q235" s="9"/>
      <c r="R235" s="9"/>
      <c r="S235" s="9"/>
      <c r="T235" s="9"/>
      <c r="U235" s="9"/>
      <c r="V235" s="9"/>
      <c r="W235" s="9"/>
      <c r="X235" s="9" t="s">
        <v>30</v>
      </c>
      <c r="Y235" s="11"/>
    </row>
    <row r="236" spans="1:25" s="3" customFormat="1" ht="17.7" customHeight="1" x14ac:dyDescent="0.3">
      <c r="A236" s="20">
        <v>235</v>
      </c>
      <c r="B236" s="20">
        <v>8100153</v>
      </c>
      <c r="C236" s="10" t="s">
        <v>267</v>
      </c>
      <c r="D236" s="10" t="s">
        <v>25</v>
      </c>
      <c r="E236" s="10" t="s">
        <v>35</v>
      </c>
      <c r="F236" s="10">
        <v>336.25</v>
      </c>
      <c r="G236" s="10">
        <v>3</v>
      </c>
      <c r="H236" s="10"/>
      <c r="I236" s="10" t="s">
        <v>116</v>
      </c>
      <c r="J236" s="10"/>
      <c r="K236" s="10"/>
      <c r="L236" s="10"/>
      <c r="M236" s="10">
        <f t="shared" si="3"/>
        <v>279.08749999999998</v>
      </c>
      <c r="N236" s="10" t="s">
        <v>28</v>
      </c>
      <c r="O236" s="10" t="s">
        <v>29</v>
      </c>
      <c r="P236" s="10" t="s">
        <v>29</v>
      </c>
      <c r="Q236" s="10"/>
      <c r="R236" s="10"/>
      <c r="S236" s="10"/>
      <c r="T236" s="10"/>
      <c r="U236" s="10"/>
      <c r="V236" s="10"/>
      <c r="W236" s="10"/>
      <c r="X236" s="10" t="s">
        <v>30</v>
      </c>
      <c r="Y236" s="11"/>
    </row>
    <row r="237" spans="1:25" s="3" customFormat="1" ht="17.7" customHeight="1" x14ac:dyDescent="0.3">
      <c r="A237" s="21">
        <v>236</v>
      </c>
      <c r="B237" s="21">
        <v>8100154</v>
      </c>
      <c r="C237" s="9" t="s">
        <v>268</v>
      </c>
      <c r="D237" s="9" t="s">
        <v>25</v>
      </c>
      <c r="E237" s="9" t="s">
        <v>35</v>
      </c>
      <c r="F237" s="9">
        <v>112.5</v>
      </c>
      <c r="G237" s="9">
        <v>8</v>
      </c>
      <c r="H237" s="9"/>
      <c r="I237" s="9" t="s">
        <v>116</v>
      </c>
      <c r="J237" s="9"/>
      <c r="K237" s="9"/>
      <c r="L237" s="9"/>
      <c r="M237" s="9">
        <f t="shared" si="3"/>
        <v>93.375</v>
      </c>
      <c r="N237" s="9" t="s">
        <v>28</v>
      </c>
      <c r="O237" s="9" t="s">
        <v>29</v>
      </c>
      <c r="P237" s="9" t="s">
        <v>29</v>
      </c>
      <c r="Q237" s="9"/>
      <c r="R237" s="9"/>
      <c r="S237" s="9"/>
      <c r="T237" s="9"/>
      <c r="U237" s="9"/>
      <c r="V237" s="9"/>
      <c r="W237" s="9"/>
      <c r="X237" s="9" t="s">
        <v>30</v>
      </c>
      <c r="Y237" s="11"/>
    </row>
    <row r="238" spans="1:25" s="3" customFormat="1" ht="17.7" customHeight="1" x14ac:dyDescent="0.3">
      <c r="A238" s="20">
        <v>237</v>
      </c>
      <c r="B238" s="20">
        <v>8100155</v>
      </c>
      <c r="C238" s="10" t="s">
        <v>269</v>
      </c>
      <c r="D238" s="10" t="s">
        <v>25</v>
      </c>
      <c r="E238" s="10" t="s">
        <v>35</v>
      </c>
      <c r="F238" s="10">
        <v>233.5</v>
      </c>
      <c r="G238" s="10">
        <v>3</v>
      </c>
      <c r="H238" s="10"/>
      <c r="I238" s="10" t="s">
        <v>116</v>
      </c>
      <c r="J238" s="10"/>
      <c r="K238" s="10"/>
      <c r="L238" s="10"/>
      <c r="M238" s="10">
        <f t="shared" si="3"/>
        <v>193.80500000000001</v>
      </c>
      <c r="N238" s="10" t="s">
        <v>28</v>
      </c>
      <c r="O238" s="10" t="s">
        <v>29</v>
      </c>
      <c r="P238" s="10" t="s">
        <v>29</v>
      </c>
      <c r="Q238" s="10"/>
      <c r="R238" s="10"/>
      <c r="S238" s="10"/>
      <c r="T238" s="10"/>
      <c r="U238" s="10"/>
      <c r="V238" s="10"/>
      <c r="W238" s="10"/>
      <c r="X238" s="10" t="s">
        <v>30</v>
      </c>
      <c r="Y238" s="11"/>
    </row>
    <row r="239" spans="1:25" s="3" customFormat="1" ht="17.7" customHeight="1" x14ac:dyDescent="0.3">
      <c r="A239" s="21">
        <v>238</v>
      </c>
      <c r="B239" s="21">
        <v>8100156</v>
      </c>
      <c r="C239" s="9" t="s">
        <v>270</v>
      </c>
      <c r="D239" s="9" t="s">
        <v>25</v>
      </c>
      <c r="E239" s="9" t="s">
        <v>35</v>
      </c>
      <c r="F239" s="9">
        <v>340.75</v>
      </c>
      <c r="G239" s="9">
        <v>3</v>
      </c>
      <c r="H239" s="9"/>
      <c r="I239" s="9" t="s">
        <v>116</v>
      </c>
      <c r="J239" s="9"/>
      <c r="K239" s="9"/>
      <c r="L239" s="9"/>
      <c r="M239" s="9">
        <f t="shared" si="3"/>
        <v>282.82249999999999</v>
      </c>
      <c r="N239" s="9" t="s">
        <v>28</v>
      </c>
      <c r="O239" s="9" t="s">
        <v>29</v>
      </c>
      <c r="P239" s="9" t="s">
        <v>29</v>
      </c>
      <c r="Q239" s="9"/>
      <c r="R239" s="9"/>
      <c r="S239" s="9"/>
      <c r="T239" s="9"/>
      <c r="U239" s="9"/>
      <c r="V239" s="9"/>
      <c r="W239" s="9"/>
      <c r="X239" s="9" t="s">
        <v>30</v>
      </c>
      <c r="Y239" s="11"/>
    </row>
    <row r="240" spans="1:25" s="3" customFormat="1" ht="17.7" customHeight="1" x14ac:dyDescent="0.3">
      <c r="A240" s="20">
        <v>239</v>
      </c>
      <c r="B240" s="20">
        <v>8100157</v>
      </c>
      <c r="C240" s="10" t="s">
        <v>271</v>
      </c>
      <c r="D240" s="10" t="s">
        <v>25</v>
      </c>
      <c r="E240" s="10" t="s">
        <v>35</v>
      </c>
      <c r="F240" s="10">
        <v>112.5</v>
      </c>
      <c r="G240" s="10">
        <v>8</v>
      </c>
      <c r="H240" s="10"/>
      <c r="I240" s="10" t="s">
        <v>116</v>
      </c>
      <c r="J240" s="10"/>
      <c r="K240" s="10"/>
      <c r="L240" s="10"/>
      <c r="M240" s="10">
        <f t="shared" si="3"/>
        <v>93.375</v>
      </c>
      <c r="N240" s="10" t="s">
        <v>28</v>
      </c>
      <c r="O240" s="10" t="s">
        <v>29</v>
      </c>
      <c r="P240" s="10" t="s">
        <v>29</v>
      </c>
      <c r="Q240" s="10"/>
      <c r="R240" s="10"/>
      <c r="S240" s="10"/>
      <c r="T240" s="10"/>
      <c r="U240" s="10"/>
      <c r="V240" s="10"/>
      <c r="W240" s="10"/>
      <c r="X240" s="10" t="s">
        <v>30</v>
      </c>
      <c r="Y240" s="11"/>
    </row>
    <row r="241" spans="1:25" s="3" customFormat="1" ht="17.7" customHeight="1" x14ac:dyDescent="0.3">
      <c r="A241" s="21">
        <v>240</v>
      </c>
      <c r="B241" s="21">
        <v>8100158</v>
      </c>
      <c r="C241" s="9" t="s">
        <v>272</v>
      </c>
      <c r="D241" s="9" t="s">
        <v>25</v>
      </c>
      <c r="E241" s="9" t="s">
        <v>35</v>
      </c>
      <c r="F241" s="9">
        <v>246.5</v>
      </c>
      <c r="G241" s="9">
        <v>3</v>
      </c>
      <c r="H241" s="9"/>
      <c r="I241" s="9" t="s">
        <v>116</v>
      </c>
      <c r="J241" s="9"/>
      <c r="K241" s="9"/>
      <c r="L241" s="9"/>
      <c r="M241" s="9">
        <f t="shared" si="3"/>
        <v>204.595</v>
      </c>
      <c r="N241" s="9" t="s">
        <v>28</v>
      </c>
      <c r="O241" s="9" t="s">
        <v>29</v>
      </c>
      <c r="P241" s="9" t="s">
        <v>29</v>
      </c>
      <c r="Q241" s="9"/>
      <c r="R241" s="9"/>
      <c r="S241" s="9"/>
      <c r="T241" s="9"/>
      <c r="U241" s="9"/>
      <c r="V241" s="9"/>
      <c r="W241" s="9"/>
      <c r="X241" s="9" t="s">
        <v>30</v>
      </c>
      <c r="Y241" s="11"/>
    </row>
    <row r="242" spans="1:25" s="3" customFormat="1" ht="17.7" customHeight="1" x14ac:dyDescent="0.3">
      <c r="A242" s="20">
        <v>241</v>
      </c>
      <c r="B242" s="20">
        <v>8100159</v>
      </c>
      <c r="C242" s="10" t="s">
        <v>273</v>
      </c>
      <c r="D242" s="10" t="s">
        <v>25</v>
      </c>
      <c r="E242" s="10" t="s">
        <v>35</v>
      </c>
      <c r="F242" s="10">
        <v>289.5</v>
      </c>
      <c r="G242" s="10">
        <v>3</v>
      </c>
      <c r="H242" s="10"/>
      <c r="I242" s="10" t="s">
        <v>116</v>
      </c>
      <c r="J242" s="10"/>
      <c r="K242" s="10"/>
      <c r="L242" s="10"/>
      <c r="M242" s="10">
        <f t="shared" si="3"/>
        <v>240.285</v>
      </c>
      <c r="N242" s="10" t="s">
        <v>28</v>
      </c>
      <c r="O242" s="10" t="s">
        <v>29</v>
      </c>
      <c r="P242" s="10" t="s">
        <v>29</v>
      </c>
      <c r="Q242" s="10"/>
      <c r="R242" s="10"/>
      <c r="S242" s="10"/>
      <c r="T242" s="10"/>
      <c r="U242" s="10"/>
      <c r="V242" s="10"/>
      <c r="W242" s="10"/>
      <c r="X242" s="10" t="s">
        <v>30</v>
      </c>
      <c r="Y242" s="11"/>
    </row>
    <row r="243" spans="1:25" s="3" customFormat="1" ht="17.7" customHeight="1" x14ac:dyDescent="0.3">
      <c r="A243" s="21">
        <v>242</v>
      </c>
      <c r="B243" s="21">
        <v>8100160</v>
      </c>
      <c r="C243" s="9" t="s">
        <v>274</v>
      </c>
      <c r="D243" s="9" t="s">
        <v>25</v>
      </c>
      <c r="E243" s="9" t="s">
        <v>35</v>
      </c>
      <c r="F243" s="9">
        <v>185.75</v>
      </c>
      <c r="G243" s="9">
        <v>8</v>
      </c>
      <c r="H243" s="9"/>
      <c r="I243" s="9" t="s">
        <v>116</v>
      </c>
      <c r="J243" s="9"/>
      <c r="K243" s="9"/>
      <c r="L243" s="9"/>
      <c r="M243" s="9">
        <f t="shared" si="3"/>
        <v>154.17250000000001</v>
      </c>
      <c r="N243" s="9" t="s">
        <v>28</v>
      </c>
      <c r="O243" s="9" t="s">
        <v>29</v>
      </c>
      <c r="P243" s="9" t="s">
        <v>29</v>
      </c>
      <c r="Q243" s="9"/>
      <c r="R243" s="9"/>
      <c r="S243" s="9"/>
      <c r="T243" s="9"/>
      <c r="U243" s="9"/>
      <c r="V243" s="9"/>
      <c r="W243" s="9"/>
      <c r="X243" s="9" t="s">
        <v>30</v>
      </c>
      <c r="Y243" s="11"/>
    </row>
    <row r="244" spans="1:25" s="3" customFormat="1" ht="17.7" customHeight="1" x14ac:dyDescent="0.3">
      <c r="A244" s="20">
        <v>243</v>
      </c>
      <c r="B244" s="20">
        <v>8100161</v>
      </c>
      <c r="C244" s="10" t="s">
        <v>275</v>
      </c>
      <c r="D244" s="10" t="s">
        <v>25</v>
      </c>
      <c r="E244" s="10" t="s">
        <v>35</v>
      </c>
      <c r="F244" s="10">
        <v>194</v>
      </c>
      <c r="G244" s="10">
        <v>8</v>
      </c>
      <c r="H244" s="10"/>
      <c r="I244" s="10" t="s">
        <v>116</v>
      </c>
      <c r="J244" s="10"/>
      <c r="K244" s="10"/>
      <c r="L244" s="10"/>
      <c r="M244" s="10">
        <f t="shared" si="3"/>
        <v>161.01999999999998</v>
      </c>
      <c r="N244" s="10" t="s">
        <v>28</v>
      </c>
      <c r="O244" s="10" t="s">
        <v>29</v>
      </c>
      <c r="P244" s="10" t="s">
        <v>29</v>
      </c>
      <c r="Q244" s="10"/>
      <c r="R244" s="10"/>
      <c r="S244" s="10"/>
      <c r="T244" s="10"/>
      <c r="U244" s="10"/>
      <c r="V244" s="10"/>
      <c r="W244" s="10"/>
      <c r="X244" s="10" t="s">
        <v>30</v>
      </c>
      <c r="Y244" s="11"/>
    </row>
    <row r="245" spans="1:25" s="3" customFormat="1" ht="17.7" customHeight="1" x14ac:dyDescent="0.3">
      <c r="A245" s="21">
        <v>244</v>
      </c>
      <c r="B245" s="21">
        <v>8100162</v>
      </c>
      <c r="C245" s="9" t="s">
        <v>276</v>
      </c>
      <c r="D245" s="9" t="s">
        <v>25</v>
      </c>
      <c r="E245" s="9" t="s">
        <v>35</v>
      </c>
      <c r="F245" s="9">
        <v>349</v>
      </c>
      <c r="G245" s="9">
        <v>3</v>
      </c>
      <c r="H245" s="9"/>
      <c r="I245" s="9" t="s">
        <v>116</v>
      </c>
      <c r="J245" s="9"/>
      <c r="K245" s="9"/>
      <c r="L245" s="9"/>
      <c r="M245" s="9">
        <f t="shared" si="3"/>
        <v>289.67</v>
      </c>
      <c r="N245" s="9" t="s">
        <v>28</v>
      </c>
      <c r="O245" s="9" t="s">
        <v>29</v>
      </c>
      <c r="P245" s="9" t="s">
        <v>29</v>
      </c>
      <c r="Q245" s="9"/>
      <c r="R245" s="9"/>
      <c r="S245" s="9"/>
      <c r="T245" s="9"/>
      <c r="U245" s="9"/>
      <c r="V245" s="9"/>
      <c r="W245" s="9"/>
      <c r="X245" s="9" t="s">
        <v>30</v>
      </c>
      <c r="Y245" s="11"/>
    </row>
    <row r="246" spans="1:25" s="3" customFormat="1" ht="17.7" customHeight="1" x14ac:dyDescent="0.3">
      <c r="A246" s="20">
        <v>245</v>
      </c>
      <c r="B246" s="20">
        <v>8100163</v>
      </c>
      <c r="C246" s="10" t="s">
        <v>277</v>
      </c>
      <c r="D246" s="10" t="s">
        <v>25</v>
      </c>
      <c r="E246" s="10" t="s">
        <v>35</v>
      </c>
      <c r="F246" s="10">
        <v>432</v>
      </c>
      <c r="G246" s="10">
        <v>3</v>
      </c>
      <c r="H246" s="10"/>
      <c r="I246" s="10" t="s">
        <v>116</v>
      </c>
      <c r="J246" s="10"/>
      <c r="K246" s="10"/>
      <c r="L246" s="10"/>
      <c r="M246" s="10">
        <f t="shared" ref="M246:M299" si="4">F246-F246*17%</f>
        <v>358.56</v>
      </c>
      <c r="N246" s="10" t="s">
        <v>28</v>
      </c>
      <c r="O246" s="10" t="s">
        <v>29</v>
      </c>
      <c r="P246" s="10" t="s">
        <v>29</v>
      </c>
      <c r="Q246" s="10"/>
      <c r="R246" s="10"/>
      <c r="S246" s="10"/>
      <c r="T246" s="10"/>
      <c r="U246" s="10"/>
      <c r="V246" s="10"/>
      <c r="W246" s="10"/>
      <c r="X246" s="10" t="s">
        <v>30</v>
      </c>
      <c r="Y246" s="11"/>
    </row>
    <row r="247" spans="1:25" s="3" customFormat="1" ht="17.7" customHeight="1" x14ac:dyDescent="0.3">
      <c r="A247" s="21">
        <v>246</v>
      </c>
      <c r="B247" s="21">
        <v>8100164</v>
      </c>
      <c r="C247" s="9" t="s">
        <v>278</v>
      </c>
      <c r="D247" s="9" t="s">
        <v>25</v>
      </c>
      <c r="E247" s="9" t="s">
        <v>35</v>
      </c>
      <c r="F247" s="9">
        <v>524</v>
      </c>
      <c r="G247" s="9">
        <v>3</v>
      </c>
      <c r="H247" s="9"/>
      <c r="I247" s="9" t="s">
        <v>116</v>
      </c>
      <c r="J247" s="9"/>
      <c r="K247" s="9"/>
      <c r="L247" s="9"/>
      <c r="M247" s="9">
        <f t="shared" si="4"/>
        <v>434.91999999999996</v>
      </c>
      <c r="N247" s="9" t="s">
        <v>28</v>
      </c>
      <c r="O247" s="9" t="s">
        <v>29</v>
      </c>
      <c r="P247" s="9" t="s">
        <v>29</v>
      </c>
      <c r="Q247" s="9"/>
      <c r="R247" s="9"/>
      <c r="S247" s="9"/>
      <c r="T247" s="9"/>
      <c r="U247" s="9"/>
      <c r="V247" s="9"/>
      <c r="W247" s="9"/>
      <c r="X247" s="9" t="s">
        <v>30</v>
      </c>
      <c r="Y247" s="11"/>
    </row>
    <row r="248" spans="1:25" s="3" customFormat="1" ht="17.7" customHeight="1" x14ac:dyDescent="0.3">
      <c r="A248" s="20">
        <v>247</v>
      </c>
      <c r="B248" s="20">
        <v>8100165</v>
      </c>
      <c r="C248" s="10" t="s">
        <v>279</v>
      </c>
      <c r="D248" s="10" t="s">
        <v>25</v>
      </c>
      <c r="E248" s="10" t="s">
        <v>35</v>
      </c>
      <c r="F248" s="10">
        <v>617.25</v>
      </c>
      <c r="G248" s="10">
        <v>3</v>
      </c>
      <c r="H248" s="10"/>
      <c r="I248" s="10" t="s">
        <v>116</v>
      </c>
      <c r="J248" s="10"/>
      <c r="K248" s="10"/>
      <c r="L248" s="10"/>
      <c r="M248" s="10">
        <f t="shared" si="4"/>
        <v>512.3175</v>
      </c>
      <c r="N248" s="10" t="s">
        <v>28</v>
      </c>
      <c r="O248" s="10" t="s">
        <v>29</v>
      </c>
      <c r="P248" s="10" t="s">
        <v>29</v>
      </c>
      <c r="Q248" s="10"/>
      <c r="R248" s="10"/>
      <c r="S248" s="10"/>
      <c r="T248" s="10"/>
      <c r="U248" s="10"/>
      <c r="V248" s="10"/>
      <c r="W248" s="10"/>
      <c r="X248" s="10" t="s">
        <v>30</v>
      </c>
      <c r="Y248" s="11"/>
    </row>
    <row r="249" spans="1:25" s="3" customFormat="1" ht="17.7" customHeight="1" x14ac:dyDescent="0.3">
      <c r="A249" s="21">
        <v>248</v>
      </c>
      <c r="B249" s="21">
        <v>8100166</v>
      </c>
      <c r="C249" s="9" t="s">
        <v>280</v>
      </c>
      <c r="D249" s="9" t="s">
        <v>25</v>
      </c>
      <c r="E249" s="9" t="s">
        <v>35</v>
      </c>
      <c r="F249" s="9">
        <v>173.25</v>
      </c>
      <c r="G249" s="9">
        <v>8</v>
      </c>
      <c r="H249" s="9"/>
      <c r="I249" s="9" t="s">
        <v>116</v>
      </c>
      <c r="J249" s="9"/>
      <c r="K249" s="9"/>
      <c r="L249" s="9"/>
      <c r="M249" s="9">
        <f t="shared" si="4"/>
        <v>143.79750000000001</v>
      </c>
      <c r="N249" s="9" t="s">
        <v>28</v>
      </c>
      <c r="O249" s="9" t="s">
        <v>29</v>
      </c>
      <c r="P249" s="9" t="s">
        <v>29</v>
      </c>
      <c r="Q249" s="9"/>
      <c r="R249" s="9"/>
      <c r="S249" s="9"/>
      <c r="T249" s="9"/>
      <c r="U249" s="9"/>
      <c r="V249" s="9"/>
      <c r="W249" s="9"/>
      <c r="X249" s="9" t="s">
        <v>30</v>
      </c>
      <c r="Y249" s="11"/>
    </row>
    <row r="250" spans="1:25" s="3" customFormat="1" ht="17.7" customHeight="1" x14ac:dyDescent="0.3">
      <c r="A250" s="20">
        <v>249</v>
      </c>
      <c r="B250" s="20">
        <v>8100167</v>
      </c>
      <c r="C250" s="10" t="s">
        <v>281</v>
      </c>
      <c r="D250" s="10" t="s">
        <v>25</v>
      </c>
      <c r="E250" s="10" t="s">
        <v>35</v>
      </c>
      <c r="F250" s="10">
        <v>183.75</v>
      </c>
      <c r="G250" s="10">
        <v>8</v>
      </c>
      <c r="H250" s="10"/>
      <c r="I250" s="10" t="s">
        <v>116</v>
      </c>
      <c r="J250" s="10"/>
      <c r="K250" s="10"/>
      <c r="L250" s="10"/>
      <c r="M250" s="10">
        <f t="shared" si="4"/>
        <v>152.51249999999999</v>
      </c>
      <c r="N250" s="10" t="s">
        <v>28</v>
      </c>
      <c r="O250" s="10" t="s">
        <v>29</v>
      </c>
      <c r="P250" s="10" t="s">
        <v>29</v>
      </c>
      <c r="Q250" s="10"/>
      <c r="R250" s="10"/>
      <c r="S250" s="10"/>
      <c r="T250" s="10"/>
      <c r="U250" s="10"/>
      <c r="V250" s="10"/>
      <c r="W250" s="10"/>
      <c r="X250" s="10" t="s">
        <v>30</v>
      </c>
      <c r="Y250" s="11"/>
    </row>
    <row r="251" spans="1:25" s="3" customFormat="1" ht="17.7" customHeight="1" x14ac:dyDescent="0.3">
      <c r="A251" s="21">
        <v>250</v>
      </c>
      <c r="B251" s="21">
        <v>8100168</v>
      </c>
      <c r="C251" s="9" t="s">
        <v>282</v>
      </c>
      <c r="D251" s="9" t="s">
        <v>25</v>
      </c>
      <c r="E251" s="9" t="s">
        <v>35</v>
      </c>
      <c r="F251" s="9">
        <v>361</v>
      </c>
      <c r="G251" s="9">
        <v>3</v>
      </c>
      <c r="H251" s="9"/>
      <c r="I251" s="9" t="s">
        <v>116</v>
      </c>
      <c r="J251" s="9"/>
      <c r="K251" s="9"/>
      <c r="L251" s="9"/>
      <c r="M251" s="9">
        <f t="shared" si="4"/>
        <v>299.63</v>
      </c>
      <c r="N251" s="9" t="s">
        <v>28</v>
      </c>
      <c r="O251" s="9" t="s">
        <v>29</v>
      </c>
      <c r="P251" s="9" t="s">
        <v>29</v>
      </c>
      <c r="Q251" s="9"/>
      <c r="R251" s="9"/>
      <c r="S251" s="9"/>
      <c r="T251" s="9"/>
      <c r="U251" s="9"/>
      <c r="V251" s="9"/>
      <c r="W251" s="9"/>
      <c r="X251" s="9" t="s">
        <v>30</v>
      </c>
      <c r="Y251" s="11"/>
    </row>
    <row r="252" spans="1:25" s="3" customFormat="1" ht="17.7" customHeight="1" x14ac:dyDescent="0.3">
      <c r="A252" s="20">
        <v>251</v>
      </c>
      <c r="B252" s="20">
        <v>8100169</v>
      </c>
      <c r="C252" s="10" t="s">
        <v>283</v>
      </c>
      <c r="D252" s="10" t="s">
        <v>25</v>
      </c>
      <c r="E252" s="10" t="s">
        <v>35</v>
      </c>
      <c r="F252" s="10">
        <v>422</v>
      </c>
      <c r="G252" s="10">
        <v>3</v>
      </c>
      <c r="H252" s="10"/>
      <c r="I252" s="10" t="s">
        <v>116</v>
      </c>
      <c r="J252" s="10"/>
      <c r="K252" s="10"/>
      <c r="L252" s="10"/>
      <c r="M252" s="10">
        <f t="shared" si="4"/>
        <v>350.26</v>
      </c>
      <c r="N252" s="10" t="s">
        <v>28</v>
      </c>
      <c r="O252" s="10" t="s">
        <v>29</v>
      </c>
      <c r="P252" s="10" t="s">
        <v>29</v>
      </c>
      <c r="Q252" s="10"/>
      <c r="R252" s="10"/>
      <c r="S252" s="10"/>
      <c r="T252" s="10"/>
      <c r="U252" s="10"/>
      <c r="V252" s="10"/>
      <c r="W252" s="10"/>
      <c r="X252" s="10" t="s">
        <v>30</v>
      </c>
      <c r="Y252" s="11"/>
    </row>
    <row r="253" spans="1:25" s="3" customFormat="1" ht="17.7" customHeight="1" x14ac:dyDescent="0.3">
      <c r="A253" s="21">
        <v>252</v>
      </c>
      <c r="B253" s="21">
        <v>8100170</v>
      </c>
      <c r="C253" s="9" t="s">
        <v>284</v>
      </c>
      <c r="D253" s="9" t="s">
        <v>25</v>
      </c>
      <c r="E253" s="9" t="s">
        <v>35</v>
      </c>
      <c r="F253" s="9">
        <v>463.25</v>
      </c>
      <c r="G253" s="9">
        <v>3</v>
      </c>
      <c r="H253" s="9"/>
      <c r="I253" s="9" t="s">
        <v>116</v>
      </c>
      <c r="J253" s="9"/>
      <c r="K253" s="9"/>
      <c r="L253" s="9"/>
      <c r="M253" s="9">
        <f t="shared" si="4"/>
        <v>384.4975</v>
      </c>
      <c r="N253" s="9" t="s">
        <v>28</v>
      </c>
      <c r="O253" s="9" t="s">
        <v>29</v>
      </c>
      <c r="P253" s="9" t="s">
        <v>29</v>
      </c>
      <c r="Q253" s="9"/>
      <c r="R253" s="9"/>
      <c r="S253" s="9"/>
      <c r="T253" s="9"/>
      <c r="U253" s="9"/>
      <c r="V253" s="9"/>
      <c r="W253" s="9"/>
      <c r="X253" s="9" t="s">
        <v>30</v>
      </c>
      <c r="Y253" s="11"/>
    </row>
    <row r="254" spans="1:25" s="3" customFormat="1" ht="17.7" customHeight="1" x14ac:dyDescent="0.3">
      <c r="A254" s="20">
        <v>253</v>
      </c>
      <c r="B254" s="20">
        <v>8100171</v>
      </c>
      <c r="C254" s="10" t="s">
        <v>285</v>
      </c>
      <c r="D254" s="10" t="s">
        <v>25</v>
      </c>
      <c r="E254" s="10" t="s">
        <v>35</v>
      </c>
      <c r="F254" s="10">
        <v>545</v>
      </c>
      <c r="G254" s="10">
        <v>3</v>
      </c>
      <c r="H254" s="10"/>
      <c r="I254" s="10" t="s">
        <v>116</v>
      </c>
      <c r="J254" s="10"/>
      <c r="K254" s="10"/>
      <c r="L254" s="10"/>
      <c r="M254" s="10">
        <f t="shared" si="4"/>
        <v>452.35</v>
      </c>
      <c r="N254" s="10" t="s">
        <v>28</v>
      </c>
      <c r="O254" s="10" t="s">
        <v>29</v>
      </c>
      <c r="P254" s="10" t="s">
        <v>29</v>
      </c>
      <c r="Q254" s="10"/>
      <c r="R254" s="10"/>
      <c r="S254" s="10"/>
      <c r="T254" s="10"/>
      <c r="U254" s="10"/>
      <c r="V254" s="10"/>
      <c r="W254" s="10"/>
      <c r="X254" s="10" t="s">
        <v>30</v>
      </c>
      <c r="Y254" s="11"/>
    </row>
    <row r="255" spans="1:25" s="3" customFormat="1" ht="17.7" customHeight="1" x14ac:dyDescent="0.3">
      <c r="A255" s="21">
        <v>254</v>
      </c>
      <c r="B255" s="21">
        <v>8100172</v>
      </c>
      <c r="C255" s="9" t="s">
        <v>286</v>
      </c>
      <c r="D255" s="9" t="s">
        <v>25</v>
      </c>
      <c r="E255" s="9" t="s">
        <v>35</v>
      </c>
      <c r="F255" s="9">
        <v>248</v>
      </c>
      <c r="G255" s="9">
        <v>8</v>
      </c>
      <c r="H255" s="9"/>
      <c r="I255" s="9" t="s">
        <v>116</v>
      </c>
      <c r="J255" s="9"/>
      <c r="K255" s="9"/>
      <c r="L255" s="9"/>
      <c r="M255" s="9">
        <f t="shared" si="4"/>
        <v>205.84</v>
      </c>
      <c r="N255" s="9" t="s">
        <v>28</v>
      </c>
      <c r="O255" s="9" t="s">
        <v>29</v>
      </c>
      <c r="P255" s="9" t="s">
        <v>29</v>
      </c>
      <c r="Q255" s="9"/>
      <c r="R255" s="9"/>
      <c r="S255" s="9"/>
      <c r="T255" s="9"/>
      <c r="U255" s="9"/>
      <c r="V255" s="9"/>
      <c r="W255" s="9"/>
      <c r="X255" s="9" t="s">
        <v>30</v>
      </c>
      <c r="Y255" s="11"/>
    </row>
    <row r="256" spans="1:25" s="3" customFormat="1" ht="17.7" customHeight="1" x14ac:dyDescent="0.3">
      <c r="A256" s="20">
        <v>255</v>
      </c>
      <c r="B256" s="20">
        <v>8100173</v>
      </c>
      <c r="C256" s="10" t="s">
        <v>287</v>
      </c>
      <c r="D256" s="10" t="s">
        <v>25</v>
      </c>
      <c r="E256" s="10" t="s">
        <v>35</v>
      </c>
      <c r="F256" s="10">
        <v>212</v>
      </c>
      <c r="G256" s="10">
        <v>8</v>
      </c>
      <c r="H256" s="10"/>
      <c r="I256" s="10" t="s">
        <v>116</v>
      </c>
      <c r="J256" s="10"/>
      <c r="K256" s="10"/>
      <c r="L256" s="10"/>
      <c r="M256" s="10">
        <f t="shared" si="4"/>
        <v>175.96</v>
      </c>
      <c r="N256" s="10" t="s">
        <v>28</v>
      </c>
      <c r="O256" s="10" t="s">
        <v>29</v>
      </c>
      <c r="P256" s="10" t="s">
        <v>29</v>
      </c>
      <c r="Q256" s="10"/>
      <c r="R256" s="10"/>
      <c r="S256" s="10"/>
      <c r="T256" s="10"/>
      <c r="U256" s="10"/>
      <c r="V256" s="10"/>
      <c r="W256" s="10"/>
      <c r="X256" s="10" t="s">
        <v>30</v>
      </c>
      <c r="Y256" s="11"/>
    </row>
    <row r="257" spans="1:25" s="3" customFormat="1" ht="17.7" customHeight="1" x14ac:dyDescent="0.3">
      <c r="A257" s="21">
        <v>256</v>
      </c>
      <c r="B257" s="21">
        <v>8100174</v>
      </c>
      <c r="C257" s="9" t="s">
        <v>288</v>
      </c>
      <c r="D257" s="9" t="s">
        <v>25</v>
      </c>
      <c r="E257" s="9" t="s">
        <v>35</v>
      </c>
      <c r="F257" s="9">
        <v>439</v>
      </c>
      <c r="G257" s="9">
        <v>8</v>
      </c>
      <c r="H257" s="9"/>
      <c r="I257" s="9" t="s">
        <v>116</v>
      </c>
      <c r="J257" s="9"/>
      <c r="K257" s="9"/>
      <c r="L257" s="9"/>
      <c r="M257" s="9">
        <f t="shared" si="4"/>
        <v>364.37</v>
      </c>
      <c r="N257" s="9" t="s">
        <v>28</v>
      </c>
      <c r="O257" s="9" t="s">
        <v>29</v>
      </c>
      <c r="P257" s="9" t="s">
        <v>29</v>
      </c>
      <c r="Q257" s="9"/>
      <c r="R257" s="9"/>
      <c r="S257" s="9"/>
      <c r="T257" s="9"/>
      <c r="U257" s="9"/>
      <c r="V257" s="9"/>
      <c r="W257" s="9"/>
      <c r="X257" s="9" t="s">
        <v>30</v>
      </c>
      <c r="Y257" s="11"/>
    </row>
    <row r="258" spans="1:25" s="3" customFormat="1" ht="17.7" customHeight="1" x14ac:dyDescent="0.3">
      <c r="A258" s="20">
        <v>257</v>
      </c>
      <c r="B258" s="20">
        <v>8100175</v>
      </c>
      <c r="C258" s="10" t="s">
        <v>289</v>
      </c>
      <c r="D258" s="10" t="s">
        <v>25</v>
      </c>
      <c r="E258" s="10" t="s">
        <v>35</v>
      </c>
      <c r="F258" s="10">
        <v>439</v>
      </c>
      <c r="G258" s="10">
        <v>8</v>
      </c>
      <c r="H258" s="10"/>
      <c r="I258" s="10" t="s">
        <v>116</v>
      </c>
      <c r="J258" s="10"/>
      <c r="K258" s="10"/>
      <c r="L258" s="10"/>
      <c r="M258" s="10">
        <f t="shared" si="4"/>
        <v>364.37</v>
      </c>
      <c r="N258" s="10" t="s">
        <v>28</v>
      </c>
      <c r="O258" s="10" t="s">
        <v>29</v>
      </c>
      <c r="P258" s="10" t="s">
        <v>29</v>
      </c>
      <c r="Q258" s="10"/>
      <c r="R258" s="10"/>
      <c r="S258" s="10"/>
      <c r="T258" s="10"/>
      <c r="U258" s="10"/>
      <c r="V258" s="10"/>
      <c r="W258" s="10"/>
      <c r="X258" s="10" t="s">
        <v>30</v>
      </c>
      <c r="Y258" s="11"/>
    </row>
    <row r="259" spans="1:25" s="3" customFormat="1" ht="17.7" customHeight="1" x14ac:dyDescent="0.3">
      <c r="A259" s="21">
        <v>258</v>
      </c>
      <c r="B259" s="21">
        <v>8100176</v>
      </c>
      <c r="C259" s="9" t="s">
        <v>290</v>
      </c>
      <c r="D259" s="9" t="s">
        <v>25</v>
      </c>
      <c r="E259" s="9" t="s">
        <v>35</v>
      </c>
      <c r="F259" s="9">
        <v>195</v>
      </c>
      <c r="G259" s="9">
        <v>3</v>
      </c>
      <c r="H259" s="9"/>
      <c r="I259" s="9" t="s">
        <v>116</v>
      </c>
      <c r="J259" s="9"/>
      <c r="K259" s="9"/>
      <c r="L259" s="9"/>
      <c r="M259" s="9">
        <f t="shared" si="4"/>
        <v>161.85</v>
      </c>
      <c r="N259" s="9" t="s">
        <v>28</v>
      </c>
      <c r="O259" s="9" t="s">
        <v>29</v>
      </c>
      <c r="P259" s="9" t="s">
        <v>29</v>
      </c>
      <c r="Q259" s="9"/>
      <c r="R259" s="9"/>
      <c r="S259" s="9"/>
      <c r="T259" s="9"/>
      <c r="U259" s="9"/>
      <c r="V259" s="9"/>
      <c r="W259" s="9"/>
      <c r="X259" s="9" t="s">
        <v>30</v>
      </c>
      <c r="Y259" s="11"/>
    </row>
    <row r="260" spans="1:25" s="3" customFormat="1" ht="17.7" customHeight="1" x14ac:dyDescent="0.3">
      <c r="A260" s="20">
        <v>259</v>
      </c>
      <c r="B260" s="20">
        <v>8100177</v>
      </c>
      <c r="C260" s="10" t="s">
        <v>291</v>
      </c>
      <c r="D260" s="10" t="s">
        <v>25</v>
      </c>
      <c r="E260" s="10" t="s">
        <v>35</v>
      </c>
      <c r="F260" s="10">
        <v>245.75</v>
      </c>
      <c r="G260" s="10">
        <v>3</v>
      </c>
      <c r="H260" s="10"/>
      <c r="I260" s="10" t="s">
        <v>116</v>
      </c>
      <c r="J260" s="10"/>
      <c r="K260" s="10"/>
      <c r="L260" s="10"/>
      <c r="M260" s="10">
        <f t="shared" si="4"/>
        <v>203.9725</v>
      </c>
      <c r="N260" s="10" t="s">
        <v>28</v>
      </c>
      <c r="O260" s="10" t="s">
        <v>29</v>
      </c>
      <c r="P260" s="10" t="s">
        <v>29</v>
      </c>
      <c r="Q260" s="10"/>
      <c r="R260" s="10"/>
      <c r="S260" s="10"/>
      <c r="T260" s="10"/>
      <c r="U260" s="10"/>
      <c r="V260" s="10"/>
      <c r="W260" s="10"/>
      <c r="X260" s="10" t="s">
        <v>30</v>
      </c>
      <c r="Y260" s="11"/>
    </row>
    <row r="261" spans="1:25" s="3" customFormat="1" ht="17.7" customHeight="1" x14ac:dyDescent="0.3">
      <c r="A261" s="21">
        <v>260</v>
      </c>
      <c r="B261" s="21">
        <v>8100178</v>
      </c>
      <c r="C261" s="9" t="s">
        <v>292</v>
      </c>
      <c r="D261" s="9" t="s">
        <v>25</v>
      </c>
      <c r="E261" s="9" t="s">
        <v>35</v>
      </c>
      <c r="F261" s="9">
        <v>255.25</v>
      </c>
      <c r="G261" s="9">
        <v>3</v>
      </c>
      <c r="H261" s="9"/>
      <c r="I261" s="9" t="s">
        <v>116</v>
      </c>
      <c r="J261" s="9"/>
      <c r="K261" s="9"/>
      <c r="L261" s="9"/>
      <c r="M261" s="9">
        <f t="shared" si="4"/>
        <v>211.85749999999999</v>
      </c>
      <c r="N261" s="9" t="s">
        <v>28</v>
      </c>
      <c r="O261" s="9" t="s">
        <v>29</v>
      </c>
      <c r="P261" s="9" t="s">
        <v>29</v>
      </c>
      <c r="Q261" s="9"/>
      <c r="R261" s="9"/>
      <c r="S261" s="9"/>
      <c r="T261" s="9"/>
      <c r="U261" s="9"/>
      <c r="V261" s="9"/>
      <c r="W261" s="9"/>
      <c r="X261" s="9" t="s">
        <v>30</v>
      </c>
      <c r="Y261" s="11"/>
    </row>
    <row r="262" spans="1:25" s="3" customFormat="1" ht="17.7" customHeight="1" x14ac:dyDescent="0.3">
      <c r="A262" s="20">
        <v>261</v>
      </c>
      <c r="B262" s="20">
        <v>8100179</v>
      </c>
      <c r="C262" s="10" t="s">
        <v>293</v>
      </c>
      <c r="D262" s="10" t="s">
        <v>25</v>
      </c>
      <c r="E262" s="10" t="s">
        <v>35</v>
      </c>
      <c r="F262" s="10">
        <v>274.25</v>
      </c>
      <c r="G262" s="10">
        <v>5</v>
      </c>
      <c r="H262" s="10"/>
      <c r="I262" s="10" t="s">
        <v>116</v>
      </c>
      <c r="J262" s="10"/>
      <c r="K262" s="10"/>
      <c r="L262" s="10"/>
      <c r="M262" s="10">
        <f t="shared" si="4"/>
        <v>227.6275</v>
      </c>
      <c r="N262" s="10" t="s">
        <v>28</v>
      </c>
      <c r="O262" s="10" t="s">
        <v>29</v>
      </c>
      <c r="P262" s="10" t="s">
        <v>29</v>
      </c>
      <c r="Q262" s="10"/>
      <c r="R262" s="10"/>
      <c r="S262" s="10"/>
      <c r="T262" s="10"/>
      <c r="U262" s="10"/>
      <c r="V262" s="10"/>
      <c r="W262" s="10"/>
      <c r="X262" s="10" t="s">
        <v>30</v>
      </c>
      <c r="Y262" s="11"/>
    </row>
    <row r="263" spans="1:25" s="3" customFormat="1" ht="17.7" customHeight="1" x14ac:dyDescent="0.3">
      <c r="A263" s="21">
        <v>262</v>
      </c>
      <c r="B263" s="21">
        <v>8100180</v>
      </c>
      <c r="C263" s="9" t="s">
        <v>294</v>
      </c>
      <c r="D263" s="9" t="s">
        <v>25</v>
      </c>
      <c r="E263" s="9" t="s">
        <v>35</v>
      </c>
      <c r="F263" s="9">
        <v>187</v>
      </c>
      <c r="G263" s="9">
        <v>2</v>
      </c>
      <c r="H263" s="9"/>
      <c r="I263" s="9" t="s">
        <v>116</v>
      </c>
      <c r="J263" s="9"/>
      <c r="K263" s="9"/>
      <c r="L263" s="9"/>
      <c r="M263" s="9">
        <f t="shared" si="4"/>
        <v>155.21</v>
      </c>
      <c r="N263" s="9" t="s">
        <v>28</v>
      </c>
      <c r="O263" s="9" t="s">
        <v>29</v>
      </c>
      <c r="P263" s="9" t="s">
        <v>29</v>
      </c>
      <c r="Q263" s="9"/>
      <c r="R263" s="9"/>
      <c r="S263" s="9"/>
      <c r="T263" s="9"/>
      <c r="U263" s="9"/>
      <c r="V263" s="9"/>
      <c r="W263" s="9"/>
      <c r="X263" s="9" t="s">
        <v>30</v>
      </c>
      <c r="Y263" s="11"/>
    </row>
    <row r="264" spans="1:25" s="3" customFormat="1" ht="17.7" customHeight="1" x14ac:dyDescent="0.3">
      <c r="A264" s="20">
        <v>263</v>
      </c>
      <c r="B264" s="20">
        <v>8100181</v>
      </c>
      <c r="C264" s="10" t="s">
        <v>295</v>
      </c>
      <c r="D264" s="10" t="s">
        <v>25</v>
      </c>
      <c r="E264" s="10" t="s">
        <v>35</v>
      </c>
      <c r="F264" s="10">
        <v>249.5</v>
      </c>
      <c r="G264" s="10">
        <v>2</v>
      </c>
      <c r="H264" s="10"/>
      <c r="I264" s="10" t="s">
        <v>116</v>
      </c>
      <c r="J264" s="10"/>
      <c r="K264" s="10"/>
      <c r="L264" s="10"/>
      <c r="M264" s="10">
        <f t="shared" si="4"/>
        <v>207.08499999999998</v>
      </c>
      <c r="N264" s="10" t="s">
        <v>28</v>
      </c>
      <c r="O264" s="10" t="s">
        <v>29</v>
      </c>
      <c r="P264" s="10" t="s">
        <v>29</v>
      </c>
      <c r="Q264" s="10"/>
      <c r="R264" s="10"/>
      <c r="S264" s="10"/>
      <c r="T264" s="10"/>
      <c r="U264" s="10"/>
      <c r="V264" s="10"/>
      <c r="W264" s="10"/>
      <c r="X264" s="10" t="s">
        <v>30</v>
      </c>
      <c r="Y264" s="11"/>
    </row>
    <row r="265" spans="1:25" s="3" customFormat="1" ht="17.7" customHeight="1" x14ac:dyDescent="0.3">
      <c r="A265" s="21">
        <v>264</v>
      </c>
      <c r="B265" s="21">
        <v>8200001</v>
      </c>
      <c r="C265" s="9" t="s">
        <v>296</v>
      </c>
      <c r="D265" s="9" t="s">
        <v>25</v>
      </c>
      <c r="E265" s="9" t="s">
        <v>35</v>
      </c>
      <c r="F265" s="9">
        <v>56.5</v>
      </c>
      <c r="G265" s="9">
        <v>10</v>
      </c>
      <c r="H265" s="9"/>
      <c r="I265" s="9" t="s">
        <v>297</v>
      </c>
      <c r="J265" s="9"/>
      <c r="K265" s="9"/>
      <c r="L265" s="9"/>
      <c r="M265" s="9">
        <f t="shared" si="4"/>
        <v>46.894999999999996</v>
      </c>
      <c r="N265" s="9" t="s">
        <v>28</v>
      </c>
      <c r="O265" s="9" t="s">
        <v>29</v>
      </c>
      <c r="P265" s="9" t="s">
        <v>29</v>
      </c>
      <c r="Q265" s="9"/>
      <c r="R265" s="9"/>
      <c r="S265" s="9"/>
      <c r="T265" s="9"/>
      <c r="U265" s="9"/>
      <c r="V265" s="9"/>
      <c r="W265" s="9"/>
      <c r="X265" s="9" t="s">
        <v>30</v>
      </c>
      <c r="Y265" s="11"/>
    </row>
    <row r="266" spans="1:25" s="3" customFormat="1" ht="17.7" customHeight="1" x14ac:dyDescent="0.3">
      <c r="A266" s="20">
        <v>265</v>
      </c>
      <c r="B266" s="20">
        <v>8200002</v>
      </c>
      <c r="C266" s="10" t="s">
        <v>298</v>
      </c>
      <c r="D266" s="10" t="s">
        <v>25</v>
      </c>
      <c r="E266" s="10" t="s">
        <v>35</v>
      </c>
      <c r="F266" s="10">
        <v>35.75</v>
      </c>
      <c r="G266" s="10">
        <v>10</v>
      </c>
      <c r="H266" s="10"/>
      <c r="I266" s="10" t="s">
        <v>297</v>
      </c>
      <c r="J266" s="10"/>
      <c r="K266" s="10"/>
      <c r="L266" s="10"/>
      <c r="M266" s="10">
        <f t="shared" si="4"/>
        <v>29.672499999999999</v>
      </c>
      <c r="N266" s="10" t="s">
        <v>28</v>
      </c>
      <c r="O266" s="10" t="s">
        <v>29</v>
      </c>
      <c r="P266" s="10" t="s">
        <v>29</v>
      </c>
      <c r="Q266" s="10"/>
      <c r="R266" s="10"/>
      <c r="S266" s="10"/>
      <c r="T266" s="10"/>
      <c r="U266" s="10"/>
      <c r="V266" s="10"/>
      <c r="W266" s="10"/>
      <c r="X266" s="10" t="s">
        <v>30</v>
      </c>
      <c r="Y266" s="11"/>
    </row>
    <row r="267" spans="1:25" s="3" customFormat="1" ht="17.7" customHeight="1" x14ac:dyDescent="0.3">
      <c r="A267" s="21">
        <v>266</v>
      </c>
      <c r="B267" s="21">
        <v>8200003</v>
      </c>
      <c r="C267" s="9" t="s">
        <v>299</v>
      </c>
      <c r="D267" s="9" t="s">
        <v>25</v>
      </c>
      <c r="E267" s="9" t="s">
        <v>35</v>
      </c>
      <c r="F267" s="9">
        <v>39.25</v>
      </c>
      <c r="G267" s="9">
        <v>10</v>
      </c>
      <c r="H267" s="9"/>
      <c r="I267" s="9" t="s">
        <v>297</v>
      </c>
      <c r="J267" s="9"/>
      <c r="K267" s="9"/>
      <c r="L267" s="9"/>
      <c r="M267" s="9">
        <f t="shared" si="4"/>
        <v>32.577500000000001</v>
      </c>
      <c r="N267" s="9" t="s">
        <v>28</v>
      </c>
      <c r="O267" s="9" t="s">
        <v>29</v>
      </c>
      <c r="P267" s="9" t="s">
        <v>29</v>
      </c>
      <c r="Q267" s="9"/>
      <c r="R267" s="9"/>
      <c r="S267" s="9"/>
      <c r="T267" s="9"/>
      <c r="U267" s="9"/>
      <c r="V267" s="9"/>
      <c r="W267" s="9"/>
      <c r="X267" s="9" t="s">
        <v>30</v>
      </c>
      <c r="Y267" s="11"/>
    </row>
    <row r="268" spans="1:25" s="3" customFormat="1" ht="17.7" customHeight="1" x14ac:dyDescent="0.3">
      <c r="A268" s="20">
        <v>267</v>
      </c>
      <c r="B268" s="20">
        <v>8200004</v>
      </c>
      <c r="C268" s="10" t="s">
        <v>300</v>
      </c>
      <c r="D268" s="10" t="s">
        <v>25</v>
      </c>
      <c r="E268" s="10" t="s">
        <v>35</v>
      </c>
      <c r="F268" s="10">
        <v>96.5</v>
      </c>
      <c r="G268" s="10">
        <v>10</v>
      </c>
      <c r="H268" s="10"/>
      <c r="I268" s="10" t="s">
        <v>297</v>
      </c>
      <c r="J268" s="10"/>
      <c r="K268" s="10"/>
      <c r="L268" s="10"/>
      <c r="M268" s="10">
        <f t="shared" si="4"/>
        <v>80.094999999999999</v>
      </c>
      <c r="N268" s="10" t="s">
        <v>28</v>
      </c>
      <c r="O268" s="10" t="s">
        <v>29</v>
      </c>
      <c r="P268" s="10" t="s">
        <v>29</v>
      </c>
      <c r="Q268" s="10"/>
      <c r="R268" s="10"/>
      <c r="S268" s="10"/>
      <c r="T268" s="10"/>
      <c r="U268" s="10"/>
      <c r="V268" s="10"/>
      <c r="W268" s="10"/>
      <c r="X268" s="10" t="s">
        <v>30</v>
      </c>
      <c r="Y268" s="11"/>
    </row>
    <row r="269" spans="1:25" s="3" customFormat="1" ht="17.7" customHeight="1" x14ac:dyDescent="0.3">
      <c r="A269" s="21">
        <v>268</v>
      </c>
      <c r="B269" s="21">
        <v>8200005</v>
      </c>
      <c r="C269" s="9" t="s">
        <v>301</v>
      </c>
      <c r="D269" s="9" t="s">
        <v>25</v>
      </c>
      <c r="E269" s="9" t="s">
        <v>35</v>
      </c>
      <c r="F269" s="9">
        <v>131.5</v>
      </c>
      <c r="G269" s="9">
        <v>10</v>
      </c>
      <c r="H269" s="9"/>
      <c r="I269" s="9" t="s">
        <v>297</v>
      </c>
      <c r="J269" s="9"/>
      <c r="K269" s="9"/>
      <c r="L269" s="9"/>
      <c r="M269" s="9">
        <f t="shared" si="4"/>
        <v>109.145</v>
      </c>
      <c r="N269" s="9" t="s">
        <v>28</v>
      </c>
      <c r="O269" s="9" t="s">
        <v>29</v>
      </c>
      <c r="P269" s="9" t="s">
        <v>29</v>
      </c>
      <c r="Q269" s="9"/>
      <c r="R269" s="9"/>
      <c r="S269" s="9"/>
      <c r="T269" s="9"/>
      <c r="U269" s="9"/>
      <c r="V269" s="9"/>
      <c r="W269" s="9"/>
      <c r="X269" s="9" t="s">
        <v>30</v>
      </c>
      <c r="Y269" s="11"/>
    </row>
    <row r="270" spans="1:25" s="3" customFormat="1" ht="17.7" customHeight="1" x14ac:dyDescent="0.3">
      <c r="A270" s="20">
        <v>269</v>
      </c>
      <c r="B270" s="20">
        <v>8200006</v>
      </c>
      <c r="C270" s="10" t="s">
        <v>302</v>
      </c>
      <c r="D270" s="10" t="s">
        <v>25</v>
      </c>
      <c r="E270" s="10" t="s">
        <v>35</v>
      </c>
      <c r="F270" s="10">
        <v>268.25</v>
      </c>
      <c r="G270" s="10">
        <v>5</v>
      </c>
      <c r="H270" s="10"/>
      <c r="I270" s="10" t="s">
        <v>297</v>
      </c>
      <c r="J270" s="10"/>
      <c r="K270" s="10"/>
      <c r="L270" s="10"/>
      <c r="M270" s="10">
        <f t="shared" si="4"/>
        <v>222.64749999999998</v>
      </c>
      <c r="N270" s="10" t="s">
        <v>28</v>
      </c>
      <c r="O270" s="10" t="s">
        <v>29</v>
      </c>
      <c r="P270" s="10" t="s">
        <v>29</v>
      </c>
      <c r="Q270" s="10"/>
      <c r="R270" s="10"/>
      <c r="S270" s="10"/>
      <c r="T270" s="10"/>
      <c r="U270" s="10"/>
      <c r="V270" s="10"/>
      <c r="W270" s="10"/>
      <c r="X270" s="10" t="s">
        <v>30</v>
      </c>
      <c r="Y270" s="11"/>
    </row>
    <row r="271" spans="1:25" s="3" customFormat="1" ht="17.7" customHeight="1" x14ac:dyDescent="0.3">
      <c r="A271" s="21">
        <v>270</v>
      </c>
      <c r="B271" s="21">
        <v>8200007</v>
      </c>
      <c r="C271" s="9" t="s">
        <v>303</v>
      </c>
      <c r="D271" s="9" t="s">
        <v>25</v>
      </c>
      <c r="E271" s="9" t="s">
        <v>35</v>
      </c>
      <c r="F271" s="9">
        <v>15.25</v>
      </c>
      <c r="G271" s="9">
        <v>10</v>
      </c>
      <c r="H271" s="9"/>
      <c r="I271" s="9" t="s">
        <v>297</v>
      </c>
      <c r="J271" s="9"/>
      <c r="K271" s="9"/>
      <c r="L271" s="9"/>
      <c r="M271" s="9">
        <f t="shared" si="4"/>
        <v>12.657499999999999</v>
      </c>
      <c r="N271" s="9" t="s">
        <v>28</v>
      </c>
      <c r="O271" s="9" t="s">
        <v>29</v>
      </c>
      <c r="P271" s="9" t="s">
        <v>29</v>
      </c>
      <c r="Q271" s="9"/>
      <c r="R271" s="9"/>
      <c r="S271" s="9"/>
      <c r="T271" s="9"/>
      <c r="U271" s="9"/>
      <c r="V271" s="9"/>
      <c r="W271" s="9"/>
      <c r="X271" s="9" t="s">
        <v>30</v>
      </c>
      <c r="Y271" s="11"/>
    </row>
    <row r="272" spans="1:25" s="3" customFormat="1" ht="17.7" customHeight="1" x14ac:dyDescent="0.3">
      <c r="A272" s="20">
        <v>271</v>
      </c>
      <c r="B272" s="20">
        <v>8200008</v>
      </c>
      <c r="C272" s="10" t="s">
        <v>304</v>
      </c>
      <c r="D272" s="10" t="s">
        <v>25</v>
      </c>
      <c r="E272" s="10" t="s">
        <v>35</v>
      </c>
      <c r="F272" s="10">
        <v>18.25</v>
      </c>
      <c r="G272" s="10">
        <v>10</v>
      </c>
      <c r="H272" s="10"/>
      <c r="I272" s="10" t="s">
        <v>297</v>
      </c>
      <c r="J272" s="10"/>
      <c r="K272" s="10"/>
      <c r="L272" s="10"/>
      <c r="M272" s="10">
        <f t="shared" si="4"/>
        <v>15.147500000000001</v>
      </c>
      <c r="N272" s="10" t="s">
        <v>28</v>
      </c>
      <c r="O272" s="10" t="s">
        <v>29</v>
      </c>
      <c r="P272" s="10" t="s">
        <v>29</v>
      </c>
      <c r="Q272" s="10"/>
      <c r="R272" s="10"/>
      <c r="S272" s="10"/>
      <c r="T272" s="10"/>
      <c r="U272" s="10"/>
      <c r="V272" s="10"/>
      <c r="W272" s="10"/>
      <c r="X272" s="10" t="s">
        <v>30</v>
      </c>
      <c r="Y272" s="11"/>
    </row>
    <row r="273" spans="1:25" s="3" customFormat="1" ht="17.7" customHeight="1" x14ac:dyDescent="0.3">
      <c r="A273" s="21">
        <v>272</v>
      </c>
      <c r="B273" s="21">
        <v>8200009</v>
      </c>
      <c r="C273" s="9" t="s">
        <v>305</v>
      </c>
      <c r="D273" s="9" t="s">
        <v>25</v>
      </c>
      <c r="E273" s="9" t="s">
        <v>35</v>
      </c>
      <c r="F273" s="9">
        <v>18.75</v>
      </c>
      <c r="G273" s="9">
        <v>10</v>
      </c>
      <c r="H273" s="9"/>
      <c r="I273" s="9" t="s">
        <v>297</v>
      </c>
      <c r="J273" s="9"/>
      <c r="K273" s="9"/>
      <c r="L273" s="9"/>
      <c r="M273" s="9">
        <f t="shared" si="4"/>
        <v>15.5625</v>
      </c>
      <c r="N273" s="9" t="s">
        <v>28</v>
      </c>
      <c r="O273" s="9" t="s">
        <v>29</v>
      </c>
      <c r="P273" s="9" t="s">
        <v>29</v>
      </c>
      <c r="Q273" s="9"/>
      <c r="R273" s="9"/>
      <c r="S273" s="9"/>
      <c r="T273" s="9"/>
      <c r="U273" s="9"/>
      <c r="V273" s="9"/>
      <c r="W273" s="9"/>
      <c r="X273" s="9" t="s">
        <v>30</v>
      </c>
      <c r="Y273" s="11"/>
    </row>
    <row r="274" spans="1:25" s="3" customFormat="1" ht="17.7" customHeight="1" x14ac:dyDescent="0.3">
      <c r="A274" s="20">
        <v>273</v>
      </c>
      <c r="B274" s="20">
        <v>8200010</v>
      </c>
      <c r="C274" s="10" t="s">
        <v>306</v>
      </c>
      <c r="D274" s="10" t="s">
        <v>25</v>
      </c>
      <c r="E274" s="10" t="s">
        <v>35</v>
      </c>
      <c r="F274" s="10">
        <v>28.5</v>
      </c>
      <c r="G274" s="10">
        <v>10</v>
      </c>
      <c r="H274" s="10"/>
      <c r="I274" s="10" t="s">
        <v>297</v>
      </c>
      <c r="J274" s="10"/>
      <c r="K274" s="10"/>
      <c r="L274" s="10"/>
      <c r="M274" s="10">
        <f t="shared" si="4"/>
        <v>23.655000000000001</v>
      </c>
      <c r="N274" s="10" t="s">
        <v>28</v>
      </c>
      <c r="O274" s="10" t="s">
        <v>29</v>
      </c>
      <c r="P274" s="10" t="s">
        <v>29</v>
      </c>
      <c r="Q274" s="10"/>
      <c r="R274" s="10"/>
      <c r="S274" s="10"/>
      <c r="T274" s="10"/>
      <c r="U274" s="10"/>
      <c r="V274" s="10"/>
      <c r="W274" s="10"/>
      <c r="X274" s="10" t="s">
        <v>30</v>
      </c>
      <c r="Y274" s="11"/>
    </row>
    <row r="275" spans="1:25" s="3" customFormat="1" ht="17.7" customHeight="1" x14ac:dyDescent="0.3">
      <c r="A275" s="21">
        <v>274</v>
      </c>
      <c r="B275" s="21">
        <v>8200011</v>
      </c>
      <c r="C275" s="9" t="s">
        <v>307</v>
      </c>
      <c r="D275" s="9" t="s">
        <v>25</v>
      </c>
      <c r="E275" s="9" t="s">
        <v>35</v>
      </c>
      <c r="F275" s="9">
        <v>45.75</v>
      </c>
      <c r="G275" s="9">
        <v>10</v>
      </c>
      <c r="H275" s="9"/>
      <c r="I275" s="9" t="s">
        <v>297</v>
      </c>
      <c r="J275" s="9"/>
      <c r="K275" s="9"/>
      <c r="L275" s="9"/>
      <c r="M275" s="9">
        <f t="shared" si="4"/>
        <v>37.972499999999997</v>
      </c>
      <c r="N275" s="9" t="s">
        <v>28</v>
      </c>
      <c r="O275" s="9" t="s">
        <v>29</v>
      </c>
      <c r="P275" s="9" t="s">
        <v>29</v>
      </c>
      <c r="Q275" s="9"/>
      <c r="R275" s="9"/>
      <c r="S275" s="9"/>
      <c r="T275" s="9"/>
      <c r="U275" s="9"/>
      <c r="V275" s="9"/>
      <c r="W275" s="9"/>
      <c r="X275" s="9" t="s">
        <v>30</v>
      </c>
      <c r="Y275" s="11"/>
    </row>
    <row r="276" spans="1:25" s="3" customFormat="1" ht="17.7" customHeight="1" x14ac:dyDescent="0.3">
      <c r="A276" s="20">
        <v>275</v>
      </c>
      <c r="B276" s="20">
        <v>8200012</v>
      </c>
      <c r="C276" s="10" t="s">
        <v>308</v>
      </c>
      <c r="D276" s="10" t="s">
        <v>25</v>
      </c>
      <c r="E276" s="10" t="s">
        <v>35</v>
      </c>
      <c r="F276" s="10">
        <v>79.75</v>
      </c>
      <c r="G276" s="10">
        <v>10</v>
      </c>
      <c r="H276" s="10"/>
      <c r="I276" s="10" t="s">
        <v>297</v>
      </c>
      <c r="J276" s="10"/>
      <c r="K276" s="10"/>
      <c r="L276" s="10"/>
      <c r="M276" s="10">
        <f t="shared" si="4"/>
        <v>66.192499999999995</v>
      </c>
      <c r="N276" s="10" t="s">
        <v>28</v>
      </c>
      <c r="O276" s="10" t="s">
        <v>29</v>
      </c>
      <c r="P276" s="10" t="s">
        <v>29</v>
      </c>
      <c r="Q276" s="10"/>
      <c r="R276" s="10"/>
      <c r="S276" s="10"/>
      <c r="T276" s="10"/>
      <c r="U276" s="10"/>
      <c r="V276" s="10"/>
      <c r="W276" s="10"/>
      <c r="X276" s="10" t="s">
        <v>30</v>
      </c>
      <c r="Y276" s="11"/>
    </row>
    <row r="277" spans="1:25" s="3" customFormat="1" ht="17.7" customHeight="1" x14ac:dyDescent="0.3">
      <c r="A277" s="21">
        <v>276</v>
      </c>
      <c r="B277" s="21">
        <v>8200013</v>
      </c>
      <c r="C277" s="9" t="s">
        <v>309</v>
      </c>
      <c r="D277" s="9" t="s">
        <v>25</v>
      </c>
      <c r="E277" s="9" t="s">
        <v>35</v>
      </c>
      <c r="F277" s="9">
        <v>150.5</v>
      </c>
      <c r="G277" s="9">
        <v>8</v>
      </c>
      <c r="H277" s="9"/>
      <c r="I277" s="9" t="s">
        <v>297</v>
      </c>
      <c r="J277" s="9"/>
      <c r="K277" s="9"/>
      <c r="L277" s="9"/>
      <c r="M277" s="9">
        <f t="shared" si="4"/>
        <v>124.91499999999999</v>
      </c>
      <c r="N277" s="9" t="s">
        <v>28</v>
      </c>
      <c r="O277" s="9" t="s">
        <v>29</v>
      </c>
      <c r="P277" s="9" t="s">
        <v>29</v>
      </c>
      <c r="Q277" s="9"/>
      <c r="R277" s="9"/>
      <c r="S277" s="9"/>
      <c r="T277" s="9"/>
      <c r="U277" s="9"/>
      <c r="V277" s="9"/>
      <c r="W277" s="9"/>
      <c r="X277" s="9" t="s">
        <v>30</v>
      </c>
      <c r="Y277" s="11"/>
    </row>
    <row r="278" spans="1:25" s="3" customFormat="1" ht="17.7" customHeight="1" x14ac:dyDescent="0.3">
      <c r="A278" s="20">
        <v>277</v>
      </c>
      <c r="B278" s="20">
        <v>8200014</v>
      </c>
      <c r="C278" s="10" t="s">
        <v>310</v>
      </c>
      <c r="D278" s="10" t="s">
        <v>25</v>
      </c>
      <c r="E278" s="10" t="s">
        <v>35</v>
      </c>
      <c r="F278" s="10">
        <v>377.75</v>
      </c>
      <c r="G278" s="10">
        <v>3</v>
      </c>
      <c r="H278" s="10"/>
      <c r="I278" s="10" t="s">
        <v>297</v>
      </c>
      <c r="J278" s="10"/>
      <c r="K278" s="10"/>
      <c r="L278" s="10"/>
      <c r="M278" s="10">
        <f t="shared" si="4"/>
        <v>313.53250000000003</v>
      </c>
      <c r="N278" s="10" t="s">
        <v>28</v>
      </c>
      <c r="O278" s="10" t="s">
        <v>29</v>
      </c>
      <c r="P278" s="10" t="s">
        <v>29</v>
      </c>
      <c r="Q278" s="10"/>
      <c r="R278" s="10"/>
      <c r="S278" s="10"/>
      <c r="T278" s="10"/>
      <c r="U278" s="10"/>
      <c r="V278" s="10"/>
      <c r="W278" s="10"/>
      <c r="X278" s="10" t="s">
        <v>30</v>
      </c>
      <c r="Y278" s="11"/>
    </row>
    <row r="279" spans="1:25" s="3" customFormat="1" ht="17.7" customHeight="1" x14ac:dyDescent="0.3">
      <c r="A279" s="21">
        <v>278</v>
      </c>
      <c r="B279" s="21">
        <v>8200015</v>
      </c>
      <c r="C279" s="9" t="s">
        <v>311</v>
      </c>
      <c r="D279" s="9" t="s">
        <v>25</v>
      </c>
      <c r="E279" s="9" t="s">
        <v>35</v>
      </c>
      <c r="F279" s="9">
        <v>15.75</v>
      </c>
      <c r="G279" s="9">
        <v>10</v>
      </c>
      <c r="H279" s="9"/>
      <c r="I279" s="9" t="s">
        <v>297</v>
      </c>
      <c r="J279" s="9"/>
      <c r="K279" s="9"/>
      <c r="L279" s="9"/>
      <c r="M279" s="9">
        <f t="shared" si="4"/>
        <v>13.0725</v>
      </c>
      <c r="N279" s="9" t="s">
        <v>28</v>
      </c>
      <c r="O279" s="9" t="s">
        <v>29</v>
      </c>
      <c r="P279" s="9" t="s">
        <v>29</v>
      </c>
      <c r="Q279" s="9"/>
      <c r="R279" s="9"/>
      <c r="S279" s="9"/>
      <c r="T279" s="9"/>
      <c r="U279" s="9"/>
      <c r="V279" s="9"/>
      <c r="W279" s="9"/>
      <c r="X279" s="9" t="s">
        <v>30</v>
      </c>
      <c r="Y279" s="11"/>
    </row>
    <row r="280" spans="1:25" s="3" customFormat="1" ht="17.7" customHeight="1" x14ac:dyDescent="0.3">
      <c r="A280" s="20">
        <v>279</v>
      </c>
      <c r="B280" s="20">
        <v>8200016</v>
      </c>
      <c r="C280" s="10" t="s">
        <v>312</v>
      </c>
      <c r="D280" s="10" t="s">
        <v>25</v>
      </c>
      <c r="E280" s="10" t="s">
        <v>35</v>
      </c>
      <c r="F280" s="10">
        <v>18.25</v>
      </c>
      <c r="G280" s="10">
        <v>10</v>
      </c>
      <c r="H280" s="10"/>
      <c r="I280" s="10" t="s">
        <v>297</v>
      </c>
      <c r="J280" s="10"/>
      <c r="K280" s="10"/>
      <c r="L280" s="10"/>
      <c r="M280" s="10">
        <f t="shared" si="4"/>
        <v>15.147500000000001</v>
      </c>
      <c r="N280" s="10" t="s">
        <v>28</v>
      </c>
      <c r="O280" s="10" t="s">
        <v>29</v>
      </c>
      <c r="P280" s="10" t="s">
        <v>29</v>
      </c>
      <c r="Q280" s="10"/>
      <c r="R280" s="10"/>
      <c r="S280" s="10"/>
      <c r="T280" s="10"/>
      <c r="U280" s="10"/>
      <c r="V280" s="10"/>
      <c r="W280" s="10"/>
      <c r="X280" s="10" t="s">
        <v>30</v>
      </c>
      <c r="Y280" s="11"/>
    </row>
    <row r="281" spans="1:25" s="3" customFormat="1" ht="17.7" customHeight="1" x14ac:dyDescent="0.3">
      <c r="A281" s="21">
        <v>280</v>
      </c>
      <c r="B281" s="21">
        <v>8200017</v>
      </c>
      <c r="C281" s="9" t="s">
        <v>313</v>
      </c>
      <c r="D281" s="9" t="s">
        <v>25</v>
      </c>
      <c r="E281" s="9" t="s">
        <v>35</v>
      </c>
      <c r="F281" s="9">
        <v>18.75</v>
      </c>
      <c r="G281" s="9">
        <v>10</v>
      </c>
      <c r="H281" s="9"/>
      <c r="I281" s="9" t="s">
        <v>297</v>
      </c>
      <c r="J281" s="9"/>
      <c r="K281" s="9"/>
      <c r="L281" s="9"/>
      <c r="M281" s="9">
        <f t="shared" si="4"/>
        <v>15.5625</v>
      </c>
      <c r="N281" s="9" t="s">
        <v>28</v>
      </c>
      <c r="O281" s="9" t="s">
        <v>29</v>
      </c>
      <c r="P281" s="9" t="s">
        <v>29</v>
      </c>
      <c r="Q281" s="9"/>
      <c r="R281" s="9"/>
      <c r="S281" s="9"/>
      <c r="T281" s="9"/>
      <c r="U281" s="9"/>
      <c r="V281" s="9"/>
      <c r="W281" s="9"/>
      <c r="X281" s="9" t="s">
        <v>30</v>
      </c>
      <c r="Y281" s="11"/>
    </row>
    <row r="282" spans="1:25" s="3" customFormat="1" ht="17.7" customHeight="1" x14ac:dyDescent="0.3">
      <c r="A282" s="20">
        <v>281</v>
      </c>
      <c r="B282" s="20">
        <v>8200018</v>
      </c>
      <c r="C282" s="10" t="s">
        <v>314</v>
      </c>
      <c r="D282" s="10" t="s">
        <v>25</v>
      </c>
      <c r="E282" s="10" t="s">
        <v>35</v>
      </c>
      <c r="F282" s="10">
        <v>34.25</v>
      </c>
      <c r="G282" s="10">
        <v>10</v>
      </c>
      <c r="H282" s="10"/>
      <c r="I282" s="10" t="s">
        <v>297</v>
      </c>
      <c r="J282" s="10"/>
      <c r="K282" s="10"/>
      <c r="L282" s="10"/>
      <c r="M282" s="10">
        <f t="shared" si="4"/>
        <v>28.427499999999998</v>
      </c>
      <c r="N282" s="10" t="s">
        <v>28</v>
      </c>
      <c r="O282" s="10" t="s">
        <v>29</v>
      </c>
      <c r="P282" s="10" t="s">
        <v>29</v>
      </c>
      <c r="Q282" s="10"/>
      <c r="R282" s="10"/>
      <c r="S282" s="10"/>
      <c r="T282" s="10"/>
      <c r="U282" s="10"/>
      <c r="V282" s="10"/>
      <c r="W282" s="10"/>
      <c r="X282" s="10" t="s">
        <v>30</v>
      </c>
      <c r="Y282" s="11"/>
    </row>
    <row r="283" spans="1:25" s="3" customFormat="1" ht="17.7" customHeight="1" x14ac:dyDescent="0.3">
      <c r="A283" s="21">
        <v>282</v>
      </c>
      <c r="B283" s="21">
        <v>8200019</v>
      </c>
      <c r="C283" s="9" t="s">
        <v>315</v>
      </c>
      <c r="D283" s="9" t="s">
        <v>25</v>
      </c>
      <c r="E283" s="9" t="s">
        <v>35</v>
      </c>
      <c r="F283" s="9">
        <v>51.25</v>
      </c>
      <c r="G283" s="9">
        <v>10</v>
      </c>
      <c r="H283" s="9"/>
      <c r="I283" s="9" t="s">
        <v>297</v>
      </c>
      <c r="J283" s="9"/>
      <c r="K283" s="9"/>
      <c r="L283" s="9"/>
      <c r="M283" s="9">
        <f t="shared" si="4"/>
        <v>42.537500000000001</v>
      </c>
      <c r="N283" s="9" t="s">
        <v>28</v>
      </c>
      <c r="O283" s="9" t="s">
        <v>29</v>
      </c>
      <c r="P283" s="9" t="s">
        <v>29</v>
      </c>
      <c r="Q283" s="9"/>
      <c r="R283" s="9"/>
      <c r="S283" s="9"/>
      <c r="T283" s="9"/>
      <c r="U283" s="9"/>
      <c r="V283" s="9"/>
      <c r="W283" s="9"/>
      <c r="X283" s="9" t="s">
        <v>30</v>
      </c>
      <c r="Y283" s="11"/>
    </row>
    <row r="284" spans="1:25" s="3" customFormat="1" ht="17.7" customHeight="1" x14ac:dyDescent="0.3">
      <c r="A284" s="20">
        <v>283</v>
      </c>
      <c r="B284" s="20">
        <v>8200020</v>
      </c>
      <c r="C284" s="10" t="s">
        <v>316</v>
      </c>
      <c r="D284" s="10" t="s">
        <v>25</v>
      </c>
      <c r="E284" s="10" t="s">
        <v>35</v>
      </c>
      <c r="F284" s="10">
        <v>52.5</v>
      </c>
      <c r="G284" s="10">
        <v>10</v>
      </c>
      <c r="H284" s="10"/>
      <c r="I284" s="10" t="s">
        <v>297</v>
      </c>
      <c r="J284" s="10"/>
      <c r="K284" s="10"/>
      <c r="L284" s="10"/>
      <c r="M284" s="10">
        <f t="shared" si="4"/>
        <v>43.575000000000003</v>
      </c>
      <c r="N284" s="10" t="s">
        <v>28</v>
      </c>
      <c r="O284" s="10" t="s">
        <v>29</v>
      </c>
      <c r="P284" s="10" t="s">
        <v>29</v>
      </c>
      <c r="Q284" s="10"/>
      <c r="R284" s="10"/>
      <c r="S284" s="10"/>
      <c r="T284" s="10"/>
      <c r="U284" s="10"/>
      <c r="V284" s="10"/>
      <c r="W284" s="10"/>
      <c r="X284" s="10" t="s">
        <v>30</v>
      </c>
      <c r="Y284" s="11"/>
    </row>
    <row r="285" spans="1:25" s="3" customFormat="1" ht="17.7" customHeight="1" x14ac:dyDescent="0.3">
      <c r="A285" s="21">
        <v>284</v>
      </c>
      <c r="B285" s="21">
        <v>8200021</v>
      </c>
      <c r="C285" s="9" t="s">
        <v>317</v>
      </c>
      <c r="D285" s="9" t="s">
        <v>25</v>
      </c>
      <c r="E285" s="9" t="s">
        <v>35</v>
      </c>
      <c r="F285" s="9">
        <v>75.5</v>
      </c>
      <c r="G285" s="9">
        <v>10</v>
      </c>
      <c r="H285" s="9"/>
      <c r="I285" s="9" t="s">
        <v>297</v>
      </c>
      <c r="J285" s="9"/>
      <c r="K285" s="9"/>
      <c r="L285" s="9"/>
      <c r="M285" s="9">
        <f t="shared" si="4"/>
        <v>62.664999999999999</v>
      </c>
      <c r="N285" s="9" t="s">
        <v>28</v>
      </c>
      <c r="O285" s="9" t="s">
        <v>29</v>
      </c>
      <c r="P285" s="9" t="s">
        <v>29</v>
      </c>
      <c r="Q285" s="9"/>
      <c r="R285" s="9"/>
      <c r="S285" s="9"/>
      <c r="T285" s="9"/>
      <c r="U285" s="9"/>
      <c r="V285" s="9"/>
      <c r="W285" s="9"/>
      <c r="X285" s="9" t="s">
        <v>30</v>
      </c>
      <c r="Y285" s="11"/>
    </row>
    <row r="286" spans="1:25" s="3" customFormat="1" ht="17.7" customHeight="1" x14ac:dyDescent="0.3">
      <c r="A286" s="20">
        <v>285</v>
      </c>
      <c r="B286" s="20">
        <v>8200022</v>
      </c>
      <c r="C286" s="10" t="s">
        <v>318</v>
      </c>
      <c r="D286" s="10" t="s">
        <v>25</v>
      </c>
      <c r="E286" s="10" t="s">
        <v>35</v>
      </c>
      <c r="F286" s="10">
        <v>104</v>
      </c>
      <c r="G286" s="10">
        <v>10</v>
      </c>
      <c r="H286" s="10"/>
      <c r="I286" s="10" t="s">
        <v>297</v>
      </c>
      <c r="J286" s="10"/>
      <c r="K286" s="10"/>
      <c r="L286" s="10"/>
      <c r="M286" s="10">
        <f t="shared" si="4"/>
        <v>86.32</v>
      </c>
      <c r="N286" s="10" t="s">
        <v>28</v>
      </c>
      <c r="O286" s="10" t="s">
        <v>29</v>
      </c>
      <c r="P286" s="10" t="s">
        <v>29</v>
      </c>
      <c r="Q286" s="10"/>
      <c r="R286" s="10"/>
      <c r="S286" s="10"/>
      <c r="T286" s="10"/>
      <c r="U286" s="10"/>
      <c r="V286" s="10"/>
      <c r="W286" s="10"/>
      <c r="X286" s="10" t="s">
        <v>30</v>
      </c>
      <c r="Y286" s="11"/>
    </row>
    <row r="287" spans="1:25" s="3" customFormat="1" ht="17.7" customHeight="1" x14ac:dyDescent="0.3">
      <c r="A287" s="21">
        <v>286</v>
      </c>
      <c r="B287" s="21">
        <v>8200023</v>
      </c>
      <c r="C287" s="9" t="s">
        <v>319</v>
      </c>
      <c r="D287" s="9" t="s">
        <v>25</v>
      </c>
      <c r="E287" s="9" t="s">
        <v>35</v>
      </c>
      <c r="F287" s="9">
        <v>129</v>
      </c>
      <c r="G287" s="9">
        <v>8</v>
      </c>
      <c r="H287" s="9"/>
      <c r="I287" s="9" t="s">
        <v>297</v>
      </c>
      <c r="J287" s="9"/>
      <c r="K287" s="9"/>
      <c r="L287" s="9"/>
      <c r="M287" s="9">
        <f t="shared" si="4"/>
        <v>107.07</v>
      </c>
      <c r="N287" s="9" t="s">
        <v>28</v>
      </c>
      <c r="O287" s="9" t="s">
        <v>29</v>
      </c>
      <c r="P287" s="9" t="s">
        <v>29</v>
      </c>
      <c r="Q287" s="9"/>
      <c r="R287" s="9"/>
      <c r="S287" s="9"/>
      <c r="T287" s="9"/>
      <c r="U287" s="9"/>
      <c r="V287" s="9"/>
      <c r="W287" s="9"/>
      <c r="X287" s="9" t="s">
        <v>30</v>
      </c>
      <c r="Y287" s="11"/>
    </row>
    <row r="288" spans="1:25" s="3" customFormat="1" ht="17.7" customHeight="1" x14ac:dyDescent="0.3">
      <c r="A288" s="20">
        <v>287</v>
      </c>
      <c r="B288" s="20">
        <v>8200024</v>
      </c>
      <c r="C288" s="10" t="s">
        <v>320</v>
      </c>
      <c r="D288" s="10" t="s">
        <v>25</v>
      </c>
      <c r="E288" s="10" t="s">
        <v>35</v>
      </c>
      <c r="F288" s="10">
        <v>310.75</v>
      </c>
      <c r="G288" s="10">
        <v>3</v>
      </c>
      <c r="H288" s="10"/>
      <c r="I288" s="10" t="s">
        <v>297</v>
      </c>
      <c r="J288" s="10"/>
      <c r="K288" s="10"/>
      <c r="L288" s="10"/>
      <c r="M288" s="10">
        <f t="shared" si="4"/>
        <v>257.92250000000001</v>
      </c>
      <c r="N288" s="10" t="s">
        <v>28</v>
      </c>
      <c r="O288" s="10" t="s">
        <v>29</v>
      </c>
      <c r="P288" s="10" t="s">
        <v>29</v>
      </c>
      <c r="Q288" s="10"/>
      <c r="R288" s="10"/>
      <c r="S288" s="10"/>
      <c r="T288" s="10"/>
      <c r="U288" s="10"/>
      <c r="V288" s="10"/>
      <c r="W288" s="10"/>
      <c r="X288" s="10" t="s">
        <v>30</v>
      </c>
      <c r="Y288" s="11"/>
    </row>
    <row r="289" spans="1:25" s="3" customFormat="1" ht="17.7" customHeight="1" x14ac:dyDescent="0.3">
      <c r="A289" s="21">
        <v>288</v>
      </c>
      <c r="B289" s="21">
        <v>8200025</v>
      </c>
      <c r="C289" s="9" t="s">
        <v>321</v>
      </c>
      <c r="D289" s="9" t="s">
        <v>25</v>
      </c>
      <c r="E289" s="9" t="s">
        <v>35</v>
      </c>
      <c r="F289" s="9">
        <v>21</v>
      </c>
      <c r="G289" s="9">
        <v>10</v>
      </c>
      <c r="H289" s="9"/>
      <c r="I289" s="9" t="s">
        <v>297</v>
      </c>
      <c r="J289" s="9"/>
      <c r="K289" s="9"/>
      <c r="L289" s="9"/>
      <c r="M289" s="9">
        <f t="shared" si="4"/>
        <v>17.43</v>
      </c>
      <c r="N289" s="9" t="s">
        <v>28</v>
      </c>
      <c r="O289" s="9" t="s">
        <v>29</v>
      </c>
      <c r="P289" s="9" t="s">
        <v>29</v>
      </c>
      <c r="Q289" s="9"/>
      <c r="R289" s="9"/>
      <c r="S289" s="9"/>
      <c r="T289" s="9"/>
      <c r="U289" s="9"/>
      <c r="V289" s="9"/>
      <c r="W289" s="9"/>
      <c r="X289" s="9" t="s">
        <v>30</v>
      </c>
      <c r="Y289" s="11"/>
    </row>
    <row r="290" spans="1:25" s="3" customFormat="1" ht="17.7" customHeight="1" x14ac:dyDescent="0.3">
      <c r="A290" s="20">
        <v>289</v>
      </c>
      <c r="B290" s="20">
        <v>8200026</v>
      </c>
      <c r="C290" s="10" t="s">
        <v>322</v>
      </c>
      <c r="D290" s="10" t="s">
        <v>25</v>
      </c>
      <c r="E290" s="10" t="s">
        <v>35</v>
      </c>
      <c r="F290" s="10">
        <v>66</v>
      </c>
      <c r="G290" s="10">
        <v>10</v>
      </c>
      <c r="H290" s="10"/>
      <c r="I290" s="10" t="s">
        <v>297</v>
      </c>
      <c r="J290" s="10"/>
      <c r="K290" s="10"/>
      <c r="L290" s="10"/>
      <c r="M290" s="10">
        <f t="shared" si="4"/>
        <v>54.78</v>
      </c>
      <c r="N290" s="10" t="s">
        <v>28</v>
      </c>
      <c r="O290" s="10" t="s">
        <v>29</v>
      </c>
      <c r="P290" s="10" t="s">
        <v>29</v>
      </c>
      <c r="Q290" s="10"/>
      <c r="R290" s="10"/>
      <c r="S290" s="10"/>
      <c r="T290" s="10"/>
      <c r="U290" s="10"/>
      <c r="V290" s="10"/>
      <c r="W290" s="10"/>
      <c r="X290" s="10" t="s">
        <v>30</v>
      </c>
      <c r="Y290" s="11"/>
    </row>
    <row r="291" spans="1:25" s="3" customFormat="1" ht="17.7" customHeight="1" x14ac:dyDescent="0.3">
      <c r="A291" s="21">
        <v>290</v>
      </c>
      <c r="B291" s="21">
        <v>8200027</v>
      </c>
      <c r="C291" s="9" t="s">
        <v>323</v>
      </c>
      <c r="D291" s="9" t="s">
        <v>25</v>
      </c>
      <c r="E291" s="9" t="s">
        <v>35</v>
      </c>
      <c r="F291" s="9">
        <v>26</v>
      </c>
      <c r="G291" s="9">
        <v>10</v>
      </c>
      <c r="H291" s="9"/>
      <c r="I291" s="9" t="s">
        <v>297</v>
      </c>
      <c r="J291" s="9"/>
      <c r="K291" s="9"/>
      <c r="L291" s="9"/>
      <c r="M291" s="9">
        <f t="shared" si="4"/>
        <v>21.58</v>
      </c>
      <c r="N291" s="9" t="s">
        <v>28</v>
      </c>
      <c r="O291" s="9" t="s">
        <v>29</v>
      </c>
      <c r="P291" s="9" t="s">
        <v>29</v>
      </c>
      <c r="Q291" s="9"/>
      <c r="R291" s="9"/>
      <c r="S291" s="9"/>
      <c r="T291" s="9"/>
      <c r="U291" s="9"/>
      <c r="V291" s="9"/>
      <c r="W291" s="9"/>
      <c r="X291" s="9" t="s">
        <v>30</v>
      </c>
      <c r="Y291" s="11"/>
    </row>
    <row r="292" spans="1:25" s="3" customFormat="1" ht="17.7" customHeight="1" x14ac:dyDescent="0.3">
      <c r="A292" s="20">
        <v>291</v>
      </c>
      <c r="B292" s="20">
        <v>8200028</v>
      </c>
      <c r="C292" s="10" t="s">
        <v>324</v>
      </c>
      <c r="D292" s="10" t="s">
        <v>25</v>
      </c>
      <c r="E292" s="10" t="s">
        <v>35</v>
      </c>
      <c r="F292" s="10">
        <v>27.75</v>
      </c>
      <c r="G292" s="10">
        <v>10</v>
      </c>
      <c r="H292" s="10"/>
      <c r="I292" s="10" t="s">
        <v>297</v>
      </c>
      <c r="J292" s="10"/>
      <c r="K292" s="10"/>
      <c r="L292" s="10"/>
      <c r="M292" s="10">
        <f t="shared" si="4"/>
        <v>23.032499999999999</v>
      </c>
      <c r="N292" s="10" t="s">
        <v>28</v>
      </c>
      <c r="O292" s="10" t="s">
        <v>29</v>
      </c>
      <c r="P292" s="10" t="s">
        <v>29</v>
      </c>
      <c r="Q292" s="10"/>
      <c r="R292" s="10"/>
      <c r="S292" s="10"/>
      <c r="T292" s="10"/>
      <c r="U292" s="10"/>
      <c r="V292" s="10"/>
      <c r="W292" s="10"/>
      <c r="X292" s="10" t="s">
        <v>30</v>
      </c>
      <c r="Y292" s="11"/>
    </row>
    <row r="293" spans="1:25" s="3" customFormat="1" ht="17.7" customHeight="1" x14ac:dyDescent="0.3">
      <c r="A293" s="21">
        <v>292</v>
      </c>
      <c r="B293" s="21">
        <v>8200029</v>
      </c>
      <c r="C293" s="9" t="s">
        <v>325</v>
      </c>
      <c r="D293" s="9" t="s">
        <v>25</v>
      </c>
      <c r="E293" s="9" t="s">
        <v>35</v>
      </c>
      <c r="F293" s="9">
        <v>46</v>
      </c>
      <c r="G293" s="9">
        <v>10</v>
      </c>
      <c r="H293" s="9"/>
      <c r="I293" s="9" t="s">
        <v>297</v>
      </c>
      <c r="J293" s="9"/>
      <c r="K293" s="9"/>
      <c r="L293" s="9"/>
      <c r="M293" s="9">
        <f t="shared" si="4"/>
        <v>38.18</v>
      </c>
      <c r="N293" s="9" t="s">
        <v>28</v>
      </c>
      <c r="O293" s="9" t="s">
        <v>29</v>
      </c>
      <c r="P293" s="9" t="s">
        <v>29</v>
      </c>
      <c r="Q293" s="9"/>
      <c r="R293" s="9"/>
      <c r="S293" s="9"/>
      <c r="T293" s="9"/>
      <c r="U293" s="9"/>
      <c r="V293" s="9"/>
      <c r="W293" s="9"/>
      <c r="X293" s="9" t="s">
        <v>30</v>
      </c>
      <c r="Y293" s="11"/>
    </row>
    <row r="294" spans="1:25" s="3" customFormat="1" ht="17.7" customHeight="1" x14ac:dyDescent="0.3">
      <c r="A294" s="20">
        <v>293</v>
      </c>
      <c r="B294" s="20">
        <v>8200030</v>
      </c>
      <c r="C294" s="10" t="s">
        <v>326</v>
      </c>
      <c r="D294" s="10" t="s">
        <v>25</v>
      </c>
      <c r="E294" s="10" t="s">
        <v>35</v>
      </c>
      <c r="F294" s="10">
        <v>58.5</v>
      </c>
      <c r="G294" s="10">
        <v>10</v>
      </c>
      <c r="H294" s="10"/>
      <c r="I294" s="10" t="s">
        <v>297</v>
      </c>
      <c r="J294" s="10"/>
      <c r="K294" s="10"/>
      <c r="L294" s="10"/>
      <c r="M294" s="10">
        <f t="shared" si="4"/>
        <v>48.555</v>
      </c>
      <c r="N294" s="10" t="s">
        <v>28</v>
      </c>
      <c r="O294" s="10" t="s">
        <v>29</v>
      </c>
      <c r="P294" s="10" t="s">
        <v>29</v>
      </c>
      <c r="Q294" s="10"/>
      <c r="R294" s="10"/>
      <c r="S294" s="10"/>
      <c r="T294" s="10"/>
      <c r="U294" s="10"/>
      <c r="V294" s="10"/>
      <c r="W294" s="10"/>
      <c r="X294" s="10" t="s">
        <v>30</v>
      </c>
      <c r="Y294" s="11"/>
    </row>
    <row r="295" spans="1:25" s="3" customFormat="1" ht="17.7" customHeight="1" x14ac:dyDescent="0.3">
      <c r="A295" s="21">
        <v>294</v>
      </c>
      <c r="B295" s="21">
        <v>8200031</v>
      </c>
      <c r="C295" s="9" t="s">
        <v>327</v>
      </c>
      <c r="D295" s="9" t="s">
        <v>25</v>
      </c>
      <c r="E295" s="9" t="s">
        <v>35</v>
      </c>
      <c r="F295" s="9">
        <v>134.25</v>
      </c>
      <c r="G295" s="9">
        <v>10</v>
      </c>
      <c r="H295" s="9"/>
      <c r="I295" s="9" t="s">
        <v>297</v>
      </c>
      <c r="J295" s="9"/>
      <c r="K295" s="9"/>
      <c r="L295" s="9"/>
      <c r="M295" s="9">
        <f t="shared" si="4"/>
        <v>111.42749999999999</v>
      </c>
      <c r="N295" s="9" t="s">
        <v>28</v>
      </c>
      <c r="O295" s="9" t="s">
        <v>29</v>
      </c>
      <c r="P295" s="9" t="s">
        <v>29</v>
      </c>
      <c r="Q295" s="9"/>
      <c r="R295" s="9"/>
      <c r="S295" s="9"/>
      <c r="T295" s="9"/>
      <c r="U295" s="9"/>
      <c r="V295" s="9"/>
      <c r="W295" s="9"/>
      <c r="X295" s="9" t="s">
        <v>30</v>
      </c>
      <c r="Y295" s="11"/>
    </row>
    <row r="296" spans="1:25" s="3" customFormat="1" ht="17.7" customHeight="1" x14ac:dyDescent="0.3">
      <c r="A296" s="20">
        <v>295</v>
      </c>
      <c r="B296" s="20">
        <v>8200032</v>
      </c>
      <c r="C296" s="10" t="s">
        <v>328</v>
      </c>
      <c r="D296" s="10" t="s">
        <v>25</v>
      </c>
      <c r="E296" s="10" t="s">
        <v>35</v>
      </c>
      <c r="F296" s="10">
        <v>219.25</v>
      </c>
      <c r="G296" s="10">
        <v>8</v>
      </c>
      <c r="H296" s="10"/>
      <c r="I296" s="10" t="s">
        <v>297</v>
      </c>
      <c r="J296" s="10"/>
      <c r="K296" s="10"/>
      <c r="L296" s="10"/>
      <c r="M296" s="10">
        <f t="shared" si="4"/>
        <v>181.97749999999999</v>
      </c>
      <c r="N296" s="10" t="s">
        <v>28</v>
      </c>
      <c r="O296" s="10" t="s">
        <v>29</v>
      </c>
      <c r="P296" s="10" t="s">
        <v>29</v>
      </c>
      <c r="Q296" s="10"/>
      <c r="R296" s="10"/>
      <c r="S296" s="10"/>
      <c r="T296" s="10"/>
      <c r="U296" s="10"/>
      <c r="V296" s="10"/>
      <c r="W296" s="10"/>
      <c r="X296" s="10" t="s">
        <v>30</v>
      </c>
      <c r="Y296" s="11"/>
    </row>
    <row r="297" spans="1:25" s="3" customFormat="1" ht="17.7" customHeight="1" x14ac:dyDescent="0.3">
      <c r="A297" s="21">
        <v>296</v>
      </c>
      <c r="B297" s="21">
        <v>8200033</v>
      </c>
      <c r="C297" s="9" t="s">
        <v>329</v>
      </c>
      <c r="D297" s="9" t="s">
        <v>25</v>
      </c>
      <c r="E297" s="9" t="s">
        <v>35</v>
      </c>
      <c r="F297" s="9">
        <v>560.75</v>
      </c>
      <c r="G297" s="9">
        <v>3</v>
      </c>
      <c r="H297" s="9"/>
      <c r="I297" s="9" t="s">
        <v>297</v>
      </c>
      <c r="J297" s="9"/>
      <c r="K297" s="9"/>
      <c r="L297" s="9"/>
      <c r="M297" s="9">
        <f t="shared" si="4"/>
        <v>465.42250000000001</v>
      </c>
      <c r="N297" s="9" t="s">
        <v>28</v>
      </c>
      <c r="O297" s="9" t="s">
        <v>29</v>
      </c>
      <c r="P297" s="9" t="s">
        <v>29</v>
      </c>
      <c r="Q297" s="9"/>
      <c r="R297" s="9"/>
      <c r="S297" s="9"/>
      <c r="T297" s="9"/>
      <c r="U297" s="9"/>
      <c r="V297" s="9"/>
      <c r="W297" s="9"/>
      <c r="X297" s="9" t="s">
        <v>30</v>
      </c>
      <c r="Y297" s="11"/>
    </row>
    <row r="298" spans="1:25" s="3" customFormat="1" ht="17.7" customHeight="1" x14ac:dyDescent="0.3">
      <c r="A298" s="20">
        <v>297</v>
      </c>
      <c r="B298" s="20">
        <v>8200034</v>
      </c>
      <c r="C298" s="10" t="s">
        <v>330</v>
      </c>
      <c r="D298" s="10" t="s">
        <v>25</v>
      </c>
      <c r="E298" s="10" t="s">
        <v>35</v>
      </c>
      <c r="F298" s="10">
        <v>24.75</v>
      </c>
      <c r="G298" s="10">
        <v>10</v>
      </c>
      <c r="H298" s="10"/>
      <c r="I298" s="10" t="s">
        <v>297</v>
      </c>
      <c r="J298" s="10"/>
      <c r="K298" s="10"/>
      <c r="L298" s="10"/>
      <c r="M298" s="10">
        <f t="shared" si="4"/>
        <v>20.5425</v>
      </c>
      <c r="N298" s="10" t="s">
        <v>28</v>
      </c>
      <c r="O298" s="10" t="s">
        <v>29</v>
      </c>
      <c r="P298" s="10" t="s">
        <v>29</v>
      </c>
      <c r="Q298" s="10"/>
      <c r="R298" s="10"/>
      <c r="S298" s="10"/>
      <c r="T298" s="10"/>
      <c r="U298" s="10"/>
      <c r="V298" s="10"/>
      <c r="W298" s="10"/>
      <c r="X298" s="10" t="s">
        <v>30</v>
      </c>
      <c r="Y298" s="11"/>
    </row>
    <row r="299" spans="1:25" s="3" customFormat="1" ht="17.7" customHeight="1" x14ac:dyDescent="0.3">
      <c r="A299" s="21">
        <v>298</v>
      </c>
      <c r="B299" s="21">
        <v>8200035</v>
      </c>
      <c r="C299" s="9" t="s">
        <v>331</v>
      </c>
      <c r="D299" s="9" t="s">
        <v>25</v>
      </c>
      <c r="E299" s="9" t="s">
        <v>35</v>
      </c>
      <c r="F299" s="9">
        <v>30.25</v>
      </c>
      <c r="G299" s="9">
        <v>10</v>
      </c>
      <c r="H299" s="9"/>
      <c r="I299" s="9" t="s">
        <v>297</v>
      </c>
      <c r="J299" s="9"/>
      <c r="K299" s="9"/>
      <c r="L299" s="9"/>
      <c r="M299" s="9">
        <f t="shared" si="4"/>
        <v>25.107500000000002</v>
      </c>
      <c r="N299" s="9" t="s">
        <v>28</v>
      </c>
      <c r="O299" s="9" t="s">
        <v>29</v>
      </c>
      <c r="P299" s="9" t="s">
        <v>29</v>
      </c>
      <c r="Q299" s="9"/>
      <c r="R299" s="9"/>
      <c r="S299" s="9"/>
      <c r="T299" s="9"/>
      <c r="U299" s="9"/>
      <c r="V299" s="9"/>
      <c r="W299" s="9"/>
      <c r="X299" s="9" t="s">
        <v>30</v>
      </c>
      <c r="Y299" s="11"/>
    </row>
    <row r="300" spans="1:25" s="3" customFormat="1" ht="17.7" customHeight="1" x14ac:dyDescent="0.3">
      <c r="A300" s="20">
        <v>299</v>
      </c>
      <c r="B300" s="20">
        <v>8200036</v>
      </c>
      <c r="C300" s="10" t="s">
        <v>332</v>
      </c>
      <c r="D300" s="10" t="s">
        <v>25</v>
      </c>
      <c r="E300" s="10" t="s">
        <v>35</v>
      </c>
      <c r="F300" s="10">
        <v>31</v>
      </c>
      <c r="G300" s="10">
        <v>10</v>
      </c>
      <c r="H300" s="10"/>
      <c r="I300" s="10" t="s">
        <v>297</v>
      </c>
      <c r="J300" s="10"/>
      <c r="K300" s="10"/>
      <c r="L300" s="10"/>
      <c r="M300" s="10">
        <v>25.73</v>
      </c>
      <c r="N300" s="10" t="s">
        <v>28</v>
      </c>
      <c r="O300" s="10" t="s">
        <v>29</v>
      </c>
      <c r="P300" s="10" t="s">
        <v>29</v>
      </c>
      <c r="Q300" s="10"/>
      <c r="R300" s="10"/>
      <c r="S300" s="10"/>
      <c r="T300" s="10"/>
      <c r="U300" s="10"/>
      <c r="V300" s="10"/>
      <c r="W300" s="10"/>
      <c r="X300" s="10" t="s">
        <v>30</v>
      </c>
      <c r="Y300" s="11"/>
    </row>
    <row r="301" spans="1:25" s="3" customFormat="1" ht="17.7" customHeight="1" x14ac:dyDescent="0.3">
      <c r="A301" s="21">
        <v>300</v>
      </c>
      <c r="B301" s="21">
        <v>8200037</v>
      </c>
      <c r="C301" s="9" t="s">
        <v>333</v>
      </c>
      <c r="D301" s="9" t="s">
        <v>25</v>
      </c>
      <c r="E301" s="9" t="s">
        <v>35</v>
      </c>
      <c r="F301" s="9">
        <v>69</v>
      </c>
      <c r="G301" s="9">
        <v>10</v>
      </c>
      <c r="H301" s="9"/>
      <c r="I301" s="9" t="s">
        <v>297</v>
      </c>
      <c r="J301" s="9"/>
      <c r="K301" s="9"/>
      <c r="L301" s="9"/>
      <c r="M301" s="9">
        <f t="shared" ref="M301:M312" si="5">F301-F301*17%</f>
        <v>57.269999999999996</v>
      </c>
      <c r="N301" s="9" t="s">
        <v>28</v>
      </c>
      <c r="O301" s="9" t="s">
        <v>29</v>
      </c>
      <c r="P301" s="9" t="s">
        <v>29</v>
      </c>
      <c r="Q301" s="9"/>
      <c r="R301" s="9"/>
      <c r="S301" s="9"/>
      <c r="T301" s="9"/>
      <c r="U301" s="9"/>
      <c r="V301" s="9"/>
      <c r="W301" s="9"/>
      <c r="X301" s="9" t="s">
        <v>30</v>
      </c>
      <c r="Y301" s="11"/>
    </row>
    <row r="302" spans="1:25" s="3" customFormat="1" ht="17.7" customHeight="1" x14ac:dyDescent="0.3">
      <c r="A302" s="20">
        <v>301</v>
      </c>
      <c r="B302" s="20">
        <v>8200038</v>
      </c>
      <c r="C302" s="10" t="s">
        <v>334</v>
      </c>
      <c r="D302" s="10" t="s">
        <v>25</v>
      </c>
      <c r="E302" s="10" t="s">
        <v>35</v>
      </c>
      <c r="F302" s="10">
        <v>86.75</v>
      </c>
      <c r="G302" s="10">
        <v>10</v>
      </c>
      <c r="H302" s="10"/>
      <c r="I302" s="10" t="s">
        <v>297</v>
      </c>
      <c r="J302" s="10"/>
      <c r="K302" s="10"/>
      <c r="L302" s="10"/>
      <c r="M302" s="10">
        <f t="shared" si="5"/>
        <v>72.002499999999998</v>
      </c>
      <c r="N302" s="10" t="s">
        <v>28</v>
      </c>
      <c r="O302" s="10" t="s">
        <v>29</v>
      </c>
      <c r="P302" s="10" t="s">
        <v>29</v>
      </c>
      <c r="Q302" s="10"/>
      <c r="R302" s="10"/>
      <c r="S302" s="10"/>
      <c r="T302" s="10"/>
      <c r="U302" s="10"/>
      <c r="V302" s="10"/>
      <c r="W302" s="10"/>
      <c r="X302" s="10" t="s">
        <v>30</v>
      </c>
      <c r="Y302" s="11"/>
    </row>
    <row r="303" spans="1:25" s="3" customFormat="1" ht="17.7" customHeight="1" x14ac:dyDescent="0.3">
      <c r="A303" s="21">
        <v>302</v>
      </c>
      <c r="B303" s="21">
        <v>8200039</v>
      </c>
      <c r="C303" s="9" t="s">
        <v>335</v>
      </c>
      <c r="D303" s="9" t="s">
        <v>25</v>
      </c>
      <c r="E303" s="9" t="s">
        <v>35</v>
      </c>
      <c r="F303" s="9">
        <v>93.5</v>
      </c>
      <c r="G303" s="9">
        <v>10</v>
      </c>
      <c r="H303" s="9"/>
      <c r="I303" s="9" t="s">
        <v>297</v>
      </c>
      <c r="J303" s="9"/>
      <c r="K303" s="9"/>
      <c r="L303" s="9"/>
      <c r="M303" s="9">
        <f t="shared" si="5"/>
        <v>77.605000000000004</v>
      </c>
      <c r="N303" s="9" t="s">
        <v>28</v>
      </c>
      <c r="O303" s="9" t="s">
        <v>29</v>
      </c>
      <c r="P303" s="9" t="s">
        <v>29</v>
      </c>
      <c r="Q303" s="9"/>
      <c r="R303" s="9"/>
      <c r="S303" s="9"/>
      <c r="T303" s="9"/>
      <c r="U303" s="9"/>
      <c r="V303" s="9"/>
      <c r="W303" s="9"/>
      <c r="X303" s="9" t="s">
        <v>30</v>
      </c>
      <c r="Y303" s="11"/>
    </row>
    <row r="304" spans="1:25" s="3" customFormat="1" ht="17.7" customHeight="1" x14ac:dyDescent="0.3">
      <c r="A304" s="20">
        <v>303</v>
      </c>
      <c r="B304" s="20">
        <v>8200040</v>
      </c>
      <c r="C304" s="10" t="s">
        <v>336</v>
      </c>
      <c r="D304" s="10" t="s">
        <v>25</v>
      </c>
      <c r="E304" s="10" t="s">
        <v>35</v>
      </c>
      <c r="F304" s="10">
        <v>154.5</v>
      </c>
      <c r="G304" s="10">
        <v>10</v>
      </c>
      <c r="H304" s="10"/>
      <c r="I304" s="10" t="s">
        <v>297</v>
      </c>
      <c r="J304" s="10"/>
      <c r="K304" s="10"/>
      <c r="L304" s="10"/>
      <c r="M304" s="10">
        <f t="shared" si="5"/>
        <v>128.23500000000001</v>
      </c>
      <c r="N304" s="10" t="s">
        <v>28</v>
      </c>
      <c r="O304" s="10" t="s">
        <v>29</v>
      </c>
      <c r="P304" s="10" t="s">
        <v>29</v>
      </c>
      <c r="Q304" s="10"/>
      <c r="R304" s="10"/>
      <c r="S304" s="10"/>
      <c r="T304" s="10"/>
      <c r="U304" s="10"/>
      <c r="V304" s="10"/>
      <c r="W304" s="10"/>
      <c r="X304" s="10" t="s">
        <v>30</v>
      </c>
      <c r="Y304" s="11"/>
    </row>
    <row r="305" spans="1:25" s="3" customFormat="1" ht="17.7" customHeight="1" x14ac:dyDescent="0.3">
      <c r="A305" s="21">
        <v>304</v>
      </c>
      <c r="B305" s="21">
        <v>8200041</v>
      </c>
      <c r="C305" s="9" t="s">
        <v>337</v>
      </c>
      <c r="D305" s="9" t="s">
        <v>25</v>
      </c>
      <c r="E305" s="9" t="s">
        <v>35</v>
      </c>
      <c r="F305" s="9">
        <v>268.5</v>
      </c>
      <c r="G305" s="9">
        <v>8</v>
      </c>
      <c r="H305" s="9"/>
      <c r="I305" s="9" t="s">
        <v>297</v>
      </c>
      <c r="J305" s="9"/>
      <c r="K305" s="9"/>
      <c r="L305" s="9"/>
      <c r="M305" s="9">
        <f t="shared" si="5"/>
        <v>222.85499999999999</v>
      </c>
      <c r="N305" s="9" t="s">
        <v>28</v>
      </c>
      <c r="O305" s="9" t="s">
        <v>29</v>
      </c>
      <c r="P305" s="9" t="s">
        <v>29</v>
      </c>
      <c r="Q305" s="9"/>
      <c r="R305" s="9"/>
      <c r="S305" s="9"/>
      <c r="T305" s="9"/>
      <c r="U305" s="9"/>
      <c r="V305" s="9"/>
      <c r="W305" s="9"/>
      <c r="X305" s="9" t="s">
        <v>30</v>
      </c>
      <c r="Y305" s="11"/>
    </row>
    <row r="306" spans="1:25" s="3" customFormat="1" ht="17.7" customHeight="1" x14ac:dyDescent="0.3">
      <c r="A306" s="20">
        <v>305</v>
      </c>
      <c r="B306" s="20">
        <v>8200042</v>
      </c>
      <c r="C306" s="10" t="s">
        <v>338</v>
      </c>
      <c r="D306" s="10" t="s">
        <v>25</v>
      </c>
      <c r="E306" s="10" t="s">
        <v>35</v>
      </c>
      <c r="F306" s="10">
        <v>812.75</v>
      </c>
      <c r="G306" s="10">
        <v>3</v>
      </c>
      <c r="H306" s="10"/>
      <c r="I306" s="10" t="s">
        <v>297</v>
      </c>
      <c r="J306" s="10"/>
      <c r="K306" s="10"/>
      <c r="L306" s="10"/>
      <c r="M306" s="10">
        <f t="shared" si="5"/>
        <v>674.58249999999998</v>
      </c>
      <c r="N306" s="10" t="s">
        <v>28</v>
      </c>
      <c r="O306" s="10" t="s">
        <v>29</v>
      </c>
      <c r="P306" s="10" t="s">
        <v>29</v>
      </c>
      <c r="Q306" s="10"/>
      <c r="R306" s="10"/>
      <c r="S306" s="10"/>
      <c r="T306" s="10"/>
      <c r="U306" s="10"/>
      <c r="V306" s="10"/>
      <c r="W306" s="10"/>
      <c r="X306" s="10" t="s">
        <v>30</v>
      </c>
      <c r="Y306" s="11"/>
    </row>
    <row r="307" spans="1:25" s="3" customFormat="1" ht="17.7" customHeight="1" x14ac:dyDescent="0.3">
      <c r="A307" s="21">
        <v>306</v>
      </c>
      <c r="B307" s="21">
        <v>8200043</v>
      </c>
      <c r="C307" s="9" t="s">
        <v>339</v>
      </c>
      <c r="D307" s="9" t="s">
        <v>25</v>
      </c>
      <c r="E307" s="9" t="s">
        <v>35</v>
      </c>
      <c r="F307" s="9">
        <v>12</v>
      </c>
      <c r="G307" s="9">
        <v>10</v>
      </c>
      <c r="H307" s="9"/>
      <c r="I307" s="9" t="s">
        <v>297</v>
      </c>
      <c r="J307" s="9"/>
      <c r="K307" s="9"/>
      <c r="L307" s="9"/>
      <c r="M307" s="9">
        <f t="shared" si="5"/>
        <v>9.9600000000000009</v>
      </c>
      <c r="N307" s="9" t="s">
        <v>28</v>
      </c>
      <c r="O307" s="9" t="s">
        <v>29</v>
      </c>
      <c r="P307" s="9" t="s">
        <v>29</v>
      </c>
      <c r="Q307" s="9"/>
      <c r="R307" s="9"/>
      <c r="S307" s="9"/>
      <c r="T307" s="9"/>
      <c r="U307" s="9"/>
      <c r="V307" s="9"/>
      <c r="W307" s="9"/>
      <c r="X307" s="9" t="s">
        <v>30</v>
      </c>
      <c r="Y307" s="11"/>
    </row>
    <row r="308" spans="1:25" s="3" customFormat="1" ht="17.7" customHeight="1" x14ac:dyDescent="0.3">
      <c r="A308" s="20">
        <v>307</v>
      </c>
      <c r="B308" s="20">
        <v>8200044</v>
      </c>
      <c r="C308" s="10" t="s">
        <v>340</v>
      </c>
      <c r="D308" s="10" t="s">
        <v>25</v>
      </c>
      <c r="E308" s="10" t="s">
        <v>35</v>
      </c>
      <c r="F308" s="10">
        <v>16</v>
      </c>
      <c r="G308" s="10">
        <v>20</v>
      </c>
      <c r="H308" s="10"/>
      <c r="I308" s="10" t="s">
        <v>297</v>
      </c>
      <c r="J308" s="10"/>
      <c r="K308" s="10"/>
      <c r="L308" s="10"/>
      <c r="M308" s="10">
        <f t="shared" si="5"/>
        <v>13.28</v>
      </c>
      <c r="N308" s="10" t="s">
        <v>28</v>
      </c>
      <c r="O308" s="10" t="s">
        <v>29</v>
      </c>
      <c r="P308" s="10" t="s">
        <v>29</v>
      </c>
      <c r="Q308" s="10"/>
      <c r="R308" s="10"/>
      <c r="S308" s="10"/>
      <c r="T308" s="10"/>
      <c r="U308" s="10"/>
      <c r="V308" s="10"/>
      <c r="W308" s="10"/>
      <c r="X308" s="10" t="s">
        <v>30</v>
      </c>
      <c r="Y308" s="11"/>
    </row>
    <row r="309" spans="1:25" s="3" customFormat="1" ht="17.7" customHeight="1" x14ac:dyDescent="0.3">
      <c r="A309" s="21">
        <v>308</v>
      </c>
      <c r="B309" s="21">
        <v>8200045</v>
      </c>
      <c r="C309" s="9" t="s">
        <v>341</v>
      </c>
      <c r="D309" s="9" t="s">
        <v>25</v>
      </c>
      <c r="E309" s="9" t="s">
        <v>35</v>
      </c>
      <c r="F309" s="9">
        <v>17.25</v>
      </c>
      <c r="G309" s="9">
        <v>20</v>
      </c>
      <c r="H309" s="9"/>
      <c r="I309" s="9" t="s">
        <v>297</v>
      </c>
      <c r="J309" s="9"/>
      <c r="K309" s="9"/>
      <c r="L309" s="9"/>
      <c r="M309" s="9">
        <f t="shared" si="5"/>
        <v>14.317499999999999</v>
      </c>
      <c r="N309" s="9" t="s">
        <v>28</v>
      </c>
      <c r="O309" s="9" t="s">
        <v>29</v>
      </c>
      <c r="P309" s="9" t="s">
        <v>29</v>
      </c>
      <c r="Q309" s="9"/>
      <c r="R309" s="9"/>
      <c r="S309" s="9"/>
      <c r="T309" s="9"/>
      <c r="U309" s="9"/>
      <c r="V309" s="9"/>
      <c r="W309" s="9"/>
      <c r="X309" s="9" t="s">
        <v>30</v>
      </c>
      <c r="Y309" s="11"/>
    </row>
    <row r="310" spans="1:25" s="3" customFormat="1" ht="17.7" customHeight="1" x14ac:dyDescent="0.3">
      <c r="A310" s="20">
        <v>309</v>
      </c>
      <c r="B310" s="20">
        <v>8200046</v>
      </c>
      <c r="C310" s="10" t="s">
        <v>342</v>
      </c>
      <c r="D310" s="10" t="s">
        <v>25</v>
      </c>
      <c r="E310" s="10" t="s">
        <v>35</v>
      </c>
      <c r="F310" s="10">
        <v>28.5</v>
      </c>
      <c r="G310" s="10">
        <v>10</v>
      </c>
      <c r="H310" s="10"/>
      <c r="I310" s="10" t="s">
        <v>297</v>
      </c>
      <c r="J310" s="10"/>
      <c r="K310" s="10"/>
      <c r="L310" s="10"/>
      <c r="M310" s="10">
        <f t="shared" si="5"/>
        <v>23.655000000000001</v>
      </c>
      <c r="N310" s="10" t="s">
        <v>28</v>
      </c>
      <c r="O310" s="10" t="s">
        <v>29</v>
      </c>
      <c r="P310" s="10" t="s">
        <v>29</v>
      </c>
      <c r="Q310" s="10"/>
      <c r="R310" s="10"/>
      <c r="S310" s="10"/>
      <c r="T310" s="10"/>
      <c r="U310" s="10"/>
      <c r="V310" s="10"/>
      <c r="W310" s="10"/>
      <c r="X310" s="10" t="s">
        <v>30</v>
      </c>
      <c r="Y310" s="11"/>
    </row>
    <row r="311" spans="1:25" s="3" customFormat="1" ht="17.7" customHeight="1" x14ac:dyDescent="0.3">
      <c r="A311" s="21">
        <v>310</v>
      </c>
      <c r="B311" s="21">
        <v>8200047</v>
      </c>
      <c r="C311" s="9" t="s">
        <v>343</v>
      </c>
      <c r="D311" s="9" t="s">
        <v>25</v>
      </c>
      <c r="E311" s="9" t="s">
        <v>35</v>
      </c>
      <c r="F311" s="9">
        <v>36</v>
      </c>
      <c r="G311" s="9">
        <v>10</v>
      </c>
      <c r="H311" s="9"/>
      <c r="I311" s="9" t="s">
        <v>297</v>
      </c>
      <c r="J311" s="9"/>
      <c r="K311" s="9"/>
      <c r="L311" s="9"/>
      <c r="M311" s="9">
        <f t="shared" si="5"/>
        <v>29.88</v>
      </c>
      <c r="N311" s="9" t="s">
        <v>28</v>
      </c>
      <c r="O311" s="9" t="s">
        <v>29</v>
      </c>
      <c r="P311" s="9" t="s">
        <v>29</v>
      </c>
      <c r="Q311" s="9"/>
      <c r="R311" s="9"/>
      <c r="S311" s="9"/>
      <c r="T311" s="9"/>
      <c r="U311" s="9"/>
      <c r="V311" s="9"/>
      <c r="W311" s="9"/>
      <c r="X311" s="9" t="s">
        <v>30</v>
      </c>
      <c r="Y311" s="11"/>
    </row>
    <row r="312" spans="1:25" s="3" customFormat="1" ht="17.7" customHeight="1" x14ac:dyDescent="0.3">
      <c r="A312" s="20">
        <v>311</v>
      </c>
      <c r="B312" s="20">
        <v>8200048</v>
      </c>
      <c r="C312" s="10" t="s">
        <v>344</v>
      </c>
      <c r="D312" s="10" t="s">
        <v>25</v>
      </c>
      <c r="E312" s="10" t="s">
        <v>35</v>
      </c>
      <c r="F312" s="10">
        <v>37.25</v>
      </c>
      <c r="G312" s="10">
        <v>10</v>
      </c>
      <c r="H312" s="10"/>
      <c r="I312" s="10" t="s">
        <v>297</v>
      </c>
      <c r="J312" s="10"/>
      <c r="K312" s="10"/>
      <c r="L312" s="10"/>
      <c r="M312" s="10">
        <f t="shared" si="5"/>
        <v>30.9175</v>
      </c>
      <c r="N312" s="10" t="s">
        <v>28</v>
      </c>
      <c r="O312" s="10" t="s">
        <v>29</v>
      </c>
      <c r="P312" s="10" t="s">
        <v>29</v>
      </c>
      <c r="Q312" s="10"/>
      <c r="R312" s="10"/>
      <c r="S312" s="10"/>
      <c r="T312" s="10"/>
      <c r="U312" s="10"/>
      <c r="V312" s="10"/>
      <c r="W312" s="10"/>
      <c r="X312" s="10" t="s">
        <v>30</v>
      </c>
      <c r="Y312" s="11"/>
    </row>
    <row r="313" spans="1:25" s="3" customFormat="1" ht="17.7" customHeight="1" x14ac:dyDescent="0.3">
      <c r="A313" s="21">
        <v>312</v>
      </c>
      <c r="B313" s="21">
        <v>8200049</v>
      </c>
      <c r="C313" s="9" t="s">
        <v>345</v>
      </c>
      <c r="D313" s="9" t="s">
        <v>25</v>
      </c>
      <c r="E313" s="9" t="s">
        <v>35</v>
      </c>
      <c r="F313" s="9">
        <v>63.75</v>
      </c>
      <c r="G313" s="9">
        <v>20</v>
      </c>
      <c r="H313" s="9"/>
      <c r="I313" s="9" t="s">
        <v>297</v>
      </c>
      <c r="J313" s="9"/>
      <c r="K313" s="9"/>
      <c r="L313" s="9"/>
      <c r="M313" s="9">
        <v>52.912500000000001</v>
      </c>
      <c r="N313" s="9" t="s">
        <v>28</v>
      </c>
      <c r="O313" s="9" t="s">
        <v>29</v>
      </c>
      <c r="P313" s="9" t="s">
        <v>29</v>
      </c>
      <c r="Q313" s="9"/>
      <c r="R313" s="9"/>
      <c r="S313" s="9"/>
      <c r="T313" s="9"/>
      <c r="U313" s="9"/>
      <c r="V313" s="9"/>
      <c r="W313" s="9"/>
      <c r="X313" s="9" t="s">
        <v>30</v>
      </c>
      <c r="Y313" s="11"/>
    </row>
    <row r="314" spans="1:25" s="3" customFormat="1" ht="17.7" customHeight="1" x14ac:dyDescent="0.3">
      <c r="A314" s="20">
        <v>313</v>
      </c>
      <c r="B314" s="20">
        <v>8200050</v>
      </c>
      <c r="C314" s="10" t="s">
        <v>346</v>
      </c>
      <c r="D314" s="10" t="s">
        <v>25</v>
      </c>
      <c r="E314" s="10" t="s">
        <v>35</v>
      </c>
      <c r="F314" s="10">
        <v>78</v>
      </c>
      <c r="G314" s="10">
        <v>10</v>
      </c>
      <c r="H314" s="10"/>
      <c r="I314" s="10" t="s">
        <v>297</v>
      </c>
      <c r="J314" s="10"/>
      <c r="K314" s="10"/>
      <c r="L314" s="10"/>
      <c r="M314" s="10">
        <v>64.739999999999995</v>
      </c>
      <c r="N314" s="10" t="s">
        <v>28</v>
      </c>
      <c r="O314" s="10" t="s">
        <v>29</v>
      </c>
      <c r="P314" s="10" t="s">
        <v>29</v>
      </c>
      <c r="Q314" s="10"/>
      <c r="R314" s="10"/>
      <c r="S314" s="10"/>
      <c r="T314" s="10"/>
      <c r="U314" s="10"/>
      <c r="V314" s="10"/>
      <c r="W314" s="10"/>
      <c r="X314" s="10" t="s">
        <v>30</v>
      </c>
      <c r="Y314" s="11"/>
    </row>
    <row r="315" spans="1:25" s="3" customFormat="1" ht="17.7" customHeight="1" x14ac:dyDescent="0.3">
      <c r="A315" s="21">
        <v>314</v>
      </c>
      <c r="B315" s="21">
        <v>8200051</v>
      </c>
      <c r="C315" s="9" t="s">
        <v>347</v>
      </c>
      <c r="D315" s="9" t="s">
        <v>25</v>
      </c>
      <c r="E315" s="9" t="s">
        <v>35</v>
      </c>
      <c r="F315" s="9">
        <v>100</v>
      </c>
      <c r="G315" s="9">
        <v>15</v>
      </c>
      <c r="H315" s="9"/>
      <c r="I315" s="9" t="s">
        <v>297</v>
      </c>
      <c r="J315" s="9"/>
      <c r="K315" s="9"/>
      <c r="L315" s="9"/>
      <c r="M315" s="9">
        <v>83</v>
      </c>
      <c r="N315" s="9" t="s">
        <v>28</v>
      </c>
      <c r="O315" s="9" t="s">
        <v>29</v>
      </c>
      <c r="P315" s="9" t="s">
        <v>29</v>
      </c>
      <c r="Q315" s="9"/>
      <c r="R315" s="9"/>
      <c r="S315" s="9"/>
      <c r="T315" s="9"/>
      <c r="U315" s="9"/>
      <c r="V315" s="9"/>
      <c r="W315" s="9"/>
      <c r="X315" s="9" t="s">
        <v>30</v>
      </c>
      <c r="Y315" s="11"/>
    </row>
    <row r="316" spans="1:25" s="3" customFormat="1" ht="17.7" customHeight="1" x14ac:dyDescent="0.3">
      <c r="A316" s="20">
        <v>315</v>
      </c>
      <c r="B316" s="20">
        <v>8200052</v>
      </c>
      <c r="C316" s="10" t="s">
        <v>348</v>
      </c>
      <c r="D316" s="10" t="s">
        <v>25</v>
      </c>
      <c r="E316" s="10" t="s">
        <v>35</v>
      </c>
      <c r="F316" s="10">
        <v>252</v>
      </c>
      <c r="G316" s="10">
        <v>3</v>
      </c>
      <c r="H316" s="10"/>
      <c r="I316" s="10" t="s">
        <v>297</v>
      </c>
      <c r="J316" s="10"/>
      <c r="K316" s="10"/>
      <c r="L316" s="10"/>
      <c r="M316" s="10">
        <v>209.16</v>
      </c>
      <c r="N316" s="10" t="s">
        <v>28</v>
      </c>
      <c r="O316" s="10" t="s">
        <v>29</v>
      </c>
      <c r="P316" s="10" t="s">
        <v>29</v>
      </c>
      <c r="Q316" s="10"/>
      <c r="R316" s="10"/>
      <c r="S316" s="10"/>
      <c r="T316" s="10"/>
      <c r="U316" s="10"/>
      <c r="V316" s="10"/>
      <c r="W316" s="10"/>
      <c r="X316" s="10" t="s">
        <v>30</v>
      </c>
      <c r="Y316" s="11"/>
    </row>
    <row r="317" spans="1:25" s="3" customFormat="1" ht="17.7" customHeight="1" x14ac:dyDescent="0.3">
      <c r="A317" s="21">
        <v>316</v>
      </c>
      <c r="B317" s="21">
        <v>8200053</v>
      </c>
      <c r="C317" s="9" t="s">
        <v>349</v>
      </c>
      <c r="D317" s="9" t="s">
        <v>25</v>
      </c>
      <c r="E317" s="9" t="s">
        <v>35</v>
      </c>
      <c r="F317" s="9">
        <v>33</v>
      </c>
      <c r="G317" s="9">
        <v>10</v>
      </c>
      <c r="H317" s="9"/>
      <c r="I317" s="9" t="s">
        <v>297</v>
      </c>
      <c r="J317" s="9"/>
      <c r="K317" s="9"/>
      <c r="L317" s="9"/>
      <c r="M317" s="9">
        <v>27.39</v>
      </c>
      <c r="N317" s="9" t="s">
        <v>28</v>
      </c>
      <c r="O317" s="9" t="s">
        <v>29</v>
      </c>
      <c r="P317" s="9" t="s">
        <v>29</v>
      </c>
      <c r="Q317" s="9"/>
      <c r="R317" s="9"/>
      <c r="S317" s="9"/>
      <c r="T317" s="9"/>
      <c r="U317" s="9"/>
      <c r="V317" s="9"/>
      <c r="W317" s="9"/>
      <c r="X317" s="9" t="s">
        <v>30</v>
      </c>
      <c r="Y317" s="11"/>
    </row>
    <row r="318" spans="1:25" s="3" customFormat="1" ht="17.7" customHeight="1" x14ac:dyDescent="0.3">
      <c r="A318" s="20">
        <v>317</v>
      </c>
      <c r="B318" s="20">
        <v>8200054</v>
      </c>
      <c r="C318" s="10" t="s">
        <v>350</v>
      </c>
      <c r="D318" s="10" t="s">
        <v>25</v>
      </c>
      <c r="E318" s="10" t="s">
        <v>35</v>
      </c>
      <c r="F318" s="10">
        <v>60.5</v>
      </c>
      <c r="G318" s="10">
        <v>10</v>
      </c>
      <c r="H318" s="10"/>
      <c r="I318" s="10" t="s">
        <v>297</v>
      </c>
      <c r="J318" s="10"/>
      <c r="K318" s="10"/>
      <c r="L318" s="10"/>
      <c r="M318" s="10">
        <v>50.215000000000003</v>
      </c>
      <c r="N318" s="10" t="s">
        <v>28</v>
      </c>
      <c r="O318" s="10" t="s">
        <v>29</v>
      </c>
      <c r="P318" s="10" t="s">
        <v>29</v>
      </c>
      <c r="Q318" s="10"/>
      <c r="R318" s="10"/>
      <c r="S318" s="10"/>
      <c r="T318" s="10"/>
      <c r="U318" s="10"/>
      <c r="V318" s="10"/>
      <c r="W318" s="10"/>
      <c r="X318" s="10" t="s">
        <v>30</v>
      </c>
      <c r="Y318" s="11"/>
    </row>
    <row r="319" spans="1:25" s="3" customFormat="1" ht="17.7" customHeight="1" x14ac:dyDescent="0.3">
      <c r="A319" s="21">
        <v>318</v>
      </c>
      <c r="B319" s="21">
        <v>8200055</v>
      </c>
      <c r="C319" s="9" t="s">
        <v>351</v>
      </c>
      <c r="D319" s="9" t="s">
        <v>25</v>
      </c>
      <c r="E319" s="9" t="s">
        <v>35</v>
      </c>
      <c r="F319" s="9">
        <v>159.25</v>
      </c>
      <c r="G319" s="9">
        <v>5</v>
      </c>
      <c r="H319" s="9"/>
      <c r="I319" s="9" t="s">
        <v>297</v>
      </c>
      <c r="J319" s="9"/>
      <c r="K319" s="9"/>
      <c r="L319" s="9"/>
      <c r="M319" s="9">
        <v>132.17750000000001</v>
      </c>
      <c r="N319" s="9" t="s">
        <v>28</v>
      </c>
      <c r="O319" s="9" t="s">
        <v>29</v>
      </c>
      <c r="P319" s="9" t="s">
        <v>29</v>
      </c>
      <c r="Q319" s="9"/>
      <c r="R319" s="9"/>
      <c r="S319" s="9"/>
      <c r="T319" s="9"/>
      <c r="U319" s="9"/>
      <c r="V319" s="9"/>
      <c r="W319" s="9"/>
      <c r="X319" s="9" t="s">
        <v>30</v>
      </c>
      <c r="Y319" s="11"/>
    </row>
    <row r="320" spans="1:25" s="3" customFormat="1" ht="17.7" customHeight="1" x14ac:dyDescent="0.3">
      <c r="A320" s="20">
        <v>319</v>
      </c>
      <c r="B320" s="20">
        <v>8200056</v>
      </c>
      <c r="C320" s="10" t="s">
        <v>352</v>
      </c>
      <c r="D320" s="10" t="s">
        <v>25</v>
      </c>
      <c r="E320" s="10" t="s">
        <v>35</v>
      </c>
      <c r="F320" s="10">
        <v>159.25</v>
      </c>
      <c r="G320" s="10">
        <v>5</v>
      </c>
      <c r="H320" s="10"/>
      <c r="I320" s="10" t="s">
        <v>297</v>
      </c>
      <c r="J320" s="10"/>
      <c r="K320" s="10"/>
      <c r="L320" s="10"/>
      <c r="M320" s="10">
        <v>132.17750000000001</v>
      </c>
      <c r="N320" s="10" t="s">
        <v>28</v>
      </c>
      <c r="O320" s="10" t="s">
        <v>29</v>
      </c>
      <c r="P320" s="10" t="s">
        <v>29</v>
      </c>
      <c r="Q320" s="10"/>
      <c r="R320" s="10"/>
      <c r="S320" s="10"/>
      <c r="T320" s="10"/>
      <c r="U320" s="10"/>
      <c r="V320" s="10"/>
      <c r="W320" s="10"/>
      <c r="X320" s="10" t="s">
        <v>30</v>
      </c>
      <c r="Y320" s="11"/>
    </row>
    <row r="321" spans="1:25" s="3" customFormat="1" ht="17.7" customHeight="1" x14ac:dyDescent="0.3">
      <c r="A321" s="21">
        <v>320</v>
      </c>
      <c r="B321" s="21">
        <v>8200057</v>
      </c>
      <c r="C321" s="9" t="s">
        <v>353</v>
      </c>
      <c r="D321" s="9" t="s">
        <v>25</v>
      </c>
      <c r="E321" s="9" t="s">
        <v>35</v>
      </c>
      <c r="F321" s="9">
        <v>213.5</v>
      </c>
      <c r="G321" s="9">
        <v>5</v>
      </c>
      <c r="H321" s="9"/>
      <c r="I321" s="9" t="s">
        <v>297</v>
      </c>
      <c r="J321" s="9"/>
      <c r="K321" s="9"/>
      <c r="L321" s="9"/>
      <c r="M321" s="9">
        <v>177.20499999999998</v>
      </c>
      <c r="N321" s="9" t="s">
        <v>28</v>
      </c>
      <c r="O321" s="9" t="s">
        <v>29</v>
      </c>
      <c r="P321" s="9" t="s">
        <v>29</v>
      </c>
      <c r="Q321" s="9"/>
      <c r="R321" s="9"/>
      <c r="S321" s="9"/>
      <c r="T321" s="9"/>
      <c r="U321" s="9"/>
      <c r="V321" s="9"/>
      <c r="W321" s="9"/>
      <c r="X321" s="9" t="s">
        <v>30</v>
      </c>
      <c r="Y321" s="11"/>
    </row>
    <row r="322" spans="1:25" s="3" customFormat="1" ht="17.7" customHeight="1" x14ac:dyDescent="0.3">
      <c r="A322" s="20">
        <v>321</v>
      </c>
      <c r="B322" s="20">
        <v>8200058</v>
      </c>
      <c r="C322" s="10" t="s">
        <v>354</v>
      </c>
      <c r="D322" s="10" t="s">
        <v>25</v>
      </c>
      <c r="E322" s="10" t="s">
        <v>35</v>
      </c>
      <c r="F322" s="10">
        <v>226</v>
      </c>
      <c r="G322" s="10">
        <v>5</v>
      </c>
      <c r="H322" s="10"/>
      <c r="I322" s="10" t="s">
        <v>297</v>
      </c>
      <c r="J322" s="10"/>
      <c r="K322" s="10"/>
      <c r="L322" s="10"/>
      <c r="M322" s="10">
        <v>187.57999999999998</v>
      </c>
      <c r="N322" s="10" t="s">
        <v>28</v>
      </c>
      <c r="O322" s="10" t="s">
        <v>29</v>
      </c>
      <c r="P322" s="10" t="s">
        <v>29</v>
      </c>
      <c r="Q322" s="10"/>
      <c r="R322" s="10"/>
      <c r="S322" s="10"/>
      <c r="T322" s="10"/>
      <c r="U322" s="10"/>
      <c r="V322" s="10"/>
      <c r="W322" s="10"/>
      <c r="X322" s="10" t="s">
        <v>30</v>
      </c>
      <c r="Y322" s="11"/>
    </row>
    <row r="323" spans="1:25" s="3" customFormat="1" ht="17.7" customHeight="1" x14ac:dyDescent="0.3">
      <c r="A323" s="21">
        <v>322</v>
      </c>
      <c r="B323" s="21">
        <v>8200059</v>
      </c>
      <c r="C323" s="9" t="s">
        <v>355</v>
      </c>
      <c r="D323" s="9" t="s">
        <v>25</v>
      </c>
      <c r="E323" s="9" t="s">
        <v>35</v>
      </c>
      <c r="F323" s="9">
        <v>226</v>
      </c>
      <c r="G323" s="9">
        <v>5</v>
      </c>
      <c r="H323" s="9"/>
      <c r="I323" s="9" t="s">
        <v>297</v>
      </c>
      <c r="J323" s="9"/>
      <c r="K323" s="9"/>
      <c r="L323" s="9"/>
      <c r="M323" s="9">
        <v>187.57999999999998</v>
      </c>
      <c r="N323" s="9" t="s">
        <v>28</v>
      </c>
      <c r="O323" s="9" t="s">
        <v>29</v>
      </c>
      <c r="P323" s="9" t="s">
        <v>29</v>
      </c>
      <c r="Q323" s="9"/>
      <c r="R323" s="9"/>
      <c r="S323" s="9"/>
      <c r="T323" s="9"/>
      <c r="U323" s="9"/>
      <c r="V323" s="9"/>
      <c r="W323" s="9"/>
      <c r="X323" s="9" t="s">
        <v>30</v>
      </c>
      <c r="Y323" s="11"/>
    </row>
    <row r="324" spans="1:25" s="3" customFormat="1" ht="17.7" customHeight="1" x14ac:dyDescent="0.3">
      <c r="A324" s="20">
        <v>323</v>
      </c>
      <c r="B324" s="20">
        <v>8200060</v>
      </c>
      <c r="C324" s="10" t="s">
        <v>356</v>
      </c>
      <c r="D324" s="10" t="s">
        <v>25</v>
      </c>
      <c r="E324" s="10" t="s">
        <v>35</v>
      </c>
      <c r="F324" s="10">
        <v>226</v>
      </c>
      <c r="G324" s="10">
        <v>5</v>
      </c>
      <c r="H324" s="10"/>
      <c r="I324" s="10" t="s">
        <v>297</v>
      </c>
      <c r="J324" s="10"/>
      <c r="K324" s="10"/>
      <c r="L324" s="10"/>
      <c r="M324" s="10">
        <v>187.57999999999998</v>
      </c>
      <c r="N324" s="10" t="s">
        <v>28</v>
      </c>
      <c r="O324" s="10" t="s">
        <v>29</v>
      </c>
      <c r="P324" s="10" t="s">
        <v>29</v>
      </c>
      <c r="Q324" s="10"/>
      <c r="R324" s="10"/>
      <c r="S324" s="10"/>
      <c r="T324" s="10"/>
      <c r="U324" s="10"/>
      <c r="V324" s="10"/>
      <c r="W324" s="10"/>
      <c r="X324" s="10" t="s">
        <v>30</v>
      </c>
      <c r="Y324" s="11"/>
    </row>
    <row r="325" spans="1:25" s="3" customFormat="1" ht="17.7" customHeight="1" x14ac:dyDescent="0.3">
      <c r="A325" s="21">
        <v>324</v>
      </c>
      <c r="B325" s="21">
        <v>8200061</v>
      </c>
      <c r="C325" s="9" t="s">
        <v>357</v>
      </c>
      <c r="D325" s="9" t="s">
        <v>25</v>
      </c>
      <c r="E325" s="9" t="s">
        <v>35</v>
      </c>
      <c r="F325" s="9">
        <v>226</v>
      </c>
      <c r="G325" s="9">
        <v>5</v>
      </c>
      <c r="H325" s="9"/>
      <c r="I325" s="9" t="s">
        <v>297</v>
      </c>
      <c r="J325" s="9"/>
      <c r="K325" s="9"/>
      <c r="L325" s="9"/>
      <c r="M325" s="9">
        <v>187.57999999999998</v>
      </c>
      <c r="N325" s="9" t="s">
        <v>28</v>
      </c>
      <c r="O325" s="9" t="s">
        <v>29</v>
      </c>
      <c r="P325" s="9" t="s">
        <v>29</v>
      </c>
      <c r="Q325" s="9"/>
      <c r="R325" s="9"/>
      <c r="S325" s="9"/>
      <c r="T325" s="9"/>
      <c r="U325" s="9"/>
      <c r="V325" s="9"/>
      <c r="W325" s="9"/>
      <c r="X325" s="9" t="s">
        <v>30</v>
      </c>
      <c r="Y325" s="11"/>
    </row>
    <row r="326" spans="1:25" s="3" customFormat="1" ht="17.7" customHeight="1" x14ac:dyDescent="0.3">
      <c r="A326" s="20">
        <v>325</v>
      </c>
      <c r="B326" s="20">
        <v>8200062</v>
      </c>
      <c r="C326" s="10" t="s">
        <v>358</v>
      </c>
      <c r="D326" s="10" t="s">
        <v>25</v>
      </c>
      <c r="E326" s="10" t="s">
        <v>35</v>
      </c>
      <c r="F326" s="10">
        <v>177.5</v>
      </c>
      <c r="G326" s="10">
        <v>5</v>
      </c>
      <c r="H326" s="10"/>
      <c r="I326" s="10" t="s">
        <v>297</v>
      </c>
      <c r="J326" s="10"/>
      <c r="K326" s="10"/>
      <c r="L326" s="10"/>
      <c r="M326" s="10">
        <v>147.32499999999999</v>
      </c>
      <c r="N326" s="10" t="s">
        <v>28</v>
      </c>
      <c r="O326" s="10" t="s">
        <v>29</v>
      </c>
      <c r="P326" s="10" t="s">
        <v>29</v>
      </c>
      <c r="Q326" s="10"/>
      <c r="R326" s="10"/>
      <c r="S326" s="10"/>
      <c r="T326" s="10"/>
      <c r="U326" s="10"/>
      <c r="V326" s="10"/>
      <c r="W326" s="10"/>
      <c r="X326" s="10" t="s">
        <v>30</v>
      </c>
      <c r="Y326" s="11"/>
    </row>
    <row r="327" spans="1:25" s="3" customFormat="1" ht="17.7" customHeight="1" x14ac:dyDescent="0.3">
      <c r="A327" s="21">
        <v>326</v>
      </c>
      <c r="B327" s="21">
        <v>8200063</v>
      </c>
      <c r="C327" s="9" t="s">
        <v>359</v>
      </c>
      <c r="D327" s="9" t="s">
        <v>25</v>
      </c>
      <c r="E327" s="9" t="s">
        <v>35</v>
      </c>
      <c r="F327" s="9">
        <v>106.5</v>
      </c>
      <c r="G327" s="9">
        <v>10</v>
      </c>
      <c r="H327" s="9"/>
      <c r="I327" s="9" t="s">
        <v>297</v>
      </c>
      <c r="J327" s="9"/>
      <c r="K327" s="9"/>
      <c r="L327" s="9"/>
      <c r="M327" s="9">
        <v>88.394999999999996</v>
      </c>
      <c r="N327" s="9" t="s">
        <v>28</v>
      </c>
      <c r="O327" s="9" t="s">
        <v>29</v>
      </c>
      <c r="P327" s="9" t="s">
        <v>29</v>
      </c>
      <c r="Q327" s="9"/>
      <c r="R327" s="9"/>
      <c r="S327" s="9"/>
      <c r="T327" s="9"/>
      <c r="U327" s="9"/>
      <c r="V327" s="9"/>
      <c r="W327" s="9"/>
      <c r="X327" s="9" t="s">
        <v>30</v>
      </c>
      <c r="Y327" s="11"/>
    </row>
    <row r="328" spans="1:25" s="3" customFormat="1" ht="17.7" customHeight="1" x14ac:dyDescent="0.3">
      <c r="A328" s="20">
        <v>327</v>
      </c>
      <c r="B328" s="20">
        <v>8200064</v>
      </c>
      <c r="C328" s="10" t="s">
        <v>360</v>
      </c>
      <c r="D328" s="10" t="s">
        <v>25</v>
      </c>
      <c r="E328" s="10" t="s">
        <v>35</v>
      </c>
      <c r="F328" s="10">
        <v>176.75</v>
      </c>
      <c r="G328" s="10">
        <v>10</v>
      </c>
      <c r="H328" s="10"/>
      <c r="I328" s="10" t="s">
        <v>297</v>
      </c>
      <c r="J328" s="10"/>
      <c r="K328" s="10"/>
      <c r="L328" s="10"/>
      <c r="M328" s="10">
        <v>146.70249999999999</v>
      </c>
      <c r="N328" s="10" t="s">
        <v>28</v>
      </c>
      <c r="O328" s="10" t="s">
        <v>29</v>
      </c>
      <c r="P328" s="10" t="s">
        <v>29</v>
      </c>
      <c r="Q328" s="10"/>
      <c r="R328" s="10"/>
      <c r="S328" s="10"/>
      <c r="T328" s="10"/>
      <c r="U328" s="10"/>
      <c r="V328" s="10"/>
      <c r="W328" s="10"/>
      <c r="X328" s="10" t="s">
        <v>30</v>
      </c>
      <c r="Y328" s="11"/>
    </row>
    <row r="329" spans="1:25" s="3" customFormat="1" ht="17.7" customHeight="1" x14ac:dyDescent="0.3">
      <c r="A329" s="21">
        <v>328</v>
      </c>
      <c r="B329" s="21">
        <v>8200065</v>
      </c>
      <c r="C329" s="9" t="s">
        <v>361</v>
      </c>
      <c r="D329" s="9" t="s">
        <v>25</v>
      </c>
      <c r="E329" s="9" t="s">
        <v>35</v>
      </c>
      <c r="F329" s="9">
        <v>278.5</v>
      </c>
      <c r="G329" s="9">
        <v>10</v>
      </c>
      <c r="H329" s="9"/>
      <c r="I329" s="9" t="s">
        <v>297</v>
      </c>
      <c r="J329" s="9"/>
      <c r="K329" s="9"/>
      <c r="L329" s="9"/>
      <c r="M329" s="9">
        <v>231.155</v>
      </c>
      <c r="N329" s="9" t="s">
        <v>28</v>
      </c>
      <c r="O329" s="9" t="s">
        <v>29</v>
      </c>
      <c r="P329" s="9" t="s">
        <v>29</v>
      </c>
      <c r="Q329" s="9"/>
      <c r="R329" s="9"/>
      <c r="S329" s="9"/>
      <c r="T329" s="9"/>
      <c r="U329" s="9"/>
      <c r="V329" s="9"/>
      <c r="W329" s="9"/>
      <c r="X329" s="9" t="s">
        <v>30</v>
      </c>
      <c r="Y329" s="11"/>
    </row>
    <row r="330" spans="1:25" s="3" customFormat="1" ht="17.7" customHeight="1" x14ac:dyDescent="0.3">
      <c r="A330" s="20">
        <v>329</v>
      </c>
      <c r="B330" s="20">
        <v>8200066</v>
      </c>
      <c r="C330" s="10" t="s">
        <v>362</v>
      </c>
      <c r="D330" s="10" t="s">
        <v>25</v>
      </c>
      <c r="E330" s="10" t="s">
        <v>35</v>
      </c>
      <c r="F330" s="10">
        <v>13.25</v>
      </c>
      <c r="G330" s="10">
        <v>10</v>
      </c>
      <c r="H330" s="10"/>
      <c r="I330" s="10" t="s">
        <v>297</v>
      </c>
      <c r="J330" s="10"/>
      <c r="K330" s="10"/>
      <c r="L330" s="10"/>
      <c r="M330" s="10">
        <v>10.9975</v>
      </c>
      <c r="N330" s="10" t="s">
        <v>28</v>
      </c>
      <c r="O330" s="10" t="s">
        <v>29</v>
      </c>
      <c r="P330" s="10" t="s">
        <v>29</v>
      </c>
      <c r="Q330" s="10"/>
      <c r="R330" s="10"/>
      <c r="S330" s="10"/>
      <c r="T330" s="10"/>
      <c r="U330" s="10"/>
      <c r="V330" s="10"/>
      <c r="W330" s="10"/>
      <c r="X330" s="10" t="s">
        <v>30</v>
      </c>
      <c r="Y330" s="11"/>
    </row>
    <row r="331" spans="1:25" s="3" customFormat="1" ht="17.7" customHeight="1" x14ac:dyDescent="0.3">
      <c r="A331" s="21">
        <v>330</v>
      </c>
      <c r="B331" s="21">
        <v>8200067</v>
      </c>
      <c r="C331" s="9" t="s">
        <v>363</v>
      </c>
      <c r="D331" s="9" t="s">
        <v>25</v>
      </c>
      <c r="E331" s="9" t="s">
        <v>35</v>
      </c>
      <c r="F331" s="9">
        <v>17</v>
      </c>
      <c r="G331" s="9">
        <v>10</v>
      </c>
      <c r="H331" s="9"/>
      <c r="I331" s="9" t="s">
        <v>297</v>
      </c>
      <c r="J331" s="9"/>
      <c r="K331" s="9"/>
      <c r="L331" s="9"/>
      <c r="M331" s="9">
        <v>14.11</v>
      </c>
      <c r="N331" s="9" t="s">
        <v>28</v>
      </c>
      <c r="O331" s="9" t="s">
        <v>29</v>
      </c>
      <c r="P331" s="9" t="s">
        <v>29</v>
      </c>
      <c r="Q331" s="9"/>
      <c r="R331" s="9"/>
      <c r="S331" s="9"/>
      <c r="T331" s="9"/>
      <c r="U331" s="9"/>
      <c r="V331" s="9"/>
      <c r="W331" s="9"/>
      <c r="X331" s="9" t="s">
        <v>30</v>
      </c>
      <c r="Y331" s="11"/>
    </row>
    <row r="332" spans="1:25" s="3" customFormat="1" ht="17.7" customHeight="1" x14ac:dyDescent="0.3">
      <c r="A332" s="20">
        <v>331</v>
      </c>
      <c r="B332" s="20">
        <v>8200068</v>
      </c>
      <c r="C332" s="10" t="s">
        <v>364</v>
      </c>
      <c r="D332" s="10" t="s">
        <v>25</v>
      </c>
      <c r="E332" s="10" t="s">
        <v>35</v>
      </c>
      <c r="F332" s="10">
        <v>17</v>
      </c>
      <c r="G332" s="10">
        <v>10</v>
      </c>
      <c r="H332" s="10"/>
      <c r="I332" s="10" t="s">
        <v>297</v>
      </c>
      <c r="J332" s="10"/>
      <c r="K332" s="10"/>
      <c r="L332" s="10"/>
      <c r="M332" s="10">
        <v>14.11</v>
      </c>
      <c r="N332" s="10" t="s">
        <v>28</v>
      </c>
      <c r="O332" s="10" t="s">
        <v>29</v>
      </c>
      <c r="P332" s="10" t="s">
        <v>29</v>
      </c>
      <c r="Q332" s="10"/>
      <c r="R332" s="10"/>
      <c r="S332" s="10"/>
      <c r="T332" s="10"/>
      <c r="U332" s="10"/>
      <c r="V332" s="10"/>
      <c r="W332" s="10"/>
      <c r="X332" s="10" t="s">
        <v>30</v>
      </c>
      <c r="Y332" s="11"/>
    </row>
    <row r="333" spans="1:25" s="3" customFormat="1" ht="17.7" customHeight="1" x14ac:dyDescent="0.3">
      <c r="A333" s="21">
        <v>332</v>
      </c>
      <c r="B333" s="21">
        <v>8200069</v>
      </c>
      <c r="C333" s="9" t="s">
        <v>365</v>
      </c>
      <c r="D333" s="9" t="s">
        <v>25</v>
      </c>
      <c r="E333" s="9" t="s">
        <v>35</v>
      </c>
      <c r="F333" s="9">
        <v>51</v>
      </c>
      <c r="G333" s="9">
        <v>10</v>
      </c>
      <c r="H333" s="9"/>
      <c r="I333" s="9" t="s">
        <v>297</v>
      </c>
      <c r="J333" s="9"/>
      <c r="K333" s="9"/>
      <c r="L333" s="9"/>
      <c r="M333" s="9">
        <v>42.33</v>
      </c>
      <c r="N333" s="9" t="s">
        <v>28</v>
      </c>
      <c r="O333" s="9" t="s">
        <v>29</v>
      </c>
      <c r="P333" s="9" t="s">
        <v>29</v>
      </c>
      <c r="Q333" s="9"/>
      <c r="R333" s="9"/>
      <c r="S333" s="9"/>
      <c r="T333" s="9"/>
      <c r="U333" s="9"/>
      <c r="V333" s="9"/>
      <c r="W333" s="9"/>
      <c r="X333" s="9" t="s">
        <v>30</v>
      </c>
      <c r="Y333" s="11"/>
    </row>
    <row r="334" spans="1:25" s="3" customFormat="1" ht="17.7" customHeight="1" x14ac:dyDescent="0.3">
      <c r="A334" s="20">
        <v>333</v>
      </c>
      <c r="B334" s="20">
        <v>8200070</v>
      </c>
      <c r="C334" s="10" t="s">
        <v>366</v>
      </c>
      <c r="D334" s="10" t="s">
        <v>25</v>
      </c>
      <c r="E334" s="10" t="s">
        <v>35</v>
      </c>
      <c r="F334" s="10">
        <v>61.25</v>
      </c>
      <c r="G334" s="10">
        <v>10</v>
      </c>
      <c r="H334" s="10"/>
      <c r="I334" s="10" t="s">
        <v>297</v>
      </c>
      <c r="J334" s="10"/>
      <c r="K334" s="10"/>
      <c r="L334" s="10"/>
      <c r="M334" s="10">
        <v>50.837499999999999</v>
      </c>
      <c r="N334" s="10" t="s">
        <v>28</v>
      </c>
      <c r="O334" s="10" t="s">
        <v>29</v>
      </c>
      <c r="P334" s="10" t="s">
        <v>29</v>
      </c>
      <c r="Q334" s="10"/>
      <c r="R334" s="10"/>
      <c r="S334" s="10"/>
      <c r="T334" s="10"/>
      <c r="U334" s="10"/>
      <c r="V334" s="10"/>
      <c r="W334" s="10"/>
      <c r="X334" s="10" t="s">
        <v>30</v>
      </c>
      <c r="Y334" s="11"/>
    </row>
    <row r="335" spans="1:25" s="3" customFormat="1" ht="17.7" customHeight="1" x14ac:dyDescent="0.3">
      <c r="A335" s="21">
        <v>334</v>
      </c>
      <c r="B335" s="21">
        <v>8200071</v>
      </c>
      <c r="C335" s="9" t="s">
        <v>367</v>
      </c>
      <c r="D335" s="9" t="s">
        <v>25</v>
      </c>
      <c r="E335" s="9" t="s">
        <v>35</v>
      </c>
      <c r="F335" s="9">
        <v>75.75</v>
      </c>
      <c r="G335" s="9">
        <v>10</v>
      </c>
      <c r="H335" s="9"/>
      <c r="I335" s="9" t="s">
        <v>297</v>
      </c>
      <c r="J335" s="9"/>
      <c r="K335" s="9"/>
      <c r="L335" s="9"/>
      <c r="M335" s="9">
        <v>62.872500000000002</v>
      </c>
      <c r="N335" s="9" t="s">
        <v>28</v>
      </c>
      <c r="O335" s="9" t="s">
        <v>29</v>
      </c>
      <c r="P335" s="9" t="s">
        <v>29</v>
      </c>
      <c r="Q335" s="9"/>
      <c r="R335" s="9"/>
      <c r="S335" s="9"/>
      <c r="T335" s="9"/>
      <c r="U335" s="9"/>
      <c r="V335" s="9"/>
      <c r="W335" s="9"/>
      <c r="X335" s="9" t="s">
        <v>30</v>
      </c>
      <c r="Y335" s="11"/>
    </row>
    <row r="336" spans="1:25" s="3" customFormat="1" ht="17.7" customHeight="1" x14ac:dyDescent="0.3">
      <c r="A336" s="20">
        <v>335</v>
      </c>
      <c r="B336" s="20">
        <v>8200072</v>
      </c>
      <c r="C336" s="10" t="s">
        <v>368</v>
      </c>
      <c r="D336" s="10" t="s">
        <v>25</v>
      </c>
      <c r="E336" s="10" t="s">
        <v>35</v>
      </c>
      <c r="F336" s="10">
        <v>134.25</v>
      </c>
      <c r="G336" s="10">
        <v>5</v>
      </c>
      <c r="H336" s="10"/>
      <c r="I336" s="10" t="s">
        <v>297</v>
      </c>
      <c r="J336" s="10"/>
      <c r="K336" s="10"/>
      <c r="L336" s="10"/>
      <c r="M336" s="10">
        <v>111.42749999999999</v>
      </c>
      <c r="N336" s="10" t="s">
        <v>28</v>
      </c>
      <c r="O336" s="10" t="s">
        <v>29</v>
      </c>
      <c r="P336" s="10" t="s">
        <v>29</v>
      </c>
      <c r="Q336" s="10"/>
      <c r="R336" s="10"/>
      <c r="S336" s="10"/>
      <c r="T336" s="10"/>
      <c r="U336" s="10"/>
      <c r="V336" s="10"/>
      <c r="W336" s="10"/>
      <c r="X336" s="10" t="s">
        <v>30</v>
      </c>
      <c r="Y336" s="11"/>
    </row>
    <row r="337" spans="1:25" s="3" customFormat="1" ht="17.7" customHeight="1" x14ac:dyDescent="0.3">
      <c r="A337" s="21">
        <v>336</v>
      </c>
      <c r="B337" s="21">
        <v>8200073</v>
      </c>
      <c r="C337" s="9" t="s">
        <v>369</v>
      </c>
      <c r="D337" s="9" t="s">
        <v>25</v>
      </c>
      <c r="E337" s="9" t="s">
        <v>35</v>
      </c>
      <c r="F337" s="9">
        <v>188.75</v>
      </c>
      <c r="G337" s="9">
        <v>3</v>
      </c>
      <c r="H337" s="9"/>
      <c r="I337" s="9" t="s">
        <v>297</v>
      </c>
      <c r="J337" s="9"/>
      <c r="K337" s="9"/>
      <c r="L337" s="9"/>
      <c r="M337" s="9">
        <v>156.66249999999999</v>
      </c>
      <c r="N337" s="9" t="s">
        <v>28</v>
      </c>
      <c r="O337" s="9" t="s">
        <v>29</v>
      </c>
      <c r="P337" s="9" t="s">
        <v>29</v>
      </c>
      <c r="Q337" s="9"/>
      <c r="R337" s="9"/>
      <c r="S337" s="9"/>
      <c r="T337" s="9"/>
      <c r="U337" s="9"/>
      <c r="V337" s="9"/>
      <c r="W337" s="9"/>
      <c r="X337" s="9" t="s">
        <v>30</v>
      </c>
      <c r="Y337" s="11"/>
    </row>
    <row r="338" spans="1:25" s="3" customFormat="1" ht="17.7" customHeight="1" x14ac:dyDescent="0.3">
      <c r="A338" s="20">
        <v>337</v>
      </c>
      <c r="B338" s="20">
        <v>8200074</v>
      </c>
      <c r="C338" s="10" t="s">
        <v>370</v>
      </c>
      <c r="D338" s="10" t="s">
        <v>25</v>
      </c>
      <c r="E338" s="10" t="s">
        <v>35</v>
      </c>
      <c r="F338" s="10">
        <v>71.25</v>
      </c>
      <c r="G338" s="10">
        <v>10</v>
      </c>
      <c r="H338" s="10"/>
      <c r="I338" s="10" t="s">
        <v>297</v>
      </c>
      <c r="J338" s="10"/>
      <c r="K338" s="10"/>
      <c r="L338" s="10"/>
      <c r="M338" s="10">
        <v>59.137500000000003</v>
      </c>
      <c r="N338" s="10" t="s">
        <v>28</v>
      </c>
      <c r="O338" s="10" t="s">
        <v>29</v>
      </c>
      <c r="P338" s="10" t="s">
        <v>29</v>
      </c>
      <c r="Q338" s="10"/>
      <c r="R338" s="10"/>
      <c r="S338" s="10"/>
      <c r="T338" s="10"/>
      <c r="U338" s="10"/>
      <c r="V338" s="10"/>
      <c r="W338" s="10"/>
      <c r="X338" s="10" t="s">
        <v>30</v>
      </c>
      <c r="Y338" s="11"/>
    </row>
    <row r="339" spans="1:25" s="3" customFormat="1" ht="17.7" customHeight="1" x14ac:dyDescent="0.3">
      <c r="A339" s="21">
        <v>338</v>
      </c>
      <c r="B339" s="21">
        <v>8200075</v>
      </c>
      <c r="C339" s="9" t="s">
        <v>371</v>
      </c>
      <c r="D339" s="9" t="s">
        <v>25</v>
      </c>
      <c r="E339" s="9" t="s">
        <v>35</v>
      </c>
      <c r="F339" s="9">
        <v>78</v>
      </c>
      <c r="G339" s="9">
        <v>10</v>
      </c>
      <c r="H339" s="9"/>
      <c r="I339" s="9" t="s">
        <v>297</v>
      </c>
      <c r="J339" s="9"/>
      <c r="K339" s="9"/>
      <c r="L339" s="9"/>
      <c r="M339" s="9">
        <v>64.739999999999995</v>
      </c>
      <c r="N339" s="9" t="s">
        <v>28</v>
      </c>
      <c r="O339" s="9" t="s">
        <v>29</v>
      </c>
      <c r="P339" s="9" t="s">
        <v>29</v>
      </c>
      <c r="Q339" s="9"/>
      <c r="R339" s="9"/>
      <c r="S339" s="9"/>
      <c r="T339" s="9"/>
      <c r="U339" s="9"/>
      <c r="V339" s="9"/>
      <c r="W339" s="9"/>
      <c r="X339" s="9" t="s">
        <v>30</v>
      </c>
      <c r="Y339" s="11"/>
    </row>
    <row r="340" spans="1:25" s="3" customFormat="1" ht="17.7" customHeight="1" x14ac:dyDescent="0.3">
      <c r="A340" s="20">
        <v>339</v>
      </c>
      <c r="B340" s="20">
        <v>8200076</v>
      </c>
      <c r="C340" s="10" t="s">
        <v>372</v>
      </c>
      <c r="D340" s="10" t="s">
        <v>25</v>
      </c>
      <c r="E340" s="10" t="s">
        <v>35</v>
      </c>
      <c r="F340" s="10">
        <v>132.75</v>
      </c>
      <c r="G340" s="10">
        <v>10</v>
      </c>
      <c r="H340" s="10"/>
      <c r="I340" s="10" t="s">
        <v>297</v>
      </c>
      <c r="J340" s="10"/>
      <c r="K340" s="10"/>
      <c r="L340" s="10"/>
      <c r="M340" s="10">
        <v>110.1825</v>
      </c>
      <c r="N340" s="10" t="s">
        <v>28</v>
      </c>
      <c r="O340" s="10" t="s">
        <v>29</v>
      </c>
      <c r="P340" s="10" t="s">
        <v>29</v>
      </c>
      <c r="Q340" s="10"/>
      <c r="R340" s="10"/>
      <c r="S340" s="10"/>
      <c r="T340" s="10"/>
      <c r="U340" s="10"/>
      <c r="V340" s="10"/>
      <c r="W340" s="10"/>
      <c r="X340" s="10" t="s">
        <v>30</v>
      </c>
      <c r="Y340" s="11"/>
    </row>
    <row r="341" spans="1:25" s="3" customFormat="1" ht="17.7" customHeight="1" x14ac:dyDescent="0.3">
      <c r="A341" s="21">
        <v>340</v>
      </c>
      <c r="B341" s="21">
        <v>8200077</v>
      </c>
      <c r="C341" s="9" t="s">
        <v>373</v>
      </c>
      <c r="D341" s="9" t="s">
        <v>25</v>
      </c>
      <c r="E341" s="9" t="s">
        <v>35</v>
      </c>
      <c r="F341" s="9">
        <v>127</v>
      </c>
      <c r="G341" s="9">
        <v>15</v>
      </c>
      <c r="H341" s="9"/>
      <c r="I341" s="9" t="s">
        <v>297</v>
      </c>
      <c r="J341" s="9"/>
      <c r="K341" s="9"/>
      <c r="L341" s="9"/>
      <c r="M341" s="9">
        <v>105.41</v>
      </c>
      <c r="N341" s="9" t="s">
        <v>28</v>
      </c>
      <c r="O341" s="9" t="s">
        <v>29</v>
      </c>
      <c r="P341" s="9" t="s">
        <v>29</v>
      </c>
      <c r="Q341" s="9"/>
      <c r="R341" s="9"/>
      <c r="S341" s="9"/>
      <c r="T341" s="9"/>
      <c r="U341" s="9"/>
      <c r="V341" s="9"/>
      <c r="W341" s="9"/>
      <c r="X341" s="9" t="s">
        <v>30</v>
      </c>
      <c r="Y341" s="11"/>
    </row>
    <row r="342" spans="1:25" s="3" customFormat="1" ht="17.7" customHeight="1" x14ac:dyDescent="0.3">
      <c r="A342" s="20">
        <v>341</v>
      </c>
      <c r="B342" s="20">
        <v>8200078</v>
      </c>
      <c r="C342" s="10" t="s">
        <v>374</v>
      </c>
      <c r="D342" s="10" t="s">
        <v>25</v>
      </c>
      <c r="E342" s="10" t="s">
        <v>35</v>
      </c>
      <c r="F342" s="10">
        <v>27</v>
      </c>
      <c r="G342" s="10">
        <v>10</v>
      </c>
      <c r="H342" s="10"/>
      <c r="I342" s="10" t="s">
        <v>297</v>
      </c>
      <c r="J342" s="10"/>
      <c r="K342" s="10"/>
      <c r="L342" s="10"/>
      <c r="M342" s="10">
        <v>22.41</v>
      </c>
      <c r="N342" s="10" t="s">
        <v>28</v>
      </c>
      <c r="O342" s="10" t="s">
        <v>29</v>
      </c>
      <c r="P342" s="10" t="s">
        <v>29</v>
      </c>
      <c r="Q342" s="10"/>
      <c r="R342" s="10"/>
      <c r="S342" s="10"/>
      <c r="T342" s="10"/>
      <c r="U342" s="10"/>
      <c r="V342" s="10"/>
      <c r="W342" s="10"/>
      <c r="X342" s="10" t="s">
        <v>30</v>
      </c>
      <c r="Y342" s="11"/>
    </row>
    <row r="343" spans="1:25" s="3" customFormat="1" ht="17.7" customHeight="1" x14ac:dyDescent="0.3">
      <c r="A343" s="21">
        <v>342</v>
      </c>
      <c r="B343" s="21">
        <v>8200079</v>
      </c>
      <c r="C343" s="9" t="s">
        <v>375</v>
      </c>
      <c r="D343" s="9" t="s">
        <v>25</v>
      </c>
      <c r="E343" s="9" t="s">
        <v>35</v>
      </c>
      <c r="F343" s="9">
        <v>27</v>
      </c>
      <c r="G343" s="9">
        <v>10</v>
      </c>
      <c r="H343" s="9"/>
      <c r="I343" s="9" t="s">
        <v>297</v>
      </c>
      <c r="J343" s="9"/>
      <c r="K343" s="9"/>
      <c r="L343" s="9"/>
      <c r="M343" s="9">
        <v>22.41</v>
      </c>
      <c r="N343" s="9" t="s">
        <v>28</v>
      </c>
      <c r="O343" s="9" t="s">
        <v>29</v>
      </c>
      <c r="P343" s="9" t="s">
        <v>29</v>
      </c>
      <c r="Q343" s="9"/>
      <c r="R343" s="9"/>
      <c r="S343" s="9"/>
      <c r="T343" s="9"/>
      <c r="U343" s="9"/>
      <c r="V343" s="9"/>
      <c r="W343" s="9"/>
      <c r="X343" s="9" t="s">
        <v>30</v>
      </c>
      <c r="Y343" s="11"/>
    </row>
    <row r="344" spans="1:25" s="3" customFormat="1" ht="17.7" customHeight="1" x14ac:dyDescent="0.3">
      <c r="A344" s="20">
        <v>343</v>
      </c>
      <c r="B344" s="20">
        <v>8200080</v>
      </c>
      <c r="C344" s="10" t="s">
        <v>376</v>
      </c>
      <c r="D344" s="10" t="s">
        <v>25</v>
      </c>
      <c r="E344" s="10" t="s">
        <v>35</v>
      </c>
      <c r="F344" s="10">
        <v>32.5</v>
      </c>
      <c r="G344" s="10">
        <v>10</v>
      </c>
      <c r="H344" s="10"/>
      <c r="I344" s="10" t="s">
        <v>297</v>
      </c>
      <c r="J344" s="10"/>
      <c r="K344" s="10"/>
      <c r="L344" s="10"/>
      <c r="M344" s="10">
        <v>26.975000000000001</v>
      </c>
      <c r="N344" s="10" t="s">
        <v>28</v>
      </c>
      <c r="O344" s="10" t="s">
        <v>29</v>
      </c>
      <c r="P344" s="10" t="s">
        <v>29</v>
      </c>
      <c r="Q344" s="10"/>
      <c r="R344" s="10"/>
      <c r="S344" s="10"/>
      <c r="T344" s="10"/>
      <c r="U344" s="10"/>
      <c r="V344" s="10"/>
      <c r="W344" s="10"/>
      <c r="X344" s="10" t="s">
        <v>30</v>
      </c>
      <c r="Y344" s="11"/>
    </row>
    <row r="345" spans="1:25" s="3" customFormat="1" ht="17.7" customHeight="1" x14ac:dyDescent="0.3">
      <c r="A345" s="21">
        <v>344</v>
      </c>
      <c r="B345" s="21">
        <v>8200081</v>
      </c>
      <c r="C345" s="9" t="s">
        <v>377</v>
      </c>
      <c r="D345" s="9" t="s">
        <v>25</v>
      </c>
      <c r="E345" s="9" t="s">
        <v>35</v>
      </c>
      <c r="F345" s="9">
        <v>32.5</v>
      </c>
      <c r="G345" s="9">
        <v>10</v>
      </c>
      <c r="H345" s="9"/>
      <c r="I345" s="9" t="s">
        <v>297</v>
      </c>
      <c r="J345" s="9"/>
      <c r="K345" s="9"/>
      <c r="L345" s="9"/>
      <c r="M345" s="9">
        <v>26.975000000000001</v>
      </c>
      <c r="N345" s="9" t="s">
        <v>28</v>
      </c>
      <c r="O345" s="9" t="s">
        <v>29</v>
      </c>
      <c r="P345" s="9" t="s">
        <v>29</v>
      </c>
      <c r="Q345" s="9"/>
      <c r="R345" s="9"/>
      <c r="S345" s="9"/>
      <c r="T345" s="9"/>
      <c r="U345" s="9"/>
      <c r="V345" s="9"/>
      <c r="W345" s="9"/>
      <c r="X345" s="9" t="s">
        <v>30</v>
      </c>
      <c r="Y345" s="11"/>
    </row>
    <row r="346" spans="1:25" s="3" customFormat="1" ht="17.7" customHeight="1" x14ac:dyDescent="0.3">
      <c r="A346" s="20">
        <v>345</v>
      </c>
      <c r="B346" s="20">
        <v>8200082</v>
      </c>
      <c r="C346" s="10" t="s">
        <v>378</v>
      </c>
      <c r="D346" s="10" t="s">
        <v>25</v>
      </c>
      <c r="E346" s="10" t="s">
        <v>35</v>
      </c>
      <c r="F346" s="10">
        <v>37.75</v>
      </c>
      <c r="G346" s="10">
        <v>10</v>
      </c>
      <c r="H346" s="10"/>
      <c r="I346" s="10" t="s">
        <v>297</v>
      </c>
      <c r="J346" s="10"/>
      <c r="K346" s="10"/>
      <c r="L346" s="10"/>
      <c r="M346" s="10">
        <v>31.3325</v>
      </c>
      <c r="N346" s="10" t="s">
        <v>28</v>
      </c>
      <c r="O346" s="10" t="s">
        <v>29</v>
      </c>
      <c r="P346" s="10" t="s">
        <v>29</v>
      </c>
      <c r="Q346" s="10"/>
      <c r="R346" s="10"/>
      <c r="S346" s="10"/>
      <c r="T346" s="10"/>
      <c r="U346" s="10"/>
      <c r="V346" s="10"/>
      <c r="W346" s="10"/>
      <c r="X346" s="10" t="s">
        <v>30</v>
      </c>
      <c r="Y346" s="11"/>
    </row>
    <row r="347" spans="1:25" s="3" customFormat="1" ht="17.7" customHeight="1" x14ac:dyDescent="0.3">
      <c r="A347" s="21">
        <v>346</v>
      </c>
      <c r="B347" s="21">
        <v>8200083</v>
      </c>
      <c r="C347" s="9" t="s">
        <v>379</v>
      </c>
      <c r="D347" s="9" t="s">
        <v>25</v>
      </c>
      <c r="E347" s="9" t="s">
        <v>35</v>
      </c>
      <c r="F347" s="9">
        <v>73.5</v>
      </c>
      <c r="G347" s="9">
        <v>10</v>
      </c>
      <c r="H347" s="9"/>
      <c r="I347" s="9" t="s">
        <v>297</v>
      </c>
      <c r="J347" s="9"/>
      <c r="K347" s="9"/>
      <c r="L347" s="9"/>
      <c r="M347" s="9">
        <v>61.004999999999995</v>
      </c>
      <c r="N347" s="9" t="s">
        <v>28</v>
      </c>
      <c r="O347" s="9" t="s">
        <v>29</v>
      </c>
      <c r="P347" s="9" t="s">
        <v>29</v>
      </c>
      <c r="Q347" s="9"/>
      <c r="R347" s="9"/>
      <c r="S347" s="9"/>
      <c r="T347" s="9"/>
      <c r="U347" s="9"/>
      <c r="V347" s="9"/>
      <c r="W347" s="9"/>
      <c r="X347" s="9" t="s">
        <v>30</v>
      </c>
      <c r="Y347" s="11"/>
    </row>
    <row r="348" spans="1:25" s="3" customFormat="1" ht="17.7" customHeight="1" x14ac:dyDescent="0.3">
      <c r="A348" s="20">
        <v>347</v>
      </c>
      <c r="B348" s="20">
        <v>8200084</v>
      </c>
      <c r="C348" s="10" t="s">
        <v>380</v>
      </c>
      <c r="D348" s="10" t="s">
        <v>25</v>
      </c>
      <c r="E348" s="10" t="s">
        <v>35</v>
      </c>
      <c r="F348" s="10">
        <v>25.25</v>
      </c>
      <c r="G348" s="10">
        <v>10</v>
      </c>
      <c r="H348" s="10"/>
      <c r="I348" s="10" t="s">
        <v>297</v>
      </c>
      <c r="J348" s="10"/>
      <c r="K348" s="10"/>
      <c r="L348" s="10"/>
      <c r="M348" s="10">
        <v>20.9575</v>
      </c>
      <c r="N348" s="10" t="s">
        <v>28</v>
      </c>
      <c r="O348" s="10" t="s">
        <v>29</v>
      </c>
      <c r="P348" s="10" t="s">
        <v>29</v>
      </c>
      <c r="Q348" s="10"/>
      <c r="R348" s="10"/>
      <c r="S348" s="10"/>
      <c r="T348" s="10"/>
      <c r="U348" s="10"/>
      <c r="V348" s="10"/>
      <c r="W348" s="10"/>
      <c r="X348" s="10" t="s">
        <v>30</v>
      </c>
      <c r="Y348" s="11"/>
    </row>
    <row r="349" spans="1:25" s="3" customFormat="1" ht="17.7" customHeight="1" x14ac:dyDescent="0.3">
      <c r="A349" s="21">
        <v>348</v>
      </c>
      <c r="B349" s="21">
        <v>8200085</v>
      </c>
      <c r="C349" s="9" t="s">
        <v>381</v>
      </c>
      <c r="D349" s="9" t="s">
        <v>25</v>
      </c>
      <c r="E349" s="9" t="s">
        <v>35</v>
      </c>
      <c r="F349" s="9">
        <v>83</v>
      </c>
      <c r="G349" s="9">
        <v>10</v>
      </c>
      <c r="H349" s="9"/>
      <c r="I349" s="9" t="s">
        <v>297</v>
      </c>
      <c r="J349" s="9"/>
      <c r="K349" s="9"/>
      <c r="L349" s="9"/>
      <c r="M349" s="9">
        <v>68.89</v>
      </c>
      <c r="N349" s="9" t="s">
        <v>28</v>
      </c>
      <c r="O349" s="9" t="s">
        <v>29</v>
      </c>
      <c r="P349" s="9" t="s">
        <v>29</v>
      </c>
      <c r="Q349" s="9"/>
      <c r="R349" s="9"/>
      <c r="S349" s="9"/>
      <c r="T349" s="9"/>
      <c r="U349" s="9"/>
      <c r="V349" s="9"/>
      <c r="W349" s="9"/>
      <c r="X349" s="9" t="s">
        <v>30</v>
      </c>
      <c r="Y349" s="11"/>
    </row>
    <row r="350" spans="1:25" s="3" customFormat="1" ht="17.7" customHeight="1" x14ac:dyDescent="0.3">
      <c r="A350" s="20">
        <v>349</v>
      </c>
      <c r="B350" s="20">
        <v>8200086</v>
      </c>
      <c r="C350" s="10" t="s">
        <v>382</v>
      </c>
      <c r="D350" s="10" t="s">
        <v>25</v>
      </c>
      <c r="E350" s="10" t="s">
        <v>35</v>
      </c>
      <c r="F350" s="10">
        <v>64</v>
      </c>
      <c r="G350" s="10">
        <v>10</v>
      </c>
      <c r="H350" s="10"/>
      <c r="I350" s="10" t="s">
        <v>297</v>
      </c>
      <c r="J350" s="10"/>
      <c r="K350" s="10"/>
      <c r="L350" s="10"/>
      <c r="M350" s="10">
        <v>53.12</v>
      </c>
      <c r="N350" s="10" t="s">
        <v>28</v>
      </c>
      <c r="O350" s="10" t="s">
        <v>29</v>
      </c>
      <c r="P350" s="10" t="s">
        <v>29</v>
      </c>
      <c r="Q350" s="10"/>
      <c r="R350" s="10"/>
      <c r="S350" s="10"/>
      <c r="T350" s="10"/>
      <c r="U350" s="10"/>
      <c r="V350" s="10"/>
      <c r="W350" s="10"/>
      <c r="X350" s="10" t="s">
        <v>30</v>
      </c>
      <c r="Y350" s="11"/>
    </row>
    <row r="351" spans="1:25" s="3" customFormat="1" ht="17.7" customHeight="1" x14ac:dyDescent="0.3">
      <c r="A351" s="21">
        <v>350</v>
      </c>
      <c r="B351" s="21">
        <v>8200087</v>
      </c>
      <c r="C351" s="9" t="s">
        <v>383</v>
      </c>
      <c r="D351" s="9" t="s">
        <v>25</v>
      </c>
      <c r="E351" s="9" t="s">
        <v>35</v>
      </c>
      <c r="F351" s="9">
        <v>110</v>
      </c>
      <c r="G351" s="9">
        <v>8</v>
      </c>
      <c r="H351" s="9"/>
      <c r="I351" s="9" t="s">
        <v>297</v>
      </c>
      <c r="J351" s="9"/>
      <c r="K351" s="9"/>
      <c r="L351" s="9"/>
      <c r="M351" s="9">
        <v>91.3</v>
      </c>
      <c r="N351" s="9" t="s">
        <v>28</v>
      </c>
      <c r="O351" s="9" t="s">
        <v>29</v>
      </c>
      <c r="P351" s="9" t="s">
        <v>29</v>
      </c>
      <c r="Q351" s="9"/>
      <c r="R351" s="9"/>
      <c r="S351" s="9"/>
      <c r="T351" s="9"/>
      <c r="U351" s="9"/>
      <c r="V351" s="9"/>
      <c r="W351" s="9"/>
      <c r="X351" s="9" t="s">
        <v>30</v>
      </c>
      <c r="Y351" s="11"/>
    </row>
    <row r="352" spans="1:25" s="3" customFormat="1" ht="17.7" customHeight="1" x14ac:dyDescent="0.3">
      <c r="A352" s="20">
        <v>351</v>
      </c>
      <c r="B352" s="20">
        <v>8200088</v>
      </c>
      <c r="C352" s="10" t="s">
        <v>384</v>
      </c>
      <c r="D352" s="10" t="s">
        <v>25</v>
      </c>
      <c r="E352" s="10" t="s">
        <v>35</v>
      </c>
      <c r="F352" s="10">
        <v>104.5</v>
      </c>
      <c r="G352" s="10">
        <v>10</v>
      </c>
      <c r="H352" s="10"/>
      <c r="I352" s="10" t="s">
        <v>297</v>
      </c>
      <c r="J352" s="10"/>
      <c r="K352" s="10"/>
      <c r="L352" s="10"/>
      <c r="M352" s="10">
        <v>86.734999999999999</v>
      </c>
      <c r="N352" s="10" t="s">
        <v>28</v>
      </c>
      <c r="O352" s="10" t="s">
        <v>29</v>
      </c>
      <c r="P352" s="10" t="s">
        <v>29</v>
      </c>
      <c r="Q352" s="10"/>
      <c r="R352" s="10"/>
      <c r="S352" s="10"/>
      <c r="T352" s="10"/>
      <c r="U352" s="10"/>
      <c r="V352" s="10"/>
      <c r="W352" s="10"/>
      <c r="X352" s="10" t="s">
        <v>30</v>
      </c>
      <c r="Y352" s="11"/>
    </row>
    <row r="353" spans="1:25" s="3" customFormat="1" ht="17.7" customHeight="1" x14ac:dyDescent="0.3">
      <c r="A353" s="21">
        <v>352</v>
      </c>
      <c r="B353" s="21">
        <v>8200089</v>
      </c>
      <c r="C353" s="9" t="s">
        <v>385</v>
      </c>
      <c r="D353" s="9" t="s">
        <v>25</v>
      </c>
      <c r="E353" s="9" t="s">
        <v>35</v>
      </c>
      <c r="F353" s="9">
        <v>62.75</v>
      </c>
      <c r="G353" s="9">
        <v>10</v>
      </c>
      <c r="H353" s="9"/>
      <c r="I353" s="9" t="s">
        <v>297</v>
      </c>
      <c r="J353" s="9"/>
      <c r="K353" s="9"/>
      <c r="L353" s="9"/>
      <c r="M353" s="9">
        <v>52.082499999999996</v>
      </c>
      <c r="N353" s="9" t="s">
        <v>28</v>
      </c>
      <c r="O353" s="9" t="s">
        <v>29</v>
      </c>
      <c r="P353" s="9" t="s">
        <v>29</v>
      </c>
      <c r="Q353" s="9"/>
      <c r="R353" s="9"/>
      <c r="S353" s="9"/>
      <c r="T353" s="9"/>
      <c r="U353" s="9"/>
      <c r="V353" s="9"/>
      <c r="W353" s="9"/>
      <c r="X353" s="9" t="s">
        <v>30</v>
      </c>
      <c r="Y353" s="11"/>
    </row>
    <row r="354" spans="1:25" s="3" customFormat="1" ht="17.7" customHeight="1" x14ac:dyDescent="0.3">
      <c r="A354" s="20">
        <v>353</v>
      </c>
      <c r="B354" s="20">
        <v>8200090</v>
      </c>
      <c r="C354" s="10" t="s">
        <v>386</v>
      </c>
      <c r="D354" s="10" t="s">
        <v>25</v>
      </c>
      <c r="E354" s="10" t="s">
        <v>35</v>
      </c>
      <c r="F354" s="10">
        <v>119</v>
      </c>
      <c r="G354" s="10">
        <v>8</v>
      </c>
      <c r="H354" s="10"/>
      <c r="I354" s="10" t="s">
        <v>297</v>
      </c>
      <c r="J354" s="10"/>
      <c r="K354" s="10"/>
      <c r="L354" s="10"/>
      <c r="M354" s="10">
        <v>98.77</v>
      </c>
      <c r="N354" s="10" t="s">
        <v>28</v>
      </c>
      <c r="O354" s="10" t="s">
        <v>29</v>
      </c>
      <c r="P354" s="10" t="s">
        <v>29</v>
      </c>
      <c r="Q354" s="10"/>
      <c r="R354" s="10"/>
      <c r="S354" s="10"/>
      <c r="T354" s="10"/>
      <c r="U354" s="10"/>
      <c r="V354" s="10"/>
      <c r="W354" s="10"/>
      <c r="X354" s="10" t="s">
        <v>30</v>
      </c>
      <c r="Y354" s="11"/>
    </row>
    <row r="355" spans="1:25" s="3" customFormat="1" ht="17.7" customHeight="1" x14ac:dyDescent="0.3">
      <c r="A355" s="21">
        <v>354</v>
      </c>
      <c r="B355" s="21">
        <v>8200091</v>
      </c>
      <c r="C355" s="9" t="s">
        <v>387</v>
      </c>
      <c r="D355" s="9" t="s">
        <v>25</v>
      </c>
      <c r="E355" s="9" t="s">
        <v>35</v>
      </c>
      <c r="F355" s="9">
        <v>119</v>
      </c>
      <c r="G355" s="9">
        <v>8</v>
      </c>
      <c r="H355" s="9"/>
      <c r="I355" s="9" t="s">
        <v>297</v>
      </c>
      <c r="J355" s="9"/>
      <c r="K355" s="9"/>
      <c r="L355" s="9"/>
      <c r="M355" s="9">
        <v>98.77</v>
      </c>
      <c r="N355" s="9" t="s">
        <v>28</v>
      </c>
      <c r="O355" s="9" t="s">
        <v>29</v>
      </c>
      <c r="P355" s="9" t="s">
        <v>29</v>
      </c>
      <c r="Q355" s="9"/>
      <c r="R355" s="9"/>
      <c r="S355" s="9"/>
      <c r="T355" s="9"/>
      <c r="U355" s="9"/>
      <c r="V355" s="9"/>
      <c r="W355" s="9"/>
      <c r="X355" s="9" t="s">
        <v>30</v>
      </c>
      <c r="Y355" s="11"/>
    </row>
    <row r="356" spans="1:25" s="3" customFormat="1" ht="17.7" customHeight="1" x14ac:dyDescent="0.3">
      <c r="A356" s="20">
        <v>355</v>
      </c>
      <c r="B356" s="20">
        <v>8200092</v>
      </c>
      <c r="C356" s="10" t="s">
        <v>388</v>
      </c>
      <c r="D356" s="10" t="s">
        <v>25</v>
      </c>
      <c r="E356" s="10" t="s">
        <v>35</v>
      </c>
      <c r="F356" s="10">
        <v>101.5</v>
      </c>
      <c r="G356" s="10">
        <v>10</v>
      </c>
      <c r="H356" s="10"/>
      <c r="I356" s="10" t="s">
        <v>297</v>
      </c>
      <c r="J356" s="10"/>
      <c r="K356" s="10"/>
      <c r="L356" s="10"/>
      <c r="M356" s="10">
        <v>84.245000000000005</v>
      </c>
      <c r="N356" s="10" t="s">
        <v>28</v>
      </c>
      <c r="O356" s="10" t="s">
        <v>29</v>
      </c>
      <c r="P356" s="10" t="s">
        <v>29</v>
      </c>
      <c r="Q356" s="10"/>
      <c r="R356" s="10"/>
      <c r="S356" s="10"/>
      <c r="T356" s="10"/>
      <c r="U356" s="10"/>
      <c r="V356" s="10"/>
      <c r="W356" s="10"/>
      <c r="X356" s="10" t="s">
        <v>30</v>
      </c>
      <c r="Y356" s="11"/>
    </row>
    <row r="357" spans="1:25" s="3" customFormat="1" ht="17.7" customHeight="1" x14ac:dyDescent="0.3">
      <c r="A357" s="21">
        <v>356</v>
      </c>
      <c r="B357" s="21">
        <v>8200093</v>
      </c>
      <c r="C357" s="9" t="s">
        <v>389</v>
      </c>
      <c r="D357" s="9" t="s">
        <v>25</v>
      </c>
      <c r="E357" s="9" t="s">
        <v>35</v>
      </c>
      <c r="F357" s="9">
        <v>149.75</v>
      </c>
      <c r="G357" s="9">
        <v>10</v>
      </c>
      <c r="H357" s="9"/>
      <c r="I357" s="9" t="s">
        <v>297</v>
      </c>
      <c r="J357" s="9"/>
      <c r="K357" s="9"/>
      <c r="L357" s="9"/>
      <c r="M357" s="9">
        <v>124.29249999999999</v>
      </c>
      <c r="N357" s="9" t="s">
        <v>28</v>
      </c>
      <c r="O357" s="9" t="s">
        <v>29</v>
      </c>
      <c r="P357" s="9" t="s">
        <v>29</v>
      </c>
      <c r="Q357" s="9"/>
      <c r="R357" s="9"/>
      <c r="S357" s="9"/>
      <c r="T357" s="9"/>
      <c r="U357" s="9"/>
      <c r="V357" s="9"/>
      <c r="W357" s="9"/>
      <c r="X357" s="9" t="s">
        <v>30</v>
      </c>
      <c r="Y357" s="11"/>
    </row>
    <row r="358" spans="1:25" s="3" customFormat="1" ht="17.7" customHeight="1" x14ac:dyDescent="0.3">
      <c r="A358" s="20">
        <v>357</v>
      </c>
      <c r="B358" s="20">
        <v>8200094</v>
      </c>
      <c r="C358" s="10" t="s">
        <v>390</v>
      </c>
      <c r="D358" s="10" t="s">
        <v>25</v>
      </c>
      <c r="E358" s="10" t="s">
        <v>35</v>
      </c>
      <c r="F358" s="10">
        <v>253.25</v>
      </c>
      <c r="G358" s="10">
        <v>8</v>
      </c>
      <c r="H358" s="10"/>
      <c r="I358" s="10" t="s">
        <v>297</v>
      </c>
      <c r="J358" s="10"/>
      <c r="K358" s="10"/>
      <c r="L358" s="10"/>
      <c r="M358" s="10">
        <v>210.19749999999999</v>
      </c>
      <c r="N358" s="10" t="s">
        <v>28</v>
      </c>
      <c r="O358" s="10" t="s">
        <v>29</v>
      </c>
      <c r="P358" s="10" t="s">
        <v>29</v>
      </c>
      <c r="Q358" s="10"/>
      <c r="R358" s="10"/>
      <c r="S358" s="10"/>
      <c r="T358" s="10"/>
      <c r="U358" s="10"/>
      <c r="V358" s="10"/>
      <c r="W358" s="10"/>
      <c r="X358" s="10" t="s">
        <v>30</v>
      </c>
      <c r="Y358" s="11"/>
    </row>
    <row r="359" spans="1:25" s="3" customFormat="1" ht="17.7" customHeight="1" x14ac:dyDescent="0.3">
      <c r="A359" s="21">
        <v>358</v>
      </c>
      <c r="B359" s="21">
        <v>8200095</v>
      </c>
      <c r="C359" s="9" t="s">
        <v>391</v>
      </c>
      <c r="D359" s="9" t="s">
        <v>25</v>
      </c>
      <c r="E359" s="9" t="s">
        <v>35</v>
      </c>
      <c r="F359" s="9">
        <v>46</v>
      </c>
      <c r="G359" s="9">
        <v>10</v>
      </c>
      <c r="H359" s="9"/>
      <c r="I359" s="9" t="s">
        <v>297</v>
      </c>
      <c r="J359" s="9"/>
      <c r="K359" s="9"/>
      <c r="L359" s="9"/>
      <c r="M359" s="9">
        <v>38.18</v>
      </c>
      <c r="N359" s="9" t="s">
        <v>28</v>
      </c>
      <c r="O359" s="9" t="s">
        <v>29</v>
      </c>
      <c r="P359" s="9" t="s">
        <v>29</v>
      </c>
      <c r="Q359" s="9"/>
      <c r="R359" s="9"/>
      <c r="S359" s="9"/>
      <c r="T359" s="9"/>
      <c r="U359" s="9"/>
      <c r="V359" s="9"/>
      <c r="W359" s="9"/>
      <c r="X359" s="9" t="s">
        <v>30</v>
      </c>
      <c r="Y359" s="11"/>
    </row>
    <row r="360" spans="1:25" s="3" customFormat="1" ht="17.7" customHeight="1" x14ac:dyDescent="0.3">
      <c r="A360" s="20">
        <v>359</v>
      </c>
      <c r="B360" s="20">
        <v>8200096</v>
      </c>
      <c r="C360" s="10" t="s">
        <v>392</v>
      </c>
      <c r="D360" s="10" t="s">
        <v>25</v>
      </c>
      <c r="E360" s="10" t="s">
        <v>35</v>
      </c>
      <c r="F360" s="10">
        <v>58.75</v>
      </c>
      <c r="G360" s="10">
        <v>10</v>
      </c>
      <c r="H360" s="10"/>
      <c r="I360" s="10" t="s">
        <v>297</v>
      </c>
      <c r="J360" s="10"/>
      <c r="K360" s="10"/>
      <c r="L360" s="10"/>
      <c r="M360" s="10">
        <v>48.762500000000003</v>
      </c>
      <c r="N360" s="10" t="s">
        <v>28</v>
      </c>
      <c r="O360" s="10" t="s">
        <v>29</v>
      </c>
      <c r="P360" s="10" t="s">
        <v>29</v>
      </c>
      <c r="Q360" s="10"/>
      <c r="R360" s="10"/>
      <c r="S360" s="10"/>
      <c r="T360" s="10"/>
      <c r="U360" s="10"/>
      <c r="V360" s="10"/>
      <c r="W360" s="10"/>
      <c r="X360" s="10" t="s">
        <v>30</v>
      </c>
      <c r="Y360" s="11"/>
    </row>
    <row r="361" spans="1:25" s="3" customFormat="1" ht="17.7" customHeight="1" x14ac:dyDescent="0.3">
      <c r="A361" s="21">
        <v>360</v>
      </c>
      <c r="B361" s="21">
        <v>8200097</v>
      </c>
      <c r="C361" s="9" t="s">
        <v>393</v>
      </c>
      <c r="D361" s="9" t="s">
        <v>25</v>
      </c>
      <c r="E361" s="9" t="s">
        <v>35</v>
      </c>
      <c r="F361" s="9">
        <v>78.75</v>
      </c>
      <c r="G361" s="9">
        <v>10</v>
      </c>
      <c r="H361" s="9"/>
      <c r="I361" s="9" t="s">
        <v>297</v>
      </c>
      <c r="J361" s="9"/>
      <c r="K361" s="9"/>
      <c r="L361" s="9"/>
      <c r="M361" s="9">
        <v>65.362499999999997</v>
      </c>
      <c r="N361" s="9" t="s">
        <v>28</v>
      </c>
      <c r="O361" s="9" t="s">
        <v>29</v>
      </c>
      <c r="P361" s="9" t="s">
        <v>29</v>
      </c>
      <c r="Q361" s="9"/>
      <c r="R361" s="9"/>
      <c r="S361" s="9"/>
      <c r="T361" s="9"/>
      <c r="U361" s="9"/>
      <c r="V361" s="9"/>
      <c r="W361" s="9"/>
      <c r="X361" s="9" t="s">
        <v>30</v>
      </c>
      <c r="Y361" s="11"/>
    </row>
    <row r="362" spans="1:25" s="3" customFormat="1" ht="17.7" customHeight="1" x14ac:dyDescent="0.3">
      <c r="A362" s="20">
        <v>361</v>
      </c>
      <c r="B362" s="20">
        <v>8200098</v>
      </c>
      <c r="C362" s="10" t="s">
        <v>394</v>
      </c>
      <c r="D362" s="10" t="s">
        <v>25</v>
      </c>
      <c r="E362" s="10" t="s">
        <v>35</v>
      </c>
      <c r="F362" s="10">
        <v>1478.75</v>
      </c>
      <c r="G362" s="10">
        <v>5</v>
      </c>
      <c r="H362" s="10"/>
      <c r="I362" s="10" t="s">
        <v>297</v>
      </c>
      <c r="J362" s="10"/>
      <c r="K362" s="10"/>
      <c r="L362" s="10"/>
      <c r="M362" s="10">
        <v>1227.3625</v>
      </c>
      <c r="N362" s="10" t="s">
        <v>28</v>
      </c>
      <c r="O362" s="10" t="s">
        <v>29</v>
      </c>
      <c r="P362" s="10" t="s">
        <v>29</v>
      </c>
      <c r="Q362" s="10"/>
      <c r="R362" s="10"/>
      <c r="S362" s="10"/>
      <c r="T362" s="10"/>
      <c r="U362" s="10"/>
      <c r="V362" s="10"/>
      <c r="W362" s="10"/>
      <c r="X362" s="10" t="s">
        <v>30</v>
      </c>
      <c r="Y362" s="11"/>
    </row>
    <row r="363" spans="1:25" s="3" customFormat="1" ht="17.7" customHeight="1" x14ac:dyDescent="0.3">
      <c r="A363" s="21">
        <v>362</v>
      </c>
      <c r="B363" s="21">
        <v>8200099</v>
      </c>
      <c r="C363" s="9" t="s">
        <v>395</v>
      </c>
      <c r="D363" s="9" t="s">
        <v>25</v>
      </c>
      <c r="E363" s="9" t="s">
        <v>35</v>
      </c>
      <c r="F363" s="9">
        <v>1478.75</v>
      </c>
      <c r="G363" s="9">
        <v>5</v>
      </c>
      <c r="H363" s="9"/>
      <c r="I363" s="9" t="s">
        <v>297</v>
      </c>
      <c r="J363" s="9"/>
      <c r="K363" s="9"/>
      <c r="L363" s="9"/>
      <c r="M363" s="9">
        <v>1227.3625</v>
      </c>
      <c r="N363" s="9" t="s">
        <v>28</v>
      </c>
      <c r="O363" s="9" t="s">
        <v>29</v>
      </c>
      <c r="P363" s="9" t="s">
        <v>29</v>
      </c>
      <c r="Q363" s="9"/>
      <c r="R363" s="9"/>
      <c r="S363" s="9"/>
      <c r="T363" s="9"/>
      <c r="U363" s="9"/>
      <c r="V363" s="9"/>
      <c r="W363" s="9"/>
      <c r="X363" s="9" t="s">
        <v>30</v>
      </c>
      <c r="Y363" s="11"/>
    </row>
    <row r="364" spans="1:25" s="3" customFormat="1" ht="17.7" customHeight="1" x14ac:dyDescent="0.3">
      <c r="A364" s="20">
        <v>363</v>
      </c>
      <c r="B364" s="20">
        <v>8200100</v>
      </c>
      <c r="C364" s="10" t="s">
        <v>396</v>
      </c>
      <c r="D364" s="10" t="s">
        <v>25</v>
      </c>
      <c r="E364" s="10" t="s">
        <v>35</v>
      </c>
      <c r="F364" s="10">
        <v>185.75</v>
      </c>
      <c r="G364" s="10">
        <v>5</v>
      </c>
      <c r="H364" s="10"/>
      <c r="I364" s="10" t="s">
        <v>297</v>
      </c>
      <c r="J364" s="10"/>
      <c r="K364" s="10"/>
      <c r="L364" s="10"/>
      <c r="M364" s="10">
        <v>154.17250000000001</v>
      </c>
      <c r="N364" s="10" t="s">
        <v>28</v>
      </c>
      <c r="O364" s="10" t="s">
        <v>29</v>
      </c>
      <c r="P364" s="10" t="s">
        <v>29</v>
      </c>
      <c r="Q364" s="10"/>
      <c r="R364" s="10"/>
      <c r="S364" s="10"/>
      <c r="T364" s="10"/>
      <c r="U364" s="10"/>
      <c r="V364" s="10"/>
      <c r="W364" s="10"/>
      <c r="X364" s="10" t="s">
        <v>30</v>
      </c>
      <c r="Y364" s="11"/>
    </row>
    <row r="365" spans="1:25" s="3" customFormat="1" ht="17.7" customHeight="1" x14ac:dyDescent="0.3">
      <c r="A365" s="21">
        <v>364</v>
      </c>
      <c r="B365" s="21">
        <v>8200101</v>
      </c>
      <c r="C365" s="9" t="s">
        <v>397</v>
      </c>
      <c r="D365" s="9" t="s">
        <v>25</v>
      </c>
      <c r="E365" s="9" t="s">
        <v>35</v>
      </c>
      <c r="F365" s="9">
        <v>178.25</v>
      </c>
      <c r="G365" s="9">
        <v>20</v>
      </c>
      <c r="H365" s="9"/>
      <c r="I365" s="9" t="s">
        <v>297</v>
      </c>
      <c r="J365" s="9"/>
      <c r="K365" s="9"/>
      <c r="L365" s="9"/>
      <c r="M365" s="9">
        <v>147.94749999999999</v>
      </c>
      <c r="N365" s="9" t="s">
        <v>28</v>
      </c>
      <c r="O365" s="9" t="s">
        <v>29</v>
      </c>
      <c r="P365" s="9" t="s">
        <v>29</v>
      </c>
      <c r="Q365" s="9"/>
      <c r="R365" s="9"/>
      <c r="S365" s="9"/>
      <c r="T365" s="9"/>
      <c r="U365" s="9"/>
      <c r="V365" s="9"/>
      <c r="W365" s="9"/>
      <c r="X365" s="9" t="s">
        <v>30</v>
      </c>
      <c r="Y365" s="11"/>
    </row>
    <row r="366" spans="1:25" s="3" customFormat="1" ht="17.7" customHeight="1" x14ac:dyDescent="0.3">
      <c r="A366" s="20">
        <v>365</v>
      </c>
      <c r="B366" s="20">
        <v>8200102</v>
      </c>
      <c r="C366" s="10" t="s">
        <v>398</v>
      </c>
      <c r="D366" s="10" t="s">
        <v>25</v>
      </c>
      <c r="E366" s="10" t="s">
        <v>35</v>
      </c>
      <c r="F366" s="10">
        <v>492.5</v>
      </c>
      <c r="G366" s="10">
        <v>10</v>
      </c>
      <c r="H366" s="10"/>
      <c r="I366" s="10" t="s">
        <v>297</v>
      </c>
      <c r="J366" s="10"/>
      <c r="K366" s="10"/>
      <c r="L366" s="10"/>
      <c r="M366" s="10">
        <v>408.77499999999998</v>
      </c>
      <c r="N366" s="10" t="s">
        <v>28</v>
      </c>
      <c r="O366" s="10" t="s">
        <v>29</v>
      </c>
      <c r="P366" s="10" t="s">
        <v>29</v>
      </c>
      <c r="Q366" s="10"/>
      <c r="R366" s="10"/>
      <c r="S366" s="10"/>
      <c r="T366" s="10"/>
      <c r="U366" s="10"/>
      <c r="V366" s="10"/>
      <c r="W366" s="10"/>
      <c r="X366" s="10" t="s">
        <v>30</v>
      </c>
      <c r="Y366" s="11"/>
    </row>
    <row r="367" spans="1:25" s="3" customFormat="1" ht="17.7" customHeight="1" x14ac:dyDescent="0.3">
      <c r="A367" s="21">
        <v>366</v>
      </c>
      <c r="B367" s="21">
        <v>8200103</v>
      </c>
      <c r="C367" s="9" t="s">
        <v>399</v>
      </c>
      <c r="D367" s="9" t="s">
        <v>25</v>
      </c>
      <c r="E367" s="9" t="s">
        <v>35</v>
      </c>
      <c r="F367" s="9">
        <v>751</v>
      </c>
      <c r="G367" s="9">
        <v>10</v>
      </c>
      <c r="H367" s="9"/>
      <c r="I367" s="9" t="s">
        <v>297</v>
      </c>
      <c r="J367" s="9"/>
      <c r="K367" s="9"/>
      <c r="L367" s="9"/>
      <c r="M367" s="9">
        <v>623.32999999999993</v>
      </c>
      <c r="N367" s="9" t="s">
        <v>28</v>
      </c>
      <c r="O367" s="9" t="s">
        <v>29</v>
      </c>
      <c r="P367" s="9" t="s">
        <v>29</v>
      </c>
      <c r="Q367" s="9"/>
      <c r="R367" s="9"/>
      <c r="S367" s="9"/>
      <c r="T367" s="9"/>
      <c r="U367" s="9"/>
      <c r="V367" s="9"/>
      <c r="W367" s="9"/>
      <c r="X367" s="9" t="s">
        <v>30</v>
      </c>
      <c r="Y367" s="11"/>
    </row>
    <row r="368" spans="1:25" s="3" customFormat="1" ht="17.7" customHeight="1" x14ac:dyDescent="0.3">
      <c r="A368" s="20">
        <v>367</v>
      </c>
      <c r="B368" s="20">
        <v>8200104</v>
      </c>
      <c r="C368" s="10" t="s">
        <v>400</v>
      </c>
      <c r="D368" s="10" t="s">
        <v>25</v>
      </c>
      <c r="E368" s="10" t="s">
        <v>35</v>
      </c>
      <c r="F368" s="10">
        <v>84.75</v>
      </c>
      <c r="G368" s="10">
        <v>10</v>
      </c>
      <c r="H368" s="10"/>
      <c r="I368" s="10" t="s">
        <v>297</v>
      </c>
      <c r="J368" s="10"/>
      <c r="K368" s="10"/>
      <c r="L368" s="10"/>
      <c r="M368" s="10">
        <v>70.342500000000001</v>
      </c>
      <c r="N368" s="10" t="s">
        <v>28</v>
      </c>
      <c r="O368" s="10" t="s">
        <v>29</v>
      </c>
      <c r="P368" s="10" t="s">
        <v>29</v>
      </c>
      <c r="Q368" s="10"/>
      <c r="R368" s="10"/>
      <c r="S368" s="10"/>
      <c r="T368" s="10"/>
      <c r="U368" s="10"/>
      <c r="V368" s="10"/>
      <c r="W368" s="10"/>
      <c r="X368" s="10" t="s">
        <v>30</v>
      </c>
      <c r="Y368" s="11"/>
    </row>
    <row r="369" spans="1:25" s="3" customFormat="1" ht="17.7" customHeight="1" x14ac:dyDescent="0.3">
      <c r="A369" s="21">
        <v>368</v>
      </c>
      <c r="B369" s="21">
        <v>8200105</v>
      </c>
      <c r="C369" s="9" t="s">
        <v>401</v>
      </c>
      <c r="D369" s="9" t="s">
        <v>25</v>
      </c>
      <c r="E369" s="9" t="s">
        <v>35</v>
      </c>
      <c r="F369" s="9">
        <v>120.25</v>
      </c>
      <c r="G369" s="9">
        <v>10</v>
      </c>
      <c r="H369" s="9"/>
      <c r="I369" s="9" t="s">
        <v>297</v>
      </c>
      <c r="J369" s="9"/>
      <c r="K369" s="9"/>
      <c r="L369" s="9"/>
      <c r="M369" s="9">
        <v>99.807500000000005</v>
      </c>
      <c r="N369" s="9" t="s">
        <v>28</v>
      </c>
      <c r="O369" s="9" t="s">
        <v>29</v>
      </c>
      <c r="P369" s="9" t="s">
        <v>29</v>
      </c>
      <c r="Q369" s="9"/>
      <c r="R369" s="9"/>
      <c r="S369" s="9"/>
      <c r="T369" s="9"/>
      <c r="U369" s="9"/>
      <c r="V369" s="9"/>
      <c r="W369" s="9"/>
      <c r="X369" s="9" t="s">
        <v>30</v>
      </c>
      <c r="Y369" s="11"/>
    </row>
    <row r="370" spans="1:25" s="3" customFormat="1" ht="17.7" customHeight="1" x14ac:dyDescent="0.3">
      <c r="A370" s="20">
        <v>369</v>
      </c>
      <c r="B370" s="20">
        <v>8200106</v>
      </c>
      <c r="C370" s="10" t="s">
        <v>402</v>
      </c>
      <c r="D370" s="10" t="s">
        <v>25</v>
      </c>
      <c r="E370" s="10" t="s">
        <v>35</v>
      </c>
      <c r="F370" s="10">
        <v>222.75</v>
      </c>
      <c r="G370" s="10">
        <v>8</v>
      </c>
      <c r="H370" s="10"/>
      <c r="I370" s="10" t="s">
        <v>297</v>
      </c>
      <c r="J370" s="10"/>
      <c r="K370" s="10"/>
      <c r="L370" s="10"/>
      <c r="M370" s="10">
        <v>184.88249999999999</v>
      </c>
      <c r="N370" s="10" t="s">
        <v>28</v>
      </c>
      <c r="O370" s="10" t="s">
        <v>29</v>
      </c>
      <c r="P370" s="10" t="s">
        <v>29</v>
      </c>
      <c r="Q370" s="10"/>
      <c r="R370" s="10"/>
      <c r="S370" s="10"/>
      <c r="T370" s="10"/>
      <c r="U370" s="10"/>
      <c r="V370" s="10"/>
      <c r="W370" s="10"/>
      <c r="X370" s="10" t="s">
        <v>30</v>
      </c>
      <c r="Y370" s="11"/>
    </row>
    <row r="371" spans="1:25" s="3" customFormat="1" ht="17.7" customHeight="1" x14ac:dyDescent="0.3">
      <c r="A371" s="21">
        <v>370</v>
      </c>
      <c r="B371" s="21">
        <v>8200107</v>
      </c>
      <c r="C371" s="9" t="s">
        <v>403</v>
      </c>
      <c r="D371" s="9" t="s">
        <v>25</v>
      </c>
      <c r="E371" s="9" t="s">
        <v>35</v>
      </c>
      <c r="F371" s="9">
        <v>632.5</v>
      </c>
      <c r="G371" s="9">
        <v>10</v>
      </c>
      <c r="H371" s="9"/>
      <c r="I371" s="9" t="s">
        <v>297</v>
      </c>
      <c r="J371" s="9"/>
      <c r="K371" s="9"/>
      <c r="L371" s="9"/>
      <c r="M371" s="9">
        <v>524.97500000000002</v>
      </c>
      <c r="N371" s="9" t="s">
        <v>28</v>
      </c>
      <c r="O371" s="9" t="s">
        <v>29</v>
      </c>
      <c r="P371" s="9" t="s">
        <v>29</v>
      </c>
      <c r="Q371" s="9"/>
      <c r="R371" s="9"/>
      <c r="S371" s="9"/>
      <c r="T371" s="9"/>
      <c r="U371" s="9"/>
      <c r="V371" s="9"/>
      <c r="W371" s="9"/>
      <c r="X371" s="9" t="s">
        <v>30</v>
      </c>
      <c r="Y371" s="11"/>
    </row>
    <row r="372" spans="1:25" s="3" customFormat="1" ht="17.7" customHeight="1" x14ac:dyDescent="0.3">
      <c r="A372" s="20">
        <v>371</v>
      </c>
      <c r="B372" s="20">
        <v>8200108</v>
      </c>
      <c r="C372" s="10" t="s">
        <v>404</v>
      </c>
      <c r="D372" s="10" t="s">
        <v>25</v>
      </c>
      <c r="E372" s="10" t="s">
        <v>35</v>
      </c>
      <c r="F372" s="10">
        <v>73.25</v>
      </c>
      <c r="G372" s="10">
        <v>10</v>
      </c>
      <c r="H372" s="10"/>
      <c r="I372" s="10" t="s">
        <v>297</v>
      </c>
      <c r="J372" s="10"/>
      <c r="K372" s="10"/>
      <c r="L372" s="10"/>
      <c r="M372" s="10">
        <v>60.797499999999999</v>
      </c>
      <c r="N372" s="10" t="s">
        <v>28</v>
      </c>
      <c r="O372" s="10" t="s">
        <v>29</v>
      </c>
      <c r="P372" s="10" t="s">
        <v>29</v>
      </c>
      <c r="Q372" s="10"/>
      <c r="R372" s="10"/>
      <c r="S372" s="10"/>
      <c r="T372" s="10"/>
      <c r="U372" s="10"/>
      <c r="V372" s="10"/>
      <c r="W372" s="10"/>
      <c r="X372" s="10" t="s">
        <v>30</v>
      </c>
      <c r="Y372" s="11"/>
    </row>
    <row r="373" spans="1:25" s="3" customFormat="1" ht="17.7" customHeight="1" x14ac:dyDescent="0.3">
      <c r="A373" s="21">
        <v>372</v>
      </c>
      <c r="B373" s="21">
        <v>8200109</v>
      </c>
      <c r="C373" s="9" t="s">
        <v>405</v>
      </c>
      <c r="D373" s="9" t="s">
        <v>25</v>
      </c>
      <c r="E373" s="9" t="s">
        <v>35</v>
      </c>
      <c r="F373" s="9">
        <v>64.5</v>
      </c>
      <c r="G373" s="9">
        <v>10</v>
      </c>
      <c r="H373" s="9"/>
      <c r="I373" s="9" t="s">
        <v>297</v>
      </c>
      <c r="J373" s="9"/>
      <c r="K373" s="9"/>
      <c r="L373" s="9"/>
      <c r="M373" s="9">
        <v>53.534999999999997</v>
      </c>
      <c r="N373" s="9" t="s">
        <v>28</v>
      </c>
      <c r="O373" s="9" t="s">
        <v>29</v>
      </c>
      <c r="P373" s="9" t="s">
        <v>29</v>
      </c>
      <c r="Q373" s="9"/>
      <c r="R373" s="9"/>
      <c r="S373" s="9"/>
      <c r="T373" s="9"/>
      <c r="U373" s="9"/>
      <c r="V373" s="9"/>
      <c r="W373" s="9"/>
      <c r="X373" s="9" t="s">
        <v>30</v>
      </c>
      <c r="Y373" s="11"/>
    </row>
    <row r="374" spans="1:25" s="3" customFormat="1" ht="17.7" customHeight="1" x14ac:dyDescent="0.3">
      <c r="A374" s="20">
        <v>373</v>
      </c>
      <c r="B374" s="20">
        <v>8200110</v>
      </c>
      <c r="C374" s="10" t="s">
        <v>406</v>
      </c>
      <c r="D374" s="10" t="s">
        <v>25</v>
      </c>
      <c r="E374" s="10" t="s">
        <v>35</v>
      </c>
      <c r="F374" s="10">
        <v>94.25</v>
      </c>
      <c r="G374" s="10">
        <v>10</v>
      </c>
      <c r="H374" s="10"/>
      <c r="I374" s="10" t="s">
        <v>297</v>
      </c>
      <c r="J374" s="10"/>
      <c r="K374" s="10"/>
      <c r="L374" s="10"/>
      <c r="M374" s="10">
        <v>78.227499999999992</v>
      </c>
      <c r="N374" s="10" t="s">
        <v>28</v>
      </c>
      <c r="O374" s="10" t="s">
        <v>29</v>
      </c>
      <c r="P374" s="10" t="s">
        <v>29</v>
      </c>
      <c r="Q374" s="10"/>
      <c r="R374" s="10"/>
      <c r="S374" s="10"/>
      <c r="T374" s="10"/>
      <c r="U374" s="10"/>
      <c r="V374" s="10"/>
      <c r="W374" s="10"/>
      <c r="X374" s="10" t="s">
        <v>30</v>
      </c>
      <c r="Y374" s="11"/>
    </row>
    <row r="375" spans="1:25" s="3" customFormat="1" ht="17.7" customHeight="1" x14ac:dyDescent="0.3">
      <c r="A375" s="21">
        <v>374</v>
      </c>
      <c r="B375" s="21">
        <v>8200111</v>
      </c>
      <c r="C375" s="9" t="s">
        <v>407</v>
      </c>
      <c r="D375" s="9" t="s">
        <v>25</v>
      </c>
      <c r="E375" s="9" t="s">
        <v>35</v>
      </c>
      <c r="F375" s="9">
        <v>341</v>
      </c>
      <c r="G375" s="9">
        <v>10</v>
      </c>
      <c r="H375" s="9"/>
      <c r="I375" s="9" t="s">
        <v>297</v>
      </c>
      <c r="J375" s="9"/>
      <c r="K375" s="9"/>
      <c r="L375" s="9"/>
      <c r="M375" s="9">
        <v>283.02999999999997</v>
      </c>
      <c r="N375" s="9" t="s">
        <v>28</v>
      </c>
      <c r="O375" s="9" t="s">
        <v>29</v>
      </c>
      <c r="P375" s="9" t="s">
        <v>29</v>
      </c>
      <c r="Q375" s="9"/>
      <c r="R375" s="9"/>
      <c r="S375" s="9"/>
      <c r="T375" s="9"/>
      <c r="U375" s="9"/>
      <c r="V375" s="9"/>
      <c r="W375" s="9"/>
      <c r="X375" s="9" t="s">
        <v>30</v>
      </c>
      <c r="Y375" s="11"/>
    </row>
    <row r="376" spans="1:25" s="3" customFormat="1" ht="17.7" customHeight="1" x14ac:dyDescent="0.3">
      <c r="A376" s="20">
        <v>375</v>
      </c>
      <c r="B376" s="20">
        <v>8200112</v>
      </c>
      <c r="C376" s="10" t="s">
        <v>408</v>
      </c>
      <c r="D376" s="10" t="s">
        <v>25</v>
      </c>
      <c r="E376" s="10" t="s">
        <v>35</v>
      </c>
      <c r="F376" s="10">
        <v>2952.5</v>
      </c>
      <c r="G376" s="10">
        <v>3</v>
      </c>
      <c r="H376" s="10"/>
      <c r="I376" s="10" t="s">
        <v>297</v>
      </c>
      <c r="J376" s="10"/>
      <c r="K376" s="10"/>
      <c r="L376" s="10"/>
      <c r="M376" s="10">
        <v>2450.5749999999998</v>
      </c>
      <c r="N376" s="10" t="s">
        <v>28</v>
      </c>
      <c r="O376" s="10" t="s">
        <v>29</v>
      </c>
      <c r="P376" s="10" t="s">
        <v>29</v>
      </c>
      <c r="Q376" s="10"/>
      <c r="R376" s="10"/>
      <c r="S376" s="10"/>
      <c r="T376" s="10"/>
      <c r="U376" s="10"/>
      <c r="V376" s="10"/>
      <c r="W376" s="10"/>
      <c r="X376" s="10" t="s">
        <v>30</v>
      </c>
      <c r="Y376" s="11"/>
    </row>
    <row r="377" spans="1:25" s="3" customFormat="1" ht="17.7" customHeight="1" x14ac:dyDescent="0.3">
      <c r="A377" s="21">
        <v>376</v>
      </c>
      <c r="B377" s="21">
        <v>8200113</v>
      </c>
      <c r="C377" s="9" t="s">
        <v>409</v>
      </c>
      <c r="D377" s="9" t="s">
        <v>25</v>
      </c>
      <c r="E377" s="9" t="s">
        <v>35</v>
      </c>
      <c r="F377" s="9">
        <v>158.5</v>
      </c>
      <c r="G377" s="9">
        <v>2</v>
      </c>
      <c r="H377" s="9"/>
      <c r="I377" s="9" t="s">
        <v>297</v>
      </c>
      <c r="J377" s="9"/>
      <c r="K377" s="9"/>
      <c r="L377" s="9"/>
      <c r="M377" s="9">
        <v>131.55500000000001</v>
      </c>
      <c r="N377" s="9" t="s">
        <v>28</v>
      </c>
      <c r="O377" s="9" t="s">
        <v>29</v>
      </c>
      <c r="P377" s="9" t="s">
        <v>29</v>
      </c>
      <c r="Q377" s="9"/>
      <c r="R377" s="9"/>
      <c r="S377" s="9"/>
      <c r="T377" s="9"/>
      <c r="U377" s="9"/>
      <c r="V377" s="9"/>
      <c r="W377" s="9"/>
      <c r="X377" s="9" t="s">
        <v>30</v>
      </c>
      <c r="Y377" s="11"/>
    </row>
    <row r="378" spans="1:25" s="3" customFormat="1" ht="17.7" customHeight="1" x14ac:dyDescent="0.3">
      <c r="A378" s="20">
        <v>377</v>
      </c>
      <c r="B378" s="20">
        <v>8200114</v>
      </c>
      <c r="C378" s="10" t="s">
        <v>410</v>
      </c>
      <c r="D378" s="10" t="s">
        <v>25</v>
      </c>
      <c r="E378" s="10" t="s">
        <v>35</v>
      </c>
      <c r="F378" s="10">
        <v>180.75</v>
      </c>
      <c r="G378" s="10">
        <v>2</v>
      </c>
      <c r="H378" s="10"/>
      <c r="I378" s="10" t="s">
        <v>297</v>
      </c>
      <c r="J378" s="10"/>
      <c r="K378" s="10"/>
      <c r="L378" s="10"/>
      <c r="M378" s="10">
        <v>150.02250000000001</v>
      </c>
      <c r="N378" s="10" t="s">
        <v>28</v>
      </c>
      <c r="O378" s="10" t="s">
        <v>29</v>
      </c>
      <c r="P378" s="10" t="s">
        <v>29</v>
      </c>
      <c r="Q378" s="10"/>
      <c r="R378" s="10"/>
      <c r="S378" s="10"/>
      <c r="T378" s="10"/>
      <c r="U378" s="10"/>
      <c r="V378" s="10"/>
      <c r="W378" s="10"/>
      <c r="X378" s="10" t="s">
        <v>30</v>
      </c>
      <c r="Y378" s="11"/>
    </row>
    <row r="379" spans="1:25" s="3" customFormat="1" ht="17.7" customHeight="1" x14ac:dyDescent="0.3">
      <c r="A379" s="21">
        <v>378</v>
      </c>
      <c r="B379" s="21">
        <v>8200115</v>
      </c>
      <c r="C379" s="9" t="s">
        <v>411</v>
      </c>
      <c r="D379" s="9" t="s">
        <v>25</v>
      </c>
      <c r="E379" s="9" t="s">
        <v>35</v>
      </c>
      <c r="F379" s="9">
        <v>289</v>
      </c>
      <c r="G379" s="9">
        <v>2</v>
      </c>
      <c r="H379" s="9"/>
      <c r="I379" s="9" t="s">
        <v>297</v>
      </c>
      <c r="J379" s="9"/>
      <c r="K379" s="9"/>
      <c r="L379" s="9"/>
      <c r="M379" s="9">
        <v>239.87</v>
      </c>
      <c r="N379" s="9" t="s">
        <v>28</v>
      </c>
      <c r="O379" s="9" t="s">
        <v>29</v>
      </c>
      <c r="P379" s="9" t="s">
        <v>29</v>
      </c>
      <c r="Q379" s="9"/>
      <c r="R379" s="9"/>
      <c r="S379" s="9"/>
      <c r="T379" s="9"/>
      <c r="U379" s="9"/>
      <c r="V379" s="9"/>
      <c r="W379" s="9"/>
      <c r="X379" s="9" t="s">
        <v>30</v>
      </c>
      <c r="Y379" s="11"/>
    </row>
    <row r="380" spans="1:25" s="3" customFormat="1" ht="17.7" customHeight="1" x14ac:dyDescent="0.3">
      <c r="A380" s="20">
        <v>379</v>
      </c>
      <c r="B380" s="20">
        <v>8200116</v>
      </c>
      <c r="C380" s="10" t="s">
        <v>412</v>
      </c>
      <c r="D380" s="10" t="s">
        <v>25</v>
      </c>
      <c r="E380" s="10" t="s">
        <v>35</v>
      </c>
      <c r="F380" s="10">
        <v>158</v>
      </c>
      <c r="G380" s="10">
        <v>5</v>
      </c>
      <c r="H380" s="10"/>
      <c r="I380" s="10" t="s">
        <v>297</v>
      </c>
      <c r="J380" s="10"/>
      <c r="K380" s="10"/>
      <c r="L380" s="10"/>
      <c r="M380" s="10">
        <v>131.13999999999999</v>
      </c>
      <c r="N380" s="10" t="s">
        <v>28</v>
      </c>
      <c r="O380" s="10" t="s">
        <v>29</v>
      </c>
      <c r="P380" s="10" t="s">
        <v>29</v>
      </c>
      <c r="Q380" s="10"/>
      <c r="R380" s="10"/>
      <c r="S380" s="10"/>
      <c r="T380" s="10"/>
      <c r="U380" s="10"/>
      <c r="V380" s="10"/>
      <c r="W380" s="10"/>
      <c r="X380" s="10" t="s">
        <v>30</v>
      </c>
      <c r="Y380" s="11"/>
    </row>
    <row r="381" spans="1:25" s="3" customFormat="1" ht="17.7" customHeight="1" x14ac:dyDescent="0.3">
      <c r="A381" s="21">
        <v>380</v>
      </c>
      <c r="B381" s="21">
        <v>8200117</v>
      </c>
      <c r="C381" s="9" t="s">
        <v>413</v>
      </c>
      <c r="D381" s="9" t="s">
        <v>25</v>
      </c>
      <c r="E381" s="9" t="s">
        <v>35</v>
      </c>
      <c r="F381" s="9">
        <v>143.5</v>
      </c>
      <c r="G381" s="9">
        <v>5</v>
      </c>
      <c r="H381" s="9"/>
      <c r="I381" s="9" t="s">
        <v>297</v>
      </c>
      <c r="J381" s="9"/>
      <c r="K381" s="9"/>
      <c r="L381" s="9"/>
      <c r="M381" s="9">
        <v>119.10499999999999</v>
      </c>
      <c r="N381" s="9" t="s">
        <v>28</v>
      </c>
      <c r="O381" s="9" t="s">
        <v>29</v>
      </c>
      <c r="P381" s="9" t="s">
        <v>29</v>
      </c>
      <c r="Q381" s="9"/>
      <c r="R381" s="9"/>
      <c r="S381" s="9"/>
      <c r="T381" s="9"/>
      <c r="U381" s="9"/>
      <c r="V381" s="9"/>
      <c r="W381" s="9"/>
      <c r="X381" s="9" t="s">
        <v>30</v>
      </c>
      <c r="Y381" s="11"/>
    </row>
    <row r="382" spans="1:25" s="3" customFormat="1" ht="17.7" customHeight="1" x14ac:dyDescent="0.3">
      <c r="A382" s="20">
        <v>381</v>
      </c>
      <c r="B382" s="20">
        <v>8200118</v>
      </c>
      <c r="C382" s="10" t="s">
        <v>414</v>
      </c>
      <c r="D382" s="10" t="s">
        <v>25</v>
      </c>
      <c r="E382" s="10" t="s">
        <v>35</v>
      </c>
      <c r="F382" s="10"/>
      <c r="G382" s="10">
        <v>5</v>
      </c>
      <c r="H382" s="10"/>
      <c r="I382" s="10" t="s">
        <v>297</v>
      </c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 t="s">
        <v>30</v>
      </c>
      <c r="Y382" s="11"/>
    </row>
    <row r="383" spans="1:25" s="3" customFormat="1" ht="17.7" customHeight="1" x14ac:dyDescent="0.3">
      <c r="A383" s="21">
        <v>382</v>
      </c>
      <c r="B383" s="21">
        <v>8200119</v>
      </c>
      <c r="C383" s="9" t="s">
        <v>415</v>
      </c>
      <c r="D383" s="9" t="s">
        <v>25</v>
      </c>
      <c r="E383" s="9" t="s">
        <v>35</v>
      </c>
      <c r="F383" s="9">
        <v>58</v>
      </c>
      <c r="G383" s="9">
        <v>10</v>
      </c>
      <c r="H383" s="9"/>
      <c r="I383" s="9" t="s">
        <v>297</v>
      </c>
      <c r="J383" s="9"/>
      <c r="K383" s="9"/>
      <c r="L383" s="9"/>
      <c r="M383" s="9">
        <v>48.14</v>
      </c>
      <c r="N383" s="9" t="s">
        <v>28</v>
      </c>
      <c r="O383" s="9" t="s">
        <v>29</v>
      </c>
      <c r="P383" s="9" t="s">
        <v>29</v>
      </c>
      <c r="Q383" s="9"/>
      <c r="R383" s="9"/>
      <c r="S383" s="9"/>
      <c r="T383" s="9"/>
      <c r="U383" s="9"/>
      <c r="V383" s="9"/>
      <c r="W383" s="9"/>
      <c r="X383" s="9" t="s">
        <v>30</v>
      </c>
      <c r="Y383" s="11"/>
    </row>
    <row r="384" spans="1:25" s="3" customFormat="1" ht="17.7" customHeight="1" x14ac:dyDescent="0.3">
      <c r="A384" s="20">
        <v>383</v>
      </c>
      <c r="B384" s="20">
        <v>8200120</v>
      </c>
      <c r="C384" s="10" t="s">
        <v>416</v>
      </c>
      <c r="D384" s="10" t="s">
        <v>25</v>
      </c>
      <c r="E384" s="10" t="s">
        <v>35</v>
      </c>
      <c r="F384" s="10">
        <v>63.25</v>
      </c>
      <c r="G384" s="10">
        <v>10</v>
      </c>
      <c r="H384" s="10"/>
      <c r="I384" s="10" t="s">
        <v>297</v>
      </c>
      <c r="J384" s="10"/>
      <c r="K384" s="10"/>
      <c r="L384" s="10"/>
      <c r="M384" s="10">
        <v>52.497500000000002</v>
      </c>
      <c r="N384" s="10" t="s">
        <v>28</v>
      </c>
      <c r="O384" s="10" t="s">
        <v>29</v>
      </c>
      <c r="P384" s="10" t="s">
        <v>29</v>
      </c>
      <c r="Q384" s="10"/>
      <c r="R384" s="10"/>
      <c r="S384" s="10"/>
      <c r="T384" s="10"/>
      <c r="U384" s="10"/>
      <c r="V384" s="10"/>
      <c r="W384" s="10"/>
      <c r="X384" s="10" t="s">
        <v>30</v>
      </c>
      <c r="Y384" s="11"/>
    </row>
    <row r="385" spans="1:25" s="3" customFormat="1" ht="17.7" customHeight="1" x14ac:dyDescent="0.3">
      <c r="A385" s="21">
        <v>384</v>
      </c>
      <c r="B385" s="21">
        <v>8200121</v>
      </c>
      <c r="C385" s="9" t="s">
        <v>417</v>
      </c>
      <c r="D385" s="9" t="s">
        <v>25</v>
      </c>
      <c r="E385" s="9" t="s">
        <v>35</v>
      </c>
      <c r="F385" s="9">
        <v>70.5</v>
      </c>
      <c r="G385" s="9">
        <v>10</v>
      </c>
      <c r="H385" s="9"/>
      <c r="I385" s="9" t="s">
        <v>297</v>
      </c>
      <c r="J385" s="9"/>
      <c r="K385" s="9"/>
      <c r="L385" s="9"/>
      <c r="M385" s="9">
        <v>58.515000000000001</v>
      </c>
      <c r="N385" s="9" t="s">
        <v>28</v>
      </c>
      <c r="O385" s="9" t="s">
        <v>29</v>
      </c>
      <c r="P385" s="9" t="s">
        <v>29</v>
      </c>
      <c r="Q385" s="9"/>
      <c r="R385" s="9"/>
      <c r="S385" s="9"/>
      <c r="T385" s="9"/>
      <c r="U385" s="9"/>
      <c r="V385" s="9"/>
      <c r="W385" s="9"/>
      <c r="X385" s="9" t="s">
        <v>30</v>
      </c>
      <c r="Y385" s="11"/>
    </row>
    <row r="386" spans="1:25" s="3" customFormat="1" ht="17.7" customHeight="1" x14ac:dyDescent="0.3">
      <c r="A386" s="20">
        <v>385</v>
      </c>
      <c r="B386" s="20">
        <v>8200122</v>
      </c>
      <c r="C386" s="10" t="s">
        <v>418</v>
      </c>
      <c r="D386" s="10" t="s">
        <v>25</v>
      </c>
      <c r="E386" s="10" t="s">
        <v>35</v>
      </c>
      <c r="F386" s="10">
        <v>78</v>
      </c>
      <c r="G386" s="10">
        <v>10</v>
      </c>
      <c r="H386" s="10"/>
      <c r="I386" s="10" t="s">
        <v>297</v>
      </c>
      <c r="J386" s="10"/>
      <c r="K386" s="10"/>
      <c r="L386" s="10"/>
      <c r="M386" s="10">
        <v>64.739999999999995</v>
      </c>
      <c r="N386" s="10" t="s">
        <v>28</v>
      </c>
      <c r="O386" s="10" t="s">
        <v>29</v>
      </c>
      <c r="P386" s="10" t="s">
        <v>29</v>
      </c>
      <c r="Q386" s="10"/>
      <c r="R386" s="10"/>
      <c r="S386" s="10"/>
      <c r="T386" s="10"/>
      <c r="U386" s="10"/>
      <c r="V386" s="10"/>
      <c r="W386" s="10"/>
      <c r="X386" s="10" t="s">
        <v>30</v>
      </c>
      <c r="Y386" s="11"/>
    </row>
    <row r="387" spans="1:25" s="3" customFormat="1" ht="17.7" customHeight="1" x14ac:dyDescent="0.3">
      <c r="A387" s="21">
        <v>386</v>
      </c>
      <c r="B387" s="21">
        <v>8200123</v>
      </c>
      <c r="C387" s="9" t="s">
        <v>419</v>
      </c>
      <c r="D387" s="9" t="s">
        <v>25</v>
      </c>
      <c r="E387" s="9" t="s">
        <v>35</v>
      </c>
      <c r="F387" s="9">
        <v>90.75</v>
      </c>
      <c r="G387" s="9">
        <v>10</v>
      </c>
      <c r="H387" s="9"/>
      <c r="I387" s="9" t="s">
        <v>297</v>
      </c>
      <c r="J387" s="9"/>
      <c r="K387" s="9"/>
      <c r="L387" s="9"/>
      <c r="M387" s="9">
        <v>75.322499999999991</v>
      </c>
      <c r="N387" s="9" t="s">
        <v>28</v>
      </c>
      <c r="O387" s="9" t="s">
        <v>29</v>
      </c>
      <c r="P387" s="9" t="s">
        <v>29</v>
      </c>
      <c r="Q387" s="9"/>
      <c r="R387" s="9"/>
      <c r="S387" s="9"/>
      <c r="T387" s="9"/>
      <c r="U387" s="9"/>
      <c r="V387" s="9"/>
      <c r="W387" s="9"/>
      <c r="X387" s="9" t="s">
        <v>30</v>
      </c>
      <c r="Y387" s="11"/>
    </row>
    <row r="388" spans="1:25" s="3" customFormat="1" ht="17.7" customHeight="1" x14ac:dyDescent="0.3">
      <c r="A388" s="20">
        <v>387</v>
      </c>
      <c r="B388" s="20">
        <v>8200124</v>
      </c>
      <c r="C388" s="10" t="s">
        <v>420</v>
      </c>
      <c r="D388" s="10" t="s">
        <v>25</v>
      </c>
      <c r="E388" s="10" t="s">
        <v>35</v>
      </c>
      <c r="F388" s="10">
        <v>99.25</v>
      </c>
      <c r="G388" s="10">
        <v>10</v>
      </c>
      <c r="H388" s="10"/>
      <c r="I388" s="10" t="s">
        <v>297</v>
      </c>
      <c r="J388" s="10"/>
      <c r="K388" s="10"/>
      <c r="L388" s="10"/>
      <c r="M388" s="10">
        <v>82.377499999999998</v>
      </c>
      <c r="N388" s="10" t="s">
        <v>28</v>
      </c>
      <c r="O388" s="10" t="s">
        <v>29</v>
      </c>
      <c r="P388" s="10" t="s">
        <v>29</v>
      </c>
      <c r="Q388" s="10"/>
      <c r="R388" s="10"/>
      <c r="S388" s="10"/>
      <c r="T388" s="10"/>
      <c r="U388" s="10"/>
      <c r="V388" s="10"/>
      <c r="W388" s="10"/>
      <c r="X388" s="10" t="s">
        <v>30</v>
      </c>
      <c r="Y388" s="11"/>
    </row>
    <row r="389" spans="1:25" s="3" customFormat="1" ht="17.7" customHeight="1" x14ac:dyDescent="0.3">
      <c r="A389" s="21">
        <v>388</v>
      </c>
      <c r="B389" s="21">
        <v>8200125</v>
      </c>
      <c r="C389" s="9" t="s">
        <v>421</v>
      </c>
      <c r="D389" s="9" t="s">
        <v>25</v>
      </c>
      <c r="E389" s="9" t="s">
        <v>35</v>
      </c>
      <c r="F389" s="9">
        <v>132</v>
      </c>
      <c r="G389" s="9">
        <v>10</v>
      </c>
      <c r="H389" s="9"/>
      <c r="I389" s="9" t="s">
        <v>297</v>
      </c>
      <c r="J389" s="9"/>
      <c r="K389" s="9"/>
      <c r="L389" s="9"/>
      <c r="M389" s="9">
        <v>109.56</v>
      </c>
      <c r="N389" s="9" t="s">
        <v>28</v>
      </c>
      <c r="O389" s="9" t="s">
        <v>29</v>
      </c>
      <c r="P389" s="9" t="s">
        <v>29</v>
      </c>
      <c r="Q389" s="9"/>
      <c r="R389" s="9"/>
      <c r="S389" s="9"/>
      <c r="T389" s="9"/>
      <c r="U389" s="9"/>
      <c r="V389" s="9"/>
      <c r="W389" s="9"/>
      <c r="X389" s="9" t="s">
        <v>30</v>
      </c>
      <c r="Y389" s="11"/>
    </row>
    <row r="390" spans="1:25" s="3" customFormat="1" ht="17.7" customHeight="1" x14ac:dyDescent="0.3">
      <c r="A390" s="20">
        <v>389</v>
      </c>
      <c r="B390" s="20">
        <v>8200126</v>
      </c>
      <c r="C390" s="10" t="s">
        <v>422</v>
      </c>
      <c r="D390" s="10" t="s">
        <v>25</v>
      </c>
      <c r="E390" s="10" t="s">
        <v>35</v>
      </c>
      <c r="F390" s="10">
        <v>143.5</v>
      </c>
      <c r="G390" s="10">
        <v>10</v>
      </c>
      <c r="H390" s="10"/>
      <c r="I390" s="10" t="s">
        <v>297</v>
      </c>
      <c r="J390" s="10"/>
      <c r="K390" s="10"/>
      <c r="L390" s="10"/>
      <c r="M390" s="10">
        <v>119.10499999999999</v>
      </c>
      <c r="N390" s="10" t="s">
        <v>28</v>
      </c>
      <c r="O390" s="10" t="s">
        <v>29</v>
      </c>
      <c r="P390" s="10" t="s">
        <v>29</v>
      </c>
      <c r="Q390" s="10"/>
      <c r="R390" s="10"/>
      <c r="S390" s="10"/>
      <c r="T390" s="10"/>
      <c r="U390" s="10"/>
      <c r="V390" s="10"/>
      <c r="W390" s="10"/>
      <c r="X390" s="10" t="s">
        <v>30</v>
      </c>
      <c r="Y390" s="11"/>
    </row>
    <row r="391" spans="1:25" s="3" customFormat="1" ht="17.7" customHeight="1" x14ac:dyDescent="0.3">
      <c r="A391" s="21">
        <v>390</v>
      </c>
      <c r="B391" s="21">
        <v>8200127</v>
      </c>
      <c r="C391" s="9" t="s">
        <v>423</v>
      </c>
      <c r="D391" s="9" t="s">
        <v>25</v>
      </c>
      <c r="E391" s="9" t="s">
        <v>35</v>
      </c>
      <c r="F391" s="9">
        <v>150.75</v>
      </c>
      <c r="G391" s="9">
        <v>10</v>
      </c>
      <c r="H391" s="9"/>
      <c r="I391" s="9" t="s">
        <v>297</v>
      </c>
      <c r="J391" s="9"/>
      <c r="K391" s="9"/>
      <c r="L391" s="9"/>
      <c r="M391" s="9">
        <v>125.1225</v>
      </c>
      <c r="N391" s="9" t="s">
        <v>28</v>
      </c>
      <c r="O391" s="9" t="s">
        <v>29</v>
      </c>
      <c r="P391" s="9" t="s">
        <v>29</v>
      </c>
      <c r="Q391" s="9"/>
      <c r="R391" s="9"/>
      <c r="S391" s="9"/>
      <c r="T391" s="9"/>
      <c r="U391" s="9"/>
      <c r="V391" s="9"/>
      <c r="W391" s="9"/>
      <c r="X391" s="9" t="s">
        <v>30</v>
      </c>
      <c r="Y391" s="11"/>
    </row>
    <row r="392" spans="1:25" s="3" customFormat="1" ht="17.7" customHeight="1" x14ac:dyDescent="0.3">
      <c r="A392" s="20">
        <v>391</v>
      </c>
      <c r="B392" s="20">
        <v>8200128</v>
      </c>
      <c r="C392" s="10" t="s">
        <v>424</v>
      </c>
      <c r="D392" s="10" t="s">
        <v>25</v>
      </c>
      <c r="E392" s="10" t="s">
        <v>35</v>
      </c>
      <c r="F392" s="10">
        <v>9176.5</v>
      </c>
      <c r="G392" s="10">
        <v>1</v>
      </c>
      <c r="H392" s="10"/>
      <c r="I392" s="10" t="s">
        <v>297</v>
      </c>
      <c r="J392" s="10"/>
      <c r="K392" s="10"/>
      <c r="L392" s="10"/>
      <c r="M392" s="10">
        <v>7616.4949999999999</v>
      </c>
      <c r="N392" s="10" t="s">
        <v>28</v>
      </c>
      <c r="O392" s="10" t="s">
        <v>29</v>
      </c>
      <c r="P392" s="10" t="s">
        <v>29</v>
      </c>
      <c r="Q392" s="10"/>
      <c r="R392" s="10"/>
      <c r="S392" s="10"/>
      <c r="T392" s="10"/>
      <c r="U392" s="10"/>
      <c r="V392" s="10"/>
      <c r="W392" s="10"/>
      <c r="X392" s="10" t="s">
        <v>30</v>
      </c>
      <c r="Y392" s="11"/>
    </row>
    <row r="393" spans="1:25" s="3" customFormat="1" ht="17.7" customHeight="1" x14ac:dyDescent="0.3">
      <c r="A393" s="21">
        <v>392</v>
      </c>
      <c r="B393" s="21">
        <v>8200129</v>
      </c>
      <c r="C393" s="9" t="s">
        <v>425</v>
      </c>
      <c r="D393" s="9" t="s">
        <v>25</v>
      </c>
      <c r="E393" s="9" t="s">
        <v>35</v>
      </c>
      <c r="F393" s="9">
        <v>17062.75</v>
      </c>
      <c r="G393" s="9">
        <v>1</v>
      </c>
      <c r="H393" s="9"/>
      <c r="I393" s="9" t="s">
        <v>297</v>
      </c>
      <c r="J393" s="9"/>
      <c r="K393" s="9"/>
      <c r="L393" s="9"/>
      <c r="M393" s="9">
        <v>14162.0825</v>
      </c>
      <c r="N393" s="9" t="s">
        <v>28</v>
      </c>
      <c r="O393" s="9" t="s">
        <v>29</v>
      </c>
      <c r="P393" s="9" t="s">
        <v>29</v>
      </c>
      <c r="Q393" s="9"/>
      <c r="R393" s="9"/>
      <c r="S393" s="9"/>
      <c r="T393" s="9"/>
      <c r="U393" s="9"/>
      <c r="V393" s="9"/>
      <c r="W393" s="9"/>
      <c r="X393" s="9" t="s">
        <v>30</v>
      </c>
      <c r="Y393" s="11"/>
    </row>
    <row r="394" spans="1:25" s="3" customFormat="1" ht="17.7" customHeight="1" x14ac:dyDescent="0.3">
      <c r="A394" s="20">
        <v>393</v>
      </c>
      <c r="B394" s="20">
        <v>8200130</v>
      </c>
      <c r="C394" s="10" t="s">
        <v>426</v>
      </c>
      <c r="D394" s="10" t="s">
        <v>25</v>
      </c>
      <c r="E394" s="10" t="s">
        <v>35</v>
      </c>
      <c r="F394" s="10">
        <v>26480.25</v>
      </c>
      <c r="G394" s="10">
        <v>1</v>
      </c>
      <c r="H394" s="10"/>
      <c r="I394" s="10" t="s">
        <v>297</v>
      </c>
      <c r="J394" s="10"/>
      <c r="K394" s="10"/>
      <c r="L394" s="10"/>
      <c r="M394" s="10">
        <v>21978.607499999998</v>
      </c>
      <c r="N394" s="10" t="s">
        <v>28</v>
      </c>
      <c r="O394" s="10" t="s">
        <v>29</v>
      </c>
      <c r="P394" s="10" t="s">
        <v>29</v>
      </c>
      <c r="Q394" s="10"/>
      <c r="R394" s="10"/>
      <c r="S394" s="10"/>
      <c r="T394" s="10"/>
      <c r="U394" s="10"/>
      <c r="V394" s="10"/>
      <c r="W394" s="10"/>
      <c r="X394" s="10" t="s">
        <v>30</v>
      </c>
      <c r="Y394" s="11"/>
    </row>
    <row r="395" spans="1:25" s="3" customFormat="1" ht="17.7" customHeight="1" x14ac:dyDescent="0.3">
      <c r="A395" s="21">
        <v>394</v>
      </c>
      <c r="B395" s="21">
        <v>8200131</v>
      </c>
      <c r="C395" s="9" t="s">
        <v>427</v>
      </c>
      <c r="D395" s="9" t="s">
        <v>25</v>
      </c>
      <c r="E395" s="9" t="s">
        <v>35</v>
      </c>
      <c r="F395" s="9">
        <v>168.75</v>
      </c>
      <c r="G395" s="9">
        <v>20</v>
      </c>
      <c r="H395" s="9"/>
      <c r="I395" s="9" t="s">
        <v>297</v>
      </c>
      <c r="J395" s="9"/>
      <c r="K395" s="9"/>
      <c r="L395" s="9"/>
      <c r="M395" s="9">
        <v>140.0625</v>
      </c>
      <c r="N395" s="9" t="s">
        <v>28</v>
      </c>
      <c r="O395" s="9" t="s">
        <v>29</v>
      </c>
      <c r="P395" s="9" t="s">
        <v>29</v>
      </c>
      <c r="Q395" s="9"/>
      <c r="R395" s="9"/>
      <c r="S395" s="9"/>
      <c r="T395" s="9"/>
      <c r="U395" s="9"/>
      <c r="V395" s="9"/>
      <c r="W395" s="9"/>
      <c r="X395" s="9" t="s">
        <v>30</v>
      </c>
      <c r="Y395" s="11"/>
    </row>
    <row r="396" spans="1:25" s="3" customFormat="1" ht="17.7" customHeight="1" x14ac:dyDescent="0.3">
      <c r="A396" s="20">
        <v>395</v>
      </c>
      <c r="B396" s="20">
        <v>8200132</v>
      </c>
      <c r="C396" s="10" t="s">
        <v>428</v>
      </c>
      <c r="D396" s="10" t="s">
        <v>25</v>
      </c>
      <c r="E396" s="10" t="s">
        <v>35</v>
      </c>
      <c r="F396" s="10">
        <v>267.75</v>
      </c>
      <c r="G396" s="10">
        <v>10</v>
      </c>
      <c r="H396" s="10"/>
      <c r="I396" s="10" t="s">
        <v>297</v>
      </c>
      <c r="J396" s="10"/>
      <c r="K396" s="10"/>
      <c r="L396" s="10"/>
      <c r="M396" s="10">
        <v>222.23249999999999</v>
      </c>
      <c r="N396" s="10" t="s">
        <v>28</v>
      </c>
      <c r="O396" s="10" t="s">
        <v>29</v>
      </c>
      <c r="P396" s="10" t="s">
        <v>29</v>
      </c>
      <c r="Q396" s="10"/>
      <c r="R396" s="10"/>
      <c r="S396" s="10"/>
      <c r="T396" s="10"/>
      <c r="U396" s="10"/>
      <c r="V396" s="10"/>
      <c r="W396" s="10"/>
      <c r="X396" s="10" t="s">
        <v>30</v>
      </c>
      <c r="Y396" s="11"/>
    </row>
    <row r="397" spans="1:25" s="3" customFormat="1" ht="17.7" customHeight="1" x14ac:dyDescent="0.3">
      <c r="A397" s="21">
        <v>396</v>
      </c>
      <c r="B397" s="21">
        <v>8200133</v>
      </c>
      <c r="C397" s="9" t="s">
        <v>429</v>
      </c>
      <c r="D397" s="9" t="s">
        <v>25</v>
      </c>
      <c r="E397" s="9" t="s">
        <v>35</v>
      </c>
      <c r="F397" s="9">
        <v>465</v>
      </c>
      <c r="G397" s="9">
        <v>10</v>
      </c>
      <c r="H397" s="9"/>
      <c r="I397" s="9" t="s">
        <v>297</v>
      </c>
      <c r="J397" s="9"/>
      <c r="K397" s="9"/>
      <c r="L397" s="9"/>
      <c r="M397" s="9">
        <f t="shared" ref="M397:M405" si="6">F397-F397*17%</f>
        <v>385.95</v>
      </c>
      <c r="N397" s="9" t="s">
        <v>28</v>
      </c>
      <c r="O397" s="9" t="s">
        <v>29</v>
      </c>
      <c r="P397" s="9" t="s">
        <v>29</v>
      </c>
      <c r="Q397" s="9"/>
      <c r="R397" s="9"/>
      <c r="S397" s="9"/>
      <c r="T397" s="9"/>
      <c r="U397" s="9"/>
      <c r="V397" s="9"/>
      <c r="W397" s="9"/>
      <c r="X397" s="9" t="s">
        <v>30</v>
      </c>
      <c r="Y397" s="11"/>
    </row>
    <row r="398" spans="1:25" s="3" customFormat="1" ht="17.7" customHeight="1" x14ac:dyDescent="0.3">
      <c r="A398" s="20">
        <v>397</v>
      </c>
      <c r="B398" s="20">
        <v>8200134</v>
      </c>
      <c r="C398" s="10" t="s">
        <v>430</v>
      </c>
      <c r="D398" s="10" t="s">
        <v>25</v>
      </c>
      <c r="E398" s="10" t="s">
        <v>35</v>
      </c>
      <c r="F398" s="10">
        <v>143</v>
      </c>
      <c r="G398" s="10">
        <v>20</v>
      </c>
      <c r="H398" s="10"/>
      <c r="I398" s="10" t="s">
        <v>297</v>
      </c>
      <c r="J398" s="10"/>
      <c r="K398" s="10"/>
      <c r="L398" s="10"/>
      <c r="M398" s="10">
        <f t="shared" si="6"/>
        <v>118.69</v>
      </c>
      <c r="N398" s="10" t="s">
        <v>28</v>
      </c>
      <c r="O398" s="10" t="s">
        <v>29</v>
      </c>
      <c r="P398" s="10" t="s">
        <v>29</v>
      </c>
      <c r="Q398" s="10"/>
      <c r="R398" s="10"/>
      <c r="S398" s="10"/>
      <c r="T398" s="10"/>
      <c r="U398" s="10"/>
      <c r="V398" s="10"/>
      <c r="W398" s="10"/>
      <c r="X398" s="10" t="s">
        <v>30</v>
      </c>
      <c r="Y398" s="11"/>
    </row>
    <row r="399" spans="1:25" s="3" customFormat="1" ht="17.7" customHeight="1" x14ac:dyDescent="0.3">
      <c r="A399" s="21">
        <v>398</v>
      </c>
      <c r="B399" s="21">
        <v>8200135</v>
      </c>
      <c r="C399" s="9" t="s">
        <v>431</v>
      </c>
      <c r="D399" s="9" t="s">
        <v>25</v>
      </c>
      <c r="E399" s="9" t="s">
        <v>35</v>
      </c>
      <c r="F399" s="9">
        <v>222.5</v>
      </c>
      <c r="G399" s="9">
        <v>20</v>
      </c>
      <c r="H399" s="9"/>
      <c r="I399" s="9" t="s">
        <v>297</v>
      </c>
      <c r="J399" s="9"/>
      <c r="K399" s="9"/>
      <c r="L399" s="9"/>
      <c r="M399" s="9">
        <f t="shared" si="6"/>
        <v>184.67500000000001</v>
      </c>
      <c r="N399" s="9" t="s">
        <v>28</v>
      </c>
      <c r="O399" s="9" t="s">
        <v>29</v>
      </c>
      <c r="P399" s="9" t="s">
        <v>29</v>
      </c>
      <c r="Q399" s="9"/>
      <c r="R399" s="9"/>
      <c r="S399" s="9"/>
      <c r="T399" s="9"/>
      <c r="U399" s="9"/>
      <c r="V399" s="9"/>
      <c r="W399" s="9"/>
      <c r="X399" s="9" t="s">
        <v>30</v>
      </c>
      <c r="Y399" s="11"/>
    </row>
    <row r="400" spans="1:25" s="3" customFormat="1" ht="17.7" customHeight="1" x14ac:dyDescent="0.3">
      <c r="A400" s="20">
        <v>399</v>
      </c>
      <c r="B400" s="20">
        <v>8200136</v>
      </c>
      <c r="C400" s="10" t="s">
        <v>432</v>
      </c>
      <c r="D400" s="10" t="s">
        <v>25</v>
      </c>
      <c r="E400" s="10" t="s">
        <v>35</v>
      </c>
      <c r="F400" s="10">
        <v>397.25</v>
      </c>
      <c r="G400" s="10">
        <v>10</v>
      </c>
      <c r="H400" s="10"/>
      <c r="I400" s="10" t="s">
        <v>297</v>
      </c>
      <c r="J400" s="10"/>
      <c r="K400" s="10"/>
      <c r="L400" s="10"/>
      <c r="M400" s="10">
        <f t="shared" si="6"/>
        <v>329.71749999999997</v>
      </c>
      <c r="N400" s="10" t="s">
        <v>28</v>
      </c>
      <c r="O400" s="10" t="s">
        <v>29</v>
      </c>
      <c r="P400" s="10" t="s">
        <v>29</v>
      </c>
      <c r="Q400" s="10"/>
      <c r="R400" s="10"/>
      <c r="S400" s="10"/>
      <c r="T400" s="10"/>
      <c r="U400" s="10"/>
      <c r="V400" s="10"/>
      <c r="W400" s="10"/>
      <c r="X400" s="10" t="s">
        <v>30</v>
      </c>
      <c r="Y400" s="11"/>
    </row>
    <row r="401" spans="1:25" s="3" customFormat="1" ht="17.7" customHeight="1" x14ac:dyDescent="0.3">
      <c r="A401" s="21">
        <v>400</v>
      </c>
      <c r="B401" s="21">
        <v>8200137</v>
      </c>
      <c r="C401" s="9" t="s">
        <v>433</v>
      </c>
      <c r="D401" s="9" t="s">
        <v>25</v>
      </c>
      <c r="E401" s="9" t="s">
        <v>35</v>
      </c>
      <c r="F401" s="9">
        <v>146.75</v>
      </c>
      <c r="G401" s="9">
        <v>20</v>
      </c>
      <c r="H401" s="9"/>
      <c r="I401" s="9" t="s">
        <v>297</v>
      </c>
      <c r="J401" s="9"/>
      <c r="K401" s="9"/>
      <c r="L401" s="9"/>
      <c r="M401" s="9">
        <f t="shared" si="6"/>
        <v>121.80249999999999</v>
      </c>
      <c r="N401" s="9" t="s">
        <v>28</v>
      </c>
      <c r="O401" s="9" t="s">
        <v>29</v>
      </c>
      <c r="P401" s="9" t="s">
        <v>29</v>
      </c>
      <c r="Q401" s="9"/>
      <c r="R401" s="9"/>
      <c r="S401" s="9"/>
      <c r="T401" s="9"/>
      <c r="U401" s="9"/>
      <c r="V401" s="9"/>
      <c r="W401" s="9"/>
      <c r="X401" s="9" t="s">
        <v>30</v>
      </c>
      <c r="Y401" s="11"/>
    </row>
    <row r="402" spans="1:25" s="3" customFormat="1" ht="17.7" customHeight="1" x14ac:dyDescent="0.3">
      <c r="A402" s="20">
        <v>401</v>
      </c>
      <c r="B402" s="20">
        <v>8200138</v>
      </c>
      <c r="C402" s="10" t="s">
        <v>434</v>
      </c>
      <c r="D402" s="10" t="s">
        <v>25</v>
      </c>
      <c r="E402" s="10" t="s">
        <v>35</v>
      </c>
      <c r="F402" s="10">
        <v>202.75</v>
      </c>
      <c r="G402" s="10">
        <v>20</v>
      </c>
      <c r="H402" s="10"/>
      <c r="I402" s="10" t="s">
        <v>297</v>
      </c>
      <c r="J402" s="10"/>
      <c r="K402" s="10"/>
      <c r="L402" s="10"/>
      <c r="M402" s="10">
        <f t="shared" si="6"/>
        <v>168.2825</v>
      </c>
      <c r="N402" s="10" t="s">
        <v>28</v>
      </c>
      <c r="O402" s="10" t="s">
        <v>29</v>
      </c>
      <c r="P402" s="10" t="s">
        <v>29</v>
      </c>
      <c r="Q402" s="10"/>
      <c r="R402" s="10"/>
      <c r="S402" s="10"/>
      <c r="T402" s="10"/>
      <c r="U402" s="10"/>
      <c r="V402" s="10"/>
      <c r="W402" s="10"/>
      <c r="X402" s="10" t="s">
        <v>30</v>
      </c>
      <c r="Y402" s="11"/>
    </row>
    <row r="403" spans="1:25" s="3" customFormat="1" ht="17.7" customHeight="1" x14ac:dyDescent="0.3">
      <c r="A403" s="21">
        <v>402</v>
      </c>
      <c r="B403" s="21">
        <v>8200139</v>
      </c>
      <c r="C403" s="9" t="s">
        <v>435</v>
      </c>
      <c r="D403" s="9" t="s">
        <v>25</v>
      </c>
      <c r="E403" s="9" t="s">
        <v>35</v>
      </c>
      <c r="F403" s="9">
        <v>360.25</v>
      </c>
      <c r="G403" s="9">
        <v>10</v>
      </c>
      <c r="H403" s="9"/>
      <c r="I403" s="9" t="s">
        <v>297</v>
      </c>
      <c r="J403" s="9"/>
      <c r="K403" s="9"/>
      <c r="L403" s="9"/>
      <c r="M403" s="9">
        <f t="shared" si="6"/>
        <v>299.00749999999999</v>
      </c>
      <c r="N403" s="9" t="s">
        <v>28</v>
      </c>
      <c r="O403" s="9" t="s">
        <v>29</v>
      </c>
      <c r="P403" s="9" t="s">
        <v>29</v>
      </c>
      <c r="Q403" s="9"/>
      <c r="R403" s="9"/>
      <c r="S403" s="9"/>
      <c r="T403" s="9"/>
      <c r="U403" s="9"/>
      <c r="V403" s="9"/>
      <c r="W403" s="9"/>
      <c r="X403" s="9" t="s">
        <v>30</v>
      </c>
      <c r="Y403" s="11"/>
    </row>
    <row r="404" spans="1:25" s="3" customFormat="1" ht="17.7" customHeight="1" x14ac:dyDescent="0.3">
      <c r="A404" s="20">
        <v>403</v>
      </c>
      <c r="B404" s="20">
        <v>8300001</v>
      </c>
      <c r="C404" s="10" t="s">
        <v>436</v>
      </c>
      <c r="D404" s="10" t="s">
        <v>25</v>
      </c>
      <c r="E404" s="10" t="s">
        <v>35</v>
      </c>
      <c r="F404" s="10"/>
      <c r="G404" s="10">
        <v>2</v>
      </c>
      <c r="H404" s="10"/>
      <c r="I404" s="10" t="s">
        <v>437</v>
      </c>
      <c r="J404" s="10"/>
      <c r="K404" s="10"/>
      <c r="L404" s="10"/>
      <c r="M404" s="10">
        <f t="shared" si="6"/>
        <v>0</v>
      </c>
      <c r="N404" s="10" t="s">
        <v>28</v>
      </c>
      <c r="O404" s="10" t="s">
        <v>29</v>
      </c>
      <c r="P404" s="10" t="s">
        <v>29</v>
      </c>
      <c r="Q404" s="10"/>
      <c r="R404" s="10"/>
      <c r="S404" s="10"/>
      <c r="T404" s="10"/>
      <c r="U404" s="10"/>
      <c r="V404" s="10"/>
      <c r="W404" s="10"/>
      <c r="X404" s="10"/>
      <c r="Y404" s="11"/>
    </row>
    <row r="405" spans="1:25" s="3" customFormat="1" ht="17.7" customHeight="1" x14ac:dyDescent="0.3">
      <c r="A405" s="21">
        <v>404</v>
      </c>
      <c r="B405" s="21">
        <v>8300002</v>
      </c>
      <c r="C405" s="9" t="s">
        <v>438</v>
      </c>
      <c r="D405" s="9" t="s">
        <v>25</v>
      </c>
      <c r="E405" s="9" t="s">
        <v>35</v>
      </c>
      <c r="F405" s="9"/>
      <c r="G405" s="9">
        <v>15</v>
      </c>
      <c r="H405" s="9"/>
      <c r="I405" s="9" t="s">
        <v>437</v>
      </c>
      <c r="J405" s="9"/>
      <c r="K405" s="9"/>
      <c r="L405" s="9"/>
      <c r="M405" s="9">
        <f t="shared" si="6"/>
        <v>0</v>
      </c>
      <c r="N405" s="9" t="s">
        <v>28</v>
      </c>
      <c r="O405" s="9" t="s">
        <v>29</v>
      </c>
      <c r="P405" s="9" t="s">
        <v>29</v>
      </c>
      <c r="Q405" s="9"/>
      <c r="R405" s="9"/>
      <c r="S405" s="9"/>
      <c r="T405" s="9"/>
      <c r="U405" s="9"/>
      <c r="V405" s="9"/>
      <c r="W405" s="9"/>
      <c r="X405" s="9" t="s">
        <v>30</v>
      </c>
      <c r="Y405" s="11"/>
    </row>
    <row r="406" spans="1:25" s="3" customFormat="1" ht="17.7" customHeight="1" x14ac:dyDescent="0.3">
      <c r="A406" s="20">
        <v>405</v>
      </c>
      <c r="B406" s="20">
        <v>8300003</v>
      </c>
      <c r="C406" s="10" t="s">
        <v>439</v>
      </c>
      <c r="D406" s="10" t="s">
        <v>25</v>
      </c>
      <c r="E406" s="10" t="s">
        <v>35</v>
      </c>
      <c r="F406" s="10"/>
      <c r="G406" s="10">
        <v>15</v>
      </c>
      <c r="H406" s="10"/>
      <c r="I406" s="10" t="s">
        <v>437</v>
      </c>
      <c r="J406" s="10"/>
      <c r="K406" s="10"/>
      <c r="L406" s="10"/>
      <c r="M406" s="10">
        <v>0</v>
      </c>
      <c r="N406" s="10" t="s">
        <v>28</v>
      </c>
      <c r="O406" s="10" t="s">
        <v>29</v>
      </c>
      <c r="P406" s="10" t="s">
        <v>29</v>
      </c>
      <c r="Q406" s="10"/>
      <c r="R406" s="10"/>
      <c r="S406" s="10"/>
      <c r="T406" s="10"/>
      <c r="U406" s="10"/>
      <c r="V406" s="10"/>
      <c r="W406" s="10"/>
      <c r="X406" s="10" t="s">
        <v>30</v>
      </c>
      <c r="Y406" s="11"/>
    </row>
    <row r="407" spans="1:25" s="3" customFormat="1" ht="17.7" customHeight="1" x14ac:dyDescent="0.3">
      <c r="A407" s="21">
        <v>406</v>
      </c>
      <c r="B407" s="21">
        <v>8300004</v>
      </c>
      <c r="C407" s="9" t="s">
        <v>440</v>
      </c>
      <c r="D407" s="9" t="s">
        <v>25</v>
      </c>
      <c r="E407" s="9" t="s">
        <v>35</v>
      </c>
      <c r="F407" s="9"/>
      <c r="G407" s="9">
        <v>15</v>
      </c>
      <c r="H407" s="9"/>
      <c r="I407" s="9" t="s">
        <v>437</v>
      </c>
      <c r="J407" s="9"/>
      <c r="K407" s="9"/>
      <c r="L407" s="9"/>
      <c r="M407" s="9">
        <f t="shared" ref="M407:M470" si="7">F407-F407*11%</f>
        <v>0</v>
      </c>
      <c r="N407" s="9" t="s">
        <v>28</v>
      </c>
      <c r="O407" s="9" t="s">
        <v>29</v>
      </c>
      <c r="P407" s="9" t="s">
        <v>29</v>
      </c>
      <c r="Q407" s="9"/>
      <c r="R407" s="9"/>
      <c r="S407" s="9"/>
      <c r="T407" s="9"/>
      <c r="U407" s="9"/>
      <c r="V407" s="9"/>
      <c r="W407" s="9"/>
      <c r="X407" s="9" t="s">
        <v>30</v>
      </c>
      <c r="Y407" s="11"/>
    </row>
    <row r="408" spans="1:25" s="3" customFormat="1" ht="17.7" customHeight="1" x14ac:dyDescent="0.3">
      <c r="A408" s="20">
        <v>407</v>
      </c>
      <c r="B408" s="20">
        <v>8300005</v>
      </c>
      <c r="C408" s="10" t="s">
        <v>441</v>
      </c>
      <c r="D408" s="10" t="s">
        <v>25</v>
      </c>
      <c r="E408" s="10" t="s">
        <v>35</v>
      </c>
      <c r="F408" s="10"/>
      <c r="G408" s="10">
        <v>15</v>
      </c>
      <c r="H408" s="10"/>
      <c r="I408" s="10" t="s">
        <v>437</v>
      </c>
      <c r="J408" s="10"/>
      <c r="K408" s="10"/>
      <c r="L408" s="10"/>
      <c r="M408" s="10">
        <f t="shared" si="7"/>
        <v>0</v>
      </c>
      <c r="N408" s="10" t="s">
        <v>28</v>
      </c>
      <c r="O408" s="10" t="s">
        <v>29</v>
      </c>
      <c r="P408" s="10" t="s">
        <v>29</v>
      </c>
      <c r="Q408" s="10"/>
      <c r="R408" s="10"/>
      <c r="S408" s="10"/>
      <c r="T408" s="10"/>
      <c r="U408" s="10"/>
      <c r="V408" s="10"/>
      <c r="W408" s="10"/>
      <c r="X408" s="10" t="s">
        <v>30</v>
      </c>
      <c r="Y408" s="11"/>
    </row>
    <row r="409" spans="1:25" s="3" customFormat="1" ht="17.7" customHeight="1" x14ac:dyDescent="0.3">
      <c r="A409" s="21">
        <v>408</v>
      </c>
      <c r="B409" s="21">
        <v>8300006</v>
      </c>
      <c r="C409" s="9" t="s">
        <v>442</v>
      </c>
      <c r="D409" s="9" t="s">
        <v>25</v>
      </c>
      <c r="E409" s="9" t="s">
        <v>35</v>
      </c>
      <c r="F409" s="9"/>
      <c r="G409" s="9">
        <v>15</v>
      </c>
      <c r="H409" s="9"/>
      <c r="I409" s="9" t="s">
        <v>437</v>
      </c>
      <c r="J409" s="9"/>
      <c r="K409" s="9"/>
      <c r="L409" s="9"/>
      <c r="M409" s="9">
        <f t="shared" si="7"/>
        <v>0</v>
      </c>
      <c r="N409" s="9" t="s">
        <v>28</v>
      </c>
      <c r="O409" s="9" t="s">
        <v>29</v>
      </c>
      <c r="P409" s="9" t="s">
        <v>29</v>
      </c>
      <c r="Q409" s="9"/>
      <c r="R409" s="9"/>
      <c r="S409" s="9"/>
      <c r="T409" s="9"/>
      <c r="U409" s="9"/>
      <c r="V409" s="9"/>
      <c r="W409" s="9"/>
      <c r="X409" s="9" t="s">
        <v>30</v>
      </c>
      <c r="Y409" s="11"/>
    </row>
    <row r="410" spans="1:25" s="3" customFormat="1" ht="17.7" customHeight="1" x14ac:dyDescent="0.3">
      <c r="A410" s="20">
        <v>409</v>
      </c>
      <c r="B410" s="20">
        <v>8300007</v>
      </c>
      <c r="C410" s="10" t="s">
        <v>443</v>
      </c>
      <c r="D410" s="10" t="s">
        <v>25</v>
      </c>
      <c r="E410" s="10" t="s">
        <v>35</v>
      </c>
      <c r="F410" s="10"/>
      <c r="G410" s="10">
        <v>15</v>
      </c>
      <c r="H410" s="10"/>
      <c r="I410" s="10" t="s">
        <v>437</v>
      </c>
      <c r="J410" s="10"/>
      <c r="K410" s="10"/>
      <c r="L410" s="10"/>
      <c r="M410" s="10">
        <f t="shared" si="7"/>
        <v>0</v>
      </c>
      <c r="N410" s="10" t="s">
        <v>28</v>
      </c>
      <c r="O410" s="10" t="s">
        <v>29</v>
      </c>
      <c r="P410" s="10" t="s">
        <v>29</v>
      </c>
      <c r="Q410" s="10"/>
      <c r="R410" s="10"/>
      <c r="S410" s="10"/>
      <c r="T410" s="10"/>
      <c r="U410" s="10"/>
      <c r="V410" s="10"/>
      <c r="W410" s="10"/>
      <c r="X410" s="10" t="s">
        <v>30</v>
      </c>
      <c r="Y410" s="11"/>
    </row>
    <row r="411" spans="1:25" s="3" customFormat="1" ht="17.7" customHeight="1" x14ac:dyDescent="0.3">
      <c r="A411" s="21">
        <v>410</v>
      </c>
      <c r="B411" s="21">
        <v>8300008</v>
      </c>
      <c r="C411" s="9" t="s">
        <v>444</v>
      </c>
      <c r="D411" s="9" t="s">
        <v>25</v>
      </c>
      <c r="E411" s="9" t="s">
        <v>35</v>
      </c>
      <c r="F411" s="9"/>
      <c r="G411" s="9">
        <v>15</v>
      </c>
      <c r="H411" s="9"/>
      <c r="I411" s="9" t="s">
        <v>437</v>
      </c>
      <c r="J411" s="9"/>
      <c r="K411" s="9"/>
      <c r="L411" s="9"/>
      <c r="M411" s="9">
        <f t="shared" si="7"/>
        <v>0</v>
      </c>
      <c r="N411" s="9" t="s">
        <v>28</v>
      </c>
      <c r="O411" s="9" t="s">
        <v>29</v>
      </c>
      <c r="P411" s="9" t="s">
        <v>29</v>
      </c>
      <c r="Q411" s="9"/>
      <c r="R411" s="9"/>
      <c r="S411" s="9"/>
      <c r="T411" s="9"/>
      <c r="U411" s="9"/>
      <c r="V411" s="9"/>
      <c r="W411" s="9"/>
      <c r="X411" s="9" t="s">
        <v>30</v>
      </c>
      <c r="Y411" s="11"/>
    </row>
    <row r="412" spans="1:25" s="3" customFormat="1" ht="17.7" customHeight="1" x14ac:dyDescent="0.3">
      <c r="A412" s="20">
        <v>411</v>
      </c>
      <c r="B412" s="20">
        <v>8300009</v>
      </c>
      <c r="C412" s="10" t="s">
        <v>445</v>
      </c>
      <c r="D412" s="10" t="s">
        <v>25</v>
      </c>
      <c r="E412" s="10" t="s">
        <v>35</v>
      </c>
      <c r="F412" s="10"/>
      <c r="G412" s="10">
        <v>20</v>
      </c>
      <c r="H412" s="10"/>
      <c r="I412" s="10" t="s">
        <v>437</v>
      </c>
      <c r="J412" s="10"/>
      <c r="K412" s="10"/>
      <c r="L412" s="10"/>
      <c r="M412" s="10">
        <f t="shared" si="7"/>
        <v>0</v>
      </c>
      <c r="N412" s="10" t="s">
        <v>28</v>
      </c>
      <c r="O412" s="10" t="s">
        <v>29</v>
      </c>
      <c r="P412" s="10" t="s">
        <v>29</v>
      </c>
      <c r="Q412" s="10"/>
      <c r="R412" s="10"/>
      <c r="S412" s="10"/>
      <c r="T412" s="10"/>
      <c r="U412" s="10"/>
      <c r="V412" s="10"/>
      <c r="W412" s="10"/>
      <c r="X412" s="10" t="s">
        <v>30</v>
      </c>
      <c r="Y412" s="11"/>
    </row>
    <row r="413" spans="1:25" s="3" customFormat="1" ht="17.7" customHeight="1" x14ac:dyDescent="0.3">
      <c r="A413" s="21">
        <v>412</v>
      </c>
      <c r="B413" s="21">
        <v>8300010</v>
      </c>
      <c r="C413" s="9" t="s">
        <v>446</v>
      </c>
      <c r="D413" s="9" t="s">
        <v>25</v>
      </c>
      <c r="E413" s="9" t="s">
        <v>35</v>
      </c>
      <c r="F413" s="9"/>
      <c r="G413" s="9">
        <v>20</v>
      </c>
      <c r="H413" s="9"/>
      <c r="I413" s="9" t="s">
        <v>437</v>
      </c>
      <c r="J413" s="9"/>
      <c r="K413" s="9"/>
      <c r="L413" s="9"/>
      <c r="M413" s="9">
        <f t="shared" si="7"/>
        <v>0</v>
      </c>
      <c r="N413" s="9" t="s">
        <v>28</v>
      </c>
      <c r="O413" s="9" t="s">
        <v>29</v>
      </c>
      <c r="P413" s="9" t="s">
        <v>29</v>
      </c>
      <c r="Q413" s="9"/>
      <c r="R413" s="9"/>
      <c r="S413" s="9"/>
      <c r="T413" s="9"/>
      <c r="U413" s="9"/>
      <c r="V413" s="9"/>
      <c r="W413" s="9"/>
      <c r="X413" s="9" t="s">
        <v>30</v>
      </c>
      <c r="Y413" s="11"/>
    </row>
    <row r="414" spans="1:25" s="3" customFormat="1" ht="17.7" customHeight="1" x14ac:dyDescent="0.3">
      <c r="A414" s="20">
        <v>413</v>
      </c>
      <c r="B414" s="20">
        <v>8300011</v>
      </c>
      <c r="C414" s="10" t="s">
        <v>447</v>
      </c>
      <c r="D414" s="10" t="s">
        <v>25</v>
      </c>
      <c r="E414" s="10" t="s">
        <v>35</v>
      </c>
      <c r="F414" s="10"/>
      <c r="G414" s="10">
        <v>10</v>
      </c>
      <c r="H414" s="10"/>
      <c r="I414" s="10" t="s">
        <v>437</v>
      </c>
      <c r="J414" s="10"/>
      <c r="K414" s="10"/>
      <c r="L414" s="10"/>
      <c r="M414" s="10">
        <f t="shared" si="7"/>
        <v>0</v>
      </c>
      <c r="N414" s="10" t="s">
        <v>28</v>
      </c>
      <c r="O414" s="10" t="s">
        <v>29</v>
      </c>
      <c r="P414" s="10" t="s">
        <v>29</v>
      </c>
      <c r="Q414" s="10"/>
      <c r="R414" s="10"/>
      <c r="S414" s="10"/>
      <c r="T414" s="10"/>
      <c r="U414" s="10"/>
      <c r="V414" s="10"/>
      <c r="W414" s="10"/>
      <c r="X414" s="10" t="s">
        <v>30</v>
      </c>
      <c r="Y414" s="11"/>
    </row>
    <row r="415" spans="1:25" s="3" customFormat="1" ht="17.7" customHeight="1" x14ac:dyDescent="0.3">
      <c r="A415" s="21">
        <v>414</v>
      </c>
      <c r="B415" s="21">
        <v>8300012</v>
      </c>
      <c r="C415" s="9" t="s">
        <v>448</v>
      </c>
      <c r="D415" s="9" t="s">
        <v>25</v>
      </c>
      <c r="E415" s="9" t="s">
        <v>35</v>
      </c>
      <c r="F415" s="9"/>
      <c r="G415" s="9">
        <v>10</v>
      </c>
      <c r="H415" s="9"/>
      <c r="I415" s="9" t="s">
        <v>437</v>
      </c>
      <c r="J415" s="9"/>
      <c r="K415" s="9"/>
      <c r="L415" s="9"/>
      <c r="M415" s="9">
        <f t="shared" si="7"/>
        <v>0</v>
      </c>
      <c r="N415" s="9" t="s">
        <v>28</v>
      </c>
      <c r="O415" s="9" t="s">
        <v>29</v>
      </c>
      <c r="P415" s="9" t="s">
        <v>29</v>
      </c>
      <c r="Q415" s="9"/>
      <c r="R415" s="9"/>
      <c r="S415" s="9"/>
      <c r="T415" s="9"/>
      <c r="U415" s="9"/>
      <c r="V415" s="9"/>
      <c r="W415" s="9"/>
      <c r="X415" s="9" t="s">
        <v>30</v>
      </c>
      <c r="Y415" s="11"/>
    </row>
    <row r="416" spans="1:25" s="3" customFormat="1" ht="17.7" customHeight="1" x14ac:dyDescent="0.3">
      <c r="A416" s="20">
        <v>415</v>
      </c>
      <c r="B416" s="20">
        <v>8300013</v>
      </c>
      <c r="C416" s="10" t="s">
        <v>449</v>
      </c>
      <c r="D416" s="10" t="s">
        <v>25</v>
      </c>
      <c r="E416" s="10" t="s">
        <v>35</v>
      </c>
      <c r="F416" s="10"/>
      <c r="G416" s="10">
        <v>10</v>
      </c>
      <c r="H416" s="10"/>
      <c r="I416" s="10" t="s">
        <v>437</v>
      </c>
      <c r="J416" s="10"/>
      <c r="K416" s="10"/>
      <c r="L416" s="10"/>
      <c r="M416" s="10">
        <f t="shared" si="7"/>
        <v>0</v>
      </c>
      <c r="N416" s="10" t="s">
        <v>28</v>
      </c>
      <c r="O416" s="10" t="s">
        <v>29</v>
      </c>
      <c r="P416" s="10" t="s">
        <v>29</v>
      </c>
      <c r="Q416" s="10"/>
      <c r="R416" s="10"/>
      <c r="S416" s="10"/>
      <c r="T416" s="10"/>
      <c r="U416" s="10"/>
      <c r="V416" s="10"/>
      <c r="W416" s="10"/>
      <c r="X416" s="10" t="s">
        <v>30</v>
      </c>
      <c r="Y416" s="11"/>
    </row>
    <row r="417" spans="1:25" s="3" customFormat="1" ht="17.7" customHeight="1" x14ac:dyDescent="0.3">
      <c r="A417" s="21">
        <v>416</v>
      </c>
      <c r="B417" s="21">
        <v>8300014</v>
      </c>
      <c r="C417" s="9" t="s">
        <v>450</v>
      </c>
      <c r="D417" s="9" t="s">
        <v>25</v>
      </c>
      <c r="E417" s="9" t="s">
        <v>35</v>
      </c>
      <c r="F417" s="9"/>
      <c r="G417" s="9">
        <v>5</v>
      </c>
      <c r="H417" s="9"/>
      <c r="I417" s="9" t="s">
        <v>437</v>
      </c>
      <c r="J417" s="9"/>
      <c r="K417" s="9"/>
      <c r="L417" s="9"/>
      <c r="M417" s="9">
        <f t="shared" si="7"/>
        <v>0</v>
      </c>
      <c r="N417" s="9" t="s">
        <v>28</v>
      </c>
      <c r="O417" s="9" t="s">
        <v>29</v>
      </c>
      <c r="P417" s="9" t="s">
        <v>29</v>
      </c>
      <c r="Q417" s="9"/>
      <c r="R417" s="9"/>
      <c r="S417" s="9"/>
      <c r="T417" s="9"/>
      <c r="U417" s="9"/>
      <c r="V417" s="9"/>
      <c r="W417" s="9"/>
      <c r="X417" s="9" t="s">
        <v>30</v>
      </c>
      <c r="Y417" s="11"/>
    </row>
    <row r="418" spans="1:25" s="3" customFormat="1" ht="17.7" customHeight="1" x14ac:dyDescent="0.3">
      <c r="A418" s="20">
        <v>417</v>
      </c>
      <c r="B418" s="20">
        <v>8300015</v>
      </c>
      <c r="C418" s="10" t="s">
        <v>451</v>
      </c>
      <c r="D418" s="10" t="s">
        <v>25</v>
      </c>
      <c r="E418" s="10" t="s">
        <v>35</v>
      </c>
      <c r="F418" s="10"/>
      <c r="G418" s="10">
        <v>5</v>
      </c>
      <c r="H418" s="10"/>
      <c r="I418" s="10" t="s">
        <v>437</v>
      </c>
      <c r="J418" s="10"/>
      <c r="K418" s="10"/>
      <c r="L418" s="10"/>
      <c r="M418" s="10">
        <f t="shared" si="7"/>
        <v>0</v>
      </c>
      <c r="N418" s="10" t="s">
        <v>28</v>
      </c>
      <c r="O418" s="10" t="s">
        <v>29</v>
      </c>
      <c r="P418" s="10" t="s">
        <v>29</v>
      </c>
      <c r="Q418" s="10"/>
      <c r="R418" s="10"/>
      <c r="S418" s="10"/>
      <c r="T418" s="10"/>
      <c r="U418" s="10"/>
      <c r="V418" s="10"/>
      <c r="W418" s="10"/>
      <c r="X418" s="10" t="s">
        <v>30</v>
      </c>
      <c r="Y418" s="11"/>
    </row>
    <row r="419" spans="1:25" s="3" customFormat="1" ht="17.7" customHeight="1" x14ac:dyDescent="0.3">
      <c r="A419" s="21">
        <v>418</v>
      </c>
      <c r="B419" s="21">
        <v>8300016</v>
      </c>
      <c r="C419" s="9" t="s">
        <v>452</v>
      </c>
      <c r="D419" s="9" t="s">
        <v>25</v>
      </c>
      <c r="E419" s="9" t="s">
        <v>35</v>
      </c>
      <c r="F419" s="9"/>
      <c r="G419" s="9">
        <v>5</v>
      </c>
      <c r="H419" s="9"/>
      <c r="I419" s="9" t="s">
        <v>437</v>
      </c>
      <c r="J419" s="9"/>
      <c r="K419" s="9"/>
      <c r="L419" s="9"/>
      <c r="M419" s="9">
        <f t="shared" si="7"/>
        <v>0</v>
      </c>
      <c r="N419" s="9" t="s">
        <v>28</v>
      </c>
      <c r="O419" s="9" t="s">
        <v>29</v>
      </c>
      <c r="P419" s="9" t="s">
        <v>29</v>
      </c>
      <c r="Q419" s="9"/>
      <c r="R419" s="9"/>
      <c r="S419" s="9"/>
      <c r="T419" s="9"/>
      <c r="U419" s="9"/>
      <c r="V419" s="9"/>
      <c r="W419" s="9"/>
      <c r="X419" s="9" t="s">
        <v>30</v>
      </c>
      <c r="Y419" s="11"/>
    </row>
    <row r="420" spans="1:25" s="3" customFormat="1" ht="17.7" customHeight="1" x14ac:dyDescent="0.3">
      <c r="A420" s="20">
        <v>419</v>
      </c>
      <c r="B420" s="20">
        <v>8300017</v>
      </c>
      <c r="C420" s="10" t="s">
        <v>453</v>
      </c>
      <c r="D420" s="10" t="s">
        <v>25</v>
      </c>
      <c r="E420" s="10" t="s">
        <v>35</v>
      </c>
      <c r="F420" s="10"/>
      <c r="G420" s="10">
        <v>5</v>
      </c>
      <c r="H420" s="10"/>
      <c r="I420" s="10" t="s">
        <v>437</v>
      </c>
      <c r="J420" s="10"/>
      <c r="K420" s="10"/>
      <c r="L420" s="10"/>
      <c r="M420" s="10">
        <f t="shared" si="7"/>
        <v>0</v>
      </c>
      <c r="N420" s="10" t="s">
        <v>28</v>
      </c>
      <c r="O420" s="10" t="s">
        <v>29</v>
      </c>
      <c r="P420" s="10" t="s">
        <v>29</v>
      </c>
      <c r="Q420" s="10"/>
      <c r="R420" s="10"/>
      <c r="S420" s="10"/>
      <c r="T420" s="10"/>
      <c r="U420" s="10"/>
      <c r="V420" s="10"/>
      <c r="W420" s="10"/>
      <c r="X420" s="10" t="s">
        <v>30</v>
      </c>
      <c r="Y420" s="11"/>
    </row>
    <row r="421" spans="1:25" s="3" customFormat="1" ht="17.7" customHeight="1" x14ac:dyDescent="0.3">
      <c r="A421" s="21">
        <v>420</v>
      </c>
      <c r="B421" s="21">
        <v>8300018</v>
      </c>
      <c r="C421" s="9" t="s">
        <v>454</v>
      </c>
      <c r="D421" s="9" t="s">
        <v>25</v>
      </c>
      <c r="E421" s="9" t="s">
        <v>35</v>
      </c>
      <c r="F421" s="9"/>
      <c r="G421" s="9">
        <v>5</v>
      </c>
      <c r="H421" s="9"/>
      <c r="I421" s="9" t="s">
        <v>437</v>
      </c>
      <c r="J421" s="9"/>
      <c r="K421" s="9"/>
      <c r="L421" s="9"/>
      <c r="M421" s="9">
        <f t="shared" si="7"/>
        <v>0</v>
      </c>
      <c r="N421" s="9" t="s">
        <v>28</v>
      </c>
      <c r="O421" s="9" t="s">
        <v>29</v>
      </c>
      <c r="P421" s="9" t="s">
        <v>29</v>
      </c>
      <c r="Q421" s="9"/>
      <c r="R421" s="9"/>
      <c r="S421" s="9"/>
      <c r="T421" s="9"/>
      <c r="U421" s="9"/>
      <c r="V421" s="9"/>
      <c r="W421" s="9"/>
      <c r="X421" s="9" t="s">
        <v>30</v>
      </c>
      <c r="Y421" s="11"/>
    </row>
    <row r="422" spans="1:25" s="3" customFormat="1" ht="17.7" customHeight="1" x14ac:dyDescent="0.3">
      <c r="A422" s="20">
        <v>421</v>
      </c>
      <c r="B422" s="20">
        <v>8300019</v>
      </c>
      <c r="C422" s="10" t="s">
        <v>455</v>
      </c>
      <c r="D422" s="10" t="s">
        <v>25</v>
      </c>
      <c r="E422" s="10" t="s">
        <v>35</v>
      </c>
      <c r="F422" s="10"/>
      <c r="G422" s="10">
        <v>5</v>
      </c>
      <c r="H422" s="10"/>
      <c r="I422" s="10" t="s">
        <v>437</v>
      </c>
      <c r="J422" s="10"/>
      <c r="K422" s="10"/>
      <c r="L422" s="10"/>
      <c r="M422" s="10">
        <f t="shared" si="7"/>
        <v>0</v>
      </c>
      <c r="N422" s="10" t="s">
        <v>28</v>
      </c>
      <c r="O422" s="10" t="s">
        <v>29</v>
      </c>
      <c r="P422" s="10" t="s">
        <v>29</v>
      </c>
      <c r="Q422" s="10"/>
      <c r="R422" s="10"/>
      <c r="S422" s="10"/>
      <c r="T422" s="10"/>
      <c r="U422" s="10"/>
      <c r="V422" s="10"/>
      <c r="W422" s="10"/>
      <c r="X422" s="10" t="s">
        <v>30</v>
      </c>
      <c r="Y422" s="11"/>
    </row>
    <row r="423" spans="1:25" s="3" customFormat="1" ht="17.7" customHeight="1" x14ac:dyDescent="0.3">
      <c r="A423" s="21">
        <v>422</v>
      </c>
      <c r="B423" s="21">
        <v>8300020</v>
      </c>
      <c r="C423" s="9" t="s">
        <v>456</v>
      </c>
      <c r="D423" s="9" t="s">
        <v>25</v>
      </c>
      <c r="E423" s="9" t="s">
        <v>35</v>
      </c>
      <c r="F423" s="9"/>
      <c r="G423" s="9">
        <v>5</v>
      </c>
      <c r="H423" s="9"/>
      <c r="I423" s="9" t="s">
        <v>437</v>
      </c>
      <c r="J423" s="9"/>
      <c r="K423" s="9"/>
      <c r="L423" s="9"/>
      <c r="M423" s="9">
        <f t="shared" si="7"/>
        <v>0</v>
      </c>
      <c r="N423" s="9" t="s">
        <v>28</v>
      </c>
      <c r="O423" s="9" t="s">
        <v>29</v>
      </c>
      <c r="P423" s="9" t="s">
        <v>29</v>
      </c>
      <c r="Q423" s="9"/>
      <c r="R423" s="9"/>
      <c r="S423" s="9"/>
      <c r="T423" s="9"/>
      <c r="U423" s="9"/>
      <c r="V423" s="9"/>
      <c r="W423" s="9"/>
      <c r="X423" s="9" t="s">
        <v>30</v>
      </c>
      <c r="Y423" s="11"/>
    </row>
    <row r="424" spans="1:25" s="3" customFormat="1" ht="17.7" customHeight="1" x14ac:dyDescent="0.3">
      <c r="A424" s="20">
        <v>423</v>
      </c>
      <c r="B424" s="20">
        <v>8300021</v>
      </c>
      <c r="C424" s="10" t="s">
        <v>457</v>
      </c>
      <c r="D424" s="10" t="s">
        <v>25</v>
      </c>
      <c r="E424" s="10" t="s">
        <v>35</v>
      </c>
      <c r="F424" s="10"/>
      <c r="G424" s="10">
        <v>10</v>
      </c>
      <c r="H424" s="10"/>
      <c r="I424" s="10" t="s">
        <v>437</v>
      </c>
      <c r="J424" s="10"/>
      <c r="K424" s="10"/>
      <c r="L424" s="10"/>
      <c r="M424" s="10">
        <f t="shared" si="7"/>
        <v>0</v>
      </c>
      <c r="N424" s="10" t="s">
        <v>28</v>
      </c>
      <c r="O424" s="10" t="s">
        <v>29</v>
      </c>
      <c r="P424" s="10" t="s">
        <v>29</v>
      </c>
      <c r="Q424" s="10"/>
      <c r="R424" s="10"/>
      <c r="S424" s="10"/>
      <c r="T424" s="10"/>
      <c r="U424" s="10"/>
      <c r="V424" s="10"/>
      <c r="W424" s="10"/>
      <c r="X424" s="10" t="s">
        <v>30</v>
      </c>
      <c r="Y424" s="11"/>
    </row>
    <row r="425" spans="1:25" s="3" customFormat="1" ht="17.7" customHeight="1" x14ac:dyDescent="0.3">
      <c r="A425" s="21">
        <v>424</v>
      </c>
      <c r="B425" s="21">
        <v>8300022</v>
      </c>
      <c r="C425" s="9" t="s">
        <v>458</v>
      </c>
      <c r="D425" s="9" t="s">
        <v>25</v>
      </c>
      <c r="E425" s="9" t="s">
        <v>35</v>
      </c>
      <c r="F425" s="9"/>
      <c r="G425" s="9">
        <v>1</v>
      </c>
      <c r="H425" s="9"/>
      <c r="I425" s="9" t="s">
        <v>437</v>
      </c>
      <c r="J425" s="9"/>
      <c r="K425" s="9"/>
      <c r="L425" s="9"/>
      <c r="M425" s="9">
        <f t="shared" si="7"/>
        <v>0</v>
      </c>
      <c r="N425" s="9" t="s">
        <v>28</v>
      </c>
      <c r="O425" s="9" t="s">
        <v>29</v>
      </c>
      <c r="P425" s="9" t="s">
        <v>29</v>
      </c>
      <c r="Q425" s="9"/>
      <c r="R425" s="9"/>
      <c r="S425" s="9"/>
      <c r="T425" s="9"/>
      <c r="U425" s="9"/>
      <c r="V425" s="9"/>
      <c r="W425" s="9"/>
      <c r="X425" s="9" t="s">
        <v>30</v>
      </c>
      <c r="Y425" s="11"/>
    </row>
    <row r="426" spans="1:25" s="3" customFormat="1" ht="17.7" customHeight="1" x14ac:dyDescent="0.3">
      <c r="A426" s="20">
        <v>425</v>
      </c>
      <c r="B426" s="20">
        <v>8300023</v>
      </c>
      <c r="C426" s="10" t="s">
        <v>459</v>
      </c>
      <c r="D426" s="10" t="s">
        <v>25</v>
      </c>
      <c r="E426" s="10" t="s">
        <v>35</v>
      </c>
      <c r="F426" s="10"/>
      <c r="G426" s="10">
        <v>15</v>
      </c>
      <c r="H426" s="10"/>
      <c r="I426" s="10" t="s">
        <v>437</v>
      </c>
      <c r="J426" s="10"/>
      <c r="K426" s="10"/>
      <c r="L426" s="10"/>
      <c r="M426" s="10">
        <f t="shared" si="7"/>
        <v>0</v>
      </c>
      <c r="N426" s="10" t="s">
        <v>28</v>
      </c>
      <c r="O426" s="10" t="s">
        <v>29</v>
      </c>
      <c r="P426" s="10" t="s">
        <v>29</v>
      </c>
      <c r="Q426" s="10"/>
      <c r="R426" s="10"/>
      <c r="S426" s="10"/>
      <c r="T426" s="10"/>
      <c r="U426" s="10"/>
      <c r="V426" s="10"/>
      <c r="W426" s="10"/>
      <c r="X426" s="10" t="s">
        <v>30</v>
      </c>
      <c r="Y426" s="11"/>
    </row>
    <row r="427" spans="1:25" s="3" customFormat="1" ht="17.7" customHeight="1" x14ac:dyDescent="0.3">
      <c r="A427" s="21">
        <v>426</v>
      </c>
      <c r="B427" s="21">
        <v>8300024</v>
      </c>
      <c r="C427" s="9" t="s">
        <v>460</v>
      </c>
      <c r="D427" s="9" t="s">
        <v>25</v>
      </c>
      <c r="E427" s="9" t="s">
        <v>35</v>
      </c>
      <c r="F427" s="9"/>
      <c r="G427" s="9">
        <v>5</v>
      </c>
      <c r="H427" s="9"/>
      <c r="I427" s="9" t="s">
        <v>437</v>
      </c>
      <c r="J427" s="9"/>
      <c r="K427" s="9"/>
      <c r="L427" s="9"/>
      <c r="M427" s="9">
        <f t="shared" si="7"/>
        <v>0</v>
      </c>
      <c r="N427" s="9" t="s">
        <v>28</v>
      </c>
      <c r="O427" s="9" t="s">
        <v>29</v>
      </c>
      <c r="P427" s="9" t="s">
        <v>29</v>
      </c>
      <c r="Q427" s="9"/>
      <c r="R427" s="9"/>
      <c r="S427" s="9"/>
      <c r="T427" s="9"/>
      <c r="U427" s="9"/>
      <c r="V427" s="9"/>
      <c r="W427" s="9"/>
      <c r="X427" s="9" t="s">
        <v>30</v>
      </c>
      <c r="Y427" s="11"/>
    </row>
    <row r="428" spans="1:25" s="3" customFormat="1" ht="17.7" customHeight="1" x14ac:dyDescent="0.3">
      <c r="A428" s="20">
        <v>427</v>
      </c>
      <c r="B428" s="20">
        <v>8300025</v>
      </c>
      <c r="C428" s="10" t="s">
        <v>461</v>
      </c>
      <c r="D428" s="10" t="s">
        <v>25</v>
      </c>
      <c r="E428" s="10" t="s">
        <v>35</v>
      </c>
      <c r="F428" s="10"/>
      <c r="G428" s="10">
        <v>5</v>
      </c>
      <c r="H428" s="10"/>
      <c r="I428" s="10" t="s">
        <v>437</v>
      </c>
      <c r="J428" s="10"/>
      <c r="K428" s="10"/>
      <c r="L428" s="10"/>
      <c r="M428" s="10">
        <f t="shared" si="7"/>
        <v>0</v>
      </c>
      <c r="N428" s="10" t="s">
        <v>28</v>
      </c>
      <c r="O428" s="10" t="s">
        <v>29</v>
      </c>
      <c r="P428" s="10" t="s">
        <v>29</v>
      </c>
      <c r="Q428" s="10"/>
      <c r="R428" s="10"/>
      <c r="S428" s="10"/>
      <c r="T428" s="10"/>
      <c r="U428" s="10"/>
      <c r="V428" s="10"/>
      <c r="W428" s="10"/>
      <c r="X428" s="10" t="s">
        <v>30</v>
      </c>
      <c r="Y428" s="11"/>
    </row>
    <row r="429" spans="1:25" s="3" customFormat="1" ht="17.7" customHeight="1" x14ac:dyDescent="0.3">
      <c r="A429" s="21">
        <v>428</v>
      </c>
      <c r="B429" s="21">
        <v>8300026</v>
      </c>
      <c r="C429" s="9" t="s">
        <v>462</v>
      </c>
      <c r="D429" s="9" t="s">
        <v>25</v>
      </c>
      <c r="E429" s="9" t="s">
        <v>35</v>
      </c>
      <c r="F429" s="9"/>
      <c r="G429" s="9">
        <v>5</v>
      </c>
      <c r="H429" s="9"/>
      <c r="I429" s="9" t="s">
        <v>437</v>
      </c>
      <c r="J429" s="9"/>
      <c r="K429" s="9"/>
      <c r="L429" s="9"/>
      <c r="M429" s="9">
        <f t="shared" si="7"/>
        <v>0</v>
      </c>
      <c r="N429" s="9" t="s">
        <v>28</v>
      </c>
      <c r="O429" s="9" t="s">
        <v>29</v>
      </c>
      <c r="P429" s="9" t="s">
        <v>29</v>
      </c>
      <c r="Q429" s="9"/>
      <c r="R429" s="9"/>
      <c r="S429" s="9"/>
      <c r="T429" s="9"/>
      <c r="U429" s="9"/>
      <c r="V429" s="9"/>
      <c r="W429" s="9"/>
      <c r="X429" s="9" t="s">
        <v>30</v>
      </c>
      <c r="Y429" s="11"/>
    </row>
    <row r="430" spans="1:25" s="3" customFormat="1" ht="17.7" customHeight="1" x14ac:dyDescent="0.3">
      <c r="A430" s="20">
        <v>429</v>
      </c>
      <c r="B430" s="20">
        <v>8300027</v>
      </c>
      <c r="C430" s="10" t="s">
        <v>463</v>
      </c>
      <c r="D430" s="10" t="s">
        <v>25</v>
      </c>
      <c r="E430" s="10" t="s">
        <v>35</v>
      </c>
      <c r="F430" s="10"/>
      <c r="G430" s="10">
        <v>5</v>
      </c>
      <c r="H430" s="10"/>
      <c r="I430" s="10" t="s">
        <v>437</v>
      </c>
      <c r="J430" s="10"/>
      <c r="K430" s="10"/>
      <c r="L430" s="10"/>
      <c r="M430" s="10">
        <f t="shared" si="7"/>
        <v>0</v>
      </c>
      <c r="N430" s="10" t="s">
        <v>28</v>
      </c>
      <c r="O430" s="10" t="s">
        <v>29</v>
      </c>
      <c r="P430" s="10" t="s">
        <v>29</v>
      </c>
      <c r="Q430" s="10"/>
      <c r="R430" s="10"/>
      <c r="S430" s="10"/>
      <c r="T430" s="10"/>
      <c r="U430" s="10"/>
      <c r="V430" s="10"/>
      <c r="W430" s="10"/>
      <c r="X430" s="10" t="s">
        <v>30</v>
      </c>
      <c r="Y430" s="11"/>
    </row>
    <row r="431" spans="1:25" s="3" customFormat="1" ht="17.7" customHeight="1" x14ac:dyDescent="0.3">
      <c r="A431" s="21">
        <v>430</v>
      </c>
      <c r="B431" s="21">
        <v>8300028</v>
      </c>
      <c r="C431" s="9" t="s">
        <v>464</v>
      </c>
      <c r="D431" s="9" t="s">
        <v>25</v>
      </c>
      <c r="E431" s="9" t="s">
        <v>35</v>
      </c>
      <c r="F431" s="9"/>
      <c r="G431" s="9">
        <v>5</v>
      </c>
      <c r="H431" s="9"/>
      <c r="I431" s="9" t="s">
        <v>437</v>
      </c>
      <c r="J431" s="9"/>
      <c r="K431" s="9"/>
      <c r="L431" s="9"/>
      <c r="M431" s="9">
        <f t="shared" si="7"/>
        <v>0</v>
      </c>
      <c r="N431" s="9" t="s">
        <v>28</v>
      </c>
      <c r="O431" s="9" t="s">
        <v>29</v>
      </c>
      <c r="P431" s="9" t="s">
        <v>29</v>
      </c>
      <c r="Q431" s="9"/>
      <c r="R431" s="9"/>
      <c r="S431" s="9"/>
      <c r="T431" s="9"/>
      <c r="U431" s="9"/>
      <c r="V431" s="9"/>
      <c r="W431" s="9"/>
      <c r="X431" s="9" t="s">
        <v>30</v>
      </c>
      <c r="Y431" s="11"/>
    </row>
    <row r="432" spans="1:25" s="3" customFormat="1" ht="17.7" customHeight="1" x14ac:dyDescent="0.3">
      <c r="A432" s="20">
        <v>431</v>
      </c>
      <c r="B432" s="20">
        <v>8300029</v>
      </c>
      <c r="C432" s="10" t="s">
        <v>465</v>
      </c>
      <c r="D432" s="10" t="s">
        <v>25</v>
      </c>
      <c r="E432" s="10" t="s">
        <v>35</v>
      </c>
      <c r="F432" s="10"/>
      <c r="G432" s="10">
        <v>5</v>
      </c>
      <c r="H432" s="10"/>
      <c r="I432" s="10" t="s">
        <v>437</v>
      </c>
      <c r="J432" s="10"/>
      <c r="K432" s="10"/>
      <c r="L432" s="10"/>
      <c r="M432" s="10">
        <f t="shared" si="7"/>
        <v>0</v>
      </c>
      <c r="N432" s="10" t="s">
        <v>28</v>
      </c>
      <c r="O432" s="10" t="s">
        <v>29</v>
      </c>
      <c r="P432" s="10" t="s">
        <v>29</v>
      </c>
      <c r="Q432" s="10"/>
      <c r="R432" s="10"/>
      <c r="S432" s="10"/>
      <c r="T432" s="10"/>
      <c r="U432" s="10"/>
      <c r="V432" s="10"/>
      <c r="W432" s="10"/>
      <c r="X432" s="10" t="s">
        <v>30</v>
      </c>
      <c r="Y432" s="11"/>
    </row>
    <row r="433" spans="1:25" s="3" customFormat="1" ht="17.7" customHeight="1" x14ac:dyDescent="0.3">
      <c r="A433" s="21">
        <v>432</v>
      </c>
      <c r="B433" s="21">
        <v>8300030</v>
      </c>
      <c r="C433" s="9" t="s">
        <v>466</v>
      </c>
      <c r="D433" s="9" t="s">
        <v>25</v>
      </c>
      <c r="E433" s="9" t="s">
        <v>35</v>
      </c>
      <c r="F433" s="9"/>
      <c r="G433" s="9">
        <v>5</v>
      </c>
      <c r="H433" s="9"/>
      <c r="I433" s="9" t="s">
        <v>437</v>
      </c>
      <c r="J433" s="9"/>
      <c r="K433" s="9"/>
      <c r="L433" s="9"/>
      <c r="M433" s="9">
        <f t="shared" si="7"/>
        <v>0</v>
      </c>
      <c r="N433" s="9" t="s">
        <v>28</v>
      </c>
      <c r="O433" s="9" t="s">
        <v>29</v>
      </c>
      <c r="P433" s="9" t="s">
        <v>29</v>
      </c>
      <c r="Q433" s="9"/>
      <c r="R433" s="9"/>
      <c r="S433" s="9"/>
      <c r="T433" s="9"/>
      <c r="U433" s="9"/>
      <c r="V433" s="9"/>
      <c r="W433" s="9"/>
      <c r="X433" s="9" t="s">
        <v>30</v>
      </c>
      <c r="Y433" s="11"/>
    </row>
    <row r="434" spans="1:25" s="3" customFormat="1" ht="17.7" customHeight="1" x14ac:dyDescent="0.3">
      <c r="A434" s="20">
        <v>433</v>
      </c>
      <c r="B434" s="20">
        <v>8300031</v>
      </c>
      <c r="C434" s="10" t="s">
        <v>467</v>
      </c>
      <c r="D434" s="10" t="s">
        <v>25</v>
      </c>
      <c r="E434" s="10" t="s">
        <v>35</v>
      </c>
      <c r="F434" s="10"/>
      <c r="G434" s="10">
        <v>5</v>
      </c>
      <c r="H434" s="10"/>
      <c r="I434" s="10" t="s">
        <v>437</v>
      </c>
      <c r="J434" s="10"/>
      <c r="K434" s="10"/>
      <c r="L434" s="10"/>
      <c r="M434" s="10">
        <f t="shared" si="7"/>
        <v>0</v>
      </c>
      <c r="N434" s="10" t="s">
        <v>28</v>
      </c>
      <c r="O434" s="10" t="s">
        <v>29</v>
      </c>
      <c r="P434" s="10" t="s">
        <v>29</v>
      </c>
      <c r="Q434" s="10"/>
      <c r="R434" s="10"/>
      <c r="S434" s="10"/>
      <c r="T434" s="10"/>
      <c r="U434" s="10"/>
      <c r="V434" s="10"/>
      <c r="W434" s="10"/>
      <c r="X434" s="10" t="s">
        <v>30</v>
      </c>
      <c r="Y434" s="11"/>
    </row>
    <row r="435" spans="1:25" s="3" customFormat="1" ht="17.7" customHeight="1" x14ac:dyDescent="0.3">
      <c r="A435" s="21">
        <v>434</v>
      </c>
      <c r="B435" s="21">
        <v>8300032</v>
      </c>
      <c r="C435" s="9" t="s">
        <v>468</v>
      </c>
      <c r="D435" s="9" t="s">
        <v>25</v>
      </c>
      <c r="E435" s="9" t="s">
        <v>35</v>
      </c>
      <c r="F435" s="9"/>
      <c r="G435" s="9">
        <v>5</v>
      </c>
      <c r="H435" s="9"/>
      <c r="I435" s="9" t="s">
        <v>437</v>
      </c>
      <c r="J435" s="9"/>
      <c r="K435" s="9"/>
      <c r="L435" s="9"/>
      <c r="M435" s="9">
        <f t="shared" si="7"/>
        <v>0</v>
      </c>
      <c r="N435" s="9" t="s">
        <v>28</v>
      </c>
      <c r="O435" s="9" t="s">
        <v>29</v>
      </c>
      <c r="P435" s="9" t="s">
        <v>29</v>
      </c>
      <c r="Q435" s="9"/>
      <c r="R435" s="9"/>
      <c r="S435" s="9"/>
      <c r="T435" s="9"/>
      <c r="U435" s="9"/>
      <c r="V435" s="9"/>
      <c r="W435" s="9"/>
      <c r="X435" s="9" t="s">
        <v>30</v>
      </c>
      <c r="Y435" s="11"/>
    </row>
    <row r="436" spans="1:25" s="3" customFormat="1" ht="17.7" customHeight="1" x14ac:dyDescent="0.3">
      <c r="A436" s="20">
        <v>435</v>
      </c>
      <c r="B436" s="20">
        <v>8300033</v>
      </c>
      <c r="C436" s="10" t="s">
        <v>469</v>
      </c>
      <c r="D436" s="10" t="s">
        <v>25</v>
      </c>
      <c r="E436" s="10" t="s">
        <v>35</v>
      </c>
      <c r="F436" s="10"/>
      <c r="G436" s="10">
        <v>5</v>
      </c>
      <c r="H436" s="10"/>
      <c r="I436" s="10" t="s">
        <v>437</v>
      </c>
      <c r="J436" s="10"/>
      <c r="K436" s="10"/>
      <c r="L436" s="10"/>
      <c r="M436" s="10">
        <f t="shared" si="7"/>
        <v>0</v>
      </c>
      <c r="N436" s="10" t="s">
        <v>28</v>
      </c>
      <c r="O436" s="10" t="s">
        <v>29</v>
      </c>
      <c r="P436" s="10" t="s">
        <v>29</v>
      </c>
      <c r="Q436" s="10"/>
      <c r="R436" s="10"/>
      <c r="S436" s="10"/>
      <c r="T436" s="10"/>
      <c r="U436" s="10"/>
      <c r="V436" s="10"/>
      <c r="W436" s="10"/>
      <c r="X436" s="10" t="s">
        <v>30</v>
      </c>
      <c r="Y436" s="11"/>
    </row>
    <row r="437" spans="1:25" s="3" customFormat="1" ht="17.7" customHeight="1" x14ac:dyDescent="0.3">
      <c r="A437" s="21">
        <v>436</v>
      </c>
      <c r="B437" s="21">
        <v>8300034</v>
      </c>
      <c r="C437" s="9" t="s">
        <v>470</v>
      </c>
      <c r="D437" s="9" t="s">
        <v>25</v>
      </c>
      <c r="E437" s="9" t="s">
        <v>35</v>
      </c>
      <c r="F437" s="9"/>
      <c r="G437" s="9">
        <v>5</v>
      </c>
      <c r="H437" s="9"/>
      <c r="I437" s="9" t="s">
        <v>437</v>
      </c>
      <c r="J437" s="9"/>
      <c r="K437" s="9"/>
      <c r="L437" s="9"/>
      <c r="M437" s="9">
        <f t="shared" si="7"/>
        <v>0</v>
      </c>
      <c r="N437" s="9" t="s">
        <v>28</v>
      </c>
      <c r="O437" s="9" t="s">
        <v>29</v>
      </c>
      <c r="P437" s="9" t="s">
        <v>29</v>
      </c>
      <c r="Q437" s="9"/>
      <c r="R437" s="9"/>
      <c r="S437" s="9"/>
      <c r="T437" s="9"/>
      <c r="U437" s="9"/>
      <c r="V437" s="9"/>
      <c r="W437" s="9"/>
      <c r="X437" s="9" t="s">
        <v>30</v>
      </c>
      <c r="Y437" s="11"/>
    </row>
    <row r="438" spans="1:25" s="3" customFormat="1" ht="17.7" customHeight="1" x14ac:dyDescent="0.3">
      <c r="A438" s="20">
        <v>437</v>
      </c>
      <c r="B438" s="20">
        <v>8300035</v>
      </c>
      <c r="C438" s="10" t="s">
        <v>471</v>
      </c>
      <c r="D438" s="10" t="s">
        <v>25</v>
      </c>
      <c r="E438" s="10" t="s">
        <v>35</v>
      </c>
      <c r="F438" s="10"/>
      <c r="G438" s="10">
        <v>5</v>
      </c>
      <c r="H438" s="10"/>
      <c r="I438" s="10" t="s">
        <v>437</v>
      </c>
      <c r="J438" s="10"/>
      <c r="K438" s="10"/>
      <c r="L438" s="10"/>
      <c r="M438" s="10">
        <f t="shared" si="7"/>
        <v>0</v>
      </c>
      <c r="N438" s="10" t="s">
        <v>28</v>
      </c>
      <c r="O438" s="10" t="s">
        <v>29</v>
      </c>
      <c r="P438" s="10" t="s">
        <v>29</v>
      </c>
      <c r="Q438" s="10"/>
      <c r="R438" s="10"/>
      <c r="S438" s="10"/>
      <c r="T438" s="10"/>
      <c r="U438" s="10"/>
      <c r="V438" s="10"/>
      <c r="W438" s="10"/>
      <c r="X438" s="10" t="s">
        <v>30</v>
      </c>
      <c r="Y438" s="11"/>
    </row>
    <row r="439" spans="1:25" s="3" customFormat="1" ht="17.7" customHeight="1" x14ac:dyDescent="0.3">
      <c r="A439" s="21">
        <v>438</v>
      </c>
      <c r="B439" s="21">
        <v>8300036</v>
      </c>
      <c r="C439" s="9" t="s">
        <v>472</v>
      </c>
      <c r="D439" s="9" t="s">
        <v>25</v>
      </c>
      <c r="E439" s="9" t="s">
        <v>35</v>
      </c>
      <c r="F439" s="9"/>
      <c r="G439" s="9">
        <v>5</v>
      </c>
      <c r="H439" s="9"/>
      <c r="I439" s="9" t="s">
        <v>437</v>
      </c>
      <c r="J439" s="9"/>
      <c r="K439" s="9"/>
      <c r="L439" s="9"/>
      <c r="M439" s="9">
        <f t="shared" si="7"/>
        <v>0</v>
      </c>
      <c r="N439" s="9" t="s">
        <v>28</v>
      </c>
      <c r="O439" s="9" t="s">
        <v>29</v>
      </c>
      <c r="P439" s="9" t="s">
        <v>29</v>
      </c>
      <c r="Q439" s="9"/>
      <c r="R439" s="9"/>
      <c r="S439" s="9"/>
      <c r="T439" s="9"/>
      <c r="U439" s="9"/>
      <c r="V439" s="9"/>
      <c r="W439" s="9"/>
      <c r="X439" s="9" t="s">
        <v>30</v>
      </c>
      <c r="Y439" s="11"/>
    </row>
    <row r="440" spans="1:25" s="3" customFormat="1" ht="17.7" customHeight="1" x14ac:dyDescent="0.3">
      <c r="A440" s="20">
        <v>439</v>
      </c>
      <c r="B440" s="20">
        <v>8300037</v>
      </c>
      <c r="C440" s="10" t="s">
        <v>473</v>
      </c>
      <c r="D440" s="10" t="s">
        <v>25</v>
      </c>
      <c r="E440" s="10" t="s">
        <v>35</v>
      </c>
      <c r="F440" s="10"/>
      <c r="G440" s="10">
        <v>5</v>
      </c>
      <c r="H440" s="10"/>
      <c r="I440" s="10" t="s">
        <v>437</v>
      </c>
      <c r="J440" s="10"/>
      <c r="K440" s="10"/>
      <c r="L440" s="10"/>
      <c r="M440" s="10">
        <f t="shared" si="7"/>
        <v>0</v>
      </c>
      <c r="N440" s="10" t="s">
        <v>28</v>
      </c>
      <c r="O440" s="10" t="s">
        <v>29</v>
      </c>
      <c r="P440" s="10" t="s">
        <v>29</v>
      </c>
      <c r="Q440" s="10"/>
      <c r="R440" s="10"/>
      <c r="S440" s="10"/>
      <c r="T440" s="10"/>
      <c r="U440" s="10"/>
      <c r="V440" s="10"/>
      <c r="W440" s="10"/>
      <c r="X440" s="10" t="s">
        <v>30</v>
      </c>
      <c r="Y440" s="11"/>
    </row>
    <row r="441" spans="1:25" s="3" customFormat="1" ht="17.7" customHeight="1" x14ac:dyDescent="0.3">
      <c r="A441" s="21">
        <v>440</v>
      </c>
      <c r="B441" s="21">
        <v>8300038</v>
      </c>
      <c r="C441" s="9" t="s">
        <v>474</v>
      </c>
      <c r="D441" s="9" t="s">
        <v>25</v>
      </c>
      <c r="E441" s="9" t="s">
        <v>35</v>
      </c>
      <c r="F441" s="9"/>
      <c r="G441" s="9">
        <v>5</v>
      </c>
      <c r="H441" s="9"/>
      <c r="I441" s="9" t="s">
        <v>437</v>
      </c>
      <c r="J441" s="9"/>
      <c r="K441" s="9"/>
      <c r="L441" s="9"/>
      <c r="M441" s="9">
        <f t="shared" si="7"/>
        <v>0</v>
      </c>
      <c r="N441" s="9" t="s">
        <v>28</v>
      </c>
      <c r="O441" s="9" t="s">
        <v>29</v>
      </c>
      <c r="P441" s="9" t="s">
        <v>29</v>
      </c>
      <c r="Q441" s="9"/>
      <c r="R441" s="9"/>
      <c r="S441" s="9"/>
      <c r="T441" s="9"/>
      <c r="U441" s="9"/>
      <c r="V441" s="9"/>
      <c r="W441" s="9"/>
      <c r="X441" s="9" t="s">
        <v>30</v>
      </c>
      <c r="Y441" s="11"/>
    </row>
    <row r="442" spans="1:25" s="3" customFormat="1" ht="17.7" customHeight="1" x14ac:dyDescent="0.3">
      <c r="A442" s="20">
        <v>441</v>
      </c>
      <c r="B442" s="20">
        <v>8300039</v>
      </c>
      <c r="C442" s="10" t="s">
        <v>475</v>
      </c>
      <c r="D442" s="10" t="s">
        <v>25</v>
      </c>
      <c r="E442" s="10" t="s">
        <v>35</v>
      </c>
      <c r="F442" s="10"/>
      <c r="G442" s="10">
        <v>5</v>
      </c>
      <c r="H442" s="10"/>
      <c r="I442" s="10" t="s">
        <v>437</v>
      </c>
      <c r="J442" s="10"/>
      <c r="K442" s="10"/>
      <c r="L442" s="10"/>
      <c r="M442" s="10">
        <f t="shared" si="7"/>
        <v>0</v>
      </c>
      <c r="N442" s="10" t="s">
        <v>28</v>
      </c>
      <c r="O442" s="10" t="s">
        <v>29</v>
      </c>
      <c r="P442" s="10" t="s">
        <v>29</v>
      </c>
      <c r="Q442" s="10"/>
      <c r="R442" s="10"/>
      <c r="S442" s="10"/>
      <c r="T442" s="10"/>
      <c r="U442" s="10"/>
      <c r="V442" s="10"/>
      <c r="W442" s="10"/>
      <c r="X442" s="10" t="s">
        <v>30</v>
      </c>
      <c r="Y442" s="11"/>
    </row>
    <row r="443" spans="1:25" s="3" customFormat="1" ht="17.7" customHeight="1" x14ac:dyDescent="0.3">
      <c r="A443" s="21">
        <v>442</v>
      </c>
      <c r="B443" s="21">
        <v>8300040</v>
      </c>
      <c r="C443" s="9" t="s">
        <v>476</v>
      </c>
      <c r="D443" s="9" t="s">
        <v>25</v>
      </c>
      <c r="E443" s="9" t="s">
        <v>35</v>
      </c>
      <c r="F443" s="9"/>
      <c r="G443" s="9">
        <v>10</v>
      </c>
      <c r="H443" s="9"/>
      <c r="I443" s="9" t="s">
        <v>437</v>
      </c>
      <c r="J443" s="9"/>
      <c r="K443" s="9"/>
      <c r="L443" s="9"/>
      <c r="M443" s="9">
        <f t="shared" si="7"/>
        <v>0</v>
      </c>
      <c r="N443" s="9" t="s">
        <v>28</v>
      </c>
      <c r="O443" s="9" t="s">
        <v>29</v>
      </c>
      <c r="P443" s="9" t="s">
        <v>29</v>
      </c>
      <c r="Q443" s="9"/>
      <c r="R443" s="9"/>
      <c r="S443" s="9"/>
      <c r="T443" s="9"/>
      <c r="U443" s="9"/>
      <c r="V443" s="9"/>
      <c r="W443" s="9"/>
      <c r="X443" s="9" t="s">
        <v>30</v>
      </c>
      <c r="Y443" s="11"/>
    </row>
    <row r="444" spans="1:25" s="3" customFormat="1" ht="17.7" customHeight="1" x14ac:dyDescent="0.3">
      <c r="A444" s="20">
        <v>443</v>
      </c>
      <c r="B444" s="20">
        <v>8300041</v>
      </c>
      <c r="C444" s="10" t="s">
        <v>477</v>
      </c>
      <c r="D444" s="10" t="s">
        <v>25</v>
      </c>
      <c r="E444" s="10" t="s">
        <v>35</v>
      </c>
      <c r="F444" s="10"/>
      <c r="G444" s="10">
        <v>10</v>
      </c>
      <c r="H444" s="10"/>
      <c r="I444" s="10" t="s">
        <v>437</v>
      </c>
      <c r="J444" s="10"/>
      <c r="K444" s="10"/>
      <c r="L444" s="10"/>
      <c r="M444" s="10">
        <f t="shared" si="7"/>
        <v>0</v>
      </c>
      <c r="N444" s="10" t="s">
        <v>28</v>
      </c>
      <c r="O444" s="10" t="s">
        <v>29</v>
      </c>
      <c r="P444" s="10" t="s">
        <v>29</v>
      </c>
      <c r="Q444" s="10"/>
      <c r="R444" s="10"/>
      <c r="S444" s="10"/>
      <c r="T444" s="10"/>
      <c r="U444" s="10"/>
      <c r="V444" s="10"/>
      <c r="W444" s="10"/>
      <c r="X444" s="10" t="s">
        <v>30</v>
      </c>
      <c r="Y444" s="11"/>
    </row>
    <row r="445" spans="1:25" s="3" customFormat="1" ht="17.7" customHeight="1" x14ac:dyDescent="0.3">
      <c r="A445" s="21">
        <v>444</v>
      </c>
      <c r="B445" s="21">
        <v>8300042</v>
      </c>
      <c r="C445" s="9" t="s">
        <v>478</v>
      </c>
      <c r="D445" s="9" t="s">
        <v>25</v>
      </c>
      <c r="E445" s="9" t="s">
        <v>35</v>
      </c>
      <c r="F445" s="9"/>
      <c r="G445" s="9">
        <v>5</v>
      </c>
      <c r="H445" s="9"/>
      <c r="I445" s="9" t="s">
        <v>437</v>
      </c>
      <c r="J445" s="9"/>
      <c r="K445" s="9"/>
      <c r="L445" s="9"/>
      <c r="M445" s="9">
        <f t="shared" si="7"/>
        <v>0</v>
      </c>
      <c r="N445" s="9" t="s">
        <v>28</v>
      </c>
      <c r="O445" s="9" t="s">
        <v>29</v>
      </c>
      <c r="P445" s="9" t="s">
        <v>29</v>
      </c>
      <c r="Q445" s="9"/>
      <c r="R445" s="9"/>
      <c r="S445" s="9"/>
      <c r="T445" s="9"/>
      <c r="U445" s="9"/>
      <c r="V445" s="9"/>
      <c r="W445" s="9"/>
      <c r="X445" s="9" t="s">
        <v>30</v>
      </c>
      <c r="Y445" s="11"/>
    </row>
    <row r="446" spans="1:25" s="3" customFormat="1" ht="17.7" customHeight="1" x14ac:dyDescent="0.3">
      <c r="A446" s="20">
        <v>445</v>
      </c>
      <c r="B446" s="20">
        <v>8300043</v>
      </c>
      <c r="C446" s="10" t="s">
        <v>479</v>
      </c>
      <c r="D446" s="10" t="s">
        <v>25</v>
      </c>
      <c r="E446" s="10" t="s">
        <v>35</v>
      </c>
      <c r="F446" s="10"/>
      <c r="G446" s="10">
        <v>15</v>
      </c>
      <c r="H446" s="10"/>
      <c r="I446" s="10" t="s">
        <v>437</v>
      </c>
      <c r="J446" s="10"/>
      <c r="K446" s="10"/>
      <c r="L446" s="10"/>
      <c r="M446" s="10">
        <f t="shared" si="7"/>
        <v>0</v>
      </c>
      <c r="N446" s="10" t="s">
        <v>28</v>
      </c>
      <c r="O446" s="10" t="s">
        <v>29</v>
      </c>
      <c r="P446" s="10" t="s">
        <v>29</v>
      </c>
      <c r="Q446" s="10"/>
      <c r="R446" s="10"/>
      <c r="S446" s="10"/>
      <c r="T446" s="10"/>
      <c r="U446" s="10"/>
      <c r="V446" s="10"/>
      <c r="W446" s="10"/>
      <c r="X446" s="10" t="s">
        <v>30</v>
      </c>
      <c r="Y446" s="11"/>
    </row>
    <row r="447" spans="1:25" s="3" customFormat="1" ht="17.7" customHeight="1" x14ac:dyDescent="0.3">
      <c r="A447" s="21">
        <v>446</v>
      </c>
      <c r="B447" s="21">
        <v>8300044</v>
      </c>
      <c r="C447" s="9" t="s">
        <v>480</v>
      </c>
      <c r="D447" s="9" t="s">
        <v>25</v>
      </c>
      <c r="E447" s="9" t="s">
        <v>35</v>
      </c>
      <c r="F447" s="9"/>
      <c r="G447" s="9">
        <v>5</v>
      </c>
      <c r="H447" s="9"/>
      <c r="I447" s="9" t="s">
        <v>437</v>
      </c>
      <c r="J447" s="9"/>
      <c r="K447" s="9"/>
      <c r="L447" s="9"/>
      <c r="M447" s="9">
        <f t="shared" si="7"/>
        <v>0</v>
      </c>
      <c r="N447" s="9" t="s">
        <v>28</v>
      </c>
      <c r="O447" s="9" t="s">
        <v>29</v>
      </c>
      <c r="P447" s="9" t="s">
        <v>29</v>
      </c>
      <c r="Q447" s="9"/>
      <c r="R447" s="9"/>
      <c r="S447" s="9"/>
      <c r="T447" s="9"/>
      <c r="U447" s="9"/>
      <c r="V447" s="9"/>
      <c r="W447" s="9"/>
      <c r="X447" s="9" t="s">
        <v>30</v>
      </c>
      <c r="Y447" s="11"/>
    </row>
    <row r="448" spans="1:25" s="3" customFormat="1" ht="17.7" customHeight="1" x14ac:dyDescent="0.3">
      <c r="A448" s="20">
        <v>447</v>
      </c>
      <c r="B448" s="20">
        <v>8300045</v>
      </c>
      <c r="C448" s="10" t="s">
        <v>481</v>
      </c>
      <c r="D448" s="10" t="s">
        <v>25</v>
      </c>
      <c r="E448" s="10" t="s">
        <v>35</v>
      </c>
      <c r="F448" s="10"/>
      <c r="G448" s="10">
        <v>5</v>
      </c>
      <c r="H448" s="10"/>
      <c r="I448" s="10" t="s">
        <v>437</v>
      </c>
      <c r="J448" s="10"/>
      <c r="K448" s="10"/>
      <c r="L448" s="10"/>
      <c r="M448" s="10">
        <f t="shared" si="7"/>
        <v>0</v>
      </c>
      <c r="N448" s="10" t="s">
        <v>28</v>
      </c>
      <c r="O448" s="10" t="s">
        <v>29</v>
      </c>
      <c r="P448" s="10" t="s">
        <v>29</v>
      </c>
      <c r="Q448" s="10"/>
      <c r="R448" s="10"/>
      <c r="S448" s="10"/>
      <c r="T448" s="10"/>
      <c r="U448" s="10"/>
      <c r="V448" s="10"/>
      <c r="W448" s="10"/>
      <c r="X448" s="10" t="s">
        <v>30</v>
      </c>
      <c r="Y448" s="11"/>
    </row>
    <row r="449" spans="1:25" s="3" customFormat="1" ht="17.7" customHeight="1" x14ac:dyDescent="0.3">
      <c r="A449" s="21">
        <v>448</v>
      </c>
      <c r="B449" s="21">
        <v>8300046</v>
      </c>
      <c r="C449" s="9" t="s">
        <v>482</v>
      </c>
      <c r="D449" s="9" t="s">
        <v>25</v>
      </c>
      <c r="E449" s="9" t="s">
        <v>35</v>
      </c>
      <c r="F449" s="9"/>
      <c r="G449" s="9">
        <v>5</v>
      </c>
      <c r="H449" s="9"/>
      <c r="I449" s="9" t="s">
        <v>437</v>
      </c>
      <c r="J449" s="9"/>
      <c r="K449" s="9"/>
      <c r="L449" s="9"/>
      <c r="M449" s="9">
        <f t="shared" si="7"/>
        <v>0</v>
      </c>
      <c r="N449" s="9" t="s">
        <v>28</v>
      </c>
      <c r="O449" s="9" t="s">
        <v>29</v>
      </c>
      <c r="P449" s="9" t="s">
        <v>29</v>
      </c>
      <c r="Q449" s="9"/>
      <c r="R449" s="9"/>
      <c r="S449" s="9"/>
      <c r="T449" s="9"/>
      <c r="U449" s="9"/>
      <c r="V449" s="9"/>
      <c r="W449" s="9"/>
      <c r="X449" s="9" t="s">
        <v>30</v>
      </c>
      <c r="Y449" s="11"/>
    </row>
    <row r="450" spans="1:25" s="3" customFormat="1" ht="17.7" customHeight="1" x14ac:dyDescent="0.3">
      <c r="A450" s="20">
        <v>449</v>
      </c>
      <c r="B450" s="20">
        <v>8400001</v>
      </c>
      <c r="C450" s="10" t="s">
        <v>483</v>
      </c>
      <c r="D450" s="10" t="s">
        <v>25</v>
      </c>
      <c r="E450" s="10" t="s">
        <v>35</v>
      </c>
      <c r="F450" s="10"/>
      <c r="G450" s="10">
        <v>2</v>
      </c>
      <c r="H450" s="10"/>
      <c r="I450" s="10" t="s">
        <v>484</v>
      </c>
      <c r="J450" s="10"/>
      <c r="K450" s="10"/>
      <c r="L450" s="10"/>
      <c r="M450" s="10">
        <f t="shared" si="7"/>
        <v>0</v>
      </c>
      <c r="N450" s="10" t="s">
        <v>28</v>
      </c>
      <c r="O450" s="10" t="s">
        <v>29</v>
      </c>
      <c r="P450" s="10" t="s">
        <v>29</v>
      </c>
      <c r="Q450" s="10"/>
      <c r="R450" s="10"/>
      <c r="S450" s="10"/>
      <c r="T450" s="10"/>
      <c r="U450" s="10"/>
      <c r="V450" s="10"/>
      <c r="W450" s="10"/>
      <c r="X450" s="10"/>
      <c r="Y450" s="11"/>
    </row>
    <row r="451" spans="1:25" s="3" customFormat="1" ht="17.7" customHeight="1" x14ac:dyDescent="0.3">
      <c r="A451" s="21">
        <v>450</v>
      </c>
      <c r="B451" s="21">
        <v>8400002</v>
      </c>
      <c r="C451" s="9" t="s">
        <v>485</v>
      </c>
      <c r="D451" s="9" t="s">
        <v>25</v>
      </c>
      <c r="E451" s="9" t="s">
        <v>35</v>
      </c>
      <c r="F451" s="9"/>
      <c r="G451" s="9">
        <v>3</v>
      </c>
      <c r="H451" s="9"/>
      <c r="I451" s="9" t="s">
        <v>484</v>
      </c>
      <c r="J451" s="9"/>
      <c r="K451" s="9"/>
      <c r="L451" s="9"/>
      <c r="M451" s="9">
        <f t="shared" si="7"/>
        <v>0</v>
      </c>
      <c r="N451" s="9" t="s">
        <v>28</v>
      </c>
      <c r="O451" s="9" t="s">
        <v>29</v>
      </c>
      <c r="P451" s="9" t="s">
        <v>29</v>
      </c>
      <c r="Q451" s="9"/>
      <c r="R451" s="9"/>
      <c r="S451" s="9"/>
      <c r="T451" s="9"/>
      <c r="U451" s="9"/>
      <c r="V451" s="9"/>
      <c r="W451" s="9"/>
      <c r="X451" s="9" t="s">
        <v>30</v>
      </c>
      <c r="Y451" s="11"/>
    </row>
    <row r="452" spans="1:25" s="3" customFormat="1" ht="17.7" customHeight="1" x14ac:dyDescent="0.3">
      <c r="A452" s="20">
        <v>451</v>
      </c>
      <c r="B452" s="20">
        <v>8400003</v>
      </c>
      <c r="C452" s="10" t="s">
        <v>486</v>
      </c>
      <c r="D452" s="10" t="s">
        <v>25</v>
      </c>
      <c r="E452" s="10" t="s">
        <v>35</v>
      </c>
      <c r="F452" s="10"/>
      <c r="G452" s="10">
        <v>3</v>
      </c>
      <c r="H452" s="10"/>
      <c r="I452" s="10" t="s">
        <v>484</v>
      </c>
      <c r="J452" s="10"/>
      <c r="K452" s="10"/>
      <c r="L452" s="10"/>
      <c r="M452" s="10">
        <f t="shared" si="7"/>
        <v>0</v>
      </c>
      <c r="N452" s="10" t="s">
        <v>28</v>
      </c>
      <c r="O452" s="10" t="s">
        <v>29</v>
      </c>
      <c r="P452" s="10" t="s">
        <v>29</v>
      </c>
      <c r="Q452" s="10"/>
      <c r="R452" s="10"/>
      <c r="S452" s="10"/>
      <c r="T452" s="10"/>
      <c r="U452" s="10"/>
      <c r="V452" s="10"/>
      <c r="W452" s="10"/>
      <c r="X452" s="10" t="s">
        <v>30</v>
      </c>
      <c r="Y452" s="11"/>
    </row>
    <row r="453" spans="1:25" s="3" customFormat="1" ht="17.7" customHeight="1" x14ac:dyDescent="0.3">
      <c r="A453" s="21">
        <v>452</v>
      </c>
      <c r="B453" s="21">
        <v>8400004</v>
      </c>
      <c r="C453" s="9" t="s">
        <v>487</v>
      </c>
      <c r="D453" s="9" t="s">
        <v>25</v>
      </c>
      <c r="E453" s="9" t="s">
        <v>35</v>
      </c>
      <c r="F453" s="9"/>
      <c r="G453" s="9">
        <v>20</v>
      </c>
      <c r="H453" s="9"/>
      <c r="I453" s="9" t="s">
        <v>484</v>
      </c>
      <c r="J453" s="9"/>
      <c r="K453" s="9"/>
      <c r="L453" s="9"/>
      <c r="M453" s="9">
        <f t="shared" si="7"/>
        <v>0</v>
      </c>
      <c r="N453" s="9" t="s">
        <v>28</v>
      </c>
      <c r="O453" s="9" t="s">
        <v>29</v>
      </c>
      <c r="P453" s="9" t="s">
        <v>29</v>
      </c>
      <c r="Q453" s="9"/>
      <c r="R453" s="9"/>
      <c r="S453" s="9"/>
      <c r="T453" s="9"/>
      <c r="U453" s="9"/>
      <c r="V453" s="9"/>
      <c r="W453" s="9"/>
      <c r="X453" s="9" t="s">
        <v>30</v>
      </c>
      <c r="Y453" s="11"/>
    </row>
    <row r="454" spans="1:25" s="3" customFormat="1" ht="17.7" customHeight="1" x14ac:dyDescent="0.3">
      <c r="A454" s="20">
        <v>453</v>
      </c>
      <c r="B454" s="20">
        <v>8400005</v>
      </c>
      <c r="C454" s="10" t="s">
        <v>488</v>
      </c>
      <c r="D454" s="10" t="s">
        <v>25</v>
      </c>
      <c r="E454" s="10" t="s">
        <v>35</v>
      </c>
      <c r="F454" s="10"/>
      <c r="G454" s="10">
        <v>10</v>
      </c>
      <c r="H454" s="10"/>
      <c r="I454" s="10" t="s">
        <v>484</v>
      </c>
      <c r="J454" s="10"/>
      <c r="K454" s="10"/>
      <c r="L454" s="10"/>
      <c r="M454" s="10">
        <f t="shared" si="7"/>
        <v>0</v>
      </c>
      <c r="N454" s="10" t="s">
        <v>28</v>
      </c>
      <c r="O454" s="10" t="s">
        <v>29</v>
      </c>
      <c r="P454" s="10" t="s">
        <v>29</v>
      </c>
      <c r="Q454" s="10"/>
      <c r="R454" s="10"/>
      <c r="S454" s="10"/>
      <c r="T454" s="10"/>
      <c r="U454" s="10"/>
      <c r="V454" s="10"/>
      <c r="W454" s="10"/>
      <c r="X454" s="10" t="s">
        <v>30</v>
      </c>
      <c r="Y454" s="11"/>
    </row>
    <row r="455" spans="1:25" s="3" customFormat="1" ht="17.7" customHeight="1" x14ac:dyDescent="0.3">
      <c r="A455" s="21">
        <v>454</v>
      </c>
      <c r="B455" s="21">
        <v>8400006</v>
      </c>
      <c r="C455" s="9" t="s">
        <v>489</v>
      </c>
      <c r="D455" s="9" t="s">
        <v>25</v>
      </c>
      <c r="E455" s="9" t="s">
        <v>35</v>
      </c>
      <c r="F455" s="9"/>
      <c r="G455" s="9">
        <v>10</v>
      </c>
      <c r="H455" s="9"/>
      <c r="I455" s="9" t="s">
        <v>484</v>
      </c>
      <c r="J455" s="9"/>
      <c r="K455" s="9"/>
      <c r="L455" s="9"/>
      <c r="M455" s="9">
        <f t="shared" si="7"/>
        <v>0</v>
      </c>
      <c r="N455" s="9" t="s">
        <v>28</v>
      </c>
      <c r="O455" s="9" t="s">
        <v>29</v>
      </c>
      <c r="P455" s="9" t="s">
        <v>29</v>
      </c>
      <c r="Q455" s="9"/>
      <c r="R455" s="9"/>
      <c r="S455" s="9"/>
      <c r="T455" s="9"/>
      <c r="U455" s="9"/>
      <c r="V455" s="9"/>
      <c r="W455" s="9"/>
      <c r="X455" s="9" t="s">
        <v>30</v>
      </c>
      <c r="Y455" s="11"/>
    </row>
    <row r="456" spans="1:25" s="3" customFormat="1" ht="17.7" customHeight="1" x14ac:dyDescent="0.3">
      <c r="A456" s="20">
        <v>455</v>
      </c>
      <c r="B456" s="20">
        <v>8400007</v>
      </c>
      <c r="C456" s="10" t="s">
        <v>490</v>
      </c>
      <c r="D456" s="10" t="s">
        <v>25</v>
      </c>
      <c r="E456" s="10" t="s">
        <v>35</v>
      </c>
      <c r="F456" s="10"/>
      <c r="G456" s="10">
        <v>10</v>
      </c>
      <c r="H456" s="10"/>
      <c r="I456" s="10" t="s">
        <v>484</v>
      </c>
      <c r="J456" s="10"/>
      <c r="K456" s="10"/>
      <c r="L456" s="10"/>
      <c r="M456" s="10">
        <f t="shared" si="7"/>
        <v>0</v>
      </c>
      <c r="N456" s="10" t="s">
        <v>28</v>
      </c>
      <c r="O456" s="10" t="s">
        <v>29</v>
      </c>
      <c r="P456" s="10" t="s">
        <v>29</v>
      </c>
      <c r="Q456" s="10"/>
      <c r="R456" s="10"/>
      <c r="S456" s="10"/>
      <c r="T456" s="10"/>
      <c r="U456" s="10"/>
      <c r="V456" s="10"/>
      <c r="W456" s="10"/>
      <c r="X456" s="10" t="s">
        <v>30</v>
      </c>
      <c r="Y456" s="11"/>
    </row>
    <row r="457" spans="1:25" s="3" customFormat="1" ht="17.7" customHeight="1" x14ac:dyDescent="0.3">
      <c r="A457" s="21">
        <v>456</v>
      </c>
      <c r="B457" s="21">
        <v>8400008</v>
      </c>
      <c r="C457" s="9" t="s">
        <v>491</v>
      </c>
      <c r="D457" s="9" t="s">
        <v>25</v>
      </c>
      <c r="E457" s="9" t="s">
        <v>35</v>
      </c>
      <c r="F457" s="9"/>
      <c r="G457" s="9">
        <v>10</v>
      </c>
      <c r="H457" s="9"/>
      <c r="I457" s="9" t="s">
        <v>484</v>
      </c>
      <c r="J457" s="9"/>
      <c r="K457" s="9"/>
      <c r="L457" s="9"/>
      <c r="M457" s="9">
        <f t="shared" si="7"/>
        <v>0</v>
      </c>
      <c r="N457" s="9" t="s">
        <v>28</v>
      </c>
      <c r="O457" s="9" t="s">
        <v>29</v>
      </c>
      <c r="P457" s="9" t="s">
        <v>29</v>
      </c>
      <c r="Q457" s="9"/>
      <c r="R457" s="9"/>
      <c r="S457" s="9"/>
      <c r="T457" s="9"/>
      <c r="U457" s="9"/>
      <c r="V457" s="9"/>
      <c r="W457" s="9"/>
      <c r="X457" s="9" t="s">
        <v>30</v>
      </c>
      <c r="Y457" s="11"/>
    </row>
    <row r="458" spans="1:25" s="3" customFormat="1" ht="17.7" customHeight="1" x14ac:dyDescent="0.3">
      <c r="A458" s="20">
        <v>457</v>
      </c>
      <c r="B458" s="20">
        <v>8400009</v>
      </c>
      <c r="C458" s="10" t="s">
        <v>492</v>
      </c>
      <c r="D458" s="10" t="s">
        <v>25</v>
      </c>
      <c r="E458" s="10" t="s">
        <v>35</v>
      </c>
      <c r="F458" s="10"/>
      <c r="G458" s="10">
        <v>10</v>
      </c>
      <c r="H458" s="10"/>
      <c r="I458" s="10" t="s">
        <v>484</v>
      </c>
      <c r="J458" s="10"/>
      <c r="K458" s="10"/>
      <c r="L458" s="10"/>
      <c r="M458" s="10">
        <f t="shared" si="7"/>
        <v>0</v>
      </c>
      <c r="N458" s="10" t="s">
        <v>28</v>
      </c>
      <c r="O458" s="10" t="s">
        <v>29</v>
      </c>
      <c r="P458" s="10" t="s">
        <v>29</v>
      </c>
      <c r="Q458" s="10"/>
      <c r="R458" s="10"/>
      <c r="S458" s="10"/>
      <c r="T458" s="10"/>
      <c r="U458" s="10"/>
      <c r="V458" s="10"/>
      <c r="W458" s="10"/>
      <c r="X458" s="10" t="s">
        <v>30</v>
      </c>
      <c r="Y458" s="11"/>
    </row>
    <row r="459" spans="1:25" s="3" customFormat="1" ht="17.7" customHeight="1" x14ac:dyDescent="0.3">
      <c r="A459" s="21">
        <v>458</v>
      </c>
      <c r="B459" s="21">
        <v>8400010</v>
      </c>
      <c r="C459" s="9" t="s">
        <v>493</v>
      </c>
      <c r="D459" s="9" t="s">
        <v>25</v>
      </c>
      <c r="E459" s="9" t="s">
        <v>35</v>
      </c>
      <c r="F459" s="9"/>
      <c r="G459" s="9">
        <v>10</v>
      </c>
      <c r="H459" s="9"/>
      <c r="I459" s="9" t="s">
        <v>484</v>
      </c>
      <c r="J459" s="9"/>
      <c r="K459" s="9"/>
      <c r="L459" s="9"/>
      <c r="M459" s="9">
        <f t="shared" si="7"/>
        <v>0</v>
      </c>
      <c r="N459" s="9" t="s">
        <v>28</v>
      </c>
      <c r="O459" s="9" t="s">
        <v>29</v>
      </c>
      <c r="P459" s="9" t="s">
        <v>29</v>
      </c>
      <c r="Q459" s="9"/>
      <c r="R459" s="9"/>
      <c r="S459" s="9"/>
      <c r="T459" s="9"/>
      <c r="U459" s="9"/>
      <c r="V459" s="9"/>
      <c r="W459" s="9"/>
      <c r="X459" s="9" t="s">
        <v>30</v>
      </c>
      <c r="Y459" s="11"/>
    </row>
    <row r="460" spans="1:25" s="3" customFormat="1" ht="17.7" customHeight="1" x14ac:dyDescent="0.3">
      <c r="A460" s="20">
        <v>459</v>
      </c>
      <c r="B460" s="20">
        <v>8400011</v>
      </c>
      <c r="C460" s="10" t="s">
        <v>494</v>
      </c>
      <c r="D460" s="10" t="s">
        <v>25</v>
      </c>
      <c r="E460" s="10" t="s">
        <v>35</v>
      </c>
      <c r="F460" s="10"/>
      <c r="G460" s="10">
        <v>5</v>
      </c>
      <c r="H460" s="10"/>
      <c r="I460" s="10" t="s">
        <v>484</v>
      </c>
      <c r="J460" s="10"/>
      <c r="K460" s="10"/>
      <c r="L460" s="10"/>
      <c r="M460" s="10">
        <f t="shared" si="7"/>
        <v>0</v>
      </c>
      <c r="N460" s="10" t="s">
        <v>28</v>
      </c>
      <c r="O460" s="10" t="s">
        <v>29</v>
      </c>
      <c r="P460" s="10" t="s">
        <v>29</v>
      </c>
      <c r="Q460" s="10"/>
      <c r="R460" s="10"/>
      <c r="S460" s="10"/>
      <c r="T460" s="10"/>
      <c r="U460" s="10"/>
      <c r="V460" s="10"/>
      <c r="W460" s="10"/>
      <c r="X460" s="10" t="s">
        <v>30</v>
      </c>
      <c r="Y460" s="11"/>
    </row>
    <row r="461" spans="1:25" s="3" customFormat="1" ht="17.7" customHeight="1" x14ac:dyDescent="0.3">
      <c r="A461" s="21">
        <v>460</v>
      </c>
      <c r="B461" s="21">
        <v>8400012</v>
      </c>
      <c r="C461" s="9" t="s">
        <v>495</v>
      </c>
      <c r="D461" s="9" t="s">
        <v>25</v>
      </c>
      <c r="E461" s="9" t="s">
        <v>35</v>
      </c>
      <c r="F461" s="9"/>
      <c r="G461" s="9">
        <v>5</v>
      </c>
      <c r="H461" s="9"/>
      <c r="I461" s="9" t="s">
        <v>484</v>
      </c>
      <c r="J461" s="9"/>
      <c r="K461" s="9"/>
      <c r="L461" s="9"/>
      <c r="M461" s="9">
        <f t="shared" si="7"/>
        <v>0</v>
      </c>
      <c r="N461" s="9" t="s">
        <v>28</v>
      </c>
      <c r="O461" s="9" t="s">
        <v>29</v>
      </c>
      <c r="P461" s="9" t="s">
        <v>29</v>
      </c>
      <c r="Q461" s="9"/>
      <c r="R461" s="9"/>
      <c r="S461" s="9"/>
      <c r="T461" s="9"/>
      <c r="U461" s="9"/>
      <c r="V461" s="9"/>
      <c r="W461" s="9"/>
      <c r="X461" s="9" t="s">
        <v>30</v>
      </c>
      <c r="Y461" s="11"/>
    </row>
    <row r="462" spans="1:25" s="3" customFormat="1" ht="17.7" customHeight="1" x14ac:dyDescent="0.3">
      <c r="A462" s="20">
        <v>461</v>
      </c>
      <c r="B462" s="20">
        <v>8400013</v>
      </c>
      <c r="C462" s="10" t="s">
        <v>496</v>
      </c>
      <c r="D462" s="10" t="s">
        <v>25</v>
      </c>
      <c r="E462" s="10" t="s">
        <v>35</v>
      </c>
      <c r="F462" s="10"/>
      <c r="G462" s="10">
        <v>5</v>
      </c>
      <c r="H462" s="10"/>
      <c r="I462" s="10" t="s">
        <v>484</v>
      </c>
      <c r="J462" s="10"/>
      <c r="K462" s="10"/>
      <c r="L462" s="10"/>
      <c r="M462" s="10">
        <f t="shared" si="7"/>
        <v>0</v>
      </c>
      <c r="N462" s="10" t="s">
        <v>28</v>
      </c>
      <c r="O462" s="10" t="s">
        <v>29</v>
      </c>
      <c r="P462" s="10" t="s">
        <v>29</v>
      </c>
      <c r="Q462" s="10"/>
      <c r="R462" s="10"/>
      <c r="S462" s="10"/>
      <c r="T462" s="10"/>
      <c r="U462" s="10"/>
      <c r="V462" s="10"/>
      <c r="W462" s="10"/>
      <c r="X462" s="10" t="s">
        <v>30</v>
      </c>
      <c r="Y462" s="11"/>
    </row>
    <row r="463" spans="1:25" s="3" customFormat="1" ht="17.7" customHeight="1" x14ac:dyDescent="0.3">
      <c r="A463" s="21">
        <v>462</v>
      </c>
      <c r="B463" s="21">
        <v>8400014</v>
      </c>
      <c r="C463" s="9" t="s">
        <v>497</v>
      </c>
      <c r="D463" s="9" t="s">
        <v>25</v>
      </c>
      <c r="E463" s="9" t="s">
        <v>35</v>
      </c>
      <c r="F463" s="9"/>
      <c r="G463" s="9">
        <v>5</v>
      </c>
      <c r="H463" s="9"/>
      <c r="I463" s="9" t="s">
        <v>484</v>
      </c>
      <c r="J463" s="9"/>
      <c r="K463" s="9"/>
      <c r="L463" s="9"/>
      <c r="M463" s="9">
        <f t="shared" si="7"/>
        <v>0</v>
      </c>
      <c r="N463" s="9" t="s">
        <v>28</v>
      </c>
      <c r="O463" s="9" t="s">
        <v>29</v>
      </c>
      <c r="P463" s="9" t="s">
        <v>29</v>
      </c>
      <c r="Q463" s="9"/>
      <c r="R463" s="9"/>
      <c r="S463" s="9"/>
      <c r="T463" s="9"/>
      <c r="U463" s="9"/>
      <c r="V463" s="9"/>
      <c r="W463" s="9"/>
      <c r="X463" s="9" t="s">
        <v>30</v>
      </c>
      <c r="Y463" s="11"/>
    </row>
    <row r="464" spans="1:25" s="3" customFormat="1" ht="17.7" customHeight="1" x14ac:dyDescent="0.3">
      <c r="A464" s="20">
        <v>463</v>
      </c>
      <c r="B464" s="20">
        <v>8400015</v>
      </c>
      <c r="C464" s="10" t="s">
        <v>498</v>
      </c>
      <c r="D464" s="10" t="s">
        <v>25</v>
      </c>
      <c r="E464" s="10" t="s">
        <v>35</v>
      </c>
      <c r="F464" s="10"/>
      <c r="G464" s="10">
        <v>5</v>
      </c>
      <c r="H464" s="10"/>
      <c r="I464" s="10" t="s">
        <v>484</v>
      </c>
      <c r="J464" s="10"/>
      <c r="K464" s="10"/>
      <c r="L464" s="10"/>
      <c r="M464" s="10">
        <f t="shared" si="7"/>
        <v>0</v>
      </c>
      <c r="N464" s="10" t="s">
        <v>28</v>
      </c>
      <c r="O464" s="10" t="s">
        <v>29</v>
      </c>
      <c r="P464" s="10" t="s">
        <v>29</v>
      </c>
      <c r="Q464" s="10"/>
      <c r="R464" s="10"/>
      <c r="S464" s="10"/>
      <c r="T464" s="10"/>
      <c r="U464" s="10"/>
      <c r="V464" s="10"/>
      <c r="W464" s="10"/>
      <c r="X464" s="10" t="s">
        <v>30</v>
      </c>
      <c r="Y464" s="11"/>
    </row>
    <row r="465" spans="1:25" s="3" customFormat="1" ht="17.7" customHeight="1" x14ac:dyDescent="0.3">
      <c r="A465" s="21">
        <v>464</v>
      </c>
      <c r="B465" s="21">
        <v>8400016</v>
      </c>
      <c r="C465" s="9" t="s">
        <v>499</v>
      </c>
      <c r="D465" s="9" t="s">
        <v>25</v>
      </c>
      <c r="E465" s="9" t="s">
        <v>35</v>
      </c>
      <c r="F465" s="9"/>
      <c r="G465" s="9">
        <v>5</v>
      </c>
      <c r="H465" s="9"/>
      <c r="I465" s="9" t="s">
        <v>484</v>
      </c>
      <c r="J465" s="9"/>
      <c r="K465" s="9"/>
      <c r="L465" s="9"/>
      <c r="M465" s="9">
        <f t="shared" si="7"/>
        <v>0</v>
      </c>
      <c r="N465" s="9" t="s">
        <v>28</v>
      </c>
      <c r="O465" s="9" t="s">
        <v>29</v>
      </c>
      <c r="P465" s="9" t="s">
        <v>29</v>
      </c>
      <c r="Q465" s="9"/>
      <c r="R465" s="9"/>
      <c r="S465" s="9"/>
      <c r="T465" s="9"/>
      <c r="U465" s="9"/>
      <c r="V465" s="9"/>
      <c r="W465" s="9"/>
      <c r="X465" s="9" t="s">
        <v>30</v>
      </c>
      <c r="Y465" s="11"/>
    </row>
    <row r="466" spans="1:25" s="3" customFormat="1" ht="17.7" customHeight="1" x14ac:dyDescent="0.3">
      <c r="A466" s="20">
        <v>465</v>
      </c>
      <c r="B466" s="20">
        <v>8400017</v>
      </c>
      <c r="C466" s="10" t="s">
        <v>500</v>
      </c>
      <c r="D466" s="10" t="s">
        <v>25</v>
      </c>
      <c r="E466" s="10" t="s">
        <v>35</v>
      </c>
      <c r="F466" s="10"/>
      <c r="G466" s="10">
        <v>5</v>
      </c>
      <c r="H466" s="10"/>
      <c r="I466" s="10" t="s">
        <v>484</v>
      </c>
      <c r="J466" s="10"/>
      <c r="K466" s="10"/>
      <c r="L466" s="10"/>
      <c r="M466" s="10">
        <f t="shared" si="7"/>
        <v>0</v>
      </c>
      <c r="N466" s="10" t="s">
        <v>28</v>
      </c>
      <c r="O466" s="10" t="s">
        <v>29</v>
      </c>
      <c r="P466" s="10" t="s">
        <v>29</v>
      </c>
      <c r="Q466" s="10"/>
      <c r="R466" s="10"/>
      <c r="S466" s="10"/>
      <c r="T466" s="10"/>
      <c r="U466" s="10"/>
      <c r="V466" s="10"/>
      <c r="W466" s="10"/>
      <c r="X466" s="10" t="s">
        <v>30</v>
      </c>
      <c r="Y466" s="11"/>
    </row>
    <row r="467" spans="1:25" s="3" customFormat="1" ht="17.7" customHeight="1" x14ac:dyDescent="0.3">
      <c r="A467" s="21">
        <v>466</v>
      </c>
      <c r="B467" s="21">
        <v>8400018</v>
      </c>
      <c r="C467" s="9" t="s">
        <v>501</v>
      </c>
      <c r="D467" s="9" t="s">
        <v>25</v>
      </c>
      <c r="E467" s="9" t="s">
        <v>35</v>
      </c>
      <c r="F467" s="9"/>
      <c r="G467" s="9">
        <v>5</v>
      </c>
      <c r="H467" s="9"/>
      <c r="I467" s="9" t="s">
        <v>484</v>
      </c>
      <c r="J467" s="9"/>
      <c r="K467" s="9"/>
      <c r="L467" s="9"/>
      <c r="M467" s="9">
        <f t="shared" si="7"/>
        <v>0</v>
      </c>
      <c r="N467" s="9" t="s">
        <v>28</v>
      </c>
      <c r="O467" s="9" t="s">
        <v>29</v>
      </c>
      <c r="P467" s="9" t="s">
        <v>29</v>
      </c>
      <c r="Q467" s="9"/>
      <c r="R467" s="9"/>
      <c r="S467" s="9"/>
      <c r="T467" s="9"/>
      <c r="U467" s="9"/>
      <c r="V467" s="9"/>
      <c r="W467" s="9"/>
      <c r="X467" s="9" t="s">
        <v>30</v>
      </c>
      <c r="Y467" s="11"/>
    </row>
    <row r="468" spans="1:25" s="3" customFormat="1" ht="17.7" customHeight="1" x14ac:dyDescent="0.3">
      <c r="A468" s="20">
        <v>467</v>
      </c>
      <c r="B468" s="20">
        <v>8400019</v>
      </c>
      <c r="C468" s="10" t="s">
        <v>502</v>
      </c>
      <c r="D468" s="10" t="s">
        <v>25</v>
      </c>
      <c r="E468" s="10" t="s">
        <v>35</v>
      </c>
      <c r="F468" s="10"/>
      <c r="G468" s="10">
        <v>3</v>
      </c>
      <c r="H468" s="10"/>
      <c r="I468" s="10" t="s">
        <v>484</v>
      </c>
      <c r="J468" s="10"/>
      <c r="K468" s="10"/>
      <c r="L468" s="10"/>
      <c r="M468" s="10">
        <f t="shared" si="7"/>
        <v>0</v>
      </c>
      <c r="N468" s="10" t="s">
        <v>28</v>
      </c>
      <c r="O468" s="10" t="s">
        <v>29</v>
      </c>
      <c r="P468" s="10" t="s">
        <v>29</v>
      </c>
      <c r="Q468" s="10"/>
      <c r="R468" s="10"/>
      <c r="S468" s="10"/>
      <c r="T468" s="10"/>
      <c r="U468" s="10"/>
      <c r="V468" s="10"/>
      <c r="W468" s="10"/>
      <c r="X468" s="10" t="s">
        <v>30</v>
      </c>
      <c r="Y468" s="11"/>
    </row>
    <row r="469" spans="1:25" s="3" customFormat="1" ht="17.7" customHeight="1" x14ac:dyDescent="0.3">
      <c r="A469" s="21">
        <v>468</v>
      </c>
      <c r="B469" s="21">
        <v>8400020</v>
      </c>
      <c r="C469" s="9" t="s">
        <v>503</v>
      </c>
      <c r="D469" s="9" t="s">
        <v>25</v>
      </c>
      <c r="E469" s="9" t="s">
        <v>35</v>
      </c>
      <c r="F469" s="9"/>
      <c r="G469" s="9">
        <v>1</v>
      </c>
      <c r="H469" s="9"/>
      <c r="I469" s="9" t="s">
        <v>484</v>
      </c>
      <c r="J469" s="9"/>
      <c r="K469" s="9"/>
      <c r="L469" s="9"/>
      <c r="M469" s="9">
        <f t="shared" si="7"/>
        <v>0</v>
      </c>
      <c r="N469" s="9" t="s">
        <v>28</v>
      </c>
      <c r="O469" s="9" t="s">
        <v>29</v>
      </c>
      <c r="P469" s="9" t="s">
        <v>29</v>
      </c>
      <c r="Q469" s="9"/>
      <c r="R469" s="9"/>
      <c r="S469" s="9"/>
      <c r="T469" s="9"/>
      <c r="U469" s="9"/>
      <c r="V469" s="9"/>
      <c r="W469" s="9"/>
      <c r="X469" s="9" t="s">
        <v>30</v>
      </c>
      <c r="Y469" s="11"/>
    </row>
    <row r="470" spans="1:25" s="3" customFormat="1" ht="17.7" customHeight="1" x14ac:dyDescent="0.3">
      <c r="A470" s="20">
        <v>469</v>
      </c>
      <c r="B470" s="20">
        <v>8400021</v>
      </c>
      <c r="C470" s="10" t="s">
        <v>504</v>
      </c>
      <c r="D470" s="10" t="s">
        <v>25</v>
      </c>
      <c r="E470" s="10" t="s">
        <v>35</v>
      </c>
      <c r="F470" s="10"/>
      <c r="G470" s="10">
        <v>5</v>
      </c>
      <c r="H470" s="10"/>
      <c r="I470" s="10" t="s">
        <v>484</v>
      </c>
      <c r="J470" s="10"/>
      <c r="K470" s="10"/>
      <c r="L470" s="10"/>
      <c r="M470" s="10">
        <f t="shared" si="7"/>
        <v>0</v>
      </c>
      <c r="N470" s="10" t="s">
        <v>28</v>
      </c>
      <c r="O470" s="10" t="s">
        <v>29</v>
      </c>
      <c r="P470" s="10" t="s">
        <v>29</v>
      </c>
      <c r="Q470" s="10"/>
      <c r="R470" s="10"/>
      <c r="S470" s="10"/>
      <c r="T470" s="10"/>
      <c r="U470" s="10"/>
      <c r="V470" s="10"/>
      <c r="W470" s="10"/>
      <c r="X470" s="10" t="s">
        <v>30</v>
      </c>
      <c r="Y470" s="11"/>
    </row>
    <row r="471" spans="1:25" s="3" customFormat="1" ht="17.7" customHeight="1" x14ac:dyDescent="0.3">
      <c r="A471" s="21">
        <v>470</v>
      </c>
      <c r="B471" s="21">
        <v>8400022</v>
      </c>
      <c r="C471" s="9" t="s">
        <v>505</v>
      </c>
      <c r="D471" s="9" t="s">
        <v>25</v>
      </c>
      <c r="E471" s="9" t="s">
        <v>35</v>
      </c>
      <c r="F471" s="9"/>
      <c r="G471" s="9">
        <v>5</v>
      </c>
      <c r="H471" s="9"/>
      <c r="I471" s="9" t="s">
        <v>484</v>
      </c>
      <c r="J471" s="9"/>
      <c r="K471" s="9"/>
      <c r="L471" s="9"/>
      <c r="M471" s="9">
        <f t="shared" ref="M471:M534" si="8">F471-F471*11%</f>
        <v>0</v>
      </c>
      <c r="N471" s="9" t="s">
        <v>28</v>
      </c>
      <c r="O471" s="9" t="s">
        <v>29</v>
      </c>
      <c r="P471" s="9" t="s">
        <v>29</v>
      </c>
      <c r="Q471" s="9"/>
      <c r="R471" s="9"/>
      <c r="S471" s="9"/>
      <c r="T471" s="9"/>
      <c r="U471" s="9"/>
      <c r="V471" s="9"/>
      <c r="W471" s="9"/>
      <c r="X471" s="9" t="s">
        <v>30</v>
      </c>
      <c r="Y471" s="11"/>
    </row>
    <row r="472" spans="1:25" s="3" customFormat="1" ht="17.7" customHeight="1" x14ac:dyDescent="0.3">
      <c r="A472" s="20">
        <v>471</v>
      </c>
      <c r="B472" s="20">
        <v>8400023</v>
      </c>
      <c r="C472" s="10" t="s">
        <v>506</v>
      </c>
      <c r="D472" s="10" t="s">
        <v>25</v>
      </c>
      <c r="E472" s="10" t="s">
        <v>35</v>
      </c>
      <c r="F472" s="10"/>
      <c r="G472" s="10">
        <v>5</v>
      </c>
      <c r="H472" s="10"/>
      <c r="I472" s="10" t="s">
        <v>484</v>
      </c>
      <c r="J472" s="10"/>
      <c r="K472" s="10"/>
      <c r="L472" s="10"/>
      <c r="M472" s="10">
        <f t="shared" si="8"/>
        <v>0</v>
      </c>
      <c r="N472" s="10" t="s">
        <v>28</v>
      </c>
      <c r="O472" s="10" t="s">
        <v>29</v>
      </c>
      <c r="P472" s="10" t="s">
        <v>29</v>
      </c>
      <c r="Q472" s="10"/>
      <c r="R472" s="10"/>
      <c r="S472" s="10"/>
      <c r="T472" s="10"/>
      <c r="U472" s="10"/>
      <c r="V472" s="10"/>
      <c r="W472" s="10"/>
      <c r="X472" s="10" t="s">
        <v>30</v>
      </c>
      <c r="Y472" s="11"/>
    </row>
    <row r="473" spans="1:25" s="3" customFormat="1" ht="17.7" customHeight="1" x14ac:dyDescent="0.3">
      <c r="A473" s="21">
        <v>472</v>
      </c>
      <c r="B473" s="21">
        <v>8400024</v>
      </c>
      <c r="C473" s="9" t="s">
        <v>507</v>
      </c>
      <c r="D473" s="9" t="s">
        <v>25</v>
      </c>
      <c r="E473" s="9" t="s">
        <v>35</v>
      </c>
      <c r="F473" s="9"/>
      <c r="G473" s="9">
        <v>1</v>
      </c>
      <c r="H473" s="9"/>
      <c r="I473" s="9" t="s">
        <v>484</v>
      </c>
      <c r="J473" s="9"/>
      <c r="K473" s="9"/>
      <c r="L473" s="9"/>
      <c r="M473" s="9">
        <f t="shared" si="8"/>
        <v>0</v>
      </c>
      <c r="N473" s="9" t="s">
        <v>28</v>
      </c>
      <c r="O473" s="9" t="s">
        <v>29</v>
      </c>
      <c r="P473" s="9" t="s">
        <v>29</v>
      </c>
      <c r="Q473" s="9"/>
      <c r="R473" s="9"/>
      <c r="S473" s="9"/>
      <c r="T473" s="9"/>
      <c r="U473" s="9"/>
      <c r="V473" s="9"/>
      <c r="W473" s="9"/>
      <c r="X473" s="9" t="s">
        <v>30</v>
      </c>
      <c r="Y473" s="11"/>
    </row>
    <row r="474" spans="1:25" s="3" customFormat="1" ht="17.7" customHeight="1" x14ac:dyDescent="0.3">
      <c r="A474" s="20">
        <v>473</v>
      </c>
      <c r="B474" s="20">
        <v>8400025</v>
      </c>
      <c r="C474" s="10" t="s">
        <v>508</v>
      </c>
      <c r="D474" s="10" t="s">
        <v>25</v>
      </c>
      <c r="E474" s="10" t="s">
        <v>35</v>
      </c>
      <c r="F474" s="10"/>
      <c r="G474" s="10">
        <v>3</v>
      </c>
      <c r="H474" s="10"/>
      <c r="I474" s="10" t="s">
        <v>484</v>
      </c>
      <c r="J474" s="10"/>
      <c r="K474" s="10"/>
      <c r="L474" s="10"/>
      <c r="M474" s="10">
        <f t="shared" si="8"/>
        <v>0</v>
      </c>
      <c r="N474" s="10" t="s">
        <v>28</v>
      </c>
      <c r="O474" s="10" t="s">
        <v>29</v>
      </c>
      <c r="P474" s="10" t="s">
        <v>29</v>
      </c>
      <c r="Q474" s="10"/>
      <c r="R474" s="10"/>
      <c r="S474" s="10"/>
      <c r="T474" s="10"/>
      <c r="U474" s="10"/>
      <c r="V474" s="10"/>
      <c r="W474" s="10"/>
      <c r="X474" s="10" t="s">
        <v>30</v>
      </c>
      <c r="Y474" s="11"/>
    </row>
    <row r="475" spans="1:25" s="3" customFormat="1" ht="17.7" customHeight="1" x14ac:dyDescent="0.3">
      <c r="A475" s="21">
        <v>474</v>
      </c>
      <c r="B475" s="21">
        <v>8400026</v>
      </c>
      <c r="C475" s="9" t="s">
        <v>509</v>
      </c>
      <c r="D475" s="9" t="s">
        <v>25</v>
      </c>
      <c r="E475" s="9" t="s">
        <v>35</v>
      </c>
      <c r="F475" s="9"/>
      <c r="G475" s="9">
        <v>5</v>
      </c>
      <c r="H475" s="9"/>
      <c r="I475" s="9" t="s">
        <v>484</v>
      </c>
      <c r="J475" s="9"/>
      <c r="K475" s="9"/>
      <c r="L475" s="9"/>
      <c r="M475" s="9">
        <f t="shared" si="8"/>
        <v>0</v>
      </c>
      <c r="N475" s="9" t="s">
        <v>28</v>
      </c>
      <c r="O475" s="9" t="s">
        <v>29</v>
      </c>
      <c r="P475" s="9" t="s">
        <v>29</v>
      </c>
      <c r="Q475" s="9"/>
      <c r="R475" s="9"/>
      <c r="S475" s="9"/>
      <c r="T475" s="9"/>
      <c r="U475" s="9"/>
      <c r="V475" s="9"/>
      <c r="W475" s="9"/>
      <c r="X475" s="9" t="s">
        <v>30</v>
      </c>
      <c r="Y475" s="11"/>
    </row>
    <row r="476" spans="1:25" s="3" customFormat="1" ht="17.7" customHeight="1" x14ac:dyDescent="0.3">
      <c r="A476" s="20">
        <v>475</v>
      </c>
      <c r="B476" s="20">
        <v>8400027</v>
      </c>
      <c r="C476" s="10" t="s">
        <v>510</v>
      </c>
      <c r="D476" s="10" t="s">
        <v>25</v>
      </c>
      <c r="E476" s="10" t="s">
        <v>35</v>
      </c>
      <c r="F476" s="10"/>
      <c r="G476" s="10">
        <v>5</v>
      </c>
      <c r="H476" s="10"/>
      <c r="I476" s="10" t="s">
        <v>484</v>
      </c>
      <c r="J476" s="10"/>
      <c r="K476" s="10"/>
      <c r="L476" s="10"/>
      <c r="M476" s="10">
        <f t="shared" si="8"/>
        <v>0</v>
      </c>
      <c r="N476" s="10" t="s">
        <v>28</v>
      </c>
      <c r="O476" s="10" t="s">
        <v>29</v>
      </c>
      <c r="P476" s="10" t="s">
        <v>29</v>
      </c>
      <c r="Q476" s="10"/>
      <c r="R476" s="10"/>
      <c r="S476" s="10"/>
      <c r="T476" s="10"/>
      <c r="U476" s="10"/>
      <c r="V476" s="10"/>
      <c r="W476" s="10"/>
      <c r="X476" s="10" t="s">
        <v>30</v>
      </c>
      <c r="Y476" s="11"/>
    </row>
    <row r="477" spans="1:25" s="3" customFormat="1" ht="17.7" customHeight="1" x14ac:dyDescent="0.3">
      <c r="A477" s="21">
        <v>476</v>
      </c>
      <c r="B477" s="21">
        <v>8400028</v>
      </c>
      <c r="C477" s="9" t="s">
        <v>511</v>
      </c>
      <c r="D477" s="9" t="s">
        <v>25</v>
      </c>
      <c r="E477" s="9" t="s">
        <v>35</v>
      </c>
      <c r="F477" s="9"/>
      <c r="G477" s="9">
        <v>5</v>
      </c>
      <c r="H477" s="9"/>
      <c r="I477" s="9" t="s">
        <v>484</v>
      </c>
      <c r="J477" s="9"/>
      <c r="K477" s="9"/>
      <c r="L477" s="9"/>
      <c r="M477" s="9">
        <f t="shared" si="8"/>
        <v>0</v>
      </c>
      <c r="N477" s="9" t="s">
        <v>28</v>
      </c>
      <c r="O477" s="9" t="s">
        <v>29</v>
      </c>
      <c r="P477" s="9" t="s">
        <v>29</v>
      </c>
      <c r="Q477" s="9"/>
      <c r="R477" s="9"/>
      <c r="S477" s="9"/>
      <c r="T477" s="9"/>
      <c r="U477" s="9"/>
      <c r="V477" s="9"/>
      <c r="W477" s="9"/>
      <c r="X477" s="9" t="s">
        <v>30</v>
      </c>
      <c r="Y477" s="11"/>
    </row>
    <row r="478" spans="1:25" s="3" customFormat="1" ht="17.7" customHeight="1" x14ac:dyDescent="0.3">
      <c r="A478" s="20">
        <v>477</v>
      </c>
      <c r="B478" s="20">
        <v>8400029</v>
      </c>
      <c r="C478" s="10" t="s">
        <v>512</v>
      </c>
      <c r="D478" s="10" t="s">
        <v>25</v>
      </c>
      <c r="E478" s="10" t="s">
        <v>35</v>
      </c>
      <c r="F478" s="10"/>
      <c r="G478" s="10">
        <v>5</v>
      </c>
      <c r="H478" s="10"/>
      <c r="I478" s="10" t="s">
        <v>484</v>
      </c>
      <c r="J478" s="10"/>
      <c r="K478" s="10"/>
      <c r="L478" s="10"/>
      <c r="M478" s="10">
        <f t="shared" si="8"/>
        <v>0</v>
      </c>
      <c r="N478" s="10" t="s">
        <v>28</v>
      </c>
      <c r="O478" s="10" t="s">
        <v>29</v>
      </c>
      <c r="P478" s="10" t="s">
        <v>29</v>
      </c>
      <c r="Q478" s="10"/>
      <c r="R478" s="10"/>
      <c r="S478" s="10"/>
      <c r="T478" s="10"/>
      <c r="U478" s="10"/>
      <c r="V478" s="10"/>
      <c r="W478" s="10"/>
      <c r="X478" s="10" t="s">
        <v>30</v>
      </c>
      <c r="Y478" s="11"/>
    </row>
    <row r="479" spans="1:25" s="3" customFormat="1" ht="17.7" customHeight="1" x14ac:dyDescent="0.3">
      <c r="A479" s="21">
        <v>478</v>
      </c>
      <c r="B479" s="21">
        <v>8400030</v>
      </c>
      <c r="C479" s="9" t="s">
        <v>513</v>
      </c>
      <c r="D479" s="9" t="s">
        <v>25</v>
      </c>
      <c r="E479" s="9" t="s">
        <v>35</v>
      </c>
      <c r="F479" s="9"/>
      <c r="G479" s="9">
        <v>5</v>
      </c>
      <c r="H479" s="9"/>
      <c r="I479" s="9" t="s">
        <v>484</v>
      </c>
      <c r="J479" s="9"/>
      <c r="K479" s="9"/>
      <c r="L479" s="9"/>
      <c r="M479" s="9">
        <f t="shared" si="8"/>
        <v>0</v>
      </c>
      <c r="N479" s="9" t="s">
        <v>28</v>
      </c>
      <c r="O479" s="9" t="s">
        <v>29</v>
      </c>
      <c r="P479" s="9" t="s">
        <v>29</v>
      </c>
      <c r="Q479" s="9"/>
      <c r="R479" s="9"/>
      <c r="S479" s="9"/>
      <c r="T479" s="9"/>
      <c r="U479" s="9"/>
      <c r="V479" s="9"/>
      <c r="W479" s="9"/>
      <c r="X479" s="9" t="s">
        <v>30</v>
      </c>
      <c r="Y479" s="11"/>
    </row>
    <row r="480" spans="1:25" s="3" customFormat="1" ht="17.7" customHeight="1" x14ac:dyDescent="0.3">
      <c r="A480" s="20">
        <v>479</v>
      </c>
      <c r="B480" s="20">
        <v>8400031</v>
      </c>
      <c r="C480" s="10" t="s">
        <v>514</v>
      </c>
      <c r="D480" s="10" t="s">
        <v>25</v>
      </c>
      <c r="E480" s="10" t="s">
        <v>35</v>
      </c>
      <c r="F480" s="10"/>
      <c r="G480" s="10">
        <v>5</v>
      </c>
      <c r="H480" s="10"/>
      <c r="I480" s="10" t="s">
        <v>484</v>
      </c>
      <c r="J480" s="10"/>
      <c r="K480" s="10"/>
      <c r="L480" s="10"/>
      <c r="M480" s="10">
        <f t="shared" si="8"/>
        <v>0</v>
      </c>
      <c r="N480" s="10" t="s">
        <v>28</v>
      </c>
      <c r="O480" s="10" t="s">
        <v>29</v>
      </c>
      <c r="P480" s="10" t="s">
        <v>29</v>
      </c>
      <c r="Q480" s="10"/>
      <c r="R480" s="10"/>
      <c r="S480" s="10"/>
      <c r="T480" s="10"/>
      <c r="U480" s="10"/>
      <c r="V480" s="10"/>
      <c r="W480" s="10"/>
      <c r="X480" s="10" t="s">
        <v>30</v>
      </c>
      <c r="Y480" s="11"/>
    </row>
    <row r="481" spans="1:25" s="3" customFormat="1" ht="17.7" customHeight="1" x14ac:dyDescent="0.3">
      <c r="A481" s="21">
        <v>480</v>
      </c>
      <c r="B481" s="21">
        <v>8400032</v>
      </c>
      <c r="C481" s="9" t="s">
        <v>515</v>
      </c>
      <c r="D481" s="9" t="s">
        <v>25</v>
      </c>
      <c r="E481" s="9" t="s">
        <v>35</v>
      </c>
      <c r="F481" s="9"/>
      <c r="G481" s="9">
        <v>5</v>
      </c>
      <c r="H481" s="9"/>
      <c r="I481" s="9" t="s">
        <v>484</v>
      </c>
      <c r="J481" s="9"/>
      <c r="K481" s="9"/>
      <c r="L481" s="9"/>
      <c r="M481" s="9">
        <f t="shared" si="8"/>
        <v>0</v>
      </c>
      <c r="N481" s="9" t="s">
        <v>28</v>
      </c>
      <c r="O481" s="9" t="s">
        <v>29</v>
      </c>
      <c r="P481" s="9" t="s">
        <v>29</v>
      </c>
      <c r="Q481" s="9"/>
      <c r="R481" s="9"/>
      <c r="S481" s="9"/>
      <c r="T481" s="9"/>
      <c r="U481" s="9"/>
      <c r="V481" s="9"/>
      <c r="W481" s="9"/>
      <c r="X481" s="9" t="s">
        <v>30</v>
      </c>
      <c r="Y481" s="11"/>
    </row>
    <row r="482" spans="1:25" s="3" customFormat="1" ht="17.7" customHeight="1" x14ac:dyDescent="0.3">
      <c r="A482" s="20">
        <v>481</v>
      </c>
      <c r="B482" s="20">
        <v>8400033</v>
      </c>
      <c r="C482" s="10" t="s">
        <v>516</v>
      </c>
      <c r="D482" s="10" t="s">
        <v>25</v>
      </c>
      <c r="E482" s="10" t="s">
        <v>35</v>
      </c>
      <c r="F482" s="10"/>
      <c r="G482" s="10">
        <v>5</v>
      </c>
      <c r="H482" s="10"/>
      <c r="I482" s="10" t="s">
        <v>484</v>
      </c>
      <c r="J482" s="10"/>
      <c r="K482" s="10"/>
      <c r="L482" s="10"/>
      <c r="M482" s="10">
        <f t="shared" si="8"/>
        <v>0</v>
      </c>
      <c r="N482" s="10" t="s">
        <v>28</v>
      </c>
      <c r="O482" s="10" t="s">
        <v>29</v>
      </c>
      <c r="P482" s="10" t="s">
        <v>29</v>
      </c>
      <c r="Q482" s="10"/>
      <c r="R482" s="10"/>
      <c r="S482" s="10"/>
      <c r="T482" s="10"/>
      <c r="U482" s="10"/>
      <c r="V482" s="10"/>
      <c r="W482" s="10"/>
      <c r="X482" s="10" t="s">
        <v>30</v>
      </c>
      <c r="Y482" s="11"/>
    </row>
    <row r="483" spans="1:25" s="3" customFormat="1" ht="17.7" customHeight="1" x14ac:dyDescent="0.3">
      <c r="A483" s="21">
        <v>482</v>
      </c>
      <c r="B483" s="21">
        <v>8400034</v>
      </c>
      <c r="C483" s="9" t="s">
        <v>517</v>
      </c>
      <c r="D483" s="9" t="s">
        <v>25</v>
      </c>
      <c r="E483" s="9" t="s">
        <v>35</v>
      </c>
      <c r="F483" s="9"/>
      <c r="G483" s="9">
        <v>5</v>
      </c>
      <c r="H483" s="9"/>
      <c r="I483" s="9" t="s">
        <v>484</v>
      </c>
      <c r="J483" s="9"/>
      <c r="K483" s="9"/>
      <c r="L483" s="9"/>
      <c r="M483" s="9">
        <f t="shared" si="8"/>
        <v>0</v>
      </c>
      <c r="N483" s="9" t="s">
        <v>28</v>
      </c>
      <c r="O483" s="9" t="s">
        <v>29</v>
      </c>
      <c r="P483" s="9" t="s">
        <v>29</v>
      </c>
      <c r="Q483" s="9"/>
      <c r="R483" s="9"/>
      <c r="S483" s="9"/>
      <c r="T483" s="9"/>
      <c r="U483" s="9"/>
      <c r="V483" s="9"/>
      <c r="W483" s="9"/>
      <c r="X483" s="9" t="s">
        <v>30</v>
      </c>
      <c r="Y483" s="11"/>
    </row>
    <row r="484" spans="1:25" s="3" customFormat="1" ht="17.7" customHeight="1" x14ac:dyDescent="0.3">
      <c r="A484" s="20">
        <v>483</v>
      </c>
      <c r="B484" s="20">
        <v>8400035</v>
      </c>
      <c r="C484" s="10" t="s">
        <v>518</v>
      </c>
      <c r="D484" s="10" t="s">
        <v>25</v>
      </c>
      <c r="E484" s="10" t="s">
        <v>35</v>
      </c>
      <c r="F484" s="10"/>
      <c r="G484" s="10">
        <v>5</v>
      </c>
      <c r="H484" s="10"/>
      <c r="I484" s="10" t="s">
        <v>484</v>
      </c>
      <c r="J484" s="10"/>
      <c r="K484" s="10"/>
      <c r="L484" s="10"/>
      <c r="M484" s="10">
        <f t="shared" si="8"/>
        <v>0</v>
      </c>
      <c r="N484" s="10" t="s">
        <v>28</v>
      </c>
      <c r="O484" s="10" t="s">
        <v>29</v>
      </c>
      <c r="P484" s="10" t="s">
        <v>29</v>
      </c>
      <c r="Q484" s="10"/>
      <c r="R484" s="10"/>
      <c r="S484" s="10"/>
      <c r="T484" s="10"/>
      <c r="U484" s="10"/>
      <c r="V484" s="10"/>
      <c r="W484" s="10"/>
      <c r="X484" s="10" t="s">
        <v>30</v>
      </c>
      <c r="Y484" s="11"/>
    </row>
    <row r="485" spans="1:25" s="3" customFormat="1" ht="17.7" customHeight="1" x14ac:dyDescent="0.3">
      <c r="A485" s="21">
        <v>484</v>
      </c>
      <c r="B485" s="21">
        <v>8400036</v>
      </c>
      <c r="C485" s="9" t="s">
        <v>519</v>
      </c>
      <c r="D485" s="9" t="s">
        <v>25</v>
      </c>
      <c r="E485" s="9" t="s">
        <v>35</v>
      </c>
      <c r="F485" s="9"/>
      <c r="G485" s="9">
        <v>5</v>
      </c>
      <c r="H485" s="9"/>
      <c r="I485" s="9" t="s">
        <v>484</v>
      </c>
      <c r="J485" s="9"/>
      <c r="K485" s="9"/>
      <c r="L485" s="9"/>
      <c r="M485" s="9">
        <f t="shared" si="8"/>
        <v>0</v>
      </c>
      <c r="N485" s="9" t="s">
        <v>28</v>
      </c>
      <c r="O485" s="9" t="s">
        <v>29</v>
      </c>
      <c r="P485" s="9" t="s">
        <v>29</v>
      </c>
      <c r="Q485" s="9"/>
      <c r="R485" s="9"/>
      <c r="S485" s="9"/>
      <c r="T485" s="9"/>
      <c r="U485" s="9"/>
      <c r="V485" s="9"/>
      <c r="W485" s="9"/>
      <c r="X485" s="9" t="s">
        <v>30</v>
      </c>
      <c r="Y485" s="11"/>
    </row>
    <row r="486" spans="1:25" s="3" customFormat="1" ht="17.7" customHeight="1" x14ac:dyDescent="0.3">
      <c r="A486" s="20">
        <v>485</v>
      </c>
      <c r="B486" s="20">
        <v>8400037</v>
      </c>
      <c r="C486" s="10" t="s">
        <v>520</v>
      </c>
      <c r="D486" s="10" t="s">
        <v>25</v>
      </c>
      <c r="E486" s="10" t="s">
        <v>35</v>
      </c>
      <c r="F486" s="10"/>
      <c r="G486" s="10">
        <v>5</v>
      </c>
      <c r="H486" s="10"/>
      <c r="I486" s="10" t="s">
        <v>484</v>
      </c>
      <c r="J486" s="10"/>
      <c r="K486" s="10"/>
      <c r="L486" s="10"/>
      <c r="M486" s="10">
        <f t="shared" si="8"/>
        <v>0</v>
      </c>
      <c r="N486" s="10" t="s">
        <v>28</v>
      </c>
      <c r="O486" s="10" t="s">
        <v>29</v>
      </c>
      <c r="P486" s="10" t="s">
        <v>29</v>
      </c>
      <c r="Q486" s="10"/>
      <c r="R486" s="10"/>
      <c r="S486" s="10"/>
      <c r="T486" s="10"/>
      <c r="U486" s="10"/>
      <c r="V486" s="10"/>
      <c r="W486" s="10"/>
      <c r="X486" s="10" t="s">
        <v>30</v>
      </c>
      <c r="Y486" s="11"/>
    </row>
    <row r="487" spans="1:25" s="3" customFormat="1" ht="17.7" customHeight="1" x14ac:dyDescent="0.3">
      <c r="A487" s="21">
        <v>486</v>
      </c>
      <c r="B487" s="21">
        <v>8400038</v>
      </c>
      <c r="C487" s="9" t="s">
        <v>521</v>
      </c>
      <c r="D487" s="9" t="s">
        <v>25</v>
      </c>
      <c r="E487" s="9" t="s">
        <v>35</v>
      </c>
      <c r="F487" s="9"/>
      <c r="G487" s="9">
        <v>5</v>
      </c>
      <c r="H487" s="9"/>
      <c r="I487" s="9" t="s">
        <v>484</v>
      </c>
      <c r="J487" s="9"/>
      <c r="K487" s="9"/>
      <c r="L487" s="9"/>
      <c r="M487" s="9">
        <f t="shared" si="8"/>
        <v>0</v>
      </c>
      <c r="N487" s="9" t="s">
        <v>28</v>
      </c>
      <c r="O487" s="9" t="s">
        <v>29</v>
      </c>
      <c r="P487" s="9" t="s">
        <v>29</v>
      </c>
      <c r="Q487" s="9"/>
      <c r="R487" s="9"/>
      <c r="S487" s="9"/>
      <c r="T487" s="9"/>
      <c r="U487" s="9"/>
      <c r="V487" s="9"/>
      <c r="W487" s="9"/>
      <c r="X487" s="9" t="s">
        <v>30</v>
      </c>
      <c r="Y487" s="11"/>
    </row>
    <row r="488" spans="1:25" s="3" customFormat="1" ht="17.7" customHeight="1" x14ac:dyDescent="0.3">
      <c r="A488" s="20">
        <v>487</v>
      </c>
      <c r="B488" s="20">
        <v>8400039</v>
      </c>
      <c r="C488" s="10" t="s">
        <v>522</v>
      </c>
      <c r="D488" s="10" t="s">
        <v>25</v>
      </c>
      <c r="E488" s="10" t="s">
        <v>35</v>
      </c>
      <c r="F488" s="10"/>
      <c r="G488" s="10">
        <v>5</v>
      </c>
      <c r="H488" s="10"/>
      <c r="I488" s="10" t="s">
        <v>484</v>
      </c>
      <c r="J488" s="10"/>
      <c r="K488" s="10"/>
      <c r="L488" s="10"/>
      <c r="M488" s="10">
        <f t="shared" si="8"/>
        <v>0</v>
      </c>
      <c r="N488" s="10" t="s">
        <v>28</v>
      </c>
      <c r="O488" s="10" t="s">
        <v>29</v>
      </c>
      <c r="P488" s="10" t="s">
        <v>29</v>
      </c>
      <c r="Q488" s="10"/>
      <c r="R488" s="10"/>
      <c r="S488" s="10"/>
      <c r="T488" s="10"/>
      <c r="U488" s="10"/>
      <c r="V488" s="10"/>
      <c r="W488" s="10"/>
      <c r="X488" s="10" t="s">
        <v>30</v>
      </c>
      <c r="Y488" s="11"/>
    </row>
    <row r="489" spans="1:25" s="3" customFormat="1" ht="17.7" customHeight="1" x14ac:dyDescent="0.3">
      <c r="A489" s="21">
        <v>488</v>
      </c>
      <c r="B489" s="21">
        <v>8400040</v>
      </c>
      <c r="C489" s="9" t="s">
        <v>523</v>
      </c>
      <c r="D489" s="9" t="s">
        <v>25</v>
      </c>
      <c r="E489" s="9" t="s">
        <v>35</v>
      </c>
      <c r="F489" s="9"/>
      <c r="G489" s="9">
        <v>5</v>
      </c>
      <c r="H489" s="9"/>
      <c r="I489" s="9" t="s">
        <v>484</v>
      </c>
      <c r="J489" s="9"/>
      <c r="K489" s="9"/>
      <c r="L489" s="9"/>
      <c r="M489" s="9">
        <f t="shared" si="8"/>
        <v>0</v>
      </c>
      <c r="N489" s="9" t="s">
        <v>28</v>
      </c>
      <c r="O489" s="9" t="s">
        <v>29</v>
      </c>
      <c r="P489" s="9" t="s">
        <v>29</v>
      </c>
      <c r="Q489" s="9"/>
      <c r="R489" s="9"/>
      <c r="S489" s="9"/>
      <c r="T489" s="9"/>
      <c r="U489" s="9"/>
      <c r="V489" s="9"/>
      <c r="W489" s="9"/>
      <c r="X489" s="9" t="s">
        <v>30</v>
      </c>
      <c r="Y489" s="11"/>
    </row>
    <row r="490" spans="1:25" s="3" customFormat="1" ht="17.7" customHeight="1" x14ac:dyDescent="0.3">
      <c r="A490" s="20">
        <v>489</v>
      </c>
      <c r="B490" s="20">
        <v>8400041</v>
      </c>
      <c r="C490" s="10" t="s">
        <v>524</v>
      </c>
      <c r="D490" s="10" t="s">
        <v>25</v>
      </c>
      <c r="E490" s="10" t="s">
        <v>35</v>
      </c>
      <c r="F490" s="10"/>
      <c r="G490" s="10">
        <v>5</v>
      </c>
      <c r="H490" s="10"/>
      <c r="I490" s="10" t="s">
        <v>484</v>
      </c>
      <c r="J490" s="10"/>
      <c r="K490" s="10"/>
      <c r="L490" s="10"/>
      <c r="M490" s="10">
        <f t="shared" si="8"/>
        <v>0</v>
      </c>
      <c r="N490" s="10" t="s">
        <v>28</v>
      </c>
      <c r="O490" s="10" t="s">
        <v>29</v>
      </c>
      <c r="P490" s="10" t="s">
        <v>29</v>
      </c>
      <c r="Q490" s="10"/>
      <c r="R490" s="10"/>
      <c r="S490" s="10"/>
      <c r="T490" s="10"/>
      <c r="U490" s="10"/>
      <c r="V490" s="10"/>
      <c r="W490" s="10"/>
      <c r="X490" s="10" t="s">
        <v>30</v>
      </c>
      <c r="Y490" s="11"/>
    </row>
    <row r="491" spans="1:25" s="3" customFormat="1" ht="17.7" customHeight="1" x14ac:dyDescent="0.3">
      <c r="A491" s="21">
        <v>490</v>
      </c>
      <c r="B491" s="21">
        <v>8400042</v>
      </c>
      <c r="C491" s="9" t="s">
        <v>525</v>
      </c>
      <c r="D491" s="9" t="s">
        <v>25</v>
      </c>
      <c r="E491" s="9" t="s">
        <v>35</v>
      </c>
      <c r="F491" s="9"/>
      <c r="G491" s="9">
        <v>5</v>
      </c>
      <c r="H491" s="9"/>
      <c r="I491" s="9" t="s">
        <v>484</v>
      </c>
      <c r="J491" s="9"/>
      <c r="K491" s="9"/>
      <c r="L491" s="9"/>
      <c r="M491" s="9">
        <f t="shared" si="8"/>
        <v>0</v>
      </c>
      <c r="N491" s="9" t="s">
        <v>28</v>
      </c>
      <c r="O491" s="9" t="s">
        <v>29</v>
      </c>
      <c r="P491" s="9" t="s">
        <v>29</v>
      </c>
      <c r="Q491" s="9"/>
      <c r="R491" s="9"/>
      <c r="S491" s="9"/>
      <c r="T491" s="9"/>
      <c r="U491" s="9"/>
      <c r="V491" s="9"/>
      <c r="W491" s="9"/>
      <c r="X491" s="9" t="s">
        <v>30</v>
      </c>
      <c r="Y491" s="11"/>
    </row>
    <row r="492" spans="1:25" s="3" customFormat="1" ht="17.7" customHeight="1" x14ac:dyDescent="0.3">
      <c r="A492" s="20">
        <v>491</v>
      </c>
      <c r="B492" s="20">
        <v>8400043</v>
      </c>
      <c r="C492" s="10" t="s">
        <v>526</v>
      </c>
      <c r="D492" s="10" t="s">
        <v>25</v>
      </c>
      <c r="E492" s="10" t="s">
        <v>35</v>
      </c>
      <c r="F492" s="10"/>
      <c r="G492" s="10">
        <v>3</v>
      </c>
      <c r="H492" s="10"/>
      <c r="I492" s="10" t="s">
        <v>484</v>
      </c>
      <c r="J492" s="10"/>
      <c r="K492" s="10"/>
      <c r="L492" s="10"/>
      <c r="M492" s="10">
        <f t="shared" si="8"/>
        <v>0</v>
      </c>
      <c r="N492" s="10" t="s">
        <v>28</v>
      </c>
      <c r="O492" s="10" t="s">
        <v>29</v>
      </c>
      <c r="P492" s="10" t="s">
        <v>29</v>
      </c>
      <c r="Q492" s="10"/>
      <c r="R492" s="10"/>
      <c r="S492" s="10"/>
      <c r="T492" s="10"/>
      <c r="U492" s="10"/>
      <c r="V492" s="10"/>
      <c r="W492" s="10"/>
      <c r="X492" s="10" t="s">
        <v>30</v>
      </c>
      <c r="Y492" s="11"/>
    </row>
    <row r="493" spans="1:25" s="3" customFormat="1" ht="17.7" customHeight="1" x14ac:dyDescent="0.3">
      <c r="A493" s="21">
        <v>492</v>
      </c>
      <c r="B493" s="21">
        <v>8400044</v>
      </c>
      <c r="C493" s="9" t="s">
        <v>527</v>
      </c>
      <c r="D493" s="9" t="s">
        <v>25</v>
      </c>
      <c r="E493" s="9" t="s">
        <v>35</v>
      </c>
      <c r="F493" s="9"/>
      <c r="G493" s="9">
        <v>3</v>
      </c>
      <c r="H493" s="9"/>
      <c r="I493" s="9" t="s">
        <v>484</v>
      </c>
      <c r="J493" s="9"/>
      <c r="K493" s="9"/>
      <c r="L493" s="9"/>
      <c r="M493" s="9">
        <f t="shared" si="8"/>
        <v>0</v>
      </c>
      <c r="N493" s="9" t="s">
        <v>28</v>
      </c>
      <c r="O493" s="9" t="s">
        <v>29</v>
      </c>
      <c r="P493" s="9" t="s">
        <v>29</v>
      </c>
      <c r="Q493" s="9"/>
      <c r="R493" s="9"/>
      <c r="S493" s="9"/>
      <c r="T493" s="9"/>
      <c r="U493" s="9"/>
      <c r="V493" s="9"/>
      <c r="W493" s="9"/>
      <c r="X493" s="9" t="s">
        <v>30</v>
      </c>
      <c r="Y493" s="11"/>
    </row>
    <row r="494" spans="1:25" s="3" customFormat="1" ht="17.7" customHeight="1" x14ac:dyDescent="0.3">
      <c r="A494" s="20">
        <v>493</v>
      </c>
      <c r="B494" s="20">
        <v>8400045</v>
      </c>
      <c r="C494" s="10" t="s">
        <v>528</v>
      </c>
      <c r="D494" s="10" t="s">
        <v>25</v>
      </c>
      <c r="E494" s="10" t="s">
        <v>35</v>
      </c>
      <c r="F494" s="10"/>
      <c r="G494" s="10">
        <v>3</v>
      </c>
      <c r="H494" s="10"/>
      <c r="I494" s="10" t="s">
        <v>484</v>
      </c>
      <c r="J494" s="10"/>
      <c r="K494" s="10"/>
      <c r="L494" s="10"/>
      <c r="M494" s="10">
        <f t="shared" si="8"/>
        <v>0</v>
      </c>
      <c r="N494" s="10" t="s">
        <v>28</v>
      </c>
      <c r="O494" s="10" t="s">
        <v>29</v>
      </c>
      <c r="P494" s="10" t="s">
        <v>29</v>
      </c>
      <c r="Q494" s="10"/>
      <c r="R494" s="10"/>
      <c r="S494" s="10"/>
      <c r="T494" s="10"/>
      <c r="U494" s="10"/>
      <c r="V494" s="10"/>
      <c r="W494" s="10"/>
      <c r="X494" s="10" t="s">
        <v>30</v>
      </c>
      <c r="Y494" s="11"/>
    </row>
    <row r="495" spans="1:25" s="3" customFormat="1" ht="17.7" customHeight="1" x14ac:dyDescent="0.3">
      <c r="A495" s="21">
        <v>494</v>
      </c>
      <c r="B495" s="21">
        <v>8400046</v>
      </c>
      <c r="C495" s="9" t="s">
        <v>529</v>
      </c>
      <c r="D495" s="9" t="s">
        <v>25</v>
      </c>
      <c r="E495" s="9" t="s">
        <v>35</v>
      </c>
      <c r="F495" s="9"/>
      <c r="G495" s="9">
        <v>5</v>
      </c>
      <c r="H495" s="9"/>
      <c r="I495" s="9" t="s">
        <v>484</v>
      </c>
      <c r="J495" s="9"/>
      <c r="K495" s="9"/>
      <c r="L495" s="9"/>
      <c r="M495" s="9">
        <f t="shared" si="8"/>
        <v>0</v>
      </c>
      <c r="N495" s="9" t="s">
        <v>28</v>
      </c>
      <c r="O495" s="9" t="s">
        <v>29</v>
      </c>
      <c r="P495" s="9" t="s">
        <v>29</v>
      </c>
      <c r="Q495" s="9"/>
      <c r="R495" s="9"/>
      <c r="S495" s="9"/>
      <c r="T495" s="9"/>
      <c r="U495" s="9"/>
      <c r="V495" s="9"/>
      <c r="W495" s="9"/>
      <c r="X495" s="9" t="s">
        <v>30</v>
      </c>
      <c r="Y495" s="11"/>
    </row>
    <row r="496" spans="1:25" s="3" customFormat="1" ht="17.7" customHeight="1" x14ac:dyDescent="0.3">
      <c r="A496" s="20">
        <v>495</v>
      </c>
      <c r="B496" s="20">
        <v>8400047</v>
      </c>
      <c r="C496" s="10" t="s">
        <v>530</v>
      </c>
      <c r="D496" s="10" t="s">
        <v>25</v>
      </c>
      <c r="E496" s="10" t="s">
        <v>35</v>
      </c>
      <c r="F496" s="10"/>
      <c r="G496" s="10">
        <v>1</v>
      </c>
      <c r="H496" s="10"/>
      <c r="I496" s="10" t="s">
        <v>484</v>
      </c>
      <c r="J496" s="10"/>
      <c r="K496" s="10"/>
      <c r="L496" s="10"/>
      <c r="M496" s="10">
        <f t="shared" si="8"/>
        <v>0</v>
      </c>
      <c r="N496" s="10" t="s">
        <v>28</v>
      </c>
      <c r="O496" s="10" t="s">
        <v>29</v>
      </c>
      <c r="P496" s="10" t="s">
        <v>29</v>
      </c>
      <c r="Q496" s="10"/>
      <c r="R496" s="10"/>
      <c r="S496" s="10"/>
      <c r="T496" s="10"/>
      <c r="U496" s="10"/>
      <c r="V496" s="10"/>
      <c r="W496" s="10"/>
      <c r="X496" s="10" t="s">
        <v>30</v>
      </c>
      <c r="Y496" s="11"/>
    </row>
    <row r="497" spans="1:25" s="3" customFormat="1" ht="17.7" customHeight="1" x14ac:dyDescent="0.3">
      <c r="A497" s="21">
        <v>496</v>
      </c>
      <c r="B497" s="21">
        <v>8400048</v>
      </c>
      <c r="C497" s="9" t="s">
        <v>531</v>
      </c>
      <c r="D497" s="9" t="s">
        <v>25</v>
      </c>
      <c r="E497" s="9" t="s">
        <v>35</v>
      </c>
      <c r="F497" s="9"/>
      <c r="G497" s="9">
        <v>1</v>
      </c>
      <c r="H497" s="9"/>
      <c r="I497" s="9" t="s">
        <v>484</v>
      </c>
      <c r="J497" s="9"/>
      <c r="K497" s="9"/>
      <c r="L497" s="9"/>
      <c r="M497" s="9">
        <f t="shared" si="8"/>
        <v>0</v>
      </c>
      <c r="N497" s="9" t="s">
        <v>28</v>
      </c>
      <c r="O497" s="9" t="s">
        <v>29</v>
      </c>
      <c r="P497" s="9" t="s">
        <v>29</v>
      </c>
      <c r="Q497" s="9"/>
      <c r="R497" s="9"/>
      <c r="S497" s="9"/>
      <c r="T497" s="9"/>
      <c r="U497" s="9"/>
      <c r="V497" s="9"/>
      <c r="W497" s="9"/>
      <c r="X497" s="9" t="s">
        <v>30</v>
      </c>
      <c r="Y497" s="11"/>
    </row>
    <row r="498" spans="1:25" s="3" customFormat="1" ht="17.7" customHeight="1" x14ac:dyDescent="0.3">
      <c r="A498" s="20">
        <v>497</v>
      </c>
      <c r="B498" s="20">
        <v>8400049</v>
      </c>
      <c r="C498" s="10" t="s">
        <v>532</v>
      </c>
      <c r="D498" s="10" t="s">
        <v>25</v>
      </c>
      <c r="E498" s="10" t="s">
        <v>35</v>
      </c>
      <c r="F498" s="10"/>
      <c r="G498" s="10">
        <v>1</v>
      </c>
      <c r="H498" s="10"/>
      <c r="I498" s="10" t="s">
        <v>484</v>
      </c>
      <c r="J498" s="10"/>
      <c r="K498" s="10"/>
      <c r="L498" s="10"/>
      <c r="M498" s="10">
        <f t="shared" si="8"/>
        <v>0</v>
      </c>
      <c r="N498" s="10" t="s">
        <v>28</v>
      </c>
      <c r="O498" s="10" t="s">
        <v>29</v>
      </c>
      <c r="P498" s="10" t="s">
        <v>29</v>
      </c>
      <c r="Q498" s="10"/>
      <c r="R498" s="10"/>
      <c r="S498" s="10"/>
      <c r="T498" s="10"/>
      <c r="U498" s="10"/>
      <c r="V498" s="10"/>
      <c r="W498" s="10"/>
      <c r="X498" s="10" t="s">
        <v>30</v>
      </c>
      <c r="Y498" s="11"/>
    </row>
    <row r="499" spans="1:25" s="3" customFormat="1" ht="17.7" customHeight="1" x14ac:dyDescent="0.3">
      <c r="A499" s="21">
        <v>498</v>
      </c>
      <c r="B499" s="21">
        <v>8400050</v>
      </c>
      <c r="C499" s="9" t="s">
        <v>533</v>
      </c>
      <c r="D499" s="9" t="s">
        <v>25</v>
      </c>
      <c r="E499" s="9" t="s">
        <v>35</v>
      </c>
      <c r="F499" s="9"/>
      <c r="G499" s="9">
        <v>5</v>
      </c>
      <c r="H499" s="9"/>
      <c r="I499" s="9" t="s">
        <v>484</v>
      </c>
      <c r="J499" s="9"/>
      <c r="K499" s="9"/>
      <c r="L499" s="9"/>
      <c r="M499" s="9">
        <f t="shared" si="8"/>
        <v>0</v>
      </c>
      <c r="N499" s="9" t="s">
        <v>28</v>
      </c>
      <c r="O499" s="9" t="s">
        <v>29</v>
      </c>
      <c r="P499" s="9" t="s">
        <v>29</v>
      </c>
      <c r="Q499" s="9"/>
      <c r="R499" s="9"/>
      <c r="S499" s="9"/>
      <c r="T499" s="9"/>
      <c r="U499" s="9"/>
      <c r="V499" s="9"/>
      <c r="W499" s="9"/>
      <c r="X499" s="9" t="s">
        <v>30</v>
      </c>
      <c r="Y499" s="11"/>
    </row>
    <row r="500" spans="1:25" s="3" customFormat="1" ht="17.7" customHeight="1" x14ac:dyDescent="0.3">
      <c r="A500" s="20">
        <v>499</v>
      </c>
      <c r="B500" s="20">
        <v>8400051</v>
      </c>
      <c r="C500" s="10" t="s">
        <v>534</v>
      </c>
      <c r="D500" s="10" t="s">
        <v>25</v>
      </c>
      <c r="E500" s="10" t="s">
        <v>35</v>
      </c>
      <c r="F500" s="10"/>
      <c r="G500" s="10">
        <v>5</v>
      </c>
      <c r="H500" s="10"/>
      <c r="I500" s="10" t="s">
        <v>484</v>
      </c>
      <c r="J500" s="10"/>
      <c r="K500" s="10"/>
      <c r="L500" s="10"/>
      <c r="M500" s="10">
        <f t="shared" si="8"/>
        <v>0</v>
      </c>
      <c r="N500" s="10" t="s">
        <v>28</v>
      </c>
      <c r="O500" s="10" t="s">
        <v>29</v>
      </c>
      <c r="P500" s="10" t="s">
        <v>29</v>
      </c>
      <c r="Q500" s="10"/>
      <c r="R500" s="10"/>
      <c r="S500" s="10"/>
      <c r="T500" s="10"/>
      <c r="U500" s="10"/>
      <c r="V500" s="10"/>
      <c r="W500" s="10"/>
      <c r="X500" s="10" t="s">
        <v>30</v>
      </c>
      <c r="Y500" s="11"/>
    </row>
    <row r="501" spans="1:25" s="3" customFormat="1" ht="17.7" customHeight="1" x14ac:dyDescent="0.3">
      <c r="A501" s="21">
        <v>500</v>
      </c>
      <c r="B501" s="21">
        <v>8400052</v>
      </c>
      <c r="C501" s="9" t="s">
        <v>535</v>
      </c>
      <c r="D501" s="9" t="s">
        <v>25</v>
      </c>
      <c r="E501" s="9" t="s">
        <v>35</v>
      </c>
      <c r="F501" s="9"/>
      <c r="G501" s="9">
        <v>1</v>
      </c>
      <c r="H501" s="9"/>
      <c r="I501" s="9" t="s">
        <v>484</v>
      </c>
      <c r="J501" s="9"/>
      <c r="K501" s="9"/>
      <c r="L501" s="9"/>
      <c r="M501" s="9">
        <f t="shared" si="8"/>
        <v>0</v>
      </c>
      <c r="N501" s="9" t="s">
        <v>28</v>
      </c>
      <c r="O501" s="9" t="s">
        <v>29</v>
      </c>
      <c r="P501" s="9" t="s">
        <v>29</v>
      </c>
      <c r="Q501" s="9"/>
      <c r="R501" s="9"/>
      <c r="S501" s="9"/>
      <c r="T501" s="9"/>
      <c r="U501" s="9"/>
      <c r="V501" s="9"/>
      <c r="W501" s="9"/>
      <c r="X501" s="9" t="s">
        <v>30</v>
      </c>
      <c r="Y501" s="11"/>
    </row>
    <row r="502" spans="1:25" s="3" customFormat="1" ht="17.7" customHeight="1" x14ac:dyDescent="0.3">
      <c r="A502" s="20">
        <v>501</v>
      </c>
      <c r="B502" s="20">
        <v>8400053</v>
      </c>
      <c r="C502" s="10" t="s">
        <v>536</v>
      </c>
      <c r="D502" s="10" t="s">
        <v>25</v>
      </c>
      <c r="E502" s="10" t="s">
        <v>35</v>
      </c>
      <c r="F502" s="10"/>
      <c r="G502" s="10">
        <v>3</v>
      </c>
      <c r="H502" s="10"/>
      <c r="I502" s="10" t="s">
        <v>484</v>
      </c>
      <c r="J502" s="10"/>
      <c r="K502" s="10"/>
      <c r="L502" s="10"/>
      <c r="M502" s="10">
        <f t="shared" si="8"/>
        <v>0</v>
      </c>
      <c r="N502" s="10" t="s">
        <v>28</v>
      </c>
      <c r="O502" s="10" t="s">
        <v>29</v>
      </c>
      <c r="P502" s="10" t="s">
        <v>29</v>
      </c>
      <c r="Q502" s="10"/>
      <c r="R502" s="10"/>
      <c r="S502" s="10"/>
      <c r="T502" s="10"/>
      <c r="U502" s="10"/>
      <c r="V502" s="10"/>
      <c r="W502" s="10"/>
      <c r="X502" s="10" t="s">
        <v>30</v>
      </c>
      <c r="Y502" s="11"/>
    </row>
    <row r="503" spans="1:25" s="3" customFormat="1" ht="17.7" customHeight="1" x14ac:dyDescent="0.3">
      <c r="A503" s="21">
        <v>502</v>
      </c>
      <c r="B503" s="21">
        <v>8400054</v>
      </c>
      <c r="C503" s="9" t="s">
        <v>537</v>
      </c>
      <c r="D503" s="9" t="s">
        <v>25</v>
      </c>
      <c r="E503" s="9" t="s">
        <v>35</v>
      </c>
      <c r="F503" s="9"/>
      <c r="G503" s="9">
        <v>5</v>
      </c>
      <c r="H503" s="9"/>
      <c r="I503" s="9" t="s">
        <v>484</v>
      </c>
      <c r="J503" s="9"/>
      <c r="K503" s="9"/>
      <c r="L503" s="9"/>
      <c r="M503" s="9">
        <f t="shared" si="8"/>
        <v>0</v>
      </c>
      <c r="N503" s="9" t="s">
        <v>28</v>
      </c>
      <c r="O503" s="9" t="s">
        <v>29</v>
      </c>
      <c r="P503" s="9" t="s">
        <v>29</v>
      </c>
      <c r="Q503" s="9"/>
      <c r="R503" s="9"/>
      <c r="S503" s="9"/>
      <c r="T503" s="9"/>
      <c r="U503" s="9"/>
      <c r="V503" s="9"/>
      <c r="W503" s="9"/>
      <c r="X503" s="9" t="s">
        <v>30</v>
      </c>
      <c r="Y503" s="11"/>
    </row>
    <row r="504" spans="1:25" s="3" customFormat="1" ht="17.7" customHeight="1" x14ac:dyDescent="0.3">
      <c r="A504" s="20">
        <v>503</v>
      </c>
      <c r="B504" s="20">
        <v>8400055</v>
      </c>
      <c r="C504" s="10" t="s">
        <v>538</v>
      </c>
      <c r="D504" s="10" t="s">
        <v>25</v>
      </c>
      <c r="E504" s="10" t="s">
        <v>35</v>
      </c>
      <c r="F504" s="10"/>
      <c r="G504" s="10">
        <v>5</v>
      </c>
      <c r="H504" s="10"/>
      <c r="I504" s="10" t="s">
        <v>484</v>
      </c>
      <c r="J504" s="10"/>
      <c r="K504" s="10"/>
      <c r="L504" s="10"/>
      <c r="M504" s="10">
        <f t="shared" si="8"/>
        <v>0</v>
      </c>
      <c r="N504" s="10" t="s">
        <v>28</v>
      </c>
      <c r="O504" s="10" t="s">
        <v>29</v>
      </c>
      <c r="P504" s="10" t="s">
        <v>29</v>
      </c>
      <c r="Q504" s="10"/>
      <c r="R504" s="10"/>
      <c r="S504" s="10"/>
      <c r="T504" s="10"/>
      <c r="U504" s="10"/>
      <c r="V504" s="10"/>
      <c r="W504" s="10"/>
      <c r="X504" s="10" t="s">
        <v>30</v>
      </c>
      <c r="Y504" s="11"/>
    </row>
    <row r="505" spans="1:25" s="3" customFormat="1" ht="17.7" customHeight="1" x14ac:dyDescent="0.3">
      <c r="A505" s="21">
        <v>504</v>
      </c>
      <c r="B505" s="21">
        <v>8400056</v>
      </c>
      <c r="C505" s="9" t="s">
        <v>539</v>
      </c>
      <c r="D505" s="9" t="s">
        <v>25</v>
      </c>
      <c r="E505" s="9" t="s">
        <v>35</v>
      </c>
      <c r="F505" s="9"/>
      <c r="G505" s="9">
        <v>15</v>
      </c>
      <c r="H505" s="9"/>
      <c r="I505" s="9" t="s">
        <v>484</v>
      </c>
      <c r="J505" s="9"/>
      <c r="K505" s="9"/>
      <c r="L505" s="9"/>
      <c r="M505" s="9">
        <f t="shared" si="8"/>
        <v>0</v>
      </c>
      <c r="N505" s="9" t="s">
        <v>28</v>
      </c>
      <c r="O505" s="9" t="s">
        <v>29</v>
      </c>
      <c r="P505" s="9" t="s">
        <v>29</v>
      </c>
      <c r="Q505" s="9"/>
      <c r="R505" s="9"/>
      <c r="S505" s="9"/>
      <c r="T505" s="9"/>
      <c r="U505" s="9"/>
      <c r="V505" s="9"/>
      <c r="W505" s="9"/>
      <c r="X505" s="9" t="s">
        <v>30</v>
      </c>
      <c r="Y505" s="11"/>
    </row>
    <row r="506" spans="1:25" s="3" customFormat="1" ht="17.7" customHeight="1" x14ac:dyDescent="0.3">
      <c r="A506" s="20">
        <v>505</v>
      </c>
      <c r="B506" s="20">
        <v>8400057</v>
      </c>
      <c r="C506" s="10" t="s">
        <v>540</v>
      </c>
      <c r="D506" s="10" t="s">
        <v>25</v>
      </c>
      <c r="E506" s="10" t="s">
        <v>35</v>
      </c>
      <c r="F506" s="10"/>
      <c r="G506" s="10">
        <v>20</v>
      </c>
      <c r="H506" s="10"/>
      <c r="I506" s="10" t="s">
        <v>484</v>
      </c>
      <c r="J506" s="10"/>
      <c r="K506" s="10"/>
      <c r="L506" s="10"/>
      <c r="M506" s="10">
        <f t="shared" si="8"/>
        <v>0</v>
      </c>
      <c r="N506" s="10" t="s">
        <v>28</v>
      </c>
      <c r="O506" s="10" t="s">
        <v>29</v>
      </c>
      <c r="P506" s="10" t="s">
        <v>29</v>
      </c>
      <c r="Q506" s="10"/>
      <c r="R506" s="10"/>
      <c r="S506" s="10"/>
      <c r="T506" s="10"/>
      <c r="U506" s="10"/>
      <c r="V506" s="10"/>
      <c r="W506" s="10"/>
      <c r="X506" s="10" t="s">
        <v>30</v>
      </c>
      <c r="Y506" s="11"/>
    </row>
    <row r="507" spans="1:25" s="3" customFormat="1" ht="17.7" customHeight="1" x14ac:dyDescent="0.3">
      <c r="A507" s="21">
        <v>506</v>
      </c>
      <c r="B507" s="21">
        <v>8400058</v>
      </c>
      <c r="C507" s="9" t="s">
        <v>541</v>
      </c>
      <c r="D507" s="9" t="s">
        <v>25</v>
      </c>
      <c r="E507" s="9" t="s">
        <v>35</v>
      </c>
      <c r="F507" s="9"/>
      <c r="G507" s="9">
        <v>5</v>
      </c>
      <c r="H507" s="9"/>
      <c r="I507" s="9" t="s">
        <v>484</v>
      </c>
      <c r="J507" s="9"/>
      <c r="K507" s="9"/>
      <c r="L507" s="9"/>
      <c r="M507" s="9">
        <f t="shared" si="8"/>
        <v>0</v>
      </c>
      <c r="N507" s="9" t="s">
        <v>28</v>
      </c>
      <c r="O507" s="9" t="s">
        <v>29</v>
      </c>
      <c r="P507" s="9" t="s">
        <v>29</v>
      </c>
      <c r="Q507" s="9"/>
      <c r="R507" s="9"/>
      <c r="S507" s="9"/>
      <c r="T507" s="9"/>
      <c r="U507" s="9"/>
      <c r="V507" s="9"/>
      <c r="W507" s="9"/>
      <c r="X507" s="9" t="s">
        <v>30</v>
      </c>
      <c r="Y507" s="11"/>
    </row>
    <row r="508" spans="1:25" s="3" customFormat="1" ht="17.7" customHeight="1" x14ac:dyDescent="0.3">
      <c r="A508" s="20">
        <v>507</v>
      </c>
      <c r="B508" s="20">
        <v>8400059</v>
      </c>
      <c r="C508" s="10" t="s">
        <v>542</v>
      </c>
      <c r="D508" s="10" t="s">
        <v>25</v>
      </c>
      <c r="E508" s="10" t="s">
        <v>35</v>
      </c>
      <c r="F508" s="10"/>
      <c r="G508" s="10">
        <v>5</v>
      </c>
      <c r="H508" s="10"/>
      <c r="I508" s="10" t="s">
        <v>484</v>
      </c>
      <c r="J508" s="10"/>
      <c r="K508" s="10"/>
      <c r="L508" s="10"/>
      <c r="M508" s="10">
        <f t="shared" si="8"/>
        <v>0</v>
      </c>
      <c r="N508" s="10" t="s">
        <v>28</v>
      </c>
      <c r="O508" s="10" t="s">
        <v>29</v>
      </c>
      <c r="P508" s="10" t="s">
        <v>29</v>
      </c>
      <c r="Q508" s="10"/>
      <c r="R508" s="10"/>
      <c r="S508" s="10"/>
      <c r="T508" s="10"/>
      <c r="U508" s="10"/>
      <c r="V508" s="10"/>
      <c r="W508" s="10"/>
      <c r="X508" s="10" t="s">
        <v>30</v>
      </c>
      <c r="Y508" s="11"/>
    </row>
    <row r="509" spans="1:25" s="3" customFormat="1" ht="17.7" customHeight="1" x14ac:dyDescent="0.3">
      <c r="A509" s="21">
        <v>508</v>
      </c>
      <c r="B509" s="21">
        <v>8400060</v>
      </c>
      <c r="C509" s="9" t="s">
        <v>543</v>
      </c>
      <c r="D509" s="9" t="s">
        <v>25</v>
      </c>
      <c r="E509" s="9" t="s">
        <v>35</v>
      </c>
      <c r="F509" s="9"/>
      <c r="G509" s="9">
        <v>5</v>
      </c>
      <c r="H509" s="9"/>
      <c r="I509" s="9" t="s">
        <v>484</v>
      </c>
      <c r="J509" s="9"/>
      <c r="K509" s="9"/>
      <c r="L509" s="9"/>
      <c r="M509" s="9">
        <f t="shared" si="8"/>
        <v>0</v>
      </c>
      <c r="N509" s="9" t="s">
        <v>28</v>
      </c>
      <c r="O509" s="9" t="s">
        <v>29</v>
      </c>
      <c r="P509" s="9" t="s">
        <v>29</v>
      </c>
      <c r="Q509" s="9"/>
      <c r="R509" s="9"/>
      <c r="S509" s="9"/>
      <c r="T509" s="9"/>
      <c r="U509" s="9"/>
      <c r="V509" s="9"/>
      <c r="W509" s="9"/>
      <c r="X509" s="9" t="s">
        <v>30</v>
      </c>
      <c r="Y509" s="11"/>
    </row>
    <row r="510" spans="1:25" s="3" customFormat="1" ht="17.7" customHeight="1" x14ac:dyDescent="0.3">
      <c r="A510" s="20">
        <v>509</v>
      </c>
      <c r="B510" s="20">
        <v>8400061</v>
      </c>
      <c r="C510" s="10" t="s">
        <v>544</v>
      </c>
      <c r="D510" s="10" t="s">
        <v>25</v>
      </c>
      <c r="E510" s="10" t="s">
        <v>35</v>
      </c>
      <c r="F510" s="10"/>
      <c r="G510" s="10">
        <v>20</v>
      </c>
      <c r="H510" s="10"/>
      <c r="I510" s="10" t="s">
        <v>484</v>
      </c>
      <c r="J510" s="10"/>
      <c r="K510" s="10"/>
      <c r="L510" s="10"/>
      <c r="M510" s="10">
        <f t="shared" si="8"/>
        <v>0</v>
      </c>
      <c r="N510" s="10" t="s">
        <v>28</v>
      </c>
      <c r="O510" s="10" t="s">
        <v>29</v>
      </c>
      <c r="P510" s="10" t="s">
        <v>29</v>
      </c>
      <c r="Q510" s="10"/>
      <c r="R510" s="10"/>
      <c r="S510" s="10"/>
      <c r="T510" s="10"/>
      <c r="U510" s="10"/>
      <c r="V510" s="10"/>
      <c r="W510" s="10"/>
      <c r="X510" s="10" t="s">
        <v>30</v>
      </c>
      <c r="Y510" s="11"/>
    </row>
    <row r="511" spans="1:25" s="3" customFormat="1" ht="17.7" customHeight="1" x14ac:dyDescent="0.3">
      <c r="A511" s="21">
        <v>510</v>
      </c>
      <c r="B511" s="21">
        <v>8400062</v>
      </c>
      <c r="C511" s="9" t="s">
        <v>545</v>
      </c>
      <c r="D511" s="9" t="s">
        <v>25</v>
      </c>
      <c r="E511" s="9" t="s">
        <v>35</v>
      </c>
      <c r="F511" s="9"/>
      <c r="G511" s="9">
        <v>20</v>
      </c>
      <c r="H511" s="9"/>
      <c r="I511" s="9" t="s">
        <v>484</v>
      </c>
      <c r="J511" s="9"/>
      <c r="K511" s="9"/>
      <c r="L511" s="9"/>
      <c r="M511" s="9">
        <f t="shared" si="8"/>
        <v>0</v>
      </c>
      <c r="N511" s="9" t="s">
        <v>28</v>
      </c>
      <c r="O511" s="9" t="s">
        <v>29</v>
      </c>
      <c r="P511" s="9" t="s">
        <v>29</v>
      </c>
      <c r="Q511" s="9"/>
      <c r="R511" s="9"/>
      <c r="S511" s="9"/>
      <c r="T511" s="9"/>
      <c r="U511" s="9"/>
      <c r="V511" s="9"/>
      <c r="W511" s="9"/>
      <c r="X511" s="9" t="s">
        <v>30</v>
      </c>
      <c r="Y511" s="11"/>
    </row>
    <row r="512" spans="1:25" s="3" customFormat="1" ht="17.7" customHeight="1" x14ac:dyDescent="0.3">
      <c r="A512" s="20">
        <v>511</v>
      </c>
      <c r="B512" s="20">
        <v>8400063</v>
      </c>
      <c r="C512" s="10" t="s">
        <v>546</v>
      </c>
      <c r="D512" s="10" t="s">
        <v>25</v>
      </c>
      <c r="E512" s="10" t="s">
        <v>35</v>
      </c>
      <c r="F512" s="10"/>
      <c r="G512" s="10">
        <v>20</v>
      </c>
      <c r="H512" s="10"/>
      <c r="I512" s="10" t="s">
        <v>484</v>
      </c>
      <c r="J512" s="10"/>
      <c r="K512" s="10"/>
      <c r="L512" s="10"/>
      <c r="M512" s="10">
        <f t="shared" si="8"/>
        <v>0</v>
      </c>
      <c r="N512" s="10" t="s">
        <v>28</v>
      </c>
      <c r="O512" s="10" t="s">
        <v>29</v>
      </c>
      <c r="P512" s="10" t="s">
        <v>29</v>
      </c>
      <c r="Q512" s="10"/>
      <c r="R512" s="10"/>
      <c r="S512" s="10"/>
      <c r="T512" s="10"/>
      <c r="U512" s="10"/>
      <c r="V512" s="10"/>
      <c r="W512" s="10"/>
      <c r="X512" s="10" t="s">
        <v>30</v>
      </c>
      <c r="Y512" s="11"/>
    </row>
    <row r="513" spans="1:25" s="3" customFormat="1" ht="17.7" customHeight="1" x14ac:dyDescent="0.3">
      <c r="A513" s="21">
        <v>512</v>
      </c>
      <c r="B513" s="21">
        <v>8400064</v>
      </c>
      <c r="C513" s="9" t="s">
        <v>547</v>
      </c>
      <c r="D513" s="9" t="s">
        <v>25</v>
      </c>
      <c r="E513" s="9" t="s">
        <v>35</v>
      </c>
      <c r="F513" s="9"/>
      <c r="G513" s="9">
        <v>20</v>
      </c>
      <c r="H513" s="9"/>
      <c r="I513" s="9" t="s">
        <v>484</v>
      </c>
      <c r="J513" s="9"/>
      <c r="K513" s="9"/>
      <c r="L513" s="9"/>
      <c r="M513" s="9">
        <f t="shared" si="8"/>
        <v>0</v>
      </c>
      <c r="N513" s="9" t="s">
        <v>28</v>
      </c>
      <c r="O513" s="9" t="s">
        <v>29</v>
      </c>
      <c r="P513" s="9" t="s">
        <v>29</v>
      </c>
      <c r="Q513" s="9"/>
      <c r="R513" s="9"/>
      <c r="S513" s="9"/>
      <c r="T513" s="9"/>
      <c r="U513" s="9"/>
      <c r="V513" s="9"/>
      <c r="W513" s="9"/>
      <c r="X513" s="9" t="s">
        <v>30</v>
      </c>
      <c r="Y513" s="11"/>
    </row>
    <row r="514" spans="1:25" s="3" customFormat="1" ht="17.7" customHeight="1" x14ac:dyDescent="0.3">
      <c r="A514" s="20">
        <v>513</v>
      </c>
      <c r="B514" s="20">
        <v>8400065</v>
      </c>
      <c r="C514" s="10" t="s">
        <v>548</v>
      </c>
      <c r="D514" s="10" t="s">
        <v>25</v>
      </c>
      <c r="E514" s="10" t="s">
        <v>35</v>
      </c>
      <c r="F514" s="10"/>
      <c r="G514" s="10">
        <v>20</v>
      </c>
      <c r="H514" s="10"/>
      <c r="I514" s="10" t="s">
        <v>484</v>
      </c>
      <c r="J514" s="10"/>
      <c r="K514" s="10"/>
      <c r="L514" s="10"/>
      <c r="M514" s="10">
        <f t="shared" si="8"/>
        <v>0</v>
      </c>
      <c r="N514" s="10" t="s">
        <v>28</v>
      </c>
      <c r="O514" s="10" t="s">
        <v>29</v>
      </c>
      <c r="P514" s="10" t="s">
        <v>29</v>
      </c>
      <c r="Q514" s="10"/>
      <c r="R514" s="10"/>
      <c r="S514" s="10"/>
      <c r="T514" s="10"/>
      <c r="U514" s="10"/>
      <c r="V514" s="10"/>
      <c r="W514" s="10"/>
      <c r="X514" s="10" t="s">
        <v>30</v>
      </c>
      <c r="Y514" s="11"/>
    </row>
    <row r="515" spans="1:25" s="3" customFormat="1" ht="17.7" customHeight="1" x14ac:dyDescent="0.3">
      <c r="A515" s="21">
        <v>514</v>
      </c>
      <c r="B515" s="21">
        <v>8400066</v>
      </c>
      <c r="C515" s="9" t="s">
        <v>549</v>
      </c>
      <c r="D515" s="9" t="s">
        <v>25</v>
      </c>
      <c r="E515" s="9" t="s">
        <v>35</v>
      </c>
      <c r="F515" s="9"/>
      <c r="G515" s="9">
        <v>20</v>
      </c>
      <c r="H515" s="9"/>
      <c r="I515" s="9" t="s">
        <v>484</v>
      </c>
      <c r="J515" s="9"/>
      <c r="K515" s="9"/>
      <c r="L515" s="9"/>
      <c r="M515" s="9">
        <f t="shared" si="8"/>
        <v>0</v>
      </c>
      <c r="N515" s="9" t="s">
        <v>28</v>
      </c>
      <c r="O515" s="9" t="s">
        <v>29</v>
      </c>
      <c r="P515" s="9" t="s">
        <v>29</v>
      </c>
      <c r="Q515" s="9"/>
      <c r="R515" s="9"/>
      <c r="S515" s="9"/>
      <c r="T515" s="9"/>
      <c r="U515" s="9"/>
      <c r="V515" s="9"/>
      <c r="W515" s="9"/>
      <c r="X515" s="9" t="s">
        <v>30</v>
      </c>
      <c r="Y515" s="11"/>
    </row>
    <row r="516" spans="1:25" s="3" customFormat="1" ht="17.7" customHeight="1" x14ac:dyDescent="0.3">
      <c r="A516" s="20">
        <v>515</v>
      </c>
      <c r="B516" s="20">
        <v>8400067</v>
      </c>
      <c r="C516" s="10" t="s">
        <v>550</v>
      </c>
      <c r="D516" s="10" t="s">
        <v>25</v>
      </c>
      <c r="E516" s="10" t="s">
        <v>35</v>
      </c>
      <c r="F516" s="10"/>
      <c r="G516" s="10">
        <v>5</v>
      </c>
      <c r="H516" s="10"/>
      <c r="I516" s="10" t="s">
        <v>484</v>
      </c>
      <c r="J516" s="10"/>
      <c r="K516" s="10"/>
      <c r="L516" s="10"/>
      <c r="M516" s="10">
        <f t="shared" si="8"/>
        <v>0</v>
      </c>
      <c r="N516" s="10" t="s">
        <v>28</v>
      </c>
      <c r="O516" s="10" t="s">
        <v>29</v>
      </c>
      <c r="P516" s="10" t="s">
        <v>29</v>
      </c>
      <c r="Q516" s="10"/>
      <c r="R516" s="10"/>
      <c r="S516" s="10"/>
      <c r="T516" s="10"/>
      <c r="U516" s="10"/>
      <c r="V516" s="10"/>
      <c r="W516" s="10"/>
      <c r="X516" s="10" t="s">
        <v>30</v>
      </c>
      <c r="Y516" s="11"/>
    </row>
    <row r="517" spans="1:25" s="3" customFormat="1" ht="17.7" customHeight="1" x14ac:dyDescent="0.3">
      <c r="A517" s="21">
        <v>516</v>
      </c>
      <c r="B517" s="21">
        <v>8400068</v>
      </c>
      <c r="C517" s="9" t="s">
        <v>551</v>
      </c>
      <c r="D517" s="9" t="s">
        <v>25</v>
      </c>
      <c r="E517" s="9" t="s">
        <v>35</v>
      </c>
      <c r="F517" s="9"/>
      <c r="G517" s="9">
        <v>5</v>
      </c>
      <c r="H517" s="9"/>
      <c r="I517" s="9" t="s">
        <v>484</v>
      </c>
      <c r="J517" s="9"/>
      <c r="K517" s="9"/>
      <c r="L517" s="9"/>
      <c r="M517" s="9">
        <f t="shared" si="8"/>
        <v>0</v>
      </c>
      <c r="N517" s="9" t="s">
        <v>28</v>
      </c>
      <c r="O517" s="9" t="s">
        <v>29</v>
      </c>
      <c r="P517" s="9" t="s">
        <v>29</v>
      </c>
      <c r="Q517" s="9"/>
      <c r="R517" s="9"/>
      <c r="S517" s="9"/>
      <c r="T517" s="9"/>
      <c r="U517" s="9"/>
      <c r="V517" s="9"/>
      <c r="W517" s="9"/>
      <c r="X517" s="9" t="s">
        <v>30</v>
      </c>
      <c r="Y517" s="11"/>
    </row>
    <row r="518" spans="1:25" s="3" customFormat="1" ht="17.7" customHeight="1" x14ac:dyDescent="0.3">
      <c r="A518" s="20">
        <v>517</v>
      </c>
      <c r="B518" s="20">
        <v>8400069</v>
      </c>
      <c r="C518" s="10" t="s">
        <v>552</v>
      </c>
      <c r="D518" s="10" t="s">
        <v>25</v>
      </c>
      <c r="E518" s="10" t="s">
        <v>35</v>
      </c>
      <c r="F518" s="10"/>
      <c r="G518" s="10">
        <v>5</v>
      </c>
      <c r="H518" s="10"/>
      <c r="I518" s="10" t="s">
        <v>484</v>
      </c>
      <c r="J518" s="10"/>
      <c r="K518" s="10"/>
      <c r="L518" s="10"/>
      <c r="M518" s="10">
        <f t="shared" si="8"/>
        <v>0</v>
      </c>
      <c r="N518" s="10" t="s">
        <v>28</v>
      </c>
      <c r="O518" s="10" t="s">
        <v>29</v>
      </c>
      <c r="P518" s="10" t="s">
        <v>29</v>
      </c>
      <c r="Q518" s="10"/>
      <c r="R518" s="10"/>
      <c r="S518" s="10"/>
      <c r="T518" s="10"/>
      <c r="U518" s="10"/>
      <c r="V518" s="10"/>
      <c r="W518" s="10"/>
      <c r="X518" s="10" t="s">
        <v>30</v>
      </c>
      <c r="Y518" s="11"/>
    </row>
    <row r="519" spans="1:25" s="3" customFormat="1" ht="17.7" customHeight="1" x14ac:dyDescent="0.3">
      <c r="A519" s="21">
        <v>518</v>
      </c>
      <c r="B519" s="21">
        <v>8400070</v>
      </c>
      <c r="C519" s="9" t="s">
        <v>553</v>
      </c>
      <c r="D519" s="9" t="s">
        <v>25</v>
      </c>
      <c r="E519" s="9" t="s">
        <v>35</v>
      </c>
      <c r="F519" s="9"/>
      <c r="G519" s="9">
        <v>5</v>
      </c>
      <c r="H519" s="9"/>
      <c r="I519" s="9" t="s">
        <v>484</v>
      </c>
      <c r="J519" s="9"/>
      <c r="K519" s="9"/>
      <c r="L519" s="9"/>
      <c r="M519" s="9">
        <f t="shared" si="8"/>
        <v>0</v>
      </c>
      <c r="N519" s="9" t="s">
        <v>28</v>
      </c>
      <c r="O519" s="9" t="s">
        <v>29</v>
      </c>
      <c r="P519" s="9" t="s">
        <v>29</v>
      </c>
      <c r="Q519" s="9"/>
      <c r="R519" s="9"/>
      <c r="S519" s="9"/>
      <c r="T519" s="9"/>
      <c r="U519" s="9"/>
      <c r="V519" s="9"/>
      <c r="W519" s="9"/>
      <c r="X519" s="9" t="s">
        <v>30</v>
      </c>
      <c r="Y519" s="11"/>
    </row>
    <row r="520" spans="1:25" s="3" customFormat="1" ht="17.7" customHeight="1" x14ac:dyDescent="0.3">
      <c r="A520" s="20">
        <v>519</v>
      </c>
      <c r="B520" s="20">
        <v>8400071</v>
      </c>
      <c r="C520" s="10" t="s">
        <v>554</v>
      </c>
      <c r="D520" s="10" t="s">
        <v>25</v>
      </c>
      <c r="E520" s="10" t="s">
        <v>35</v>
      </c>
      <c r="F520" s="10"/>
      <c r="G520" s="10">
        <v>10</v>
      </c>
      <c r="H520" s="10"/>
      <c r="I520" s="10" t="s">
        <v>484</v>
      </c>
      <c r="J520" s="10"/>
      <c r="K520" s="10"/>
      <c r="L520" s="10"/>
      <c r="M520" s="10">
        <f t="shared" si="8"/>
        <v>0</v>
      </c>
      <c r="N520" s="10" t="s">
        <v>28</v>
      </c>
      <c r="O520" s="10" t="s">
        <v>29</v>
      </c>
      <c r="P520" s="10" t="s">
        <v>29</v>
      </c>
      <c r="Q520" s="10"/>
      <c r="R520" s="10"/>
      <c r="S520" s="10"/>
      <c r="T520" s="10"/>
      <c r="U520" s="10"/>
      <c r="V520" s="10"/>
      <c r="W520" s="10"/>
      <c r="X520" s="10" t="s">
        <v>30</v>
      </c>
      <c r="Y520" s="11"/>
    </row>
    <row r="521" spans="1:25" s="3" customFormat="1" ht="17.7" customHeight="1" x14ac:dyDescent="0.3">
      <c r="A521" s="21">
        <v>520</v>
      </c>
      <c r="B521" s="21">
        <v>8400072</v>
      </c>
      <c r="C521" s="9" t="s">
        <v>555</v>
      </c>
      <c r="D521" s="9" t="s">
        <v>25</v>
      </c>
      <c r="E521" s="9" t="s">
        <v>35</v>
      </c>
      <c r="F521" s="9"/>
      <c r="G521" s="9">
        <v>5</v>
      </c>
      <c r="H521" s="9"/>
      <c r="I521" s="9" t="s">
        <v>484</v>
      </c>
      <c r="J521" s="9"/>
      <c r="K521" s="9"/>
      <c r="L521" s="9"/>
      <c r="M521" s="9">
        <f t="shared" si="8"/>
        <v>0</v>
      </c>
      <c r="N521" s="9" t="s">
        <v>28</v>
      </c>
      <c r="O521" s="9" t="s">
        <v>29</v>
      </c>
      <c r="P521" s="9" t="s">
        <v>29</v>
      </c>
      <c r="Q521" s="9"/>
      <c r="R521" s="9"/>
      <c r="S521" s="9"/>
      <c r="T521" s="9"/>
      <c r="U521" s="9"/>
      <c r="V521" s="9"/>
      <c r="W521" s="9"/>
      <c r="X521" s="9" t="s">
        <v>30</v>
      </c>
      <c r="Y521" s="11"/>
    </row>
    <row r="522" spans="1:25" s="3" customFormat="1" ht="17.7" customHeight="1" x14ac:dyDescent="0.3">
      <c r="A522" s="20">
        <v>521</v>
      </c>
      <c r="B522" s="20">
        <v>8400073</v>
      </c>
      <c r="C522" s="10" t="s">
        <v>556</v>
      </c>
      <c r="D522" s="10" t="s">
        <v>25</v>
      </c>
      <c r="E522" s="10" t="s">
        <v>35</v>
      </c>
      <c r="F522" s="10"/>
      <c r="G522" s="10">
        <v>5</v>
      </c>
      <c r="H522" s="10"/>
      <c r="I522" s="10" t="s">
        <v>484</v>
      </c>
      <c r="J522" s="10"/>
      <c r="K522" s="10"/>
      <c r="L522" s="10"/>
      <c r="M522" s="10">
        <f t="shared" si="8"/>
        <v>0</v>
      </c>
      <c r="N522" s="10" t="s">
        <v>28</v>
      </c>
      <c r="O522" s="10" t="s">
        <v>29</v>
      </c>
      <c r="P522" s="10" t="s">
        <v>29</v>
      </c>
      <c r="Q522" s="10"/>
      <c r="R522" s="10"/>
      <c r="S522" s="10"/>
      <c r="T522" s="10"/>
      <c r="U522" s="10"/>
      <c r="V522" s="10"/>
      <c r="W522" s="10"/>
      <c r="X522" s="10" t="s">
        <v>30</v>
      </c>
      <c r="Y522" s="11"/>
    </row>
    <row r="523" spans="1:25" s="3" customFormat="1" ht="17.7" customHeight="1" x14ac:dyDescent="0.3">
      <c r="A523" s="21">
        <v>522</v>
      </c>
      <c r="B523" s="21">
        <v>8400074</v>
      </c>
      <c r="C523" s="9" t="s">
        <v>557</v>
      </c>
      <c r="D523" s="9" t="s">
        <v>25</v>
      </c>
      <c r="E523" s="9" t="s">
        <v>35</v>
      </c>
      <c r="F523" s="9"/>
      <c r="G523" s="9">
        <v>5</v>
      </c>
      <c r="H523" s="9"/>
      <c r="I523" s="9" t="s">
        <v>484</v>
      </c>
      <c r="J523" s="9"/>
      <c r="K523" s="9"/>
      <c r="L523" s="9"/>
      <c r="M523" s="9">
        <f t="shared" si="8"/>
        <v>0</v>
      </c>
      <c r="N523" s="9" t="s">
        <v>28</v>
      </c>
      <c r="O523" s="9" t="s">
        <v>29</v>
      </c>
      <c r="P523" s="9" t="s">
        <v>29</v>
      </c>
      <c r="Q523" s="9"/>
      <c r="R523" s="9"/>
      <c r="S523" s="9"/>
      <c r="T523" s="9"/>
      <c r="U523" s="9"/>
      <c r="V523" s="9"/>
      <c r="W523" s="9"/>
      <c r="X523" s="9" t="s">
        <v>30</v>
      </c>
      <c r="Y523" s="11"/>
    </row>
    <row r="524" spans="1:25" s="3" customFormat="1" ht="17.7" customHeight="1" x14ac:dyDescent="0.3">
      <c r="A524" s="20">
        <v>523</v>
      </c>
      <c r="B524" s="20">
        <v>8400075</v>
      </c>
      <c r="C524" s="10" t="s">
        <v>558</v>
      </c>
      <c r="D524" s="10" t="s">
        <v>25</v>
      </c>
      <c r="E524" s="10" t="s">
        <v>35</v>
      </c>
      <c r="F524" s="10"/>
      <c r="G524" s="10">
        <v>5</v>
      </c>
      <c r="H524" s="10"/>
      <c r="I524" s="10" t="s">
        <v>484</v>
      </c>
      <c r="J524" s="10"/>
      <c r="K524" s="10"/>
      <c r="L524" s="10"/>
      <c r="M524" s="10">
        <f t="shared" si="8"/>
        <v>0</v>
      </c>
      <c r="N524" s="10" t="s">
        <v>28</v>
      </c>
      <c r="O524" s="10" t="s">
        <v>29</v>
      </c>
      <c r="P524" s="10" t="s">
        <v>29</v>
      </c>
      <c r="Q524" s="10"/>
      <c r="R524" s="10"/>
      <c r="S524" s="10"/>
      <c r="T524" s="10"/>
      <c r="U524" s="10"/>
      <c r="V524" s="10"/>
      <c r="W524" s="10"/>
      <c r="X524" s="10" t="s">
        <v>30</v>
      </c>
      <c r="Y524" s="11"/>
    </row>
    <row r="525" spans="1:25" s="3" customFormat="1" ht="17.7" customHeight="1" x14ac:dyDescent="0.3">
      <c r="A525" s="21">
        <v>524</v>
      </c>
      <c r="B525" s="21">
        <v>8400076</v>
      </c>
      <c r="C525" s="9" t="s">
        <v>559</v>
      </c>
      <c r="D525" s="9" t="s">
        <v>25</v>
      </c>
      <c r="E525" s="9" t="s">
        <v>35</v>
      </c>
      <c r="F525" s="9"/>
      <c r="G525" s="9">
        <v>5</v>
      </c>
      <c r="H525" s="9"/>
      <c r="I525" s="9" t="s">
        <v>484</v>
      </c>
      <c r="J525" s="9"/>
      <c r="K525" s="9"/>
      <c r="L525" s="9"/>
      <c r="M525" s="9">
        <f t="shared" si="8"/>
        <v>0</v>
      </c>
      <c r="N525" s="9" t="s">
        <v>28</v>
      </c>
      <c r="O525" s="9" t="s">
        <v>29</v>
      </c>
      <c r="P525" s="9" t="s">
        <v>29</v>
      </c>
      <c r="Q525" s="9"/>
      <c r="R525" s="9"/>
      <c r="S525" s="9"/>
      <c r="T525" s="9"/>
      <c r="U525" s="9"/>
      <c r="V525" s="9"/>
      <c r="W525" s="9"/>
      <c r="X525" s="9" t="s">
        <v>30</v>
      </c>
      <c r="Y525" s="11"/>
    </row>
    <row r="526" spans="1:25" s="3" customFormat="1" ht="17.7" customHeight="1" x14ac:dyDescent="0.3">
      <c r="A526" s="20">
        <v>525</v>
      </c>
      <c r="B526" s="20">
        <v>8400077</v>
      </c>
      <c r="C526" s="10" t="s">
        <v>560</v>
      </c>
      <c r="D526" s="10" t="s">
        <v>25</v>
      </c>
      <c r="E526" s="10" t="s">
        <v>35</v>
      </c>
      <c r="F526" s="10"/>
      <c r="G526" s="10">
        <v>5</v>
      </c>
      <c r="H526" s="10"/>
      <c r="I526" s="10" t="s">
        <v>484</v>
      </c>
      <c r="J526" s="10"/>
      <c r="K526" s="10"/>
      <c r="L526" s="10"/>
      <c r="M526" s="10">
        <f t="shared" si="8"/>
        <v>0</v>
      </c>
      <c r="N526" s="10" t="s">
        <v>28</v>
      </c>
      <c r="O526" s="10" t="s">
        <v>29</v>
      </c>
      <c r="P526" s="10" t="s">
        <v>29</v>
      </c>
      <c r="Q526" s="10"/>
      <c r="R526" s="10"/>
      <c r="S526" s="10"/>
      <c r="T526" s="10"/>
      <c r="U526" s="10"/>
      <c r="V526" s="10"/>
      <c r="W526" s="10"/>
      <c r="X526" s="10" t="s">
        <v>30</v>
      </c>
      <c r="Y526" s="11"/>
    </row>
    <row r="527" spans="1:25" s="3" customFormat="1" ht="17.7" customHeight="1" x14ac:dyDescent="0.3">
      <c r="A527" s="21">
        <v>526</v>
      </c>
      <c r="B527" s="21">
        <v>8400078</v>
      </c>
      <c r="C527" s="9" t="s">
        <v>561</v>
      </c>
      <c r="D527" s="9" t="s">
        <v>25</v>
      </c>
      <c r="E527" s="9" t="s">
        <v>35</v>
      </c>
      <c r="F527" s="9"/>
      <c r="G527" s="9">
        <v>3</v>
      </c>
      <c r="H527" s="9"/>
      <c r="I527" s="9" t="s">
        <v>484</v>
      </c>
      <c r="J527" s="9"/>
      <c r="K527" s="9"/>
      <c r="L527" s="9"/>
      <c r="M527" s="9">
        <f t="shared" si="8"/>
        <v>0</v>
      </c>
      <c r="N527" s="9" t="s">
        <v>28</v>
      </c>
      <c r="O527" s="9" t="s">
        <v>29</v>
      </c>
      <c r="P527" s="9" t="s">
        <v>29</v>
      </c>
      <c r="Q527" s="9"/>
      <c r="R527" s="9"/>
      <c r="S527" s="9"/>
      <c r="T527" s="9"/>
      <c r="U527" s="9"/>
      <c r="V527" s="9"/>
      <c r="W527" s="9"/>
      <c r="X527" s="9" t="s">
        <v>30</v>
      </c>
      <c r="Y527" s="11"/>
    </row>
    <row r="528" spans="1:25" s="3" customFormat="1" ht="17.7" customHeight="1" x14ac:dyDescent="0.3">
      <c r="A528" s="20">
        <v>527</v>
      </c>
      <c r="B528" s="20">
        <v>8400079</v>
      </c>
      <c r="C528" s="10" t="s">
        <v>562</v>
      </c>
      <c r="D528" s="10" t="s">
        <v>25</v>
      </c>
      <c r="E528" s="10" t="s">
        <v>35</v>
      </c>
      <c r="F528" s="10"/>
      <c r="G528" s="10">
        <v>3</v>
      </c>
      <c r="H528" s="10"/>
      <c r="I528" s="10" t="s">
        <v>484</v>
      </c>
      <c r="J528" s="10"/>
      <c r="K528" s="10"/>
      <c r="L528" s="10"/>
      <c r="M528" s="10">
        <f t="shared" si="8"/>
        <v>0</v>
      </c>
      <c r="N528" s="10" t="s">
        <v>28</v>
      </c>
      <c r="O528" s="10" t="s">
        <v>29</v>
      </c>
      <c r="P528" s="10" t="s">
        <v>29</v>
      </c>
      <c r="Q528" s="10"/>
      <c r="R528" s="10"/>
      <c r="S528" s="10"/>
      <c r="T528" s="10"/>
      <c r="U528" s="10"/>
      <c r="V528" s="10"/>
      <c r="W528" s="10"/>
      <c r="X528" s="10" t="s">
        <v>30</v>
      </c>
      <c r="Y528" s="11"/>
    </row>
    <row r="529" spans="1:25" s="3" customFormat="1" ht="17.7" customHeight="1" x14ac:dyDescent="0.3">
      <c r="A529" s="21">
        <v>528</v>
      </c>
      <c r="B529" s="21">
        <v>8400080</v>
      </c>
      <c r="C529" s="9" t="s">
        <v>563</v>
      </c>
      <c r="D529" s="9" t="s">
        <v>25</v>
      </c>
      <c r="E529" s="9" t="s">
        <v>35</v>
      </c>
      <c r="F529" s="9"/>
      <c r="G529" s="9">
        <v>3</v>
      </c>
      <c r="H529" s="9"/>
      <c r="I529" s="9" t="s">
        <v>484</v>
      </c>
      <c r="J529" s="9"/>
      <c r="K529" s="9"/>
      <c r="L529" s="9"/>
      <c r="M529" s="9">
        <f t="shared" si="8"/>
        <v>0</v>
      </c>
      <c r="N529" s="9" t="s">
        <v>28</v>
      </c>
      <c r="O529" s="9" t="s">
        <v>29</v>
      </c>
      <c r="P529" s="9" t="s">
        <v>29</v>
      </c>
      <c r="Q529" s="9"/>
      <c r="R529" s="9"/>
      <c r="S529" s="9"/>
      <c r="T529" s="9"/>
      <c r="U529" s="9"/>
      <c r="V529" s="9"/>
      <c r="W529" s="9"/>
      <c r="X529" s="9" t="s">
        <v>30</v>
      </c>
      <c r="Y529" s="11"/>
    </row>
    <row r="530" spans="1:25" s="3" customFormat="1" ht="17.7" customHeight="1" x14ac:dyDescent="0.3">
      <c r="A530" s="20">
        <v>529</v>
      </c>
      <c r="B530" s="20">
        <v>8400081</v>
      </c>
      <c r="C530" s="10" t="s">
        <v>564</v>
      </c>
      <c r="D530" s="10" t="s">
        <v>25</v>
      </c>
      <c r="E530" s="10" t="s">
        <v>35</v>
      </c>
      <c r="F530" s="10"/>
      <c r="G530" s="10">
        <v>3</v>
      </c>
      <c r="H530" s="10"/>
      <c r="I530" s="10" t="s">
        <v>484</v>
      </c>
      <c r="J530" s="10"/>
      <c r="K530" s="10"/>
      <c r="L530" s="10"/>
      <c r="M530" s="10">
        <f t="shared" si="8"/>
        <v>0</v>
      </c>
      <c r="N530" s="10" t="s">
        <v>28</v>
      </c>
      <c r="O530" s="10" t="s">
        <v>29</v>
      </c>
      <c r="P530" s="10" t="s">
        <v>29</v>
      </c>
      <c r="Q530" s="10"/>
      <c r="R530" s="10"/>
      <c r="S530" s="10"/>
      <c r="T530" s="10"/>
      <c r="U530" s="10"/>
      <c r="V530" s="10"/>
      <c r="W530" s="10"/>
      <c r="X530" s="10" t="s">
        <v>30</v>
      </c>
      <c r="Y530" s="11"/>
    </row>
    <row r="531" spans="1:25" s="3" customFormat="1" ht="17.7" customHeight="1" x14ac:dyDescent="0.3">
      <c r="A531" s="21">
        <v>530</v>
      </c>
      <c r="B531" s="21">
        <v>8400082</v>
      </c>
      <c r="C531" s="9" t="s">
        <v>565</v>
      </c>
      <c r="D531" s="9" t="s">
        <v>25</v>
      </c>
      <c r="E531" s="9" t="s">
        <v>35</v>
      </c>
      <c r="F531" s="9"/>
      <c r="G531" s="9">
        <v>3</v>
      </c>
      <c r="H531" s="9"/>
      <c r="I531" s="9" t="s">
        <v>484</v>
      </c>
      <c r="J531" s="9"/>
      <c r="K531" s="9"/>
      <c r="L531" s="9"/>
      <c r="M531" s="9">
        <f t="shared" si="8"/>
        <v>0</v>
      </c>
      <c r="N531" s="9" t="s">
        <v>28</v>
      </c>
      <c r="O531" s="9" t="s">
        <v>29</v>
      </c>
      <c r="P531" s="9" t="s">
        <v>29</v>
      </c>
      <c r="Q531" s="9"/>
      <c r="R531" s="9"/>
      <c r="S531" s="9"/>
      <c r="T531" s="9"/>
      <c r="U531" s="9"/>
      <c r="V531" s="9"/>
      <c r="W531" s="9"/>
      <c r="X531" s="9" t="s">
        <v>30</v>
      </c>
      <c r="Y531" s="11"/>
    </row>
    <row r="532" spans="1:25" s="3" customFormat="1" ht="17.7" customHeight="1" x14ac:dyDescent="0.3">
      <c r="A532" s="20">
        <v>531</v>
      </c>
      <c r="B532" s="20">
        <v>8400083</v>
      </c>
      <c r="C532" s="10" t="s">
        <v>566</v>
      </c>
      <c r="D532" s="10" t="s">
        <v>25</v>
      </c>
      <c r="E532" s="10" t="s">
        <v>35</v>
      </c>
      <c r="F532" s="10"/>
      <c r="G532" s="10">
        <v>3</v>
      </c>
      <c r="H532" s="10"/>
      <c r="I532" s="10" t="s">
        <v>484</v>
      </c>
      <c r="J532" s="10"/>
      <c r="K532" s="10"/>
      <c r="L532" s="10"/>
      <c r="M532" s="10">
        <f t="shared" si="8"/>
        <v>0</v>
      </c>
      <c r="N532" s="10" t="s">
        <v>28</v>
      </c>
      <c r="O532" s="10" t="s">
        <v>29</v>
      </c>
      <c r="P532" s="10" t="s">
        <v>29</v>
      </c>
      <c r="Q532" s="10"/>
      <c r="R532" s="10"/>
      <c r="S532" s="10"/>
      <c r="T532" s="10"/>
      <c r="U532" s="10"/>
      <c r="V532" s="10"/>
      <c r="W532" s="10"/>
      <c r="X532" s="10" t="s">
        <v>30</v>
      </c>
      <c r="Y532" s="11"/>
    </row>
    <row r="533" spans="1:25" s="3" customFormat="1" ht="17.7" customHeight="1" x14ac:dyDescent="0.3">
      <c r="A533" s="21">
        <v>532</v>
      </c>
      <c r="B533" s="21">
        <v>8400084</v>
      </c>
      <c r="C533" s="9" t="s">
        <v>567</v>
      </c>
      <c r="D533" s="9" t="s">
        <v>25</v>
      </c>
      <c r="E533" s="9" t="s">
        <v>35</v>
      </c>
      <c r="F533" s="9"/>
      <c r="G533" s="9">
        <v>3</v>
      </c>
      <c r="H533" s="9"/>
      <c r="I533" s="9" t="s">
        <v>484</v>
      </c>
      <c r="J533" s="9"/>
      <c r="K533" s="9"/>
      <c r="L533" s="9"/>
      <c r="M533" s="9">
        <f t="shared" si="8"/>
        <v>0</v>
      </c>
      <c r="N533" s="9" t="s">
        <v>28</v>
      </c>
      <c r="O533" s="9" t="s">
        <v>29</v>
      </c>
      <c r="P533" s="9" t="s">
        <v>29</v>
      </c>
      <c r="Q533" s="9"/>
      <c r="R533" s="9"/>
      <c r="S533" s="9"/>
      <c r="T533" s="9"/>
      <c r="U533" s="9"/>
      <c r="V533" s="9"/>
      <c r="W533" s="9"/>
      <c r="X533" s="9" t="s">
        <v>30</v>
      </c>
      <c r="Y533" s="11"/>
    </row>
    <row r="534" spans="1:25" s="3" customFormat="1" ht="17.7" customHeight="1" x14ac:dyDescent="0.3">
      <c r="A534" s="20">
        <v>533</v>
      </c>
      <c r="B534" s="20">
        <v>8400085</v>
      </c>
      <c r="C534" s="10" t="s">
        <v>568</v>
      </c>
      <c r="D534" s="10" t="s">
        <v>25</v>
      </c>
      <c r="E534" s="10" t="s">
        <v>35</v>
      </c>
      <c r="F534" s="10"/>
      <c r="G534" s="10">
        <v>3</v>
      </c>
      <c r="H534" s="10"/>
      <c r="I534" s="10" t="s">
        <v>484</v>
      </c>
      <c r="J534" s="10"/>
      <c r="K534" s="10"/>
      <c r="L534" s="10"/>
      <c r="M534" s="10">
        <f t="shared" si="8"/>
        <v>0</v>
      </c>
      <c r="N534" s="10" t="s">
        <v>28</v>
      </c>
      <c r="O534" s="10" t="s">
        <v>29</v>
      </c>
      <c r="P534" s="10" t="s">
        <v>29</v>
      </c>
      <c r="Q534" s="10"/>
      <c r="R534" s="10"/>
      <c r="S534" s="10"/>
      <c r="T534" s="10"/>
      <c r="U534" s="10"/>
      <c r="V534" s="10"/>
      <c r="W534" s="10"/>
      <c r="X534" s="10" t="s">
        <v>30</v>
      </c>
      <c r="Y534" s="11"/>
    </row>
    <row r="535" spans="1:25" s="3" customFormat="1" ht="17.7" customHeight="1" x14ac:dyDescent="0.3">
      <c r="A535" s="21">
        <v>534</v>
      </c>
      <c r="B535" s="21">
        <v>8400086</v>
      </c>
      <c r="C535" s="9" t="s">
        <v>569</v>
      </c>
      <c r="D535" s="9" t="s">
        <v>25</v>
      </c>
      <c r="E535" s="9" t="s">
        <v>35</v>
      </c>
      <c r="F535" s="9"/>
      <c r="G535" s="9">
        <v>3</v>
      </c>
      <c r="H535" s="9"/>
      <c r="I535" s="9" t="s">
        <v>484</v>
      </c>
      <c r="J535" s="9"/>
      <c r="K535" s="9"/>
      <c r="L535" s="9"/>
      <c r="M535" s="9">
        <f t="shared" ref="M535:M598" si="9">F535-F535*11%</f>
        <v>0</v>
      </c>
      <c r="N535" s="9" t="s">
        <v>28</v>
      </c>
      <c r="O535" s="9" t="s">
        <v>29</v>
      </c>
      <c r="P535" s="9" t="s">
        <v>29</v>
      </c>
      <c r="Q535" s="9"/>
      <c r="R535" s="9"/>
      <c r="S535" s="9"/>
      <c r="T535" s="9"/>
      <c r="U535" s="9"/>
      <c r="V535" s="9"/>
      <c r="W535" s="9"/>
      <c r="X535" s="9" t="s">
        <v>30</v>
      </c>
      <c r="Y535" s="11"/>
    </row>
    <row r="536" spans="1:25" s="3" customFormat="1" ht="17.7" customHeight="1" x14ac:dyDescent="0.3">
      <c r="A536" s="20">
        <v>535</v>
      </c>
      <c r="B536" s="20">
        <v>8400087</v>
      </c>
      <c r="C536" s="10" t="s">
        <v>570</v>
      </c>
      <c r="D536" s="10" t="s">
        <v>25</v>
      </c>
      <c r="E536" s="10" t="s">
        <v>35</v>
      </c>
      <c r="F536" s="10"/>
      <c r="G536" s="10">
        <v>5</v>
      </c>
      <c r="H536" s="10"/>
      <c r="I536" s="10" t="s">
        <v>484</v>
      </c>
      <c r="J536" s="10"/>
      <c r="K536" s="10"/>
      <c r="L536" s="10"/>
      <c r="M536" s="10">
        <f t="shared" si="9"/>
        <v>0</v>
      </c>
      <c r="N536" s="10" t="s">
        <v>28</v>
      </c>
      <c r="O536" s="10" t="s">
        <v>29</v>
      </c>
      <c r="P536" s="10" t="s">
        <v>29</v>
      </c>
      <c r="Q536" s="10"/>
      <c r="R536" s="10"/>
      <c r="S536" s="10"/>
      <c r="T536" s="10"/>
      <c r="U536" s="10"/>
      <c r="V536" s="10"/>
      <c r="W536" s="10"/>
      <c r="X536" s="10" t="s">
        <v>30</v>
      </c>
      <c r="Y536" s="11"/>
    </row>
    <row r="537" spans="1:25" s="3" customFormat="1" ht="17.7" customHeight="1" x14ac:dyDescent="0.3">
      <c r="A537" s="21">
        <v>536</v>
      </c>
      <c r="B537" s="21">
        <v>8400088</v>
      </c>
      <c r="C537" s="9" t="s">
        <v>571</v>
      </c>
      <c r="D537" s="9" t="s">
        <v>25</v>
      </c>
      <c r="E537" s="9" t="s">
        <v>35</v>
      </c>
      <c r="F537" s="9"/>
      <c r="G537" s="9">
        <v>5</v>
      </c>
      <c r="H537" s="9"/>
      <c r="I537" s="9" t="s">
        <v>484</v>
      </c>
      <c r="J537" s="9"/>
      <c r="K537" s="9"/>
      <c r="L537" s="9"/>
      <c r="M537" s="9">
        <f t="shared" si="9"/>
        <v>0</v>
      </c>
      <c r="N537" s="9" t="s">
        <v>28</v>
      </c>
      <c r="O537" s="9" t="s">
        <v>29</v>
      </c>
      <c r="P537" s="9" t="s">
        <v>29</v>
      </c>
      <c r="Q537" s="9"/>
      <c r="R537" s="9"/>
      <c r="S537" s="9"/>
      <c r="T537" s="9"/>
      <c r="U537" s="9"/>
      <c r="V537" s="9"/>
      <c r="W537" s="9"/>
      <c r="X537" s="9" t="s">
        <v>30</v>
      </c>
      <c r="Y537" s="11"/>
    </row>
    <row r="538" spans="1:25" s="3" customFormat="1" ht="17.7" customHeight="1" x14ac:dyDescent="0.3">
      <c r="A538" s="20">
        <v>537</v>
      </c>
      <c r="B538" s="20">
        <v>8400089</v>
      </c>
      <c r="C538" s="10" t="s">
        <v>572</v>
      </c>
      <c r="D538" s="10" t="s">
        <v>25</v>
      </c>
      <c r="E538" s="10" t="s">
        <v>35</v>
      </c>
      <c r="F538" s="10"/>
      <c r="G538" s="10">
        <v>5</v>
      </c>
      <c r="H538" s="10"/>
      <c r="I538" s="10" t="s">
        <v>484</v>
      </c>
      <c r="J538" s="10"/>
      <c r="K538" s="10"/>
      <c r="L538" s="10"/>
      <c r="M538" s="10">
        <f t="shared" si="9"/>
        <v>0</v>
      </c>
      <c r="N538" s="10" t="s">
        <v>28</v>
      </c>
      <c r="O538" s="10" t="s">
        <v>29</v>
      </c>
      <c r="P538" s="10" t="s">
        <v>29</v>
      </c>
      <c r="Q538" s="10"/>
      <c r="R538" s="10"/>
      <c r="S538" s="10"/>
      <c r="T538" s="10"/>
      <c r="U538" s="10"/>
      <c r="V538" s="10"/>
      <c r="W538" s="10"/>
      <c r="X538" s="10" t="s">
        <v>30</v>
      </c>
      <c r="Y538" s="11"/>
    </row>
    <row r="539" spans="1:25" s="3" customFormat="1" ht="17.7" customHeight="1" x14ac:dyDescent="0.3">
      <c r="A539" s="21">
        <v>538</v>
      </c>
      <c r="B539" s="21">
        <v>8400090</v>
      </c>
      <c r="C539" s="9" t="s">
        <v>573</v>
      </c>
      <c r="D539" s="9" t="s">
        <v>25</v>
      </c>
      <c r="E539" s="9" t="s">
        <v>35</v>
      </c>
      <c r="F539" s="9"/>
      <c r="G539" s="9">
        <v>5</v>
      </c>
      <c r="H539" s="9"/>
      <c r="I539" s="9" t="s">
        <v>484</v>
      </c>
      <c r="J539" s="9"/>
      <c r="K539" s="9"/>
      <c r="L539" s="9"/>
      <c r="M539" s="9">
        <f t="shared" si="9"/>
        <v>0</v>
      </c>
      <c r="N539" s="9" t="s">
        <v>28</v>
      </c>
      <c r="O539" s="9" t="s">
        <v>29</v>
      </c>
      <c r="P539" s="9" t="s">
        <v>29</v>
      </c>
      <c r="Q539" s="9"/>
      <c r="R539" s="9"/>
      <c r="S539" s="9"/>
      <c r="T539" s="9"/>
      <c r="U539" s="9"/>
      <c r="V539" s="9"/>
      <c r="W539" s="9"/>
      <c r="X539" s="9" t="s">
        <v>30</v>
      </c>
      <c r="Y539" s="11"/>
    </row>
    <row r="540" spans="1:25" s="3" customFormat="1" ht="17.7" customHeight="1" x14ac:dyDescent="0.3">
      <c r="A540" s="20">
        <v>539</v>
      </c>
      <c r="B540" s="20">
        <v>8400091</v>
      </c>
      <c r="C540" s="10" t="s">
        <v>574</v>
      </c>
      <c r="D540" s="10" t="s">
        <v>25</v>
      </c>
      <c r="E540" s="10" t="s">
        <v>35</v>
      </c>
      <c r="F540" s="10"/>
      <c r="G540" s="10">
        <v>5</v>
      </c>
      <c r="H540" s="10"/>
      <c r="I540" s="10" t="s">
        <v>484</v>
      </c>
      <c r="J540" s="10"/>
      <c r="K540" s="10"/>
      <c r="L540" s="10"/>
      <c r="M540" s="10">
        <f t="shared" si="9"/>
        <v>0</v>
      </c>
      <c r="N540" s="10" t="s">
        <v>28</v>
      </c>
      <c r="O540" s="10" t="s">
        <v>29</v>
      </c>
      <c r="P540" s="10" t="s">
        <v>29</v>
      </c>
      <c r="Q540" s="10"/>
      <c r="R540" s="10"/>
      <c r="S540" s="10"/>
      <c r="T540" s="10"/>
      <c r="U540" s="10"/>
      <c r="V540" s="10"/>
      <c r="W540" s="10"/>
      <c r="X540" s="10" t="s">
        <v>30</v>
      </c>
      <c r="Y540" s="11"/>
    </row>
    <row r="541" spans="1:25" s="3" customFormat="1" ht="17.7" customHeight="1" x14ac:dyDescent="0.3">
      <c r="A541" s="21">
        <v>540</v>
      </c>
      <c r="B541" s="21">
        <v>8400092</v>
      </c>
      <c r="C541" s="9" t="s">
        <v>575</v>
      </c>
      <c r="D541" s="9" t="s">
        <v>25</v>
      </c>
      <c r="E541" s="9" t="s">
        <v>35</v>
      </c>
      <c r="F541" s="9"/>
      <c r="G541" s="9">
        <v>10</v>
      </c>
      <c r="H541" s="9"/>
      <c r="I541" s="9" t="s">
        <v>484</v>
      </c>
      <c r="J541" s="9"/>
      <c r="K541" s="9"/>
      <c r="L541" s="9"/>
      <c r="M541" s="9">
        <f t="shared" si="9"/>
        <v>0</v>
      </c>
      <c r="N541" s="9" t="s">
        <v>28</v>
      </c>
      <c r="O541" s="9" t="s">
        <v>29</v>
      </c>
      <c r="P541" s="9" t="s">
        <v>29</v>
      </c>
      <c r="Q541" s="9"/>
      <c r="R541" s="9"/>
      <c r="S541" s="9"/>
      <c r="T541" s="9"/>
      <c r="U541" s="9"/>
      <c r="V541" s="9"/>
      <c r="W541" s="9"/>
      <c r="X541" s="9" t="s">
        <v>30</v>
      </c>
      <c r="Y541" s="11"/>
    </row>
    <row r="542" spans="1:25" s="3" customFormat="1" ht="17.7" customHeight="1" x14ac:dyDescent="0.3">
      <c r="A542" s="20">
        <v>541</v>
      </c>
      <c r="B542" s="20">
        <v>8400093</v>
      </c>
      <c r="C542" s="10" t="s">
        <v>576</v>
      </c>
      <c r="D542" s="10" t="s">
        <v>25</v>
      </c>
      <c r="E542" s="10" t="s">
        <v>35</v>
      </c>
      <c r="F542" s="10"/>
      <c r="G542" s="10">
        <v>10</v>
      </c>
      <c r="H542" s="10"/>
      <c r="I542" s="10" t="s">
        <v>484</v>
      </c>
      <c r="J542" s="10"/>
      <c r="K542" s="10"/>
      <c r="L542" s="10"/>
      <c r="M542" s="10">
        <f t="shared" si="9"/>
        <v>0</v>
      </c>
      <c r="N542" s="10" t="s">
        <v>28</v>
      </c>
      <c r="O542" s="10" t="s">
        <v>29</v>
      </c>
      <c r="P542" s="10" t="s">
        <v>29</v>
      </c>
      <c r="Q542" s="10"/>
      <c r="R542" s="10"/>
      <c r="S542" s="10"/>
      <c r="T542" s="10"/>
      <c r="U542" s="10"/>
      <c r="V542" s="10"/>
      <c r="W542" s="10"/>
      <c r="X542" s="10" t="s">
        <v>30</v>
      </c>
      <c r="Y542" s="11"/>
    </row>
    <row r="543" spans="1:25" s="3" customFormat="1" ht="17.7" customHeight="1" x14ac:dyDescent="0.3">
      <c r="A543" s="21">
        <v>542</v>
      </c>
      <c r="B543" s="21">
        <v>8400094</v>
      </c>
      <c r="C543" s="9" t="s">
        <v>577</v>
      </c>
      <c r="D543" s="9" t="s">
        <v>25</v>
      </c>
      <c r="E543" s="9" t="s">
        <v>35</v>
      </c>
      <c r="F543" s="9"/>
      <c r="G543" s="9">
        <v>10</v>
      </c>
      <c r="H543" s="9"/>
      <c r="I543" s="9" t="s">
        <v>484</v>
      </c>
      <c r="J543" s="9"/>
      <c r="K543" s="9"/>
      <c r="L543" s="9"/>
      <c r="M543" s="9">
        <f t="shared" si="9"/>
        <v>0</v>
      </c>
      <c r="N543" s="9" t="s">
        <v>28</v>
      </c>
      <c r="O543" s="9" t="s">
        <v>29</v>
      </c>
      <c r="P543" s="9" t="s">
        <v>29</v>
      </c>
      <c r="Q543" s="9"/>
      <c r="R543" s="9"/>
      <c r="S543" s="9"/>
      <c r="T543" s="9"/>
      <c r="U543" s="9"/>
      <c r="V543" s="9"/>
      <c r="W543" s="9"/>
      <c r="X543" s="9" t="s">
        <v>30</v>
      </c>
      <c r="Y543" s="11"/>
    </row>
    <row r="544" spans="1:25" s="3" customFormat="1" ht="17.7" customHeight="1" x14ac:dyDescent="0.3">
      <c r="A544" s="20">
        <v>543</v>
      </c>
      <c r="B544" s="20">
        <v>8400095</v>
      </c>
      <c r="C544" s="10" t="s">
        <v>578</v>
      </c>
      <c r="D544" s="10" t="s">
        <v>25</v>
      </c>
      <c r="E544" s="10" t="s">
        <v>35</v>
      </c>
      <c r="F544" s="10"/>
      <c r="G544" s="10">
        <v>10</v>
      </c>
      <c r="H544" s="10"/>
      <c r="I544" s="10" t="s">
        <v>484</v>
      </c>
      <c r="J544" s="10"/>
      <c r="K544" s="10"/>
      <c r="L544" s="10"/>
      <c r="M544" s="10">
        <f t="shared" si="9"/>
        <v>0</v>
      </c>
      <c r="N544" s="10" t="s">
        <v>28</v>
      </c>
      <c r="O544" s="10" t="s">
        <v>29</v>
      </c>
      <c r="P544" s="10" t="s">
        <v>29</v>
      </c>
      <c r="Q544" s="10"/>
      <c r="R544" s="10"/>
      <c r="S544" s="10"/>
      <c r="T544" s="10"/>
      <c r="U544" s="10"/>
      <c r="V544" s="10"/>
      <c r="W544" s="10"/>
      <c r="X544" s="10" t="s">
        <v>30</v>
      </c>
      <c r="Y544" s="11"/>
    </row>
    <row r="545" spans="1:25" s="3" customFormat="1" ht="17.7" customHeight="1" x14ac:dyDescent="0.3">
      <c r="A545" s="21">
        <v>544</v>
      </c>
      <c r="B545" s="21">
        <v>8400096</v>
      </c>
      <c r="C545" s="9" t="s">
        <v>579</v>
      </c>
      <c r="D545" s="9" t="s">
        <v>25</v>
      </c>
      <c r="E545" s="9" t="s">
        <v>35</v>
      </c>
      <c r="F545" s="9"/>
      <c r="G545" s="9">
        <v>10</v>
      </c>
      <c r="H545" s="9"/>
      <c r="I545" s="9" t="s">
        <v>484</v>
      </c>
      <c r="J545" s="9"/>
      <c r="K545" s="9"/>
      <c r="L545" s="9"/>
      <c r="M545" s="9">
        <f t="shared" si="9"/>
        <v>0</v>
      </c>
      <c r="N545" s="9" t="s">
        <v>28</v>
      </c>
      <c r="O545" s="9" t="s">
        <v>29</v>
      </c>
      <c r="P545" s="9" t="s">
        <v>29</v>
      </c>
      <c r="Q545" s="9"/>
      <c r="R545" s="9"/>
      <c r="S545" s="9"/>
      <c r="T545" s="9"/>
      <c r="U545" s="9"/>
      <c r="V545" s="9"/>
      <c r="W545" s="9"/>
      <c r="X545" s="9" t="s">
        <v>30</v>
      </c>
      <c r="Y545" s="11"/>
    </row>
    <row r="546" spans="1:25" s="3" customFormat="1" ht="17.7" customHeight="1" x14ac:dyDescent="0.3">
      <c r="A546" s="20">
        <v>545</v>
      </c>
      <c r="B546" s="20">
        <v>8400097</v>
      </c>
      <c r="C546" s="10" t="s">
        <v>580</v>
      </c>
      <c r="D546" s="10" t="s">
        <v>25</v>
      </c>
      <c r="E546" s="10" t="s">
        <v>35</v>
      </c>
      <c r="F546" s="10"/>
      <c r="G546" s="10">
        <v>10</v>
      </c>
      <c r="H546" s="10"/>
      <c r="I546" s="10" t="s">
        <v>484</v>
      </c>
      <c r="J546" s="10"/>
      <c r="K546" s="10"/>
      <c r="L546" s="10"/>
      <c r="M546" s="10">
        <f t="shared" si="9"/>
        <v>0</v>
      </c>
      <c r="N546" s="10" t="s">
        <v>28</v>
      </c>
      <c r="O546" s="10" t="s">
        <v>29</v>
      </c>
      <c r="P546" s="10" t="s">
        <v>29</v>
      </c>
      <c r="Q546" s="10"/>
      <c r="R546" s="10"/>
      <c r="S546" s="10"/>
      <c r="T546" s="10"/>
      <c r="U546" s="10"/>
      <c r="V546" s="10"/>
      <c r="W546" s="10"/>
      <c r="X546" s="10" t="s">
        <v>30</v>
      </c>
      <c r="Y546" s="11"/>
    </row>
    <row r="547" spans="1:25" s="3" customFormat="1" ht="17.7" customHeight="1" x14ac:dyDescent="0.3">
      <c r="A547" s="21">
        <v>546</v>
      </c>
      <c r="B547" s="21">
        <v>8400098</v>
      </c>
      <c r="C547" s="9" t="s">
        <v>581</v>
      </c>
      <c r="D547" s="9" t="s">
        <v>25</v>
      </c>
      <c r="E547" s="9" t="s">
        <v>35</v>
      </c>
      <c r="F547" s="9"/>
      <c r="G547" s="9">
        <v>5</v>
      </c>
      <c r="H547" s="9"/>
      <c r="I547" s="9" t="s">
        <v>484</v>
      </c>
      <c r="J547" s="9"/>
      <c r="K547" s="9"/>
      <c r="L547" s="9"/>
      <c r="M547" s="9">
        <f t="shared" si="9"/>
        <v>0</v>
      </c>
      <c r="N547" s="9" t="s">
        <v>28</v>
      </c>
      <c r="O547" s="9" t="s">
        <v>29</v>
      </c>
      <c r="P547" s="9" t="s">
        <v>29</v>
      </c>
      <c r="Q547" s="9"/>
      <c r="R547" s="9"/>
      <c r="S547" s="9"/>
      <c r="T547" s="9"/>
      <c r="U547" s="9"/>
      <c r="V547" s="9"/>
      <c r="W547" s="9"/>
      <c r="X547" s="9" t="s">
        <v>30</v>
      </c>
      <c r="Y547" s="11"/>
    </row>
    <row r="548" spans="1:25" s="3" customFormat="1" ht="17.7" customHeight="1" x14ac:dyDescent="0.3">
      <c r="A548" s="20">
        <v>547</v>
      </c>
      <c r="B548" s="20">
        <v>8400099</v>
      </c>
      <c r="C548" s="10" t="s">
        <v>582</v>
      </c>
      <c r="D548" s="10" t="s">
        <v>25</v>
      </c>
      <c r="E548" s="10" t="s">
        <v>35</v>
      </c>
      <c r="F548" s="10"/>
      <c r="G548" s="10">
        <v>5</v>
      </c>
      <c r="H548" s="10"/>
      <c r="I548" s="10" t="s">
        <v>484</v>
      </c>
      <c r="J548" s="10"/>
      <c r="K548" s="10"/>
      <c r="L548" s="10"/>
      <c r="M548" s="10">
        <f t="shared" si="9"/>
        <v>0</v>
      </c>
      <c r="N548" s="10" t="s">
        <v>28</v>
      </c>
      <c r="O548" s="10" t="s">
        <v>29</v>
      </c>
      <c r="P548" s="10" t="s">
        <v>29</v>
      </c>
      <c r="Q548" s="10"/>
      <c r="R548" s="10"/>
      <c r="S548" s="10"/>
      <c r="T548" s="10"/>
      <c r="U548" s="10"/>
      <c r="V548" s="10"/>
      <c r="W548" s="10"/>
      <c r="X548" s="10" t="s">
        <v>30</v>
      </c>
      <c r="Y548" s="11"/>
    </row>
    <row r="549" spans="1:25" s="3" customFormat="1" ht="17.7" customHeight="1" x14ac:dyDescent="0.3">
      <c r="A549" s="21">
        <v>548</v>
      </c>
      <c r="B549" s="21">
        <v>8400100</v>
      </c>
      <c r="C549" s="9" t="s">
        <v>583</v>
      </c>
      <c r="D549" s="9" t="s">
        <v>25</v>
      </c>
      <c r="E549" s="9" t="s">
        <v>35</v>
      </c>
      <c r="F549" s="9"/>
      <c r="G549" s="9">
        <v>5</v>
      </c>
      <c r="H549" s="9"/>
      <c r="I549" s="9" t="s">
        <v>484</v>
      </c>
      <c r="J549" s="9"/>
      <c r="K549" s="9"/>
      <c r="L549" s="9"/>
      <c r="M549" s="9">
        <f t="shared" si="9"/>
        <v>0</v>
      </c>
      <c r="N549" s="9" t="s">
        <v>28</v>
      </c>
      <c r="O549" s="9" t="s">
        <v>29</v>
      </c>
      <c r="P549" s="9" t="s">
        <v>29</v>
      </c>
      <c r="Q549" s="9"/>
      <c r="R549" s="9"/>
      <c r="S549" s="9"/>
      <c r="T549" s="9"/>
      <c r="U549" s="9"/>
      <c r="V549" s="9"/>
      <c r="W549" s="9"/>
      <c r="X549" s="9" t="s">
        <v>30</v>
      </c>
      <c r="Y549" s="11"/>
    </row>
    <row r="550" spans="1:25" s="3" customFormat="1" ht="17.7" customHeight="1" x14ac:dyDescent="0.3">
      <c r="A550" s="20">
        <v>549</v>
      </c>
      <c r="B550" s="20">
        <v>8400101</v>
      </c>
      <c r="C550" s="10" t="s">
        <v>584</v>
      </c>
      <c r="D550" s="10" t="s">
        <v>25</v>
      </c>
      <c r="E550" s="10" t="s">
        <v>35</v>
      </c>
      <c r="F550" s="10"/>
      <c r="G550" s="10">
        <v>5</v>
      </c>
      <c r="H550" s="10"/>
      <c r="I550" s="10" t="s">
        <v>484</v>
      </c>
      <c r="J550" s="10"/>
      <c r="K550" s="10"/>
      <c r="L550" s="10"/>
      <c r="M550" s="10">
        <f t="shared" si="9"/>
        <v>0</v>
      </c>
      <c r="N550" s="10" t="s">
        <v>28</v>
      </c>
      <c r="O550" s="10" t="s">
        <v>29</v>
      </c>
      <c r="P550" s="10" t="s">
        <v>29</v>
      </c>
      <c r="Q550" s="10"/>
      <c r="R550" s="10"/>
      <c r="S550" s="10"/>
      <c r="T550" s="10"/>
      <c r="U550" s="10"/>
      <c r="V550" s="10"/>
      <c r="W550" s="10"/>
      <c r="X550" s="10" t="s">
        <v>30</v>
      </c>
      <c r="Y550" s="11"/>
    </row>
    <row r="551" spans="1:25" s="3" customFormat="1" ht="17.7" customHeight="1" x14ac:dyDescent="0.3">
      <c r="A551" s="21">
        <v>550</v>
      </c>
      <c r="B551" s="21">
        <v>8400102</v>
      </c>
      <c r="C551" s="9" t="s">
        <v>585</v>
      </c>
      <c r="D551" s="9" t="s">
        <v>25</v>
      </c>
      <c r="E551" s="9" t="s">
        <v>35</v>
      </c>
      <c r="F551" s="9"/>
      <c r="G551" s="9">
        <v>5</v>
      </c>
      <c r="H551" s="9"/>
      <c r="I551" s="9" t="s">
        <v>484</v>
      </c>
      <c r="J551" s="9"/>
      <c r="K551" s="9"/>
      <c r="L551" s="9"/>
      <c r="M551" s="9">
        <f t="shared" si="9"/>
        <v>0</v>
      </c>
      <c r="N551" s="9" t="s">
        <v>28</v>
      </c>
      <c r="O551" s="9" t="s">
        <v>29</v>
      </c>
      <c r="P551" s="9" t="s">
        <v>29</v>
      </c>
      <c r="Q551" s="9"/>
      <c r="R551" s="9"/>
      <c r="S551" s="9"/>
      <c r="T551" s="9"/>
      <c r="U551" s="9"/>
      <c r="V551" s="9"/>
      <c r="W551" s="9"/>
      <c r="X551" s="9" t="s">
        <v>30</v>
      </c>
      <c r="Y551" s="11"/>
    </row>
    <row r="552" spans="1:25" s="3" customFormat="1" ht="17.7" customHeight="1" x14ac:dyDescent="0.3">
      <c r="A552" s="20">
        <v>551</v>
      </c>
      <c r="B552" s="20">
        <v>8400103</v>
      </c>
      <c r="C552" s="10" t="s">
        <v>586</v>
      </c>
      <c r="D552" s="10" t="s">
        <v>25</v>
      </c>
      <c r="E552" s="10" t="s">
        <v>35</v>
      </c>
      <c r="F552" s="10"/>
      <c r="G552" s="10">
        <v>5</v>
      </c>
      <c r="H552" s="10"/>
      <c r="I552" s="10" t="s">
        <v>484</v>
      </c>
      <c r="J552" s="10"/>
      <c r="K552" s="10"/>
      <c r="L552" s="10"/>
      <c r="M552" s="10">
        <f t="shared" si="9"/>
        <v>0</v>
      </c>
      <c r="N552" s="10" t="s">
        <v>28</v>
      </c>
      <c r="O552" s="10" t="s">
        <v>29</v>
      </c>
      <c r="P552" s="10" t="s">
        <v>29</v>
      </c>
      <c r="Q552" s="10"/>
      <c r="R552" s="10"/>
      <c r="S552" s="10"/>
      <c r="T552" s="10"/>
      <c r="U552" s="10"/>
      <c r="V552" s="10"/>
      <c r="W552" s="10"/>
      <c r="X552" s="10" t="s">
        <v>30</v>
      </c>
      <c r="Y552" s="11"/>
    </row>
    <row r="553" spans="1:25" s="3" customFormat="1" ht="17.7" customHeight="1" x14ac:dyDescent="0.3">
      <c r="A553" s="21">
        <v>552</v>
      </c>
      <c r="B553" s="21">
        <v>8400104</v>
      </c>
      <c r="C553" s="9" t="s">
        <v>587</v>
      </c>
      <c r="D553" s="9" t="s">
        <v>25</v>
      </c>
      <c r="E553" s="9" t="s">
        <v>35</v>
      </c>
      <c r="F553" s="9"/>
      <c r="G553" s="9">
        <v>5</v>
      </c>
      <c r="H553" s="9"/>
      <c r="I553" s="9" t="s">
        <v>484</v>
      </c>
      <c r="J553" s="9"/>
      <c r="K553" s="9"/>
      <c r="L553" s="9"/>
      <c r="M553" s="9">
        <f t="shared" si="9"/>
        <v>0</v>
      </c>
      <c r="N553" s="9" t="s">
        <v>28</v>
      </c>
      <c r="O553" s="9" t="s">
        <v>29</v>
      </c>
      <c r="P553" s="9" t="s">
        <v>29</v>
      </c>
      <c r="Q553" s="9"/>
      <c r="R553" s="9"/>
      <c r="S553" s="9"/>
      <c r="T553" s="9"/>
      <c r="U553" s="9"/>
      <c r="V553" s="9"/>
      <c r="W553" s="9"/>
      <c r="X553" s="9" t="s">
        <v>30</v>
      </c>
      <c r="Y553" s="11"/>
    </row>
    <row r="554" spans="1:25" s="3" customFormat="1" ht="17.7" customHeight="1" x14ac:dyDescent="0.3">
      <c r="A554" s="20">
        <v>553</v>
      </c>
      <c r="B554" s="20">
        <v>8400105</v>
      </c>
      <c r="C554" s="10" t="s">
        <v>588</v>
      </c>
      <c r="D554" s="10" t="s">
        <v>25</v>
      </c>
      <c r="E554" s="10" t="s">
        <v>35</v>
      </c>
      <c r="F554" s="10"/>
      <c r="G554" s="10">
        <v>5</v>
      </c>
      <c r="H554" s="10"/>
      <c r="I554" s="10" t="s">
        <v>484</v>
      </c>
      <c r="J554" s="10"/>
      <c r="K554" s="10"/>
      <c r="L554" s="10"/>
      <c r="M554" s="10">
        <f t="shared" si="9"/>
        <v>0</v>
      </c>
      <c r="N554" s="10" t="s">
        <v>28</v>
      </c>
      <c r="O554" s="10" t="s">
        <v>29</v>
      </c>
      <c r="P554" s="10" t="s">
        <v>29</v>
      </c>
      <c r="Q554" s="10"/>
      <c r="R554" s="10"/>
      <c r="S554" s="10"/>
      <c r="T554" s="10"/>
      <c r="U554" s="10"/>
      <c r="V554" s="10"/>
      <c r="W554" s="10"/>
      <c r="X554" s="10" t="s">
        <v>30</v>
      </c>
      <c r="Y554" s="11"/>
    </row>
    <row r="555" spans="1:25" s="3" customFormat="1" ht="17.7" customHeight="1" x14ac:dyDescent="0.3">
      <c r="A555" s="21">
        <v>554</v>
      </c>
      <c r="B555" s="21">
        <v>8400106</v>
      </c>
      <c r="C555" s="9" t="s">
        <v>589</v>
      </c>
      <c r="D555" s="9" t="s">
        <v>25</v>
      </c>
      <c r="E555" s="9" t="s">
        <v>35</v>
      </c>
      <c r="F555" s="9"/>
      <c r="G555" s="9">
        <v>5</v>
      </c>
      <c r="H555" s="9"/>
      <c r="I555" s="9" t="s">
        <v>484</v>
      </c>
      <c r="J555" s="9"/>
      <c r="K555" s="9"/>
      <c r="L555" s="9"/>
      <c r="M555" s="9">
        <f t="shared" si="9"/>
        <v>0</v>
      </c>
      <c r="N555" s="9" t="s">
        <v>28</v>
      </c>
      <c r="O555" s="9" t="s">
        <v>29</v>
      </c>
      <c r="P555" s="9" t="s">
        <v>29</v>
      </c>
      <c r="Q555" s="9"/>
      <c r="R555" s="9"/>
      <c r="S555" s="9"/>
      <c r="T555" s="9"/>
      <c r="U555" s="9"/>
      <c r="V555" s="9"/>
      <c r="W555" s="9"/>
      <c r="X555" s="9" t="s">
        <v>30</v>
      </c>
      <c r="Y555" s="11"/>
    </row>
    <row r="556" spans="1:25" s="3" customFormat="1" ht="17.7" customHeight="1" x14ac:dyDescent="0.3">
      <c r="A556" s="20">
        <v>555</v>
      </c>
      <c r="B556" s="20">
        <v>8400107</v>
      </c>
      <c r="C556" s="10" t="s">
        <v>590</v>
      </c>
      <c r="D556" s="10" t="s">
        <v>25</v>
      </c>
      <c r="E556" s="10" t="s">
        <v>35</v>
      </c>
      <c r="F556" s="10"/>
      <c r="G556" s="10">
        <v>5</v>
      </c>
      <c r="H556" s="10"/>
      <c r="I556" s="10" t="s">
        <v>484</v>
      </c>
      <c r="J556" s="10"/>
      <c r="K556" s="10"/>
      <c r="L556" s="10"/>
      <c r="M556" s="10">
        <f t="shared" si="9"/>
        <v>0</v>
      </c>
      <c r="N556" s="10" t="s">
        <v>28</v>
      </c>
      <c r="O556" s="10" t="s">
        <v>29</v>
      </c>
      <c r="P556" s="10" t="s">
        <v>29</v>
      </c>
      <c r="Q556" s="10"/>
      <c r="R556" s="10"/>
      <c r="S556" s="10"/>
      <c r="T556" s="10"/>
      <c r="U556" s="10"/>
      <c r="V556" s="10"/>
      <c r="W556" s="10"/>
      <c r="X556" s="10" t="s">
        <v>30</v>
      </c>
      <c r="Y556" s="11"/>
    </row>
    <row r="557" spans="1:25" s="3" customFormat="1" ht="17.7" customHeight="1" x14ac:dyDescent="0.3">
      <c r="A557" s="21">
        <v>556</v>
      </c>
      <c r="B557" s="21">
        <v>8400108</v>
      </c>
      <c r="C557" s="9" t="s">
        <v>591</v>
      </c>
      <c r="D557" s="9" t="s">
        <v>25</v>
      </c>
      <c r="E557" s="9" t="s">
        <v>35</v>
      </c>
      <c r="F557" s="9"/>
      <c r="G557" s="9">
        <v>5</v>
      </c>
      <c r="H557" s="9"/>
      <c r="I557" s="9" t="s">
        <v>484</v>
      </c>
      <c r="J557" s="9"/>
      <c r="K557" s="9"/>
      <c r="L557" s="9"/>
      <c r="M557" s="9">
        <f t="shared" si="9"/>
        <v>0</v>
      </c>
      <c r="N557" s="9" t="s">
        <v>28</v>
      </c>
      <c r="O557" s="9" t="s">
        <v>29</v>
      </c>
      <c r="P557" s="9" t="s">
        <v>29</v>
      </c>
      <c r="Q557" s="9"/>
      <c r="R557" s="9"/>
      <c r="S557" s="9"/>
      <c r="T557" s="9"/>
      <c r="U557" s="9"/>
      <c r="V557" s="9"/>
      <c r="W557" s="9"/>
      <c r="X557" s="9" t="s">
        <v>30</v>
      </c>
      <c r="Y557" s="11"/>
    </row>
    <row r="558" spans="1:25" s="3" customFormat="1" ht="17.7" customHeight="1" x14ac:dyDescent="0.3">
      <c r="A558" s="20">
        <v>557</v>
      </c>
      <c r="B558" s="20">
        <v>8400109</v>
      </c>
      <c r="C558" s="10" t="s">
        <v>592</v>
      </c>
      <c r="D558" s="10" t="s">
        <v>25</v>
      </c>
      <c r="E558" s="10" t="s">
        <v>35</v>
      </c>
      <c r="F558" s="10"/>
      <c r="G558" s="10">
        <v>5</v>
      </c>
      <c r="H558" s="10"/>
      <c r="I558" s="10" t="s">
        <v>484</v>
      </c>
      <c r="J558" s="10"/>
      <c r="K558" s="10"/>
      <c r="L558" s="10"/>
      <c r="M558" s="10">
        <f t="shared" si="9"/>
        <v>0</v>
      </c>
      <c r="N558" s="10" t="s">
        <v>28</v>
      </c>
      <c r="O558" s="10" t="s">
        <v>29</v>
      </c>
      <c r="P558" s="10" t="s">
        <v>29</v>
      </c>
      <c r="Q558" s="10"/>
      <c r="R558" s="10"/>
      <c r="S558" s="10"/>
      <c r="T558" s="10"/>
      <c r="U558" s="10"/>
      <c r="V558" s="10"/>
      <c r="W558" s="10"/>
      <c r="X558" s="10" t="s">
        <v>30</v>
      </c>
      <c r="Y558" s="11"/>
    </row>
    <row r="559" spans="1:25" s="3" customFormat="1" ht="17.7" customHeight="1" x14ac:dyDescent="0.3">
      <c r="A559" s="21">
        <v>558</v>
      </c>
      <c r="B559" s="21">
        <v>8400110</v>
      </c>
      <c r="C559" s="9" t="s">
        <v>593</v>
      </c>
      <c r="D559" s="9" t="s">
        <v>25</v>
      </c>
      <c r="E559" s="9" t="s">
        <v>35</v>
      </c>
      <c r="F559" s="9"/>
      <c r="G559" s="9">
        <v>5</v>
      </c>
      <c r="H559" s="9"/>
      <c r="I559" s="9" t="s">
        <v>484</v>
      </c>
      <c r="J559" s="9"/>
      <c r="K559" s="9"/>
      <c r="L559" s="9"/>
      <c r="M559" s="9">
        <f t="shared" si="9"/>
        <v>0</v>
      </c>
      <c r="N559" s="9" t="s">
        <v>28</v>
      </c>
      <c r="O559" s="9" t="s">
        <v>29</v>
      </c>
      <c r="P559" s="9" t="s">
        <v>29</v>
      </c>
      <c r="Q559" s="9"/>
      <c r="R559" s="9"/>
      <c r="S559" s="9"/>
      <c r="T559" s="9"/>
      <c r="U559" s="9"/>
      <c r="V559" s="9"/>
      <c r="W559" s="9"/>
      <c r="X559" s="9" t="s">
        <v>30</v>
      </c>
      <c r="Y559" s="11"/>
    </row>
    <row r="560" spans="1:25" s="3" customFormat="1" ht="17.7" customHeight="1" x14ac:dyDescent="0.3">
      <c r="A560" s="20">
        <v>559</v>
      </c>
      <c r="B560" s="20">
        <v>8400111</v>
      </c>
      <c r="C560" s="10" t="s">
        <v>594</v>
      </c>
      <c r="D560" s="10" t="s">
        <v>25</v>
      </c>
      <c r="E560" s="10" t="s">
        <v>35</v>
      </c>
      <c r="F560" s="10"/>
      <c r="G560" s="10">
        <v>5</v>
      </c>
      <c r="H560" s="10"/>
      <c r="I560" s="10" t="s">
        <v>484</v>
      </c>
      <c r="J560" s="10"/>
      <c r="K560" s="10"/>
      <c r="L560" s="10"/>
      <c r="M560" s="10">
        <f t="shared" si="9"/>
        <v>0</v>
      </c>
      <c r="N560" s="10" t="s">
        <v>28</v>
      </c>
      <c r="O560" s="10" t="s">
        <v>29</v>
      </c>
      <c r="P560" s="10" t="s">
        <v>29</v>
      </c>
      <c r="Q560" s="10"/>
      <c r="R560" s="10"/>
      <c r="S560" s="10"/>
      <c r="T560" s="10"/>
      <c r="U560" s="10"/>
      <c r="V560" s="10"/>
      <c r="W560" s="10"/>
      <c r="X560" s="10" t="s">
        <v>30</v>
      </c>
      <c r="Y560" s="11"/>
    </row>
    <row r="561" spans="1:25" s="3" customFormat="1" ht="17.7" customHeight="1" x14ac:dyDescent="0.3">
      <c r="A561" s="21">
        <v>560</v>
      </c>
      <c r="B561" s="21">
        <v>8400112</v>
      </c>
      <c r="C561" s="9" t="s">
        <v>595</v>
      </c>
      <c r="D561" s="9" t="s">
        <v>25</v>
      </c>
      <c r="E561" s="9" t="s">
        <v>35</v>
      </c>
      <c r="F561" s="9"/>
      <c r="G561" s="9">
        <v>15</v>
      </c>
      <c r="H561" s="9"/>
      <c r="I561" s="9" t="s">
        <v>484</v>
      </c>
      <c r="J561" s="9"/>
      <c r="K561" s="9"/>
      <c r="L561" s="9"/>
      <c r="M561" s="9">
        <f t="shared" si="9"/>
        <v>0</v>
      </c>
      <c r="N561" s="9" t="s">
        <v>28</v>
      </c>
      <c r="O561" s="9" t="s">
        <v>29</v>
      </c>
      <c r="P561" s="9" t="s">
        <v>29</v>
      </c>
      <c r="Q561" s="9"/>
      <c r="R561" s="9"/>
      <c r="S561" s="9"/>
      <c r="T561" s="9"/>
      <c r="U561" s="9"/>
      <c r="V561" s="9"/>
      <c r="W561" s="9"/>
      <c r="X561" s="9" t="s">
        <v>30</v>
      </c>
      <c r="Y561" s="11"/>
    </row>
    <row r="562" spans="1:25" s="3" customFormat="1" ht="17.7" customHeight="1" x14ac:dyDescent="0.3">
      <c r="A562" s="20">
        <v>561</v>
      </c>
      <c r="B562" s="20">
        <v>8400113</v>
      </c>
      <c r="C562" s="10" t="s">
        <v>596</v>
      </c>
      <c r="D562" s="10" t="s">
        <v>25</v>
      </c>
      <c r="E562" s="10" t="s">
        <v>35</v>
      </c>
      <c r="F562" s="10"/>
      <c r="G562" s="10">
        <v>15</v>
      </c>
      <c r="H562" s="10"/>
      <c r="I562" s="10" t="s">
        <v>484</v>
      </c>
      <c r="J562" s="10"/>
      <c r="K562" s="10"/>
      <c r="L562" s="10"/>
      <c r="M562" s="10">
        <f t="shared" si="9"/>
        <v>0</v>
      </c>
      <c r="N562" s="10" t="s">
        <v>28</v>
      </c>
      <c r="O562" s="10" t="s">
        <v>29</v>
      </c>
      <c r="P562" s="10" t="s">
        <v>29</v>
      </c>
      <c r="Q562" s="10"/>
      <c r="R562" s="10"/>
      <c r="S562" s="10"/>
      <c r="T562" s="10"/>
      <c r="U562" s="10"/>
      <c r="V562" s="10"/>
      <c r="W562" s="10"/>
      <c r="X562" s="10" t="s">
        <v>30</v>
      </c>
      <c r="Y562" s="11"/>
    </row>
    <row r="563" spans="1:25" s="3" customFormat="1" ht="17.7" customHeight="1" x14ac:dyDescent="0.3">
      <c r="A563" s="21">
        <v>562</v>
      </c>
      <c r="B563" s="21">
        <v>8400114</v>
      </c>
      <c r="C563" s="9" t="s">
        <v>597</v>
      </c>
      <c r="D563" s="9" t="s">
        <v>25</v>
      </c>
      <c r="E563" s="9" t="s">
        <v>35</v>
      </c>
      <c r="F563" s="9"/>
      <c r="G563" s="9">
        <v>15</v>
      </c>
      <c r="H563" s="9"/>
      <c r="I563" s="9" t="s">
        <v>484</v>
      </c>
      <c r="J563" s="9"/>
      <c r="K563" s="9"/>
      <c r="L563" s="9"/>
      <c r="M563" s="9">
        <f t="shared" si="9"/>
        <v>0</v>
      </c>
      <c r="N563" s="9" t="s">
        <v>28</v>
      </c>
      <c r="O563" s="9" t="s">
        <v>29</v>
      </c>
      <c r="P563" s="9" t="s">
        <v>29</v>
      </c>
      <c r="Q563" s="9"/>
      <c r="R563" s="9"/>
      <c r="S563" s="9"/>
      <c r="T563" s="9"/>
      <c r="U563" s="9"/>
      <c r="V563" s="9"/>
      <c r="W563" s="9"/>
      <c r="X563" s="9" t="s">
        <v>30</v>
      </c>
      <c r="Y563" s="11"/>
    </row>
    <row r="564" spans="1:25" s="3" customFormat="1" ht="17.7" customHeight="1" x14ac:dyDescent="0.3">
      <c r="A564" s="20">
        <v>563</v>
      </c>
      <c r="B564" s="20">
        <v>8400115</v>
      </c>
      <c r="C564" s="10" t="s">
        <v>598</v>
      </c>
      <c r="D564" s="10" t="s">
        <v>25</v>
      </c>
      <c r="E564" s="10" t="s">
        <v>35</v>
      </c>
      <c r="F564" s="10"/>
      <c r="G564" s="10">
        <v>15</v>
      </c>
      <c r="H564" s="10"/>
      <c r="I564" s="10" t="s">
        <v>484</v>
      </c>
      <c r="J564" s="10"/>
      <c r="K564" s="10"/>
      <c r="L564" s="10"/>
      <c r="M564" s="10">
        <f t="shared" si="9"/>
        <v>0</v>
      </c>
      <c r="N564" s="10" t="s">
        <v>28</v>
      </c>
      <c r="O564" s="10" t="s">
        <v>29</v>
      </c>
      <c r="P564" s="10" t="s">
        <v>29</v>
      </c>
      <c r="Q564" s="10"/>
      <c r="R564" s="10"/>
      <c r="S564" s="10"/>
      <c r="T564" s="10"/>
      <c r="U564" s="10"/>
      <c r="V564" s="10"/>
      <c r="W564" s="10"/>
      <c r="X564" s="10" t="s">
        <v>30</v>
      </c>
      <c r="Y564" s="11"/>
    </row>
    <row r="565" spans="1:25" s="3" customFormat="1" ht="17.7" customHeight="1" x14ac:dyDescent="0.3">
      <c r="A565" s="21">
        <v>564</v>
      </c>
      <c r="B565" s="21">
        <v>8400116</v>
      </c>
      <c r="C565" s="9" t="s">
        <v>599</v>
      </c>
      <c r="D565" s="9" t="s">
        <v>25</v>
      </c>
      <c r="E565" s="9" t="s">
        <v>35</v>
      </c>
      <c r="F565" s="9"/>
      <c r="G565" s="9">
        <v>10</v>
      </c>
      <c r="H565" s="9"/>
      <c r="I565" s="9" t="s">
        <v>484</v>
      </c>
      <c r="J565" s="9"/>
      <c r="K565" s="9"/>
      <c r="L565" s="9"/>
      <c r="M565" s="9">
        <f t="shared" si="9"/>
        <v>0</v>
      </c>
      <c r="N565" s="9" t="s">
        <v>28</v>
      </c>
      <c r="O565" s="9" t="s">
        <v>29</v>
      </c>
      <c r="P565" s="9" t="s">
        <v>29</v>
      </c>
      <c r="Q565" s="9"/>
      <c r="R565" s="9"/>
      <c r="S565" s="9"/>
      <c r="T565" s="9"/>
      <c r="U565" s="9"/>
      <c r="V565" s="9"/>
      <c r="W565" s="9"/>
      <c r="X565" s="9" t="s">
        <v>30</v>
      </c>
      <c r="Y565" s="11"/>
    </row>
    <row r="566" spans="1:25" s="3" customFormat="1" ht="17.7" customHeight="1" x14ac:dyDescent="0.3">
      <c r="A566" s="20">
        <v>565</v>
      </c>
      <c r="B566" s="20">
        <v>8400117</v>
      </c>
      <c r="C566" s="10" t="s">
        <v>600</v>
      </c>
      <c r="D566" s="10" t="s">
        <v>25</v>
      </c>
      <c r="E566" s="10" t="s">
        <v>35</v>
      </c>
      <c r="F566" s="10"/>
      <c r="G566" s="10">
        <v>10</v>
      </c>
      <c r="H566" s="10"/>
      <c r="I566" s="10" t="s">
        <v>484</v>
      </c>
      <c r="J566" s="10"/>
      <c r="K566" s="10"/>
      <c r="L566" s="10"/>
      <c r="M566" s="10">
        <f t="shared" si="9"/>
        <v>0</v>
      </c>
      <c r="N566" s="10" t="s">
        <v>28</v>
      </c>
      <c r="O566" s="10" t="s">
        <v>29</v>
      </c>
      <c r="P566" s="10" t="s">
        <v>29</v>
      </c>
      <c r="Q566" s="10"/>
      <c r="R566" s="10"/>
      <c r="S566" s="10"/>
      <c r="T566" s="10"/>
      <c r="U566" s="10"/>
      <c r="V566" s="10"/>
      <c r="W566" s="10"/>
      <c r="X566" s="10" t="s">
        <v>30</v>
      </c>
      <c r="Y566" s="11"/>
    </row>
    <row r="567" spans="1:25" s="3" customFormat="1" ht="17.7" customHeight="1" x14ac:dyDescent="0.3">
      <c r="A567" s="21">
        <v>566</v>
      </c>
      <c r="B567" s="21">
        <v>8400118</v>
      </c>
      <c r="C567" s="9" t="s">
        <v>601</v>
      </c>
      <c r="D567" s="9" t="s">
        <v>25</v>
      </c>
      <c r="E567" s="9" t="s">
        <v>35</v>
      </c>
      <c r="F567" s="9"/>
      <c r="G567" s="9">
        <v>10</v>
      </c>
      <c r="H567" s="9"/>
      <c r="I567" s="9" t="s">
        <v>484</v>
      </c>
      <c r="J567" s="9"/>
      <c r="K567" s="9"/>
      <c r="L567" s="9"/>
      <c r="M567" s="9">
        <f t="shared" si="9"/>
        <v>0</v>
      </c>
      <c r="N567" s="9" t="s">
        <v>28</v>
      </c>
      <c r="O567" s="9" t="s">
        <v>29</v>
      </c>
      <c r="P567" s="9" t="s">
        <v>29</v>
      </c>
      <c r="Q567" s="9"/>
      <c r="R567" s="9"/>
      <c r="S567" s="9"/>
      <c r="T567" s="9"/>
      <c r="U567" s="9"/>
      <c r="V567" s="9"/>
      <c r="W567" s="9"/>
      <c r="X567" s="9" t="s">
        <v>30</v>
      </c>
      <c r="Y567" s="11"/>
    </row>
    <row r="568" spans="1:25" s="3" customFormat="1" ht="17.7" customHeight="1" x14ac:dyDescent="0.3">
      <c r="A568" s="20">
        <v>567</v>
      </c>
      <c r="B568" s="20">
        <v>8400119</v>
      </c>
      <c r="C568" s="10" t="s">
        <v>602</v>
      </c>
      <c r="D568" s="10" t="s">
        <v>25</v>
      </c>
      <c r="E568" s="10" t="s">
        <v>35</v>
      </c>
      <c r="F568" s="10"/>
      <c r="G568" s="10">
        <v>5</v>
      </c>
      <c r="H568" s="10"/>
      <c r="I568" s="10" t="s">
        <v>484</v>
      </c>
      <c r="J568" s="10"/>
      <c r="K568" s="10"/>
      <c r="L568" s="10"/>
      <c r="M568" s="10">
        <f t="shared" si="9"/>
        <v>0</v>
      </c>
      <c r="N568" s="10" t="s">
        <v>28</v>
      </c>
      <c r="O568" s="10" t="s">
        <v>29</v>
      </c>
      <c r="P568" s="10" t="s">
        <v>29</v>
      </c>
      <c r="Q568" s="10"/>
      <c r="R568" s="10"/>
      <c r="S568" s="10"/>
      <c r="T568" s="10"/>
      <c r="U568" s="10"/>
      <c r="V568" s="10"/>
      <c r="W568" s="10"/>
      <c r="X568" s="10" t="s">
        <v>30</v>
      </c>
      <c r="Y568" s="11"/>
    </row>
    <row r="569" spans="1:25" s="3" customFormat="1" ht="17.7" customHeight="1" x14ac:dyDescent="0.3">
      <c r="A569" s="21">
        <v>568</v>
      </c>
      <c r="B569" s="21">
        <v>8400120</v>
      </c>
      <c r="C569" s="9" t="s">
        <v>603</v>
      </c>
      <c r="D569" s="9" t="s">
        <v>25</v>
      </c>
      <c r="E569" s="9" t="s">
        <v>35</v>
      </c>
      <c r="F569" s="9"/>
      <c r="G569" s="9">
        <v>5</v>
      </c>
      <c r="H569" s="9"/>
      <c r="I569" s="9" t="s">
        <v>484</v>
      </c>
      <c r="J569" s="9"/>
      <c r="K569" s="9"/>
      <c r="L569" s="9"/>
      <c r="M569" s="9">
        <f t="shared" si="9"/>
        <v>0</v>
      </c>
      <c r="N569" s="9" t="s">
        <v>28</v>
      </c>
      <c r="O569" s="9" t="s">
        <v>29</v>
      </c>
      <c r="P569" s="9" t="s">
        <v>29</v>
      </c>
      <c r="Q569" s="9"/>
      <c r="R569" s="9"/>
      <c r="S569" s="9"/>
      <c r="T569" s="9"/>
      <c r="U569" s="9"/>
      <c r="V569" s="9"/>
      <c r="W569" s="9"/>
      <c r="X569" s="9" t="s">
        <v>30</v>
      </c>
      <c r="Y569" s="11"/>
    </row>
    <row r="570" spans="1:25" s="3" customFormat="1" ht="17.7" customHeight="1" x14ac:dyDescent="0.3">
      <c r="A570" s="20">
        <v>569</v>
      </c>
      <c r="B570" s="20">
        <v>8400121</v>
      </c>
      <c r="C570" s="10" t="s">
        <v>604</v>
      </c>
      <c r="D570" s="10" t="s">
        <v>25</v>
      </c>
      <c r="E570" s="10" t="s">
        <v>35</v>
      </c>
      <c r="F570" s="10"/>
      <c r="G570" s="10">
        <v>5</v>
      </c>
      <c r="H570" s="10"/>
      <c r="I570" s="10" t="s">
        <v>484</v>
      </c>
      <c r="J570" s="10"/>
      <c r="K570" s="10"/>
      <c r="L570" s="10"/>
      <c r="M570" s="10">
        <f t="shared" si="9"/>
        <v>0</v>
      </c>
      <c r="N570" s="10" t="s">
        <v>28</v>
      </c>
      <c r="O570" s="10" t="s">
        <v>29</v>
      </c>
      <c r="P570" s="10" t="s">
        <v>29</v>
      </c>
      <c r="Q570" s="10"/>
      <c r="R570" s="10"/>
      <c r="S570" s="10"/>
      <c r="T570" s="10"/>
      <c r="U570" s="10"/>
      <c r="V570" s="10"/>
      <c r="W570" s="10"/>
      <c r="X570" s="10" t="s">
        <v>30</v>
      </c>
      <c r="Y570" s="11"/>
    </row>
    <row r="571" spans="1:25" s="3" customFormat="1" ht="17.7" customHeight="1" x14ac:dyDescent="0.3">
      <c r="A571" s="21">
        <v>570</v>
      </c>
      <c r="B571" s="21">
        <v>8400122</v>
      </c>
      <c r="C571" s="9" t="s">
        <v>605</v>
      </c>
      <c r="D571" s="9" t="s">
        <v>25</v>
      </c>
      <c r="E571" s="9" t="s">
        <v>35</v>
      </c>
      <c r="F571" s="9"/>
      <c r="G571" s="9">
        <v>5</v>
      </c>
      <c r="H571" s="9"/>
      <c r="I571" s="9" t="s">
        <v>484</v>
      </c>
      <c r="J571" s="9"/>
      <c r="K571" s="9"/>
      <c r="L571" s="9"/>
      <c r="M571" s="9">
        <f t="shared" si="9"/>
        <v>0</v>
      </c>
      <c r="N571" s="9" t="s">
        <v>28</v>
      </c>
      <c r="O571" s="9" t="s">
        <v>29</v>
      </c>
      <c r="P571" s="9" t="s">
        <v>29</v>
      </c>
      <c r="Q571" s="9"/>
      <c r="R571" s="9"/>
      <c r="S571" s="9"/>
      <c r="T571" s="9"/>
      <c r="U571" s="9"/>
      <c r="V571" s="9"/>
      <c r="W571" s="9"/>
      <c r="X571" s="9" t="s">
        <v>30</v>
      </c>
      <c r="Y571" s="11"/>
    </row>
    <row r="572" spans="1:25" s="3" customFormat="1" ht="17.7" customHeight="1" x14ac:dyDescent="0.3">
      <c r="A572" s="20">
        <v>571</v>
      </c>
      <c r="B572" s="20">
        <v>8400123</v>
      </c>
      <c r="C572" s="10" t="s">
        <v>606</v>
      </c>
      <c r="D572" s="10" t="s">
        <v>25</v>
      </c>
      <c r="E572" s="10" t="s">
        <v>35</v>
      </c>
      <c r="F572" s="10"/>
      <c r="G572" s="10">
        <v>5</v>
      </c>
      <c r="H572" s="10"/>
      <c r="I572" s="10" t="s">
        <v>484</v>
      </c>
      <c r="J572" s="10"/>
      <c r="K572" s="10"/>
      <c r="L572" s="10"/>
      <c r="M572" s="10">
        <f t="shared" si="9"/>
        <v>0</v>
      </c>
      <c r="N572" s="10" t="s">
        <v>28</v>
      </c>
      <c r="O572" s="10" t="s">
        <v>29</v>
      </c>
      <c r="P572" s="10" t="s">
        <v>29</v>
      </c>
      <c r="Q572" s="10"/>
      <c r="R572" s="10"/>
      <c r="S572" s="10"/>
      <c r="T572" s="10"/>
      <c r="U572" s="10"/>
      <c r="V572" s="10"/>
      <c r="W572" s="10"/>
      <c r="X572" s="10" t="s">
        <v>30</v>
      </c>
      <c r="Y572" s="11"/>
    </row>
    <row r="573" spans="1:25" s="3" customFormat="1" ht="17.7" customHeight="1" x14ac:dyDescent="0.3">
      <c r="A573" s="21">
        <v>572</v>
      </c>
      <c r="B573" s="21">
        <v>8400124</v>
      </c>
      <c r="C573" s="9" t="s">
        <v>607</v>
      </c>
      <c r="D573" s="9" t="s">
        <v>25</v>
      </c>
      <c r="E573" s="9" t="s">
        <v>35</v>
      </c>
      <c r="F573" s="9"/>
      <c r="G573" s="9">
        <v>5</v>
      </c>
      <c r="H573" s="9"/>
      <c r="I573" s="9" t="s">
        <v>484</v>
      </c>
      <c r="J573" s="9"/>
      <c r="K573" s="9"/>
      <c r="L573" s="9"/>
      <c r="M573" s="9">
        <f t="shared" si="9"/>
        <v>0</v>
      </c>
      <c r="N573" s="9" t="s">
        <v>28</v>
      </c>
      <c r="O573" s="9" t="s">
        <v>29</v>
      </c>
      <c r="P573" s="9" t="s">
        <v>29</v>
      </c>
      <c r="Q573" s="9"/>
      <c r="R573" s="9"/>
      <c r="S573" s="9"/>
      <c r="T573" s="9"/>
      <c r="U573" s="9"/>
      <c r="V573" s="9"/>
      <c r="W573" s="9"/>
      <c r="X573" s="9" t="s">
        <v>30</v>
      </c>
      <c r="Y573" s="11"/>
    </row>
    <row r="574" spans="1:25" s="3" customFormat="1" ht="17.7" customHeight="1" x14ac:dyDescent="0.3">
      <c r="A574" s="20">
        <v>573</v>
      </c>
      <c r="B574" s="20">
        <v>8400125</v>
      </c>
      <c r="C574" s="10" t="s">
        <v>608</v>
      </c>
      <c r="D574" s="10" t="s">
        <v>25</v>
      </c>
      <c r="E574" s="10" t="s">
        <v>35</v>
      </c>
      <c r="F574" s="10"/>
      <c r="G574" s="10">
        <v>3</v>
      </c>
      <c r="H574" s="10"/>
      <c r="I574" s="10" t="s">
        <v>484</v>
      </c>
      <c r="J574" s="10"/>
      <c r="K574" s="10"/>
      <c r="L574" s="10"/>
      <c r="M574" s="10">
        <f t="shared" si="9"/>
        <v>0</v>
      </c>
      <c r="N574" s="10" t="s">
        <v>28</v>
      </c>
      <c r="O574" s="10" t="s">
        <v>29</v>
      </c>
      <c r="P574" s="10" t="s">
        <v>29</v>
      </c>
      <c r="Q574" s="10"/>
      <c r="R574" s="10"/>
      <c r="S574" s="10"/>
      <c r="T574" s="10"/>
      <c r="U574" s="10"/>
      <c r="V574" s="10"/>
      <c r="W574" s="10"/>
      <c r="X574" s="10" t="s">
        <v>30</v>
      </c>
      <c r="Y574" s="11"/>
    </row>
    <row r="575" spans="1:25" s="3" customFormat="1" ht="17.7" customHeight="1" x14ac:dyDescent="0.3">
      <c r="A575" s="21">
        <v>574</v>
      </c>
      <c r="B575" s="21">
        <v>8400126</v>
      </c>
      <c r="C575" s="9" t="s">
        <v>609</v>
      </c>
      <c r="D575" s="9" t="s">
        <v>25</v>
      </c>
      <c r="E575" s="9" t="s">
        <v>35</v>
      </c>
      <c r="F575" s="9"/>
      <c r="G575" s="9">
        <v>5</v>
      </c>
      <c r="H575" s="9"/>
      <c r="I575" s="9" t="s">
        <v>484</v>
      </c>
      <c r="J575" s="9"/>
      <c r="K575" s="9"/>
      <c r="L575" s="9"/>
      <c r="M575" s="9">
        <f t="shared" si="9"/>
        <v>0</v>
      </c>
      <c r="N575" s="9" t="s">
        <v>28</v>
      </c>
      <c r="O575" s="9" t="s">
        <v>29</v>
      </c>
      <c r="P575" s="9" t="s">
        <v>29</v>
      </c>
      <c r="Q575" s="9"/>
      <c r="R575" s="9"/>
      <c r="S575" s="9"/>
      <c r="T575" s="9"/>
      <c r="U575" s="9"/>
      <c r="V575" s="9"/>
      <c r="W575" s="9"/>
      <c r="X575" s="9" t="s">
        <v>30</v>
      </c>
      <c r="Y575" s="11"/>
    </row>
    <row r="576" spans="1:25" s="3" customFormat="1" ht="17.7" customHeight="1" x14ac:dyDescent="0.3">
      <c r="A576" s="20">
        <v>575</v>
      </c>
      <c r="B576" s="20">
        <v>8400127</v>
      </c>
      <c r="C576" s="10" t="s">
        <v>609</v>
      </c>
      <c r="D576" s="10" t="s">
        <v>25</v>
      </c>
      <c r="E576" s="10" t="s">
        <v>35</v>
      </c>
      <c r="F576" s="10"/>
      <c r="G576" s="10">
        <v>5</v>
      </c>
      <c r="H576" s="10"/>
      <c r="I576" s="10" t="s">
        <v>484</v>
      </c>
      <c r="J576" s="10"/>
      <c r="K576" s="10"/>
      <c r="L576" s="10"/>
      <c r="M576" s="10">
        <f t="shared" si="9"/>
        <v>0</v>
      </c>
      <c r="N576" s="10" t="s">
        <v>28</v>
      </c>
      <c r="O576" s="10" t="s">
        <v>29</v>
      </c>
      <c r="P576" s="10" t="s">
        <v>29</v>
      </c>
      <c r="Q576" s="10"/>
      <c r="R576" s="10"/>
      <c r="S576" s="10"/>
      <c r="T576" s="10"/>
      <c r="U576" s="10"/>
      <c r="V576" s="10"/>
      <c r="W576" s="10"/>
      <c r="X576" s="10" t="s">
        <v>30</v>
      </c>
      <c r="Y576" s="11"/>
    </row>
    <row r="577" spans="1:25" s="3" customFormat="1" ht="17.7" customHeight="1" x14ac:dyDescent="0.3">
      <c r="A577" s="21">
        <v>576</v>
      </c>
      <c r="B577" s="21">
        <v>8400128</v>
      </c>
      <c r="C577" s="9" t="s">
        <v>610</v>
      </c>
      <c r="D577" s="9" t="s">
        <v>25</v>
      </c>
      <c r="E577" s="9" t="s">
        <v>35</v>
      </c>
      <c r="F577" s="9"/>
      <c r="G577" s="9">
        <v>5</v>
      </c>
      <c r="H577" s="9"/>
      <c r="I577" s="9" t="s">
        <v>484</v>
      </c>
      <c r="J577" s="9"/>
      <c r="K577" s="9"/>
      <c r="L577" s="9"/>
      <c r="M577" s="9">
        <f t="shared" si="9"/>
        <v>0</v>
      </c>
      <c r="N577" s="9" t="s">
        <v>28</v>
      </c>
      <c r="O577" s="9" t="s">
        <v>29</v>
      </c>
      <c r="P577" s="9" t="s">
        <v>29</v>
      </c>
      <c r="Q577" s="9"/>
      <c r="R577" s="9"/>
      <c r="S577" s="9"/>
      <c r="T577" s="9"/>
      <c r="U577" s="9"/>
      <c r="V577" s="9"/>
      <c r="W577" s="9"/>
      <c r="X577" s="9" t="s">
        <v>30</v>
      </c>
      <c r="Y577" s="11"/>
    </row>
    <row r="578" spans="1:25" s="3" customFormat="1" ht="17.7" customHeight="1" x14ac:dyDescent="0.3">
      <c r="A578" s="20">
        <v>577</v>
      </c>
      <c r="B578" s="20">
        <v>8400129</v>
      </c>
      <c r="C578" s="10" t="s">
        <v>610</v>
      </c>
      <c r="D578" s="10" t="s">
        <v>25</v>
      </c>
      <c r="E578" s="10" t="s">
        <v>35</v>
      </c>
      <c r="F578" s="10"/>
      <c r="G578" s="10">
        <v>5</v>
      </c>
      <c r="H578" s="10"/>
      <c r="I578" s="10" t="s">
        <v>484</v>
      </c>
      <c r="J578" s="10"/>
      <c r="K578" s="10"/>
      <c r="L578" s="10"/>
      <c r="M578" s="10">
        <f t="shared" si="9"/>
        <v>0</v>
      </c>
      <c r="N578" s="10" t="s">
        <v>28</v>
      </c>
      <c r="O578" s="10" t="s">
        <v>29</v>
      </c>
      <c r="P578" s="10" t="s">
        <v>29</v>
      </c>
      <c r="Q578" s="10"/>
      <c r="R578" s="10"/>
      <c r="S578" s="10"/>
      <c r="T578" s="10"/>
      <c r="U578" s="10"/>
      <c r="V578" s="10"/>
      <c r="W578" s="10"/>
      <c r="X578" s="10" t="s">
        <v>30</v>
      </c>
      <c r="Y578" s="11"/>
    </row>
    <row r="579" spans="1:25" s="3" customFormat="1" ht="17.7" customHeight="1" x14ac:dyDescent="0.3">
      <c r="A579" s="21">
        <v>578</v>
      </c>
      <c r="B579" s="21">
        <v>8400130</v>
      </c>
      <c r="C579" s="9" t="s">
        <v>611</v>
      </c>
      <c r="D579" s="9" t="s">
        <v>25</v>
      </c>
      <c r="E579" s="9" t="s">
        <v>35</v>
      </c>
      <c r="F579" s="9"/>
      <c r="G579" s="9">
        <v>5</v>
      </c>
      <c r="H579" s="9"/>
      <c r="I579" s="9" t="s">
        <v>484</v>
      </c>
      <c r="J579" s="9"/>
      <c r="K579" s="9"/>
      <c r="L579" s="9"/>
      <c r="M579" s="9">
        <f t="shared" si="9"/>
        <v>0</v>
      </c>
      <c r="N579" s="9" t="s">
        <v>28</v>
      </c>
      <c r="O579" s="9" t="s">
        <v>29</v>
      </c>
      <c r="P579" s="9" t="s">
        <v>29</v>
      </c>
      <c r="Q579" s="9"/>
      <c r="R579" s="9"/>
      <c r="S579" s="9"/>
      <c r="T579" s="9"/>
      <c r="U579" s="9"/>
      <c r="V579" s="9"/>
      <c r="W579" s="9"/>
      <c r="X579" s="9" t="s">
        <v>30</v>
      </c>
      <c r="Y579" s="11"/>
    </row>
    <row r="580" spans="1:25" s="3" customFormat="1" ht="17.7" customHeight="1" x14ac:dyDescent="0.3">
      <c r="A580" s="20">
        <v>579</v>
      </c>
      <c r="B580" s="20">
        <v>8400131</v>
      </c>
      <c r="C580" s="10" t="s">
        <v>612</v>
      </c>
      <c r="D580" s="10" t="s">
        <v>25</v>
      </c>
      <c r="E580" s="10" t="s">
        <v>35</v>
      </c>
      <c r="F580" s="10"/>
      <c r="G580" s="10">
        <v>5</v>
      </c>
      <c r="H580" s="10"/>
      <c r="I580" s="10" t="s">
        <v>484</v>
      </c>
      <c r="J580" s="10"/>
      <c r="K580" s="10"/>
      <c r="L580" s="10"/>
      <c r="M580" s="10">
        <f t="shared" si="9"/>
        <v>0</v>
      </c>
      <c r="N580" s="10" t="s">
        <v>28</v>
      </c>
      <c r="O580" s="10" t="s">
        <v>29</v>
      </c>
      <c r="P580" s="10" t="s">
        <v>29</v>
      </c>
      <c r="Q580" s="10"/>
      <c r="R580" s="10"/>
      <c r="S580" s="10"/>
      <c r="T580" s="10"/>
      <c r="U580" s="10"/>
      <c r="V580" s="10"/>
      <c r="W580" s="10"/>
      <c r="X580" s="10" t="s">
        <v>30</v>
      </c>
      <c r="Y580" s="11"/>
    </row>
    <row r="581" spans="1:25" s="3" customFormat="1" ht="17.7" customHeight="1" x14ac:dyDescent="0.3">
      <c r="A581" s="21">
        <v>580</v>
      </c>
      <c r="B581" s="21">
        <v>8400132</v>
      </c>
      <c r="C581" s="9" t="s">
        <v>613</v>
      </c>
      <c r="D581" s="9" t="s">
        <v>25</v>
      </c>
      <c r="E581" s="9" t="s">
        <v>35</v>
      </c>
      <c r="F581" s="9"/>
      <c r="G581" s="9">
        <v>5</v>
      </c>
      <c r="H581" s="9"/>
      <c r="I581" s="9" t="s">
        <v>484</v>
      </c>
      <c r="J581" s="9"/>
      <c r="K581" s="9"/>
      <c r="L581" s="9"/>
      <c r="M581" s="9">
        <f t="shared" si="9"/>
        <v>0</v>
      </c>
      <c r="N581" s="9" t="s">
        <v>28</v>
      </c>
      <c r="O581" s="9" t="s">
        <v>29</v>
      </c>
      <c r="P581" s="9" t="s">
        <v>29</v>
      </c>
      <c r="Q581" s="9"/>
      <c r="R581" s="9"/>
      <c r="S581" s="9"/>
      <c r="T581" s="9"/>
      <c r="U581" s="9"/>
      <c r="V581" s="9"/>
      <c r="W581" s="9"/>
      <c r="X581" s="9" t="s">
        <v>30</v>
      </c>
      <c r="Y581" s="11"/>
    </row>
    <row r="582" spans="1:25" s="3" customFormat="1" ht="17.7" customHeight="1" x14ac:dyDescent="0.3">
      <c r="A582" s="20">
        <v>581</v>
      </c>
      <c r="B582" s="20">
        <v>8400133</v>
      </c>
      <c r="C582" s="10" t="s">
        <v>614</v>
      </c>
      <c r="D582" s="10" t="s">
        <v>25</v>
      </c>
      <c r="E582" s="10" t="s">
        <v>35</v>
      </c>
      <c r="F582" s="10"/>
      <c r="G582" s="10">
        <v>5</v>
      </c>
      <c r="H582" s="10"/>
      <c r="I582" s="10" t="s">
        <v>484</v>
      </c>
      <c r="J582" s="10"/>
      <c r="K582" s="10"/>
      <c r="L582" s="10"/>
      <c r="M582" s="10">
        <f t="shared" si="9"/>
        <v>0</v>
      </c>
      <c r="N582" s="10" t="s">
        <v>28</v>
      </c>
      <c r="O582" s="10" t="s">
        <v>29</v>
      </c>
      <c r="P582" s="10" t="s">
        <v>29</v>
      </c>
      <c r="Q582" s="10"/>
      <c r="R582" s="10"/>
      <c r="S582" s="10"/>
      <c r="T582" s="10"/>
      <c r="U582" s="10"/>
      <c r="V582" s="10"/>
      <c r="W582" s="10"/>
      <c r="X582" s="10" t="s">
        <v>30</v>
      </c>
      <c r="Y582" s="11"/>
    </row>
    <row r="583" spans="1:25" s="3" customFormat="1" ht="17.7" customHeight="1" x14ac:dyDescent="0.3">
      <c r="A583" s="21">
        <v>582</v>
      </c>
      <c r="B583" s="21">
        <v>8400134</v>
      </c>
      <c r="C583" s="9" t="s">
        <v>615</v>
      </c>
      <c r="D583" s="9" t="s">
        <v>25</v>
      </c>
      <c r="E583" s="9" t="s">
        <v>35</v>
      </c>
      <c r="F583" s="9"/>
      <c r="G583" s="9">
        <v>10</v>
      </c>
      <c r="H583" s="9"/>
      <c r="I583" s="9" t="s">
        <v>484</v>
      </c>
      <c r="J583" s="9"/>
      <c r="K583" s="9"/>
      <c r="L583" s="9"/>
      <c r="M583" s="9">
        <f t="shared" si="9"/>
        <v>0</v>
      </c>
      <c r="N583" s="9" t="s">
        <v>28</v>
      </c>
      <c r="O583" s="9" t="s">
        <v>29</v>
      </c>
      <c r="P583" s="9" t="s">
        <v>29</v>
      </c>
      <c r="Q583" s="9"/>
      <c r="R583" s="9"/>
      <c r="S583" s="9"/>
      <c r="T583" s="9"/>
      <c r="U583" s="9"/>
      <c r="V583" s="9"/>
      <c r="W583" s="9"/>
      <c r="X583" s="9" t="s">
        <v>30</v>
      </c>
      <c r="Y583" s="11"/>
    </row>
    <row r="584" spans="1:25" s="3" customFormat="1" ht="17.7" customHeight="1" x14ac:dyDescent="0.3">
      <c r="A584" s="20">
        <v>583</v>
      </c>
      <c r="B584" s="20">
        <v>8400135</v>
      </c>
      <c r="C584" s="10" t="s">
        <v>616</v>
      </c>
      <c r="D584" s="10" t="s">
        <v>25</v>
      </c>
      <c r="E584" s="10" t="s">
        <v>35</v>
      </c>
      <c r="F584" s="10"/>
      <c r="G584" s="10">
        <v>10</v>
      </c>
      <c r="H584" s="10"/>
      <c r="I584" s="10" t="s">
        <v>484</v>
      </c>
      <c r="J584" s="10"/>
      <c r="K584" s="10"/>
      <c r="L584" s="10"/>
      <c r="M584" s="10">
        <f t="shared" si="9"/>
        <v>0</v>
      </c>
      <c r="N584" s="10" t="s">
        <v>28</v>
      </c>
      <c r="O584" s="10" t="s">
        <v>29</v>
      </c>
      <c r="P584" s="10" t="s">
        <v>29</v>
      </c>
      <c r="Q584" s="10"/>
      <c r="R584" s="10"/>
      <c r="S584" s="10"/>
      <c r="T584" s="10"/>
      <c r="U584" s="10"/>
      <c r="V584" s="10"/>
      <c r="W584" s="10"/>
      <c r="X584" s="10" t="s">
        <v>30</v>
      </c>
      <c r="Y584" s="11"/>
    </row>
    <row r="585" spans="1:25" s="3" customFormat="1" ht="17.7" customHeight="1" x14ac:dyDescent="0.3">
      <c r="A585" s="21">
        <v>584</v>
      </c>
      <c r="B585" s="21">
        <v>8400136</v>
      </c>
      <c r="C585" s="9" t="s">
        <v>617</v>
      </c>
      <c r="D585" s="9" t="s">
        <v>25</v>
      </c>
      <c r="E585" s="9" t="s">
        <v>35</v>
      </c>
      <c r="F585" s="9"/>
      <c r="G585" s="9">
        <v>3</v>
      </c>
      <c r="H585" s="9"/>
      <c r="I585" s="9" t="s">
        <v>484</v>
      </c>
      <c r="J585" s="9"/>
      <c r="K585" s="9"/>
      <c r="L585" s="9"/>
      <c r="M585" s="9">
        <f t="shared" si="9"/>
        <v>0</v>
      </c>
      <c r="N585" s="9" t="s">
        <v>28</v>
      </c>
      <c r="O585" s="9" t="s">
        <v>29</v>
      </c>
      <c r="P585" s="9" t="s">
        <v>29</v>
      </c>
      <c r="Q585" s="9"/>
      <c r="R585" s="9"/>
      <c r="S585" s="9"/>
      <c r="T585" s="9"/>
      <c r="U585" s="9"/>
      <c r="V585" s="9"/>
      <c r="W585" s="9"/>
      <c r="X585" s="9" t="s">
        <v>30</v>
      </c>
      <c r="Y585" s="11"/>
    </row>
    <row r="586" spans="1:25" s="3" customFormat="1" ht="17.7" customHeight="1" x14ac:dyDescent="0.3">
      <c r="A586" s="20">
        <v>585</v>
      </c>
      <c r="B586" s="20">
        <v>8400137</v>
      </c>
      <c r="C586" s="10" t="s">
        <v>618</v>
      </c>
      <c r="D586" s="10" t="s">
        <v>25</v>
      </c>
      <c r="E586" s="10" t="s">
        <v>35</v>
      </c>
      <c r="F586" s="10"/>
      <c r="G586" s="10">
        <v>5</v>
      </c>
      <c r="H586" s="10"/>
      <c r="I586" s="10" t="s">
        <v>484</v>
      </c>
      <c r="J586" s="10"/>
      <c r="K586" s="10"/>
      <c r="L586" s="10"/>
      <c r="M586" s="10">
        <f t="shared" si="9"/>
        <v>0</v>
      </c>
      <c r="N586" s="10" t="s">
        <v>28</v>
      </c>
      <c r="O586" s="10" t="s">
        <v>29</v>
      </c>
      <c r="P586" s="10" t="s">
        <v>29</v>
      </c>
      <c r="Q586" s="10"/>
      <c r="R586" s="10"/>
      <c r="S586" s="10"/>
      <c r="T586" s="10"/>
      <c r="U586" s="10"/>
      <c r="V586" s="10"/>
      <c r="W586" s="10"/>
      <c r="X586" s="10" t="s">
        <v>30</v>
      </c>
      <c r="Y586" s="11"/>
    </row>
    <row r="587" spans="1:25" s="3" customFormat="1" ht="17.7" customHeight="1" x14ac:dyDescent="0.3">
      <c r="A587" s="21">
        <v>586</v>
      </c>
      <c r="B587" s="21">
        <v>8400138</v>
      </c>
      <c r="C587" s="9" t="s">
        <v>619</v>
      </c>
      <c r="D587" s="9" t="s">
        <v>25</v>
      </c>
      <c r="E587" s="9" t="s">
        <v>35</v>
      </c>
      <c r="F587" s="9"/>
      <c r="G587" s="9">
        <v>5</v>
      </c>
      <c r="H587" s="9"/>
      <c r="I587" s="9" t="s">
        <v>484</v>
      </c>
      <c r="J587" s="9"/>
      <c r="K587" s="9"/>
      <c r="L587" s="9"/>
      <c r="M587" s="9">
        <f t="shared" si="9"/>
        <v>0</v>
      </c>
      <c r="N587" s="9" t="s">
        <v>28</v>
      </c>
      <c r="O587" s="9" t="s">
        <v>29</v>
      </c>
      <c r="P587" s="9" t="s">
        <v>29</v>
      </c>
      <c r="Q587" s="9"/>
      <c r="R587" s="9"/>
      <c r="S587" s="9"/>
      <c r="T587" s="9"/>
      <c r="U587" s="9"/>
      <c r="V587" s="9"/>
      <c r="W587" s="9"/>
      <c r="X587" s="9" t="s">
        <v>30</v>
      </c>
      <c r="Y587" s="11"/>
    </row>
    <row r="588" spans="1:25" s="3" customFormat="1" ht="17.7" customHeight="1" x14ac:dyDescent="0.3">
      <c r="A588" s="20">
        <v>587</v>
      </c>
      <c r="B588" s="20">
        <v>8400139</v>
      </c>
      <c r="C588" s="10" t="s">
        <v>620</v>
      </c>
      <c r="D588" s="10" t="s">
        <v>25</v>
      </c>
      <c r="E588" s="10" t="s">
        <v>35</v>
      </c>
      <c r="F588" s="10"/>
      <c r="G588" s="10">
        <v>5</v>
      </c>
      <c r="H588" s="10"/>
      <c r="I588" s="10" t="s">
        <v>484</v>
      </c>
      <c r="J588" s="10"/>
      <c r="K588" s="10"/>
      <c r="L588" s="10"/>
      <c r="M588" s="10">
        <f t="shared" si="9"/>
        <v>0</v>
      </c>
      <c r="N588" s="10" t="s">
        <v>28</v>
      </c>
      <c r="O588" s="10" t="s">
        <v>29</v>
      </c>
      <c r="P588" s="10" t="s">
        <v>29</v>
      </c>
      <c r="Q588" s="10"/>
      <c r="R588" s="10"/>
      <c r="S588" s="10"/>
      <c r="T588" s="10"/>
      <c r="U588" s="10"/>
      <c r="V588" s="10"/>
      <c r="W588" s="10"/>
      <c r="X588" s="10" t="s">
        <v>30</v>
      </c>
      <c r="Y588" s="11"/>
    </row>
    <row r="589" spans="1:25" s="3" customFormat="1" ht="17.7" customHeight="1" x14ac:dyDescent="0.3">
      <c r="A589" s="21">
        <v>588</v>
      </c>
      <c r="B589" s="21">
        <v>8400140</v>
      </c>
      <c r="C589" s="9" t="s">
        <v>621</v>
      </c>
      <c r="D589" s="9" t="s">
        <v>25</v>
      </c>
      <c r="E589" s="9" t="s">
        <v>35</v>
      </c>
      <c r="F589" s="9"/>
      <c r="G589" s="9">
        <v>3</v>
      </c>
      <c r="H589" s="9"/>
      <c r="I589" s="9" t="s">
        <v>484</v>
      </c>
      <c r="J589" s="9"/>
      <c r="K589" s="9"/>
      <c r="L589" s="9"/>
      <c r="M589" s="9">
        <f t="shared" si="9"/>
        <v>0</v>
      </c>
      <c r="N589" s="9" t="s">
        <v>28</v>
      </c>
      <c r="O589" s="9" t="s">
        <v>29</v>
      </c>
      <c r="P589" s="9" t="s">
        <v>29</v>
      </c>
      <c r="Q589" s="9"/>
      <c r="R589" s="9"/>
      <c r="S589" s="9"/>
      <c r="T589" s="9"/>
      <c r="U589" s="9"/>
      <c r="V589" s="9"/>
      <c r="W589" s="9"/>
      <c r="X589" s="9" t="s">
        <v>30</v>
      </c>
      <c r="Y589" s="11"/>
    </row>
    <row r="590" spans="1:25" s="3" customFormat="1" ht="17.7" customHeight="1" x14ac:dyDescent="0.3">
      <c r="A590" s="20">
        <v>589</v>
      </c>
      <c r="B590" s="20">
        <v>8400141</v>
      </c>
      <c r="C590" s="10" t="s">
        <v>622</v>
      </c>
      <c r="D590" s="10" t="s">
        <v>25</v>
      </c>
      <c r="E590" s="10" t="s">
        <v>35</v>
      </c>
      <c r="F590" s="10"/>
      <c r="G590" s="10">
        <v>10</v>
      </c>
      <c r="H590" s="10"/>
      <c r="I590" s="10" t="s">
        <v>484</v>
      </c>
      <c r="J590" s="10"/>
      <c r="K590" s="10"/>
      <c r="L590" s="10"/>
      <c r="M590" s="10">
        <f t="shared" si="9"/>
        <v>0</v>
      </c>
      <c r="N590" s="10" t="s">
        <v>28</v>
      </c>
      <c r="O590" s="10" t="s">
        <v>29</v>
      </c>
      <c r="P590" s="10" t="s">
        <v>29</v>
      </c>
      <c r="Q590" s="10"/>
      <c r="R590" s="10"/>
      <c r="S590" s="10"/>
      <c r="T590" s="10"/>
      <c r="U590" s="10"/>
      <c r="V590" s="10"/>
      <c r="W590" s="10"/>
      <c r="X590" s="10" t="s">
        <v>30</v>
      </c>
      <c r="Y590" s="11"/>
    </row>
    <row r="591" spans="1:25" s="3" customFormat="1" ht="17.7" customHeight="1" x14ac:dyDescent="0.3">
      <c r="A591" s="21">
        <v>590</v>
      </c>
      <c r="B591" s="21">
        <v>8400142</v>
      </c>
      <c r="C591" s="9" t="s">
        <v>623</v>
      </c>
      <c r="D591" s="9" t="s">
        <v>25</v>
      </c>
      <c r="E591" s="9" t="s">
        <v>35</v>
      </c>
      <c r="F591" s="9"/>
      <c r="G591" s="9">
        <v>10</v>
      </c>
      <c r="H591" s="9"/>
      <c r="I591" s="9" t="s">
        <v>484</v>
      </c>
      <c r="J591" s="9"/>
      <c r="K591" s="9"/>
      <c r="L591" s="9"/>
      <c r="M591" s="9">
        <f t="shared" si="9"/>
        <v>0</v>
      </c>
      <c r="N591" s="9" t="s">
        <v>28</v>
      </c>
      <c r="O591" s="9" t="s">
        <v>29</v>
      </c>
      <c r="P591" s="9" t="s">
        <v>29</v>
      </c>
      <c r="Q591" s="9"/>
      <c r="R591" s="9"/>
      <c r="S591" s="9"/>
      <c r="T591" s="9"/>
      <c r="U591" s="9"/>
      <c r="V591" s="9"/>
      <c r="W591" s="9"/>
      <c r="X591" s="9" t="s">
        <v>30</v>
      </c>
      <c r="Y591" s="11"/>
    </row>
    <row r="592" spans="1:25" s="3" customFormat="1" ht="17.7" customHeight="1" x14ac:dyDescent="0.3">
      <c r="A592" s="20">
        <v>591</v>
      </c>
      <c r="B592" s="20">
        <v>8400143</v>
      </c>
      <c r="C592" s="10" t="s">
        <v>624</v>
      </c>
      <c r="D592" s="10" t="s">
        <v>25</v>
      </c>
      <c r="E592" s="10" t="s">
        <v>35</v>
      </c>
      <c r="F592" s="10"/>
      <c r="G592" s="10">
        <v>10</v>
      </c>
      <c r="H592" s="10"/>
      <c r="I592" s="10" t="s">
        <v>484</v>
      </c>
      <c r="J592" s="10"/>
      <c r="K592" s="10"/>
      <c r="L592" s="10"/>
      <c r="M592" s="10">
        <f t="shared" si="9"/>
        <v>0</v>
      </c>
      <c r="N592" s="10" t="s">
        <v>28</v>
      </c>
      <c r="O592" s="10" t="s">
        <v>29</v>
      </c>
      <c r="P592" s="10" t="s">
        <v>29</v>
      </c>
      <c r="Q592" s="10"/>
      <c r="R592" s="10"/>
      <c r="S592" s="10"/>
      <c r="T592" s="10"/>
      <c r="U592" s="10"/>
      <c r="V592" s="10"/>
      <c r="W592" s="10"/>
      <c r="X592" s="10" t="s">
        <v>30</v>
      </c>
      <c r="Y592" s="11"/>
    </row>
    <row r="593" spans="1:25" s="3" customFormat="1" ht="17.7" customHeight="1" x14ac:dyDescent="0.3">
      <c r="A593" s="21">
        <v>592</v>
      </c>
      <c r="B593" s="21">
        <v>8400144</v>
      </c>
      <c r="C593" s="9" t="s">
        <v>625</v>
      </c>
      <c r="D593" s="9" t="s">
        <v>25</v>
      </c>
      <c r="E593" s="9" t="s">
        <v>35</v>
      </c>
      <c r="F593" s="9"/>
      <c r="G593" s="9">
        <v>10</v>
      </c>
      <c r="H593" s="9"/>
      <c r="I593" s="9" t="s">
        <v>484</v>
      </c>
      <c r="J593" s="9"/>
      <c r="K593" s="9"/>
      <c r="L593" s="9"/>
      <c r="M593" s="9">
        <f t="shared" si="9"/>
        <v>0</v>
      </c>
      <c r="N593" s="9" t="s">
        <v>28</v>
      </c>
      <c r="O593" s="9" t="s">
        <v>29</v>
      </c>
      <c r="P593" s="9" t="s">
        <v>29</v>
      </c>
      <c r="Q593" s="9"/>
      <c r="R593" s="9"/>
      <c r="S593" s="9"/>
      <c r="T593" s="9"/>
      <c r="U593" s="9"/>
      <c r="V593" s="9"/>
      <c r="W593" s="9"/>
      <c r="X593" s="9" t="s">
        <v>30</v>
      </c>
      <c r="Y593" s="11"/>
    </row>
    <row r="594" spans="1:25" s="3" customFormat="1" ht="17.7" customHeight="1" x14ac:dyDescent="0.3">
      <c r="A594" s="20">
        <v>593</v>
      </c>
      <c r="B594" s="20">
        <v>8400145</v>
      </c>
      <c r="C594" s="10" t="s">
        <v>626</v>
      </c>
      <c r="D594" s="10" t="s">
        <v>25</v>
      </c>
      <c r="E594" s="10" t="s">
        <v>35</v>
      </c>
      <c r="F594" s="10"/>
      <c r="G594" s="10">
        <v>10</v>
      </c>
      <c r="H594" s="10"/>
      <c r="I594" s="10" t="s">
        <v>484</v>
      </c>
      <c r="J594" s="10"/>
      <c r="K594" s="10"/>
      <c r="L594" s="10"/>
      <c r="M594" s="10">
        <f t="shared" si="9"/>
        <v>0</v>
      </c>
      <c r="N594" s="10" t="s">
        <v>28</v>
      </c>
      <c r="O594" s="10" t="s">
        <v>29</v>
      </c>
      <c r="P594" s="10" t="s">
        <v>29</v>
      </c>
      <c r="Q594" s="10"/>
      <c r="R594" s="10"/>
      <c r="S594" s="10"/>
      <c r="T594" s="10"/>
      <c r="U594" s="10"/>
      <c r="V594" s="10"/>
      <c r="W594" s="10"/>
      <c r="X594" s="10" t="s">
        <v>30</v>
      </c>
      <c r="Y594" s="11"/>
    </row>
    <row r="595" spans="1:25" s="3" customFormat="1" ht="17.7" customHeight="1" x14ac:dyDescent="0.3">
      <c r="A595" s="21">
        <v>594</v>
      </c>
      <c r="B595" s="21">
        <v>8400146</v>
      </c>
      <c r="C595" s="9" t="s">
        <v>627</v>
      </c>
      <c r="D595" s="9" t="s">
        <v>25</v>
      </c>
      <c r="E595" s="9" t="s">
        <v>35</v>
      </c>
      <c r="F595" s="9"/>
      <c r="G595" s="9">
        <v>10</v>
      </c>
      <c r="H595" s="9"/>
      <c r="I595" s="9" t="s">
        <v>484</v>
      </c>
      <c r="J595" s="9"/>
      <c r="K595" s="9"/>
      <c r="L595" s="9"/>
      <c r="M595" s="9">
        <f t="shared" si="9"/>
        <v>0</v>
      </c>
      <c r="N595" s="9" t="s">
        <v>28</v>
      </c>
      <c r="O595" s="9" t="s">
        <v>29</v>
      </c>
      <c r="P595" s="9" t="s">
        <v>29</v>
      </c>
      <c r="Q595" s="9"/>
      <c r="R595" s="9"/>
      <c r="S595" s="9"/>
      <c r="T595" s="9"/>
      <c r="U595" s="9"/>
      <c r="V595" s="9"/>
      <c r="W595" s="9"/>
      <c r="X595" s="9" t="s">
        <v>30</v>
      </c>
      <c r="Y595" s="11"/>
    </row>
    <row r="596" spans="1:25" s="3" customFormat="1" ht="17.7" customHeight="1" x14ac:dyDescent="0.3">
      <c r="A596" s="20">
        <v>595</v>
      </c>
      <c r="B596" s="20">
        <v>8400147</v>
      </c>
      <c r="C596" s="10" t="s">
        <v>628</v>
      </c>
      <c r="D596" s="10" t="s">
        <v>25</v>
      </c>
      <c r="E596" s="10" t="s">
        <v>35</v>
      </c>
      <c r="F596" s="10"/>
      <c r="G596" s="10">
        <v>5</v>
      </c>
      <c r="H596" s="10"/>
      <c r="I596" s="10" t="s">
        <v>484</v>
      </c>
      <c r="J596" s="10"/>
      <c r="K596" s="10"/>
      <c r="L596" s="10"/>
      <c r="M596" s="10">
        <f t="shared" si="9"/>
        <v>0</v>
      </c>
      <c r="N596" s="10" t="s">
        <v>28</v>
      </c>
      <c r="O596" s="10" t="s">
        <v>29</v>
      </c>
      <c r="P596" s="10" t="s">
        <v>29</v>
      </c>
      <c r="Q596" s="10"/>
      <c r="R596" s="10"/>
      <c r="S596" s="10"/>
      <c r="T596" s="10"/>
      <c r="U596" s="10"/>
      <c r="V596" s="10"/>
      <c r="W596" s="10"/>
      <c r="X596" s="10" t="s">
        <v>30</v>
      </c>
      <c r="Y596" s="11"/>
    </row>
    <row r="597" spans="1:25" s="3" customFormat="1" ht="17.7" customHeight="1" x14ac:dyDescent="0.3">
      <c r="A597" s="21">
        <v>596</v>
      </c>
      <c r="B597" s="21">
        <v>8400148</v>
      </c>
      <c r="C597" s="9" t="s">
        <v>629</v>
      </c>
      <c r="D597" s="9" t="s">
        <v>25</v>
      </c>
      <c r="E597" s="9" t="s">
        <v>35</v>
      </c>
      <c r="F597" s="9"/>
      <c r="G597" s="9">
        <v>10</v>
      </c>
      <c r="H597" s="9"/>
      <c r="I597" s="9" t="s">
        <v>484</v>
      </c>
      <c r="J597" s="9"/>
      <c r="K597" s="9"/>
      <c r="L597" s="9"/>
      <c r="M597" s="9">
        <f t="shared" si="9"/>
        <v>0</v>
      </c>
      <c r="N597" s="9" t="s">
        <v>28</v>
      </c>
      <c r="O597" s="9" t="s">
        <v>29</v>
      </c>
      <c r="P597" s="9" t="s">
        <v>29</v>
      </c>
      <c r="Q597" s="9"/>
      <c r="R597" s="9"/>
      <c r="S597" s="9"/>
      <c r="T597" s="9"/>
      <c r="U597" s="9"/>
      <c r="V597" s="9"/>
      <c r="W597" s="9"/>
      <c r="X597" s="9" t="s">
        <v>30</v>
      </c>
      <c r="Y597" s="11"/>
    </row>
    <row r="598" spans="1:25" s="3" customFormat="1" ht="17.7" customHeight="1" x14ac:dyDescent="0.3">
      <c r="A598" s="20">
        <v>597</v>
      </c>
      <c r="B598" s="20">
        <v>8400149</v>
      </c>
      <c r="C598" s="10" t="s">
        <v>630</v>
      </c>
      <c r="D598" s="10" t="s">
        <v>25</v>
      </c>
      <c r="E598" s="10" t="s">
        <v>35</v>
      </c>
      <c r="F598" s="10"/>
      <c r="G598" s="10">
        <v>5</v>
      </c>
      <c r="H598" s="10"/>
      <c r="I598" s="10" t="s">
        <v>484</v>
      </c>
      <c r="J598" s="10"/>
      <c r="K598" s="10"/>
      <c r="L598" s="10"/>
      <c r="M598" s="10">
        <f t="shared" si="9"/>
        <v>0</v>
      </c>
      <c r="N598" s="10" t="s">
        <v>28</v>
      </c>
      <c r="O598" s="10" t="s">
        <v>29</v>
      </c>
      <c r="P598" s="10" t="s">
        <v>29</v>
      </c>
      <c r="Q598" s="10"/>
      <c r="R598" s="10"/>
      <c r="S598" s="10"/>
      <c r="T598" s="10"/>
      <c r="U598" s="10"/>
      <c r="V598" s="10"/>
      <c r="W598" s="10"/>
      <c r="X598" s="10" t="s">
        <v>30</v>
      </c>
      <c r="Y598" s="11"/>
    </row>
    <row r="599" spans="1:25" s="3" customFormat="1" ht="17.7" customHeight="1" x14ac:dyDescent="0.3">
      <c r="A599" s="21">
        <v>598</v>
      </c>
      <c r="B599" s="21">
        <v>8400150</v>
      </c>
      <c r="C599" s="9" t="s">
        <v>631</v>
      </c>
      <c r="D599" s="9" t="s">
        <v>25</v>
      </c>
      <c r="E599" s="9" t="s">
        <v>35</v>
      </c>
      <c r="F599" s="9"/>
      <c r="G599" s="9">
        <v>5</v>
      </c>
      <c r="H599" s="9"/>
      <c r="I599" s="9" t="s">
        <v>484</v>
      </c>
      <c r="J599" s="9"/>
      <c r="K599" s="9"/>
      <c r="L599" s="9"/>
      <c r="M599" s="9">
        <f t="shared" ref="M599:M662" si="10">F599-F599*11%</f>
        <v>0</v>
      </c>
      <c r="N599" s="9" t="s">
        <v>28</v>
      </c>
      <c r="O599" s="9" t="s">
        <v>29</v>
      </c>
      <c r="P599" s="9" t="s">
        <v>29</v>
      </c>
      <c r="Q599" s="9"/>
      <c r="R599" s="9"/>
      <c r="S599" s="9"/>
      <c r="T599" s="9"/>
      <c r="U599" s="9"/>
      <c r="V599" s="9"/>
      <c r="W599" s="9"/>
      <c r="X599" s="9" t="s">
        <v>30</v>
      </c>
      <c r="Y599" s="11"/>
    </row>
    <row r="600" spans="1:25" s="3" customFormat="1" ht="17.7" customHeight="1" x14ac:dyDescent="0.3">
      <c r="A600" s="20">
        <v>599</v>
      </c>
      <c r="B600" s="20">
        <v>8400151</v>
      </c>
      <c r="C600" s="10" t="s">
        <v>632</v>
      </c>
      <c r="D600" s="10" t="s">
        <v>25</v>
      </c>
      <c r="E600" s="10" t="s">
        <v>35</v>
      </c>
      <c r="F600" s="10"/>
      <c r="G600" s="10">
        <v>10</v>
      </c>
      <c r="H600" s="10"/>
      <c r="I600" s="10" t="s">
        <v>484</v>
      </c>
      <c r="J600" s="10"/>
      <c r="K600" s="10"/>
      <c r="L600" s="10"/>
      <c r="M600" s="10">
        <f t="shared" si="10"/>
        <v>0</v>
      </c>
      <c r="N600" s="10" t="s">
        <v>28</v>
      </c>
      <c r="O600" s="10" t="s">
        <v>29</v>
      </c>
      <c r="P600" s="10" t="s">
        <v>29</v>
      </c>
      <c r="Q600" s="10"/>
      <c r="R600" s="10"/>
      <c r="S600" s="10"/>
      <c r="T600" s="10"/>
      <c r="U600" s="10"/>
      <c r="V600" s="10"/>
      <c r="W600" s="10"/>
      <c r="X600" s="10" t="s">
        <v>30</v>
      </c>
      <c r="Y600" s="11"/>
    </row>
    <row r="601" spans="1:25" s="3" customFormat="1" ht="17.7" customHeight="1" x14ac:dyDescent="0.3">
      <c r="A601" s="21">
        <v>600</v>
      </c>
      <c r="B601" s="21">
        <v>8400152</v>
      </c>
      <c r="C601" s="9" t="s">
        <v>633</v>
      </c>
      <c r="D601" s="9" t="s">
        <v>25</v>
      </c>
      <c r="E601" s="9" t="s">
        <v>35</v>
      </c>
      <c r="F601" s="9"/>
      <c r="G601" s="9">
        <v>10</v>
      </c>
      <c r="H601" s="9"/>
      <c r="I601" s="9" t="s">
        <v>484</v>
      </c>
      <c r="J601" s="9"/>
      <c r="K601" s="9"/>
      <c r="L601" s="9"/>
      <c r="M601" s="9">
        <f t="shared" si="10"/>
        <v>0</v>
      </c>
      <c r="N601" s="9" t="s">
        <v>28</v>
      </c>
      <c r="O601" s="9" t="s">
        <v>29</v>
      </c>
      <c r="P601" s="9" t="s">
        <v>29</v>
      </c>
      <c r="Q601" s="9"/>
      <c r="R601" s="9"/>
      <c r="S601" s="9"/>
      <c r="T601" s="9"/>
      <c r="U601" s="9"/>
      <c r="V601" s="9"/>
      <c r="W601" s="9"/>
      <c r="X601" s="9" t="s">
        <v>30</v>
      </c>
      <c r="Y601" s="11"/>
    </row>
    <row r="602" spans="1:25" s="3" customFormat="1" ht="17.7" customHeight="1" x14ac:dyDescent="0.3">
      <c r="A602" s="20">
        <v>601</v>
      </c>
      <c r="B602" s="20">
        <v>8400153</v>
      </c>
      <c r="C602" s="10" t="s">
        <v>634</v>
      </c>
      <c r="D602" s="10" t="s">
        <v>25</v>
      </c>
      <c r="E602" s="10" t="s">
        <v>35</v>
      </c>
      <c r="F602" s="10"/>
      <c r="G602" s="10">
        <v>10</v>
      </c>
      <c r="H602" s="10"/>
      <c r="I602" s="10" t="s">
        <v>484</v>
      </c>
      <c r="J602" s="10"/>
      <c r="K602" s="10"/>
      <c r="L602" s="10"/>
      <c r="M602" s="10">
        <f t="shared" si="10"/>
        <v>0</v>
      </c>
      <c r="N602" s="10" t="s">
        <v>28</v>
      </c>
      <c r="O602" s="10" t="s">
        <v>29</v>
      </c>
      <c r="P602" s="10" t="s">
        <v>29</v>
      </c>
      <c r="Q602" s="10"/>
      <c r="R602" s="10"/>
      <c r="S602" s="10"/>
      <c r="T602" s="10"/>
      <c r="U602" s="10"/>
      <c r="V602" s="10"/>
      <c r="W602" s="10"/>
      <c r="X602" s="10" t="s">
        <v>30</v>
      </c>
      <c r="Y602" s="11"/>
    </row>
    <row r="603" spans="1:25" s="3" customFormat="1" ht="17.7" customHeight="1" x14ac:dyDescent="0.3">
      <c r="A603" s="21">
        <v>602</v>
      </c>
      <c r="B603" s="21">
        <v>8400154</v>
      </c>
      <c r="C603" s="9" t="s">
        <v>635</v>
      </c>
      <c r="D603" s="9" t="s">
        <v>25</v>
      </c>
      <c r="E603" s="9" t="s">
        <v>35</v>
      </c>
      <c r="F603" s="9"/>
      <c r="G603" s="9">
        <v>10</v>
      </c>
      <c r="H603" s="9"/>
      <c r="I603" s="9" t="s">
        <v>484</v>
      </c>
      <c r="J603" s="9"/>
      <c r="K603" s="9"/>
      <c r="L603" s="9"/>
      <c r="M603" s="9">
        <f t="shared" si="10"/>
        <v>0</v>
      </c>
      <c r="N603" s="9" t="s">
        <v>28</v>
      </c>
      <c r="O603" s="9" t="s">
        <v>29</v>
      </c>
      <c r="P603" s="9" t="s">
        <v>29</v>
      </c>
      <c r="Q603" s="9"/>
      <c r="R603" s="9"/>
      <c r="S603" s="9"/>
      <c r="T603" s="9"/>
      <c r="U603" s="9"/>
      <c r="V603" s="9"/>
      <c r="W603" s="9"/>
      <c r="X603" s="9" t="s">
        <v>30</v>
      </c>
      <c r="Y603" s="11"/>
    </row>
    <row r="604" spans="1:25" s="3" customFormat="1" ht="17.7" customHeight="1" x14ac:dyDescent="0.3">
      <c r="A604" s="20">
        <v>603</v>
      </c>
      <c r="B604" s="20">
        <v>8400155</v>
      </c>
      <c r="C604" s="10" t="s">
        <v>636</v>
      </c>
      <c r="D604" s="10" t="s">
        <v>25</v>
      </c>
      <c r="E604" s="10" t="s">
        <v>35</v>
      </c>
      <c r="F604" s="10"/>
      <c r="G604" s="10">
        <v>5</v>
      </c>
      <c r="H604" s="10"/>
      <c r="I604" s="10" t="s">
        <v>484</v>
      </c>
      <c r="J604" s="10"/>
      <c r="K604" s="10"/>
      <c r="L604" s="10"/>
      <c r="M604" s="10">
        <f t="shared" si="10"/>
        <v>0</v>
      </c>
      <c r="N604" s="10" t="s">
        <v>28</v>
      </c>
      <c r="O604" s="10" t="s">
        <v>29</v>
      </c>
      <c r="P604" s="10" t="s">
        <v>29</v>
      </c>
      <c r="Q604" s="10"/>
      <c r="R604" s="10"/>
      <c r="S604" s="10"/>
      <c r="T604" s="10"/>
      <c r="U604" s="10"/>
      <c r="V604" s="10"/>
      <c r="W604" s="10"/>
      <c r="X604" s="10" t="s">
        <v>30</v>
      </c>
      <c r="Y604" s="11"/>
    </row>
    <row r="605" spans="1:25" s="3" customFormat="1" ht="17.7" customHeight="1" x14ac:dyDescent="0.3">
      <c r="A605" s="21">
        <v>604</v>
      </c>
      <c r="B605" s="21">
        <v>8400156</v>
      </c>
      <c r="C605" s="9" t="s">
        <v>637</v>
      </c>
      <c r="D605" s="9" t="s">
        <v>25</v>
      </c>
      <c r="E605" s="9" t="s">
        <v>35</v>
      </c>
      <c r="F605" s="9"/>
      <c r="G605" s="9">
        <v>10</v>
      </c>
      <c r="H605" s="9"/>
      <c r="I605" s="9" t="s">
        <v>484</v>
      </c>
      <c r="J605" s="9"/>
      <c r="K605" s="9"/>
      <c r="L605" s="9"/>
      <c r="M605" s="9">
        <f t="shared" si="10"/>
        <v>0</v>
      </c>
      <c r="N605" s="9" t="s">
        <v>28</v>
      </c>
      <c r="O605" s="9" t="s">
        <v>29</v>
      </c>
      <c r="P605" s="9" t="s">
        <v>29</v>
      </c>
      <c r="Q605" s="9"/>
      <c r="R605" s="9"/>
      <c r="S605" s="9"/>
      <c r="T605" s="9"/>
      <c r="U605" s="9"/>
      <c r="V605" s="9"/>
      <c r="W605" s="9"/>
      <c r="X605" s="9" t="s">
        <v>30</v>
      </c>
      <c r="Y605" s="11"/>
    </row>
    <row r="606" spans="1:25" s="3" customFormat="1" ht="17.7" customHeight="1" x14ac:dyDescent="0.3">
      <c r="A606" s="20">
        <v>605</v>
      </c>
      <c r="B606" s="20">
        <v>8400157</v>
      </c>
      <c r="C606" s="10" t="s">
        <v>638</v>
      </c>
      <c r="D606" s="10" t="s">
        <v>25</v>
      </c>
      <c r="E606" s="10" t="s">
        <v>35</v>
      </c>
      <c r="F606" s="10"/>
      <c r="G606" s="10">
        <v>5</v>
      </c>
      <c r="H606" s="10"/>
      <c r="I606" s="10" t="s">
        <v>484</v>
      </c>
      <c r="J606" s="10"/>
      <c r="K606" s="10"/>
      <c r="L606" s="10"/>
      <c r="M606" s="10">
        <f t="shared" si="10"/>
        <v>0</v>
      </c>
      <c r="N606" s="10" t="s">
        <v>28</v>
      </c>
      <c r="O606" s="10" t="s">
        <v>29</v>
      </c>
      <c r="P606" s="10" t="s">
        <v>29</v>
      </c>
      <c r="Q606" s="10"/>
      <c r="R606" s="10"/>
      <c r="S606" s="10"/>
      <c r="T606" s="10"/>
      <c r="U606" s="10"/>
      <c r="V606" s="10"/>
      <c r="W606" s="10"/>
      <c r="X606" s="10" t="s">
        <v>30</v>
      </c>
      <c r="Y606" s="11"/>
    </row>
    <row r="607" spans="1:25" s="3" customFormat="1" ht="17.7" customHeight="1" x14ac:dyDescent="0.3">
      <c r="A607" s="21">
        <v>606</v>
      </c>
      <c r="B607" s="21">
        <v>8400158</v>
      </c>
      <c r="C607" s="9" t="s">
        <v>639</v>
      </c>
      <c r="D607" s="9" t="s">
        <v>25</v>
      </c>
      <c r="E607" s="9" t="s">
        <v>35</v>
      </c>
      <c r="F607" s="9"/>
      <c r="G607" s="9">
        <v>5</v>
      </c>
      <c r="H607" s="9"/>
      <c r="I607" s="9" t="s">
        <v>484</v>
      </c>
      <c r="J607" s="9"/>
      <c r="K607" s="9"/>
      <c r="L607" s="9"/>
      <c r="M607" s="9">
        <f t="shared" si="10"/>
        <v>0</v>
      </c>
      <c r="N607" s="9" t="s">
        <v>28</v>
      </c>
      <c r="O607" s="9" t="s">
        <v>29</v>
      </c>
      <c r="P607" s="9" t="s">
        <v>29</v>
      </c>
      <c r="Q607" s="9"/>
      <c r="R607" s="9"/>
      <c r="S607" s="9"/>
      <c r="T607" s="9"/>
      <c r="U607" s="9"/>
      <c r="V607" s="9"/>
      <c r="W607" s="9"/>
      <c r="X607" s="9" t="s">
        <v>30</v>
      </c>
      <c r="Y607" s="11"/>
    </row>
    <row r="608" spans="1:25" s="3" customFormat="1" ht="17.7" customHeight="1" x14ac:dyDescent="0.3">
      <c r="A608" s="20">
        <v>607</v>
      </c>
      <c r="B608" s="20">
        <v>8400159</v>
      </c>
      <c r="C608" s="10" t="s">
        <v>640</v>
      </c>
      <c r="D608" s="10" t="s">
        <v>25</v>
      </c>
      <c r="E608" s="10" t="s">
        <v>35</v>
      </c>
      <c r="F608" s="10"/>
      <c r="G608" s="10">
        <v>5</v>
      </c>
      <c r="H608" s="10"/>
      <c r="I608" s="10" t="s">
        <v>484</v>
      </c>
      <c r="J608" s="10"/>
      <c r="K608" s="10"/>
      <c r="L608" s="10"/>
      <c r="M608" s="10">
        <f t="shared" si="10"/>
        <v>0</v>
      </c>
      <c r="N608" s="10" t="s">
        <v>28</v>
      </c>
      <c r="O608" s="10" t="s">
        <v>29</v>
      </c>
      <c r="P608" s="10" t="s">
        <v>29</v>
      </c>
      <c r="Q608" s="10"/>
      <c r="R608" s="10"/>
      <c r="S608" s="10"/>
      <c r="T608" s="10"/>
      <c r="U608" s="10"/>
      <c r="V608" s="10"/>
      <c r="W608" s="10"/>
      <c r="X608" s="10" t="s">
        <v>30</v>
      </c>
      <c r="Y608" s="11"/>
    </row>
    <row r="609" spans="1:25" s="3" customFormat="1" ht="17.7" customHeight="1" x14ac:dyDescent="0.3">
      <c r="A609" s="21">
        <v>608</v>
      </c>
      <c r="B609" s="21">
        <v>8400160</v>
      </c>
      <c r="C609" s="9" t="s">
        <v>641</v>
      </c>
      <c r="D609" s="9" t="s">
        <v>25</v>
      </c>
      <c r="E609" s="9" t="s">
        <v>35</v>
      </c>
      <c r="F609" s="9"/>
      <c r="G609" s="9">
        <v>5</v>
      </c>
      <c r="H609" s="9"/>
      <c r="I609" s="9" t="s">
        <v>484</v>
      </c>
      <c r="J609" s="9"/>
      <c r="K609" s="9"/>
      <c r="L609" s="9"/>
      <c r="M609" s="9">
        <f t="shared" si="10"/>
        <v>0</v>
      </c>
      <c r="N609" s="9" t="s">
        <v>28</v>
      </c>
      <c r="O609" s="9" t="s">
        <v>29</v>
      </c>
      <c r="P609" s="9" t="s">
        <v>29</v>
      </c>
      <c r="Q609" s="9"/>
      <c r="R609" s="9"/>
      <c r="S609" s="9"/>
      <c r="T609" s="9"/>
      <c r="U609" s="9"/>
      <c r="V609" s="9"/>
      <c r="W609" s="9"/>
      <c r="X609" s="9" t="s">
        <v>30</v>
      </c>
      <c r="Y609" s="11"/>
    </row>
    <row r="610" spans="1:25" s="3" customFormat="1" ht="17.7" customHeight="1" x14ac:dyDescent="0.3">
      <c r="A610" s="20">
        <v>609</v>
      </c>
      <c r="B610" s="20">
        <v>8400161</v>
      </c>
      <c r="C610" s="10" t="s">
        <v>642</v>
      </c>
      <c r="D610" s="10" t="s">
        <v>25</v>
      </c>
      <c r="E610" s="10" t="s">
        <v>35</v>
      </c>
      <c r="F610" s="10"/>
      <c r="G610" s="10">
        <v>5</v>
      </c>
      <c r="H610" s="10"/>
      <c r="I610" s="10" t="s">
        <v>484</v>
      </c>
      <c r="J610" s="10"/>
      <c r="K610" s="10"/>
      <c r="L610" s="10"/>
      <c r="M610" s="10">
        <f t="shared" si="10"/>
        <v>0</v>
      </c>
      <c r="N610" s="10" t="s">
        <v>28</v>
      </c>
      <c r="O610" s="10" t="s">
        <v>29</v>
      </c>
      <c r="P610" s="10" t="s">
        <v>29</v>
      </c>
      <c r="Q610" s="10"/>
      <c r="R610" s="10"/>
      <c r="S610" s="10"/>
      <c r="T610" s="10"/>
      <c r="U610" s="10"/>
      <c r="V610" s="10"/>
      <c r="W610" s="10"/>
      <c r="X610" s="10" t="s">
        <v>30</v>
      </c>
      <c r="Y610" s="11"/>
    </row>
    <row r="611" spans="1:25" s="3" customFormat="1" ht="17.7" customHeight="1" x14ac:dyDescent="0.3">
      <c r="A611" s="21">
        <v>610</v>
      </c>
      <c r="B611" s="21">
        <v>8400162</v>
      </c>
      <c r="C611" s="9" t="s">
        <v>643</v>
      </c>
      <c r="D611" s="9" t="s">
        <v>25</v>
      </c>
      <c r="E611" s="9" t="s">
        <v>35</v>
      </c>
      <c r="F611" s="9"/>
      <c r="G611" s="9">
        <v>5</v>
      </c>
      <c r="H611" s="9"/>
      <c r="I611" s="9" t="s">
        <v>484</v>
      </c>
      <c r="J611" s="9"/>
      <c r="K611" s="9"/>
      <c r="L611" s="9"/>
      <c r="M611" s="9">
        <f t="shared" si="10"/>
        <v>0</v>
      </c>
      <c r="N611" s="9" t="s">
        <v>28</v>
      </c>
      <c r="O611" s="9" t="s">
        <v>29</v>
      </c>
      <c r="P611" s="9" t="s">
        <v>29</v>
      </c>
      <c r="Q611" s="9"/>
      <c r="R611" s="9"/>
      <c r="S611" s="9"/>
      <c r="T611" s="9"/>
      <c r="U611" s="9"/>
      <c r="V611" s="9"/>
      <c r="W611" s="9"/>
      <c r="X611" s="9" t="s">
        <v>30</v>
      </c>
      <c r="Y611" s="11"/>
    </row>
    <row r="612" spans="1:25" s="3" customFormat="1" ht="17.7" customHeight="1" x14ac:dyDescent="0.3">
      <c r="A612" s="20">
        <v>611</v>
      </c>
      <c r="B612" s="20">
        <v>8400163</v>
      </c>
      <c r="C612" s="10" t="s">
        <v>644</v>
      </c>
      <c r="D612" s="10" t="s">
        <v>25</v>
      </c>
      <c r="E612" s="10" t="s">
        <v>35</v>
      </c>
      <c r="F612" s="10"/>
      <c r="G612" s="10">
        <v>5</v>
      </c>
      <c r="H612" s="10"/>
      <c r="I612" s="10" t="s">
        <v>484</v>
      </c>
      <c r="J612" s="10"/>
      <c r="K612" s="10"/>
      <c r="L612" s="10"/>
      <c r="M612" s="10">
        <f t="shared" si="10"/>
        <v>0</v>
      </c>
      <c r="N612" s="10" t="s">
        <v>28</v>
      </c>
      <c r="O612" s="10" t="s">
        <v>29</v>
      </c>
      <c r="P612" s="10" t="s">
        <v>29</v>
      </c>
      <c r="Q612" s="10"/>
      <c r="R612" s="10"/>
      <c r="S612" s="10"/>
      <c r="T612" s="10"/>
      <c r="U612" s="10"/>
      <c r="V612" s="10"/>
      <c r="W612" s="10"/>
      <c r="X612" s="10" t="s">
        <v>30</v>
      </c>
      <c r="Y612" s="11"/>
    </row>
    <row r="613" spans="1:25" s="3" customFormat="1" ht="17.7" customHeight="1" x14ac:dyDescent="0.3">
      <c r="A613" s="21">
        <v>612</v>
      </c>
      <c r="B613" s="21">
        <v>8400164</v>
      </c>
      <c r="C613" s="9" t="s">
        <v>645</v>
      </c>
      <c r="D613" s="9" t="s">
        <v>25</v>
      </c>
      <c r="E613" s="9" t="s">
        <v>35</v>
      </c>
      <c r="F613" s="9"/>
      <c r="G613" s="9">
        <v>5</v>
      </c>
      <c r="H613" s="9"/>
      <c r="I613" s="9" t="s">
        <v>484</v>
      </c>
      <c r="J613" s="9"/>
      <c r="K613" s="9"/>
      <c r="L613" s="9"/>
      <c r="M613" s="9">
        <f t="shared" si="10"/>
        <v>0</v>
      </c>
      <c r="N613" s="9" t="s">
        <v>28</v>
      </c>
      <c r="O613" s="9" t="s">
        <v>29</v>
      </c>
      <c r="P613" s="9" t="s">
        <v>29</v>
      </c>
      <c r="Q613" s="9"/>
      <c r="R613" s="9"/>
      <c r="S613" s="9"/>
      <c r="T613" s="9"/>
      <c r="U613" s="9"/>
      <c r="V613" s="9"/>
      <c r="W613" s="9"/>
      <c r="X613" s="9" t="s">
        <v>30</v>
      </c>
      <c r="Y613" s="11"/>
    </row>
    <row r="614" spans="1:25" s="3" customFormat="1" ht="17.7" customHeight="1" x14ac:dyDescent="0.3">
      <c r="A614" s="20">
        <v>613</v>
      </c>
      <c r="B614" s="20">
        <v>8400165</v>
      </c>
      <c r="C614" s="10" t="s">
        <v>646</v>
      </c>
      <c r="D614" s="10" t="s">
        <v>25</v>
      </c>
      <c r="E614" s="10" t="s">
        <v>35</v>
      </c>
      <c r="F614" s="10"/>
      <c r="G614" s="10">
        <v>5</v>
      </c>
      <c r="H614" s="10"/>
      <c r="I614" s="10" t="s">
        <v>484</v>
      </c>
      <c r="J614" s="10"/>
      <c r="K614" s="10"/>
      <c r="L614" s="10"/>
      <c r="M614" s="10">
        <f t="shared" si="10"/>
        <v>0</v>
      </c>
      <c r="N614" s="10" t="s">
        <v>28</v>
      </c>
      <c r="O614" s="10" t="s">
        <v>29</v>
      </c>
      <c r="P614" s="10" t="s">
        <v>29</v>
      </c>
      <c r="Q614" s="10"/>
      <c r="R614" s="10"/>
      <c r="S614" s="10"/>
      <c r="T614" s="10"/>
      <c r="U614" s="10"/>
      <c r="V614" s="10"/>
      <c r="W614" s="10"/>
      <c r="X614" s="10" t="s">
        <v>30</v>
      </c>
      <c r="Y614" s="11"/>
    </row>
    <row r="615" spans="1:25" s="3" customFormat="1" ht="17.7" customHeight="1" x14ac:dyDescent="0.3">
      <c r="A615" s="21">
        <v>614</v>
      </c>
      <c r="B615" s="21">
        <v>8400166</v>
      </c>
      <c r="C615" s="9" t="s">
        <v>647</v>
      </c>
      <c r="D615" s="9" t="s">
        <v>25</v>
      </c>
      <c r="E615" s="9" t="s">
        <v>35</v>
      </c>
      <c r="F615" s="9"/>
      <c r="G615" s="9">
        <v>3</v>
      </c>
      <c r="H615" s="9"/>
      <c r="I615" s="9" t="s">
        <v>484</v>
      </c>
      <c r="J615" s="9"/>
      <c r="K615" s="9"/>
      <c r="L615" s="9"/>
      <c r="M615" s="9">
        <f t="shared" si="10"/>
        <v>0</v>
      </c>
      <c r="N615" s="9" t="s">
        <v>28</v>
      </c>
      <c r="O615" s="9" t="s">
        <v>29</v>
      </c>
      <c r="P615" s="9" t="s">
        <v>29</v>
      </c>
      <c r="Q615" s="9"/>
      <c r="R615" s="9"/>
      <c r="S615" s="9"/>
      <c r="T615" s="9"/>
      <c r="U615" s="9"/>
      <c r="V615" s="9"/>
      <c r="W615" s="9"/>
      <c r="X615" s="9" t="s">
        <v>30</v>
      </c>
      <c r="Y615" s="11"/>
    </row>
    <row r="616" spans="1:25" s="3" customFormat="1" ht="17.7" customHeight="1" x14ac:dyDescent="0.3">
      <c r="A616" s="20">
        <v>615</v>
      </c>
      <c r="B616" s="20">
        <v>8400167</v>
      </c>
      <c r="C616" s="10" t="s">
        <v>648</v>
      </c>
      <c r="D616" s="10" t="s">
        <v>25</v>
      </c>
      <c r="E616" s="10" t="s">
        <v>35</v>
      </c>
      <c r="F616" s="10"/>
      <c r="G616" s="10">
        <v>5</v>
      </c>
      <c r="H616" s="10"/>
      <c r="I616" s="10" t="s">
        <v>484</v>
      </c>
      <c r="J616" s="10"/>
      <c r="K616" s="10"/>
      <c r="L616" s="10"/>
      <c r="M616" s="10">
        <f t="shared" si="10"/>
        <v>0</v>
      </c>
      <c r="N616" s="10" t="s">
        <v>28</v>
      </c>
      <c r="O616" s="10" t="s">
        <v>29</v>
      </c>
      <c r="P616" s="10" t="s">
        <v>29</v>
      </c>
      <c r="Q616" s="10"/>
      <c r="R616" s="10"/>
      <c r="S616" s="10"/>
      <c r="T616" s="10"/>
      <c r="U616" s="10"/>
      <c r="V616" s="10"/>
      <c r="W616" s="10"/>
      <c r="X616" s="10" t="s">
        <v>30</v>
      </c>
      <c r="Y616" s="11"/>
    </row>
    <row r="617" spans="1:25" s="3" customFormat="1" ht="17.7" customHeight="1" x14ac:dyDescent="0.3">
      <c r="A617" s="21">
        <v>616</v>
      </c>
      <c r="B617" s="21">
        <v>8400168</v>
      </c>
      <c r="C617" s="9" t="s">
        <v>649</v>
      </c>
      <c r="D617" s="9" t="s">
        <v>25</v>
      </c>
      <c r="E617" s="9" t="s">
        <v>35</v>
      </c>
      <c r="F617" s="9"/>
      <c r="G617" s="9">
        <v>5</v>
      </c>
      <c r="H617" s="9"/>
      <c r="I617" s="9" t="s">
        <v>484</v>
      </c>
      <c r="J617" s="9"/>
      <c r="K617" s="9"/>
      <c r="L617" s="9"/>
      <c r="M617" s="9">
        <f t="shared" si="10"/>
        <v>0</v>
      </c>
      <c r="N617" s="9" t="s">
        <v>28</v>
      </c>
      <c r="O617" s="9" t="s">
        <v>29</v>
      </c>
      <c r="P617" s="9" t="s">
        <v>29</v>
      </c>
      <c r="Q617" s="9"/>
      <c r="R617" s="9"/>
      <c r="S617" s="9"/>
      <c r="T617" s="9"/>
      <c r="U617" s="9"/>
      <c r="V617" s="9"/>
      <c r="W617" s="9"/>
      <c r="X617" s="9" t="s">
        <v>30</v>
      </c>
      <c r="Y617" s="11"/>
    </row>
    <row r="618" spans="1:25" s="3" customFormat="1" ht="17.7" customHeight="1" x14ac:dyDescent="0.3">
      <c r="A618" s="20">
        <v>617</v>
      </c>
      <c r="B618" s="20">
        <v>8400169</v>
      </c>
      <c r="C618" s="10" t="s">
        <v>650</v>
      </c>
      <c r="D618" s="10" t="s">
        <v>25</v>
      </c>
      <c r="E618" s="10" t="s">
        <v>35</v>
      </c>
      <c r="F618" s="10"/>
      <c r="G618" s="10">
        <v>5</v>
      </c>
      <c r="H618" s="10"/>
      <c r="I618" s="10" t="s">
        <v>484</v>
      </c>
      <c r="J618" s="10"/>
      <c r="K618" s="10"/>
      <c r="L618" s="10"/>
      <c r="M618" s="10">
        <f t="shared" si="10"/>
        <v>0</v>
      </c>
      <c r="N618" s="10" t="s">
        <v>28</v>
      </c>
      <c r="O618" s="10" t="s">
        <v>29</v>
      </c>
      <c r="P618" s="10" t="s">
        <v>29</v>
      </c>
      <c r="Q618" s="10"/>
      <c r="R618" s="10"/>
      <c r="S618" s="10"/>
      <c r="T618" s="10"/>
      <c r="U618" s="10"/>
      <c r="V618" s="10"/>
      <c r="W618" s="10"/>
      <c r="X618" s="10" t="s">
        <v>30</v>
      </c>
      <c r="Y618" s="11"/>
    </row>
    <row r="619" spans="1:25" s="3" customFormat="1" ht="17.7" customHeight="1" x14ac:dyDescent="0.3">
      <c r="A619" s="21">
        <v>618</v>
      </c>
      <c r="B619" s="21">
        <v>8400170</v>
      </c>
      <c r="C619" s="9" t="s">
        <v>651</v>
      </c>
      <c r="D619" s="9" t="s">
        <v>25</v>
      </c>
      <c r="E619" s="9" t="s">
        <v>35</v>
      </c>
      <c r="F619" s="9"/>
      <c r="G619" s="9">
        <v>5</v>
      </c>
      <c r="H619" s="9"/>
      <c r="I619" s="9" t="s">
        <v>484</v>
      </c>
      <c r="J619" s="9"/>
      <c r="K619" s="9"/>
      <c r="L619" s="9"/>
      <c r="M619" s="9">
        <f t="shared" si="10"/>
        <v>0</v>
      </c>
      <c r="N619" s="9" t="s">
        <v>28</v>
      </c>
      <c r="O619" s="9" t="s">
        <v>29</v>
      </c>
      <c r="P619" s="9" t="s">
        <v>29</v>
      </c>
      <c r="Q619" s="9"/>
      <c r="R619" s="9"/>
      <c r="S619" s="9"/>
      <c r="T619" s="9"/>
      <c r="U619" s="9"/>
      <c r="V619" s="9"/>
      <c r="W619" s="9"/>
      <c r="X619" s="9" t="s">
        <v>30</v>
      </c>
      <c r="Y619" s="11"/>
    </row>
    <row r="620" spans="1:25" s="3" customFormat="1" ht="17.7" customHeight="1" x14ac:dyDescent="0.3">
      <c r="A620" s="20">
        <v>619</v>
      </c>
      <c r="B620" s="20">
        <v>8400171</v>
      </c>
      <c r="C620" s="10" t="s">
        <v>652</v>
      </c>
      <c r="D620" s="10" t="s">
        <v>25</v>
      </c>
      <c r="E620" s="10" t="s">
        <v>35</v>
      </c>
      <c r="F620" s="10"/>
      <c r="G620" s="10">
        <v>5</v>
      </c>
      <c r="H620" s="10"/>
      <c r="I620" s="10" t="s">
        <v>484</v>
      </c>
      <c r="J620" s="10"/>
      <c r="K620" s="10"/>
      <c r="L620" s="10"/>
      <c r="M620" s="10">
        <f t="shared" si="10"/>
        <v>0</v>
      </c>
      <c r="N620" s="10" t="s">
        <v>28</v>
      </c>
      <c r="O620" s="10" t="s">
        <v>29</v>
      </c>
      <c r="P620" s="10" t="s">
        <v>29</v>
      </c>
      <c r="Q620" s="10"/>
      <c r="R620" s="10"/>
      <c r="S620" s="10"/>
      <c r="T620" s="10"/>
      <c r="U620" s="10"/>
      <c r="V620" s="10"/>
      <c r="W620" s="10"/>
      <c r="X620" s="10" t="s">
        <v>30</v>
      </c>
      <c r="Y620" s="11"/>
    </row>
    <row r="621" spans="1:25" s="3" customFormat="1" ht="17.7" customHeight="1" x14ac:dyDescent="0.3">
      <c r="A621" s="21">
        <v>620</v>
      </c>
      <c r="B621" s="21">
        <v>8400172</v>
      </c>
      <c r="C621" s="9" t="s">
        <v>653</v>
      </c>
      <c r="D621" s="9" t="s">
        <v>25</v>
      </c>
      <c r="E621" s="9" t="s">
        <v>35</v>
      </c>
      <c r="F621" s="9"/>
      <c r="G621" s="9">
        <v>5</v>
      </c>
      <c r="H621" s="9"/>
      <c r="I621" s="9" t="s">
        <v>484</v>
      </c>
      <c r="J621" s="9"/>
      <c r="K621" s="9"/>
      <c r="L621" s="9"/>
      <c r="M621" s="9">
        <f t="shared" si="10"/>
        <v>0</v>
      </c>
      <c r="N621" s="9" t="s">
        <v>28</v>
      </c>
      <c r="O621" s="9" t="s">
        <v>29</v>
      </c>
      <c r="P621" s="9" t="s">
        <v>29</v>
      </c>
      <c r="Q621" s="9"/>
      <c r="R621" s="9"/>
      <c r="S621" s="9"/>
      <c r="T621" s="9"/>
      <c r="U621" s="9"/>
      <c r="V621" s="9"/>
      <c r="W621" s="9"/>
      <c r="X621" s="9" t="s">
        <v>30</v>
      </c>
      <c r="Y621" s="11"/>
    </row>
    <row r="622" spans="1:25" s="3" customFormat="1" ht="17.7" customHeight="1" x14ac:dyDescent="0.3">
      <c r="A622" s="20">
        <v>621</v>
      </c>
      <c r="B622" s="20">
        <v>8400173</v>
      </c>
      <c r="C622" s="10" t="s">
        <v>654</v>
      </c>
      <c r="D622" s="10" t="s">
        <v>25</v>
      </c>
      <c r="E622" s="10" t="s">
        <v>35</v>
      </c>
      <c r="F622" s="10"/>
      <c r="G622" s="10">
        <v>10</v>
      </c>
      <c r="H622" s="10"/>
      <c r="I622" s="10" t="s">
        <v>484</v>
      </c>
      <c r="J622" s="10"/>
      <c r="K622" s="10"/>
      <c r="L622" s="10"/>
      <c r="M622" s="10">
        <f t="shared" si="10"/>
        <v>0</v>
      </c>
      <c r="N622" s="10" t="s">
        <v>28</v>
      </c>
      <c r="O622" s="10" t="s">
        <v>29</v>
      </c>
      <c r="P622" s="10" t="s">
        <v>29</v>
      </c>
      <c r="Q622" s="10"/>
      <c r="R622" s="10"/>
      <c r="S622" s="10"/>
      <c r="T622" s="10"/>
      <c r="U622" s="10"/>
      <c r="V622" s="10"/>
      <c r="W622" s="10"/>
      <c r="X622" s="10" t="s">
        <v>30</v>
      </c>
      <c r="Y622" s="11"/>
    </row>
    <row r="623" spans="1:25" s="3" customFormat="1" ht="17.7" customHeight="1" x14ac:dyDescent="0.3">
      <c r="A623" s="21">
        <v>622</v>
      </c>
      <c r="B623" s="21">
        <v>8400174</v>
      </c>
      <c r="C623" s="9" t="s">
        <v>655</v>
      </c>
      <c r="D623" s="9" t="s">
        <v>25</v>
      </c>
      <c r="E623" s="9" t="s">
        <v>35</v>
      </c>
      <c r="F623" s="9"/>
      <c r="G623" s="9">
        <v>10</v>
      </c>
      <c r="H623" s="9"/>
      <c r="I623" s="9" t="s">
        <v>484</v>
      </c>
      <c r="J623" s="9"/>
      <c r="K623" s="9"/>
      <c r="L623" s="9"/>
      <c r="M623" s="9">
        <f t="shared" si="10"/>
        <v>0</v>
      </c>
      <c r="N623" s="9" t="s">
        <v>28</v>
      </c>
      <c r="O623" s="9" t="s">
        <v>29</v>
      </c>
      <c r="P623" s="9" t="s">
        <v>29</v>
      </c>
      <c r="Q623" s="9"/>
      <c r="R623" s="9"/>
      <c r="S623" s="9"/>
      <c r="T623" s="9"/>
      <c r="U623" s="9"/>
      <c r="V623" s="9"/>
      <c r="W623" s="9"/>
      <c r="X623" s="9" t="s">
        <v>30</v>
      </c>
      <c r="Y623" s="11"/>
    </row>
    <row r="624" spans="1:25" s="3" customFormat="1" ht="17.7" customHeight="1" x14ac:dyDescent="0.3">
      <c r="A624" s="20">
        <v>623</v>
      </c>
      <c r="B624" s="20">
        <v>8400175</v>
      </c>
      <c r="C624" s="10" t="s">
        <v>656</v>
      </c>
      <c r="D624" s="10" t="s">
        <v>25</v>
      </c>
      <c r="E624" s="10" t="s">
        <v>35</v>
      </c>
      <c r="F624" s="10"/>
      <c r="G624" s="10">
        <v>10</v>
      </c>
      <c r="H624" s="10"/>
      <c r="I624" s="10" t="s">
        <v>484</v>
      </c>
      <c r="J624" s="10"/>
      <c r="K624" s="10"/>
      <c r="L624" s="10"/>
      <c r="M624" s="10">
        <f t="shared" si="10"/>
        <v>0</v>
      </c>
      <c r="N624" s="10" t="s">
        <v>28</v>
      </c>
      <c r="O624" s="10" t="s">
        <v>29</v>
      </c>
      <c r="P624" s="10" t="s">
        <v>29</v>
      </c>
      <c r="Q624" s="10"/>
      <c r="R624" s="10"/>
      <c r="S624" s="10"/>
      <c r="T624" s="10"/>
      <c r="U624" s="10"/>
      <c r="V624" s="10"/>
      <c r="W624" s="10"/>
      <c r="X624" s="10" t="s">
        <v>30</v>
      </c>
      <c r="Y624" s="11"/>
    </row>
    <row r="625" spans="1:25" s="3" customFormat="1" ht="17.7" customHeight="1" x14ac:dyDescent="0.3">
      <c r="A625" s="21">
        <v>624</v>
      </c>
      <c r="B625" s="21">
        <v>8400176</v>
      </c>
      <c r="C625" s="9" t="s">
        <v>657</v>
      </c>
      <c r="D625" s="9" t="s">
        <v>25</v>
      </c>
      <c r="E625" s="9" t="s">
        <v>35</v>
      </c>
      <c r="F625" s="9"/>
      <c r="G625" s="9">
        <v>10</v>
      </c>
      <c r="H625" s="9"/>
      <c r="I625" s="9" t="s">
        <v>484</v>
      </c>
      <c r="J625" s="9"/>
      <c r="K625" s="9"/>
      <c r="L625" s="9"/>
      <c r="M625" s="9">
        <f t="shared" si="10"/>
        <v>0</v>
      </c>
      <c r="N625" s="9" t="s">
        <v>28</v>
      </c>
      <c r="O625" s="9" t="s">
        <v>29</v>
      </c>
      <c r="P625" s="9" t="s">
        <v>29</v>
      </c>
      <c r="Q625" s="9"/>
      <c r="R625" s="9"/>
      <c r="S625" s="9"/>
      <c r="T625" s="9"/>
      <c r="U625" s="9"/>
      <c r="V625" s="9"/>
      <c r="W625" s="9"/>
      <c r="X625" s="9" t="s">
        <v>30</v>
      </c>
      <c r="Y625" s="11"/>
    </row>
    <row r="626" spans="1:25" s="3" customFormat="1" ht="17.7" customHeight="1" x14ac:dyDescent="0.3">
      <c r="A626" s="20">
        <v>625</v>
      </c>
      <c r="B626" s="20">
        <v>8400177</v>
      </c>
      <c r="C626" s="10" t="s">
        <v>658</v>
      </c>
      <c r="D626" s="10" t="s">
        <v>25</v>
      </c>
      <c r="E626" s="10" t="s">
        <v>35</v>
      </c>
      <c r="F626" s="10"/>
      <c r="G626" s="10">
        <v>10</v>
      </c>
      <c r="H626" s="10"/>
      <c r="I626" s="10" t="s">
        <v>484</v>
      </c>
      <c r="J626" s="10"/>
      <c r="K626" s="10"/>
      <c r="L626" s="10"/>
      <c r="M626" s="10">
        <f t="shared" si="10"/>
        <v>0</v>
      </c>
      <c r="N626" s="10" t="s">
        <v>28</v>
      </c>
      <c r="O626" s="10" t="s">
        <v>29</v>
      </c>
      <c r="P626" s="10" t="s">
        <v>29</v>
      </c>
      <c r="Q626" s="10"/>
      <c r="R626" s="10"/>
      <c r="S626" s="10"/>
      <c r="T626" s="10"/>
      <c r="U626" s="10"/>
      <c r="V626" s="10"/>
      <c r="W626" s="10"/>
      <c r="X626" s="10" t="s">
        <v>30</v>
      </c>
      <c r="Y626" s="11"/>
    </row>
    <row r="627" spans="1:25" s="3" customFormat="1" ht="17.7" customHeight="1" x14ac:dyDescent="0.3">
      <c r="A627" s="21">
        <v>626</v>
      </c>
      <c r="B627" s="21">
        <v>8400178</v>
      </c>
      <c r="C627" s="9" t="s">
        <v>659</v>
      </c>
      <c r="D627" s="9" t="s">
        <v>25</v>
      </c>
      <c r="E627" s="9" t="s">
        <v>35</v>
      </c>
      <c r="F627" s="9"/>
      <c r="G627" s="9">
        <v>5</v>
      </c>
      <c r="H627" s="9"/>
      <c r="I627" s="9" t="s">
        <v>484</v>
      </c>
      <c r="J627" s="9"/>
      <c r="K627" s="9"/>
      <c r="L627" s="9"/>
      <c r="M627" s="9">
        <f t="shared" si="10"/>
        <v>0</v>
      </c>
      <c r="N627" s="9" t="s">
        <v>28</v>
      </c>
      <c r="O627" s="9" t="s">
        <v>29</v>
      </c>
      <c r="P627" s="9" t="s">
        <v>29</v>
      </c>
      <c r="Q627" s="9"/>
      <c r="R627" s="9"/>
      <c r="S627" s="9"/>
      <c r="T627" s="9"/>
      <c r="U627" s="9"/>
      <c r="V627" s="9"/>
      <c r="W627" s="9"/>
      <c r="X627" s="9" t="s">
        <v>30</v>
      </c>
      <c r="Y627" s="11"/>
    </row>
    <row r="628" spans="1:25" s="3" customFormat="1" ht="17.7" customHeight="1" x14ac:dyDescent="0.3">
      <c r="A628" s="20">
        <v>627</v>
      </c>
      <c r="B628" s="20">
        <v>8400179</v>
      </c>
      <c r="C628" s="10" t="s">
        <v>660</v>
      </c>
      <c r="D628" s="10" t="s">
        <v>25</v>
      </c>
      <c r="E628" s="10" t="s">
        <v>35</v>
      </c>
      <c r="F628" s="10"/>
      <c r="G628" s="10">
        <v>5</v>
      </c>
      <c r="H628" s="10"/>
      <c r="I628" s="10" t="s">
        <v>484</v>
      </c>
      <c r="J628" s="10"/>
      <c r="K628" s="10"/>
      <c r="L628" s="10"/>
      <c r="M628" s="10">
        <f t="shared" si="10"/>
        <v>0</v>
      </c>
      <c r="N628" s="10" t="s">
        <v>28</v>
      </c>
      <c r="O628" s="10" t="s">
        <v>29</v>
      </c>
      <c r="P628" s="10" t="s">
        <v>29</v>
      </c>
      <c r="Q628" s="10"/>
      <c r="R628" s="10"/>
      <c r="S628" s="10"/>
      <c r="T628" s="10"/>
      <c r="U628" s="10"/>
      <c r="V628" s="10"/>
      <c r="W628" s="10"/>
      <c r="X628" s="10" t="s">
        <v>30</v>
      </c>
      <c r="Y628" s="11"/>
    </row>
    <row r="629" spans="1:25" s="3" customFormat="1" ht="17.7" customHeight="1" x14ac:dyDescent="0.3">
      <c r="A629" s="21">
        <v>628</v>
      </c>
      <c r="B629" s="21">
        <v>8400180</v>
      </c>
      <c r="C629" s="9" t="s">
        <v>661</v>
      </c>
      <c r="D629" s="9" t="s">
        <v>25</v>
      </c>
      <c r="E629" s="9" t="s">
        <v>35</v>
      </c>
      <c r="F629" s="9"/>
      <c r="G629" s="9">
        <v>10</v>
      </c>
      <c r="H629" s="9"/>
      <c r="I629" s="9" t="s">
        <v>484</v>
      </c>
      <c r="J629" s="9"/>
      <c r="K629" s="9"/>
      <c r="L629" s="9"/>
      <c r="M629" s="9">
        <f t="shared" si="10"/>
        <v>0</v>
      </c>
      <c r="N629" s="9" t="s">
        <v>28</v>
      </c>
      <c r="O629" s="9" t="s">
        <v>29</v>
      </c>
      <c r="P629" s="9" t="s">
        <v>29</v>
      </c>
      <c r="Q629" s="9"/>
      <c r="R629" s="9"/>
      <c r="S629" s="9"/>
      <c r="T629" s="9"/>
      <c r="U629" s="9"/>
      <c r="V629" s="9"/>
      <c r="W629" s="9"/>
      <c r="X629" s="9" t="s">
        <v>30</v>
      </c>
      <c r="Y629" s="11"/>
    </row>
    <row r="630" spans="1:25" s="3" customFormat="1" ht="17.7" customHeight="1" x14ac:dyDescent="0.3">
      <c r="A630" s="20">
        <v>629</v>
      </c>
      <c r="B630" s="20">
        <v>8400181</v>
      </c>
      <c r="C630" s="10" t="s">
        <v>662</v>
      </c>
      <c r="D630" s="10" t="s">
        <v>25</v>
      </c>
      <c r="E630" s="10" t="s">
        <v>35</v>
      </c>
      <c r="F630" s="10"/>
      <c r="G630" s="10">
        <v>10</v>
      </c>
      <c r="H630" s="10"/>
      <c r="I630" s="10" t="s">
        <v>484</v>
      </c>
      <c r="J630" s="10"/>
      <c r="K630" s="10"/>
      <c r="L630" s="10"/>
      <c r="M630" s="10">
        <f t="shared" si="10"/>
        <v>0</v>
      </c>
      <c r="N630" s="10" t="s">
        <v>28</v>
      </c>
      <c r="O630" s="10" t="s">
        <v>29</v>
      </c>
      <c r="P630" s="10" t="s">
        <v>29</v>
      </c>
      <c r="Q630" s="10"/>
      <c r="R630" s="10"/>
      <c r="S630" s="10"/>
      <c r="T630" s="10"/>
      <c r="U630" s="10"/>
      <c r="V630" s="10"/>
      <c r="W630" s="10"/>
      <c r="X630" s="10" t="s">
        <v>30</v>
      </c>
      <c r="Y630" s="11"/>
    </row>
    <row r="631" spans="1:25" s="3" customFormat="1" ht="17.7" customHeight="1" x14ac:dyDescent="0.3">
      <c r="A631" s="21">
        <v>630</v>
      </c>
      <c r="B631" s="21">
        <v>8400182</v>
      </c>
      <c r="C631" s="9" t="s">
        <v>663</v>
      </c>
      <c r="D631" s="9" t="s">
        <v>25</v>
      </c>
      <c r="E631" s="9" t="s">
        <v>35</v>
      </c>
      <c r="F631" s="9"/>
      <c r="G631" s="9">
        <v>5</v>
      </c>
      <c r="H631" s="9"/>
      <c r="I631" s="9" t="s">
        <v>484</v>
      </c>
      <c r="J631" s="9"/>
      <c r="K631" s="9"/>
      <c r="L631" s="9"/>
      <c r="M631" s="9">
        <f t="shared" si="10"/>
        <v>0</v>
      </c>
      <c r="N631" s="9" t="s">
        <v>28</v>
      </c>
      <c r="O631" s="9" t="s">
        <v>29</v>
      </c>
      <c r="P631" s="9" t="s">
        <v>29</v>
      </c>
      <c r="Q631" s="9"/>
      <c r="R631" s="9"/>
      <c r="S631" s="9"/>
      <c r="T631" s="9"/>
      <c r="U631" s="9"/>
      <c r="V631" s="9"/>
      <c r="W631" s="9"/>
      <c r="X631" s="9" t="s">
        <v>30</v>
      </c>
      <c r="Y631" s="11"/>
    </row>
    <row r="632" spans="1:25" s="3" customFormat="1" ht="17.7" customHeight="1" x14ac:dyDescent="0.3">
      <c r="A632" s="20">
        <v>631</v>
      </c>
      <c r="B632" s="20">
        <v>8400183</v>
      </c>
      <c r="C632" s="10" t="s">
        <v>664</v>
      </c>
      <c r="D632" s="10" t="s">
        <v>25</v>
      </c>
      <c r="E632" s="10" t="s">
        <v>35</v>
      </c>
      <c r="F632" s="10"/>
      <c r="G632" s="10">
        <v>5</v>
      </c>
      <c r="H632" s="10"/>
      <c r="I632" s="10" t="s">
        <v>484</v>
      </c>
      <c r="J632" s="10"/>
      <c r="K632" s="10"/>
      <c r="L632" s="10"/>
      <c r="M632" s="10">
        <f t="shared" si="10"/>
        <v>0</v>
      </c>
      <c r="N632" s="10" t="s">
        <v>28</v>
      </c>
      <c r="O632" s="10" t="s">
        <v>29</v>
      </c>
      <c r="P632" s="10" t="s">
        <v>29</v>
      </c>
      <c r="Q632" s="10"/>
      <c r="R632" s="10"/>
      <c r="S632" s="10"/>
      <c r="T632" s="10"/>
      <c r="U632" s="10"/>
      <c r="V632" s="10"/>
      <c r="W632" s="10"/>
      <c r="X632" s="10" t="s">
        <v>30</v>
      </c>
      <c r="Y632" s="11"/>
    </row>
    <row r="633" spans="1:25" s="3" customFormat="1" ht="17.7" customHeight="1" x14ac:dyDescent="0.3">
      <c r="A633" s="21">
        <v>632</v>
      </c>
      <c r="B633" s="21">
        <v>8400184</v>
      </c>
      <c r="C633" s="9" t="s">
        <v>665</v>
      </c>
      <c r="D633" s="9" t="s">
        <v>25</v>
      </c>
      <c r="E633" s="9" t="s">
        <v>35</v>
      </c>
      <c r="F633" s="9"/>
      <c r="G633" s="9">
        <v>3</v>
      </c>
      <c r="H633" s="9"/>
      <c r="I633" s="9" t="s">
        <v>484</v>
      </c>
      <c r="J633" s="9"/>
      <c r="K633" s="9"/>
      <c r="L633" s="9"/>
      <c r="M633" s="9">
        <f t="shared" si="10"/>
        <v>0</v>
      </c>
      <c r="N633" s="9" t="s">
        <v>28</v>
      </c>
      <c r="O633" s="9" t="s">
        <v>29</v>
      </c>
      <c r="P633" s="9" t="s">
        <v>29</v>
      </c>
      <c r="Q633" s="9"/>
      <c r="R633" s="9"/>
      <c r="S633" s="9"/>
      <c r="T633" s="9"/>
      <c r="U633" s="9"/>
      <c r="V633" s="9"/>
      <c r="W633" s="9"/>
      <c r="X633" s="9" t="s">
        <v>30</v>
      </c>
      <c r="Y633" s="11"/>
    </row>
    <row r="634" spans="1:25" s="3" customFormat="1" ht="17.7" customHeight="1" x14ac:dyDescent="0.3">
      <c r="A634" s="20">
        <v>633</v>
      </c>
      <c r="B634" s="20">
        <v>8400185</v>
      </c>
      <c r="C634" s="10" t="s">
        <v>666</v>
      </c>
      <c r="D634" s="10" t="s">
        <v>25</v>
      </c>
      <c r="E634" s="10" t="s">
        <v>35</v>
      </c>
      <c r="F634" s="10"/>
      <c r="G634" s="10">
        <v>5</v>
      </c>
      <c r="H634" s="10"/>
      <c r="I634" s="10" t="s">
        <v>484</v>
      </c>
      <c r="J634" s="10"/>
      <c r="K634" s="10"/>
      <c r="L634" s="10"/>
      <c r="M634" s="10">
        <f t="shared" si="10"/>
        <v>0</v>
      </c>
      <c r="N634" s="10" t="s">
        <v>28</v>
      </c>
      <c r="O634" s="10" t="s">
        <v>29</v>
      </c>
      <c r="P634" s="10" t="s">
        <v>29</v>
      </c>
      <c r="Q634" s="10"/>
      <c r="R634" s="10"/>
      <c r="S634" s="10"/>
      <c r="T634" s="10"/>
      <c r="U634" s="10"/>
      <c r="V634" s="10"/>
      <c r="W634" s="10"/>
      <c r="X634" s="10" t="s">
        <v>30</v>
      </c>
      <c r="Y634" s="11"/>
    </row>
    <row r="635" spans="1:25" s="3" customFormat="1" ht="17.7" customHeight="1" x14ac:dyDescent="0.3">
      <c r="A635" s="21">
        <v>634</v>
      </c>
      <c r="B635" s="21">
        <v>8400186</v>
      </c>
      <c r="C635" s="9" t="s">
        <v>667</v>
      </c>
      <c r="D635" s="9" t="s">
        <v>25</v>
      </c>
      <c r="E635" s="9" t="s">
        <v>35</v>
      </c>
      <c r="F635" s="9"/>
      <c r="G635" s="9">
        <v>5</v>
      </c>
      <c r="H635" s="9"/>
      <c r="I635" s="9" t="s">
        <v>484</v>
      </c>
      <c r="J635" s="9"/>
      <c r="K635" s="9"/>
      <c r="L635" s="9"/>
      <c r="M635" s="9">
        <f t="shared" si="10"/>
        <v>0</v>
      </c>
      <c r="N635" s="9" t="s">
        <v>28</v>
      </c>
      <c r="O635" s="9" t="s">
        <v>29</v>
      </c>
      <c r="P635" s="9" t="s">
        <v>29</v>
      </c>
      <c r="Q635" s="9"/>
      <c r="R635" s="9"/>
      <c r="S635" s="9"/>
      <c r="T635" s="9"/>
      <c r="U635" s="9"/>
      <c r="V635" s="9"/>
      <c r="W635" s="9"/>
      <c r="X635" s="9" t="s">
        <v>30</v>
      </c>
      <c r="Y635" s="11"/>
    </row>
    <row r="636" spans="1:25" s="3" customFormat="1" ht="17.7" customHeight="1" x14ac:dyDescent="0.3">
      <c r="A636" s="20">
        <v>635</v>
      </c>
      <c r="B636" s="20">
        <v>8400187</v>
      </c>
      <c r="C636" s="10" t="s">
        <v>668</v>
      </c>
      <c r="D636" s="10" t="s">
        <v>25</v>
      </c>
      <c r="E636" s="10" t="s">
        <v>35</v>
      </c>
      <c r="F636" s="10"/>
      <c r="G636" s="10">
        <v>5</v>
      </c>
      <c r="H636" s="10"/>
      <c r="I636" s="10" t="s">
        <v>484</v>
      </c>
      <c r="J636" s="10"/>
      <c r="K636" s="10"/>
      <c r="L636" s="10"/>
      <c r="M636" s="10">
        <f t="shared" si="10"/>
        <v>0</v>
      </c>
      <c r="N636" s="10" t="s">
        <v>28</v>
      </c>
      <c r="O636" s="10" t="s">
        <v>29</v>
      </c>
      <c r="P636" s="10" t="s">
        <v>29</v>
      </c>
      <c r="Q636" s="10"/>
      <c r="R636" s="10"/>
      <c r="S636" s="10"/>
      <c r="T636" s="10"/>
      <c r="U636" s="10"/>
      <c r="V636" s="10"/>
      <c r="W636" s="10"/>
      <c r="X636" s="10" t="s">
        <v>30</v>
      </c>
      <c r="Y636" s="11"/>
    </row>
    <row r="637" spans="1:25" s="3" customFormat="1" ht="17.7" customHeight="1" x14ac:dyDescent="0.3">
      <c r="A637" s="21">
        <v>636</v>
      </c>
      <c r="B637" s="21">
        <v>8400188</v>
      </c>
      <c r="C637" s="9" t="s">
        <v>669</v>
      </c>
      <c r="D637" s="9" t="s">
        <v>25</v>
      </c>
      <c r="E637" s="9" t="s">
        <v>35</v>
      </c>
      <c r="F637" s="9"/>
      <c r="G637" s="9">
        <v>5</v>
      </c>
      <c r="H637" s="9"/>
      <c r="I637" s="9" t="s">
        <v>484</v>
      </c>
      <c r="J637" s="9"/>
      <c r="K637" s="9"/>
      <c r="L637" s="9"/>
      <c r="M637" s="9">
        <f t="shared" si="10"/>
        <v>0</v>
      </c>
      <c r="N637" s="9" t="s">
        <v>28</v>
      </c>
      <c r="O637" s="9" t="s">
        <v>29</v>
      </c>
      <c r="P637" s="9" t="s">
        <v>29</v>
      </c>
      <c r="Q637" s="9"/>
      <c r="R637" s="9"/>
      <c r="S637" s="9"/>
      <c r="T637" s="9"/>
      <c r="U637" s="9"/>
      <c r="V637" s="9"/>
      <c r="W637" s="9"/>
      <c r="X637" s="9" t="s">
        <v>30</v>
      </c>
      <c r="Y637" s="11"/>
    </row>
    <row r="638" spans="1:25" s="3" customFormat="1" ht="17.7" customHeight="1" x14ac:dyDescent="0.3">
      <c r="A638" s="20">
        <v>637</v>
      </c>
      <c r="B638" s="20">
        <v>8400189</v>
      </c>
      <c r="C638" s="10" t="s">
        <v>670</v>
      </c>
      <c r="D638" s="10" t="s">
        <v>25</v>
      </c>
      <c r="E638" s="10" t="s">
        <v>35</v>
      </c>
      <c r="F638" s="10"/>
      <c r="G638" s="10">
        <v>5</v>
      </c>
      <c r="H638" s="10"/>
      <c r="I638" s="10" t="s">
        <v>484</v>
      </c>
      <c r="J638" s="10"/>
      <c r="K638" s="10"/>
      <c r="L638" s="10"/>
      <c r="M638" s="10">
        <f t="shared" si="10"/>
        <v>0</v>
      </c>
      <c r="N638" s="10" t="s">
        <v>28</v>
      </c>
      <c r="O638" s="10" t="s">
        <v>29</v>
      </c>
      <c r="P638" s="10" t="s">
        <v>29</v>
      </c>
      <c r="Q638" s="10"/>
      <c r="R638" s="10"/>
      <c r="S638" s="10"/>
      <c r="T638" s="10"/>
      <c r="U638" s="10"/>
      <c r="V638" s="10"/>
      <c r="W638" s="10"/>
      <c r="X638" s="10" t="s">
        <v>30</v>
      </c>
      <c r="Y638" s="11"/>
    </row>
    <row r="639" spans="1:25" s="3" customFormat="1" ht="17.7" customHeight="1" x14ac:dyDescent="0.3">
      <c r="A639" s="21">
        <v>638</v>
      </c>
      <c r="B639" s="21">
        <v>8400190</v>
      </c>
      <c r="C639" s="9" t="s">
        <v>671</v>
      </c>
      <c r="D639" s="9" t="s">
        <v>25</v>
      </c>
      <c r="E639" s="9" t="s">
        <v>35</v>
      </c>
      <c r="F639" s="9"/>
      <c r="G639" s="9">
        <v>5</v>
      </c>
      <c r="H639" s="9"/>
      <c r="I639" s="9" t="s">
        <v>484</v>
      </c>
      <c r="J639" s="9"/>
      <c r="K639" s="9"/>
      <c r="L639" s="9"/>
      <c r="M639" s="9">
        <f t="shared" si="10"/>
        <v>0</v>
      </c>
      <c r="N639" s="9" t="s">
        <v>28</v>
      </c>
      <c r="O639" s="9" t="s">
        <v>29</v>
      </c>
      <c r="P639" s="9" t="s">
        <v>29</v>
      </c>
      <c r="Q639" s="9"/>
      <c r="R639" s="9"/>
      <c r="S639" s="9"/>
      <c r="T639" s="9"/>
      <c r="U639" s="9"/>
      <c r="V639" s="9"/>
      <c r="W639" s="9"/>
      <c r="X639" s="9" t="s">
        <v>30</v>
      </c>
      <c r="Y639" s="11"/>
    </row>
    <row r="640" spans="1:25" s="3" customFormat="1" ht="17.7" customHeight="1" x14ac:dyDescent="0.3">
      <c r="A640" s="20">
        <v>639</v>
      </c>
      <c r="B640" s="20">
        <v>8400191</v>
      </c>
      <c r="C640" s="10" t="s">
        <v>672</v>
      </c>
      <c r="D640" s="10" t="s">
        <v>25</v>
      </c>
      <c r="E640" s="10" t="s">
        <v>35</v>
      </c>
      <c r="F640" s="10"/>
      <c r="G640" s="10">
        <v>5</v>
      </c>
      <c r="H640" s="10"/>
      <c r="I640" s="10" t="s">
        <v>484</v>
      </c>
      <c r="J640" s="10"/>
      <c r="K640" s="10"/>
      <c r="L640" s="10"/>
      <c r="M640" s="10">
        <f t="shared" si="10"/>
        <v>0</v>
      </c>
      <c r="N640" s="10" t="s">
        <v>28</v>
      </c>
      <c r="O640" s="10" t="s">
        <v>29</v>
      </c>
      <c r="P640" s="10" t="s">
        <v>29</v>
      </c>
      <c r="Q640" s="10"/>
      <c r="R640" s="10"/>
      <c r="S640" s="10"/>
      <c r="T640" s="10"/>
      <c r="U640" s="10"/>
      <c r="V640" s="10"/>
      <c r="W640" s="10"/>
      <c r="X640" s="10" t="s">
        <v>30</v>
      </c>
      <c r="Y640" s="11"/>
    </row>
    <row r="641" spans="1:25" s="3" customFormat="1" ht="17.7" customHeight="1" x14ac:dyDescent="0.3">
      <c r="A641" s="21">
        <v>640</v>
      </c>
      <c r="B641" s="21">
        <v>8400192</v>
      </c>
      <c r="C641" s="9" t="s">
        <v>673</v>
      </c>
      <c r="D641" s="9" t="s">
        <v>25</v>
      </c>
      <c r="E641" s="9" t="s">
        <v>35</v>
      </c>
      <c r="F641" s="9"/>
      <c r="G641" s="9">
        <v>5</v>
      </c>
      <c r="H641" s="9"/>
      <c r="I641" s="9" t="s">
        <v>484</v>
      </c>
      <c r="J641" s="9"/>
      <c r="K641" s="9"/>
      <c r="L641" s="9"/>
      <c r="M641" s="9">
        <f t="shared" si="10"/>
        <v>0</v>
      </c>
      <c r="N641" s="9" t="s">
        <v>28</v>
      </c>
      <c r="O641" s="9" t="s">
        <v>29</v>
      </c>
      <c r="P641" s="9" t="s">
        <v>29</v>
      </c>
      <c r="Q641" s="9"/>
      <c r="R641" s="9"/>
      <c r="S641" s="9"/>
      <c r="T641" s="9"/>
      <c r="U641" s="9"/>
      <c r="V641" s="9"/>
      <c r="W641" s="9"/>
      <c r="X641" s="9" t="s">
        <v>30</v>
      </c>
      <c r="Y641" s="11"/>
    </row>
    <row r="642" spans="1:25" s="3" customFormat="1" ht="17.7" customHeight="1" x14ac:dyDescent="0.3">
      <c r="A642" s="20">
        <v>641</v>
      </c>
      <c r="B642" s="20">
        <v>8400193</v>
      </c>
      <c r="C642" s="10" t="s">
        <v>674</v>
      </c>
      <c r="D642" s="10" t="s">
        <v>25</v>
      </c>
      <c r="E642" s="10" t="s">
        <v>35</v>
      </c>
      <c r="F642" s="10"/>
      <c r="G642" s="10">
        <v>5</v>
      </c>
      <c r="H642" s="10"/>
      <c r="I642" s="10" t="s">
        <v>484</v>
      </c>
      <c r="J642" s="10"/>
      <c r="K642" s="10"/>
      <c r="L642" s="10"/>
      <c r="M642" s="10">
        <f t="shared" si="10"/>
        <v>0</v>
      </c>
      <c r="N642" s="10" t="s">
        <v>28</v>
      </c>
      <c r="O642" s="10" t="s">
        <v>29</v>
      </c>
      <c r="P642" s="10" t="s">
        <v>29</v>
      </c>
      <c r="Q642" s="10"/>
      <c r="R642" s="10"/>
      <c r="S642" s="10"/>
      <c r="T642" s="10"/>
      <c r="U642" s="10"/>
      <c r="V642" s="10"/>
      <c r="W642" s="10"/>
      <c r="X642" s="10" t="s">
        <v>30</v>
      </c>
      <c r="Y642" s="11"/>
    </row>
    <row r="643" spans="1:25" s="3" customFormat="1" ht="17.7" customHeight="1" x14ac:dyDescent="0.3">
      <c r="A643" s="21">
        <v>642</v>
      </c>
      <c r="B643" s="21">
        <v>8400194</v>
      </c>
      <c r="C643" s="9" t="s">
        <v>675</v>
      </c>
      <c r="D643" s="9" t="s">
        <v>25</v>
      </c>
      <c r="E643" s="9" t="s">
        <v>35</v>
      </c>
      <c r="F643" s="9"/>
      <c r="G643" s="9">
        <v>3</v>
      </c>
      <c r="H643" s="9"/>
      <c r="I643" s="9" t="s">
        <v>484</v>
      </c>
      <c r="J643" s="9"/>
      <c r="K643" s="9"/>
      <c r="L643" s="9"/>
      <c r="M643" s="9">
        <f t="shared" si="10"/>
        <v>0</v>
      </c>
      <c r="N643" s="9" t="s">
        <v>28</v>
      </c>
      <c r="O643" s="9" t="s">
        <v>29</v>
      </c>
      <c r="P643" s="9" t="s">
        <v>29</v>
      </c>
      <c r="Q643" s="9"/>
      <c r="R643" s="9"/>
      <c r="S643" s="9"/>
      <c r="T643" s="9"/>
      <c r="U643" s="9"/>
      <c r="V643" s="9"/>
      <c r="W643" s="9"/>
      <c r="X643" s="9" t="s">
        <v>30</v>
      </c>
      <c r="Y643" s="11"/>
    </row>
    <row r="644" spans="1:25" s="3" customFormat="1" ht="17.7" customHeight="1" x14ac:dyDescent="0.3">
      <c r="A644" s="20">
        <v>643</v>
      </c>
      <c r="B644" s="20">
        <v>8400195</v>
      </c>
      <c r="C644" s="10" t="s">
        <v>676</v>
      </c>
      <c r="D644" s="10" t="s">
        <v>25</v>
      </c>
      <c r="E644" s="10" t="s">
        <v>35</v>
      </c>
      <c r="F644" s="10"/>
      <c r="G644" s="10">
        <v>3</v>
      </c>
      <c r="H644" s="10"/>
      <c r="I644" s="10" t="s">
        <v>484</v>
      </c>
      <c r="J644" s="10"/>
      <c r="K644" s="10"/>
      <c r="L644" s="10"/>
      <c r="M644" s="10">
        <f t="shared" si="10"/>
        <v>0</v>
      </c>
      <c r="N644" s="10" t="s">
        <v>28</v>
      </c>
      <c r="O644" s="10" t="s">
        <v>29</v>
      </c>
      <c r="P644" s="10" t="s">
        <v>29</v>
      </c>
      <c r="Q644" s="10"/>
      <c r="R644" s="10"/>
      <c r="S644" s="10"/>
      <c r="T644" s="10"/>
      <c r="U644" s="10"/>
      <c r="V644" s="10"/>
      <c r="W644" s="10"/>
      <c r="X644" s="10" t="s">
        <v>30</v>
      </c>
      <c r="Y644" s="11"/>
    </row>
    <row r="645" spans="1:25" s="3" customFormat="1" ht="17.7" customHeight="1" x14ac:dyDescent="0.3">
      <c r="A645" s="21">
        <v>644</v>
      </c>
      <c r="B645" s="21">
        <v>8400196</v>
      </c>
      <c r="C645" s="9" t="s">
        <v>677</v>
      </c>
      <c r="D645" s="9" t="s">
        <v>25</v>
      </c>
      <c r="E645" s="9" t="s">
        <v>35</v>
      </c>
      <c r="F645" s="9"/>
      <c r="G645" s="9">
        <v>5</v>
      </c>
      <c r="H645" s="9"/>
      <c r="I645" s="9" t="s">
        <v>484</v>
      </c>
      <c r="J645" s="9"/>
      <c r="K645" s="9"/>
      <c r="L645" s="9"/>
      <c r="M645" s="9">
        <f t="shared" si="10"/>
        <v>0</v>
      </c>
      <c r="N645" s="9" t="s">
        <v>28</v>
      </c>
      <c r="O645" s="9" t="s">
        <v>29</v>
      </c>
      <c r="P645" s="9" t="s">
        <v>29</v>
      </c>
      <c r="Q645" s="9"/>
      <c r="R645" s="9"/>
      <c r="S645" s="9"/>
      <c r="T645" s="9"/>
      <c r="U645" s="9"/>
      <c r="V645" s="9"/>
      <c r="W645" s="9"/>
      <c r="X645" s="9" t="s">
        <v>30</v>
      </c>
      <c r="Y645" s="11"/>
    </row>
    <row r="646" spans="1:25" s="3" customFormat="1" ht="17.7" customHeight="1" x14ac:dyDescent="0.3">
      <c r="A646" s="20">
        <v>645</v>
      </c>
      <c r="B646" s="20">
        <v>8400197</v>
      </c>
      <c r="C646" s="10" t="s">
        <v>678</v>
      </c>
      <c r="D646" s="10" t="s">
        <v>25</v>
      </c>
      <c r="E646" s="10" t="s">
        <v>35</v>
      </c>
      <c r="F646" s="10"/>
      <c r="G646" s="10">
        <v>5</v>
      </c>
      <c r="H646" s="10"/>
      <c r="I646" s="10" t="s">
        <v>484</v>
      </c>
      <c r="J646" s="10"/>
      <c r="K646" s="10"/>
      <c r="L646" s="10"/>
      <c r="M646" s="10">
        <f t="shared" si="10"/>
        <v>0</v>
      </c>
      <c r="N646" s="10" t="s">
        <v>28</v>
      </c>
      <c r="O646" s="10" t="s">
        <v>29</v>
      </c>
      <c r="P646" s="10" t="s">
        <v>29</v>
      </c>
      <c r="Q646" s="10"/>
      <c r="R646" s="10"/>
      <c r="S646" s="10"/>
      <c r="T646" s="10"/>
      <c r="U646" s="10"/>
      <c r="V646" s="10"/>
      <c r="W646" s="10"/>
      <c r="X646" s="10" t="s">
        <v>30</v>
      </c>
      <c r="Y646" s="11"/>
    </row>
    <row r="647" spans="1:25" s="3" customFormat="1" ht="17.7" customHeight="1" x14ac:dyDescent="0.3">
      <c r="A647" s="21">
        <v>646</v>
      </c>
      <c r="B647" s="21">
        <v>8400198</v>
      </c>
      <c r="C647" s="9" t="s">
        <v>679</v>
      </c>
      <c r="D647" s="9" t="s">
        <v>25</v>
      </c>
      <c r="E647" s="9" t="s">
        <v>35</v>
      </c>
      <c r="F647" s="9"/>
      <c r="G647" s="9">
        <v>5</v>
      </c>
      <c r="H647" s="9"/>
      <c r="I647" s="9" t="s">
        <v>484</v>
      </c>
      <c r="J647" s="9"/>
      <c r="K647" s="9"/>
      <c r="L647" s="9"/>
      <c r="M647" s="9">
        <f t="shared" si="10"/>
        <v>0</v>
      </c>
      <c r="N647" s="9" t="s">
        <v>28</v>
      </c>
      <c r="O647" s="9" t="s">
        <v>29</v>
      </c>
      <c r="P647" s="9" t="s">
        <v>29</v>
      </c>
      <c r="Q647" s="9"/>
      <c r="R647" s="9"/>
      <c r="S647" s="9"/>
      <c r="T647" s="9"/>
      <c r="U647" s="9"/>
      <c r="V647" s="9"/>
      <c r="W647" s="9"/>
      <c r="X647" s="9" t="s">
        <v>30</v>
      </c>
      <c r="Y647" s="11"/>
    </row>
    <row r="648" spans="1:25" s="3" customFormat="1" ht="17.7" customHeight="1" x14ac:dyDescent="0.3">
      <c r="A648" s="20">
        <v>647</v>
      </c>
      <c r="B648" s="20">
        <v>8400199</v>
      </c>
      <c r="C648" s="10" t="s">
        <v>680</v>
      </c>
      <c r="D648" s="10" t="s">
        <v>25</v>
      </c>
      <c r="E648" s="10" t="s">
        <v>35</v>
      </c>
      <c r="F648" s="10"/>
      <c r="G648" s="10">
        <v>5</v>
      </c>
      <c r="H648" s="10"/>
      <c r="I648" s="10" t="s">
        <v>484</v>
      </c>
      <c r="J648" s="10"/>
      <c r="K648" s="10"/>
      <c r="L648" s="10"/>
      <c r="M648" s="10">
        <f t="shared" si="10"/>
        <v>0</v>
      </c>
      <c r="N648" s="10" t="s">
        <v>28</v>
      </c>
      <c r="O648" s="10" t="s">
        <v>29</v>
      </c>
      <c r="P648" s="10" t="s">
        <v>29</v>
      </c>
      <c r="Q648" s="10"/>
      <c r="R648" s="10"/>
      <c r="S648" s="10"/>
      <c r="T648" s="10"/>
      <c r="U648" s="10"/>
      <c r="V648" s="10"/>
      <c r="W648" s="10"/>
      <c r="X648" s="10" t="s">
        <v>30</v>
      </c>
      <c r="Y648" s="11"/>
    </row>
    <row r="649" spans="1:25" s="3" customFormat="1" ht="17.7" customHeight="1" x14ac:dyDescent="0.3">
      <c r="A649" s="21">
        <v>648</v>
      </c>
      <c r="B649" s="21">
        <v>8400200</v>
      </c>
      <c r="C649" s="9" t="s">
        <v>681</v>
      </c>
      <c r="D649" s="9" t="s">
        <v>25</v>
      </c>
      <c r="E649" s="9" t="s">
        <v>35</v>
      </c>
      <c r="F649" s="9"/>
      <c r="G649" s="9">
        <v>5</v>
      </c>
      <c r="H649" s="9"/>
      <c r="I649" s="9" t="s">
        <v>484</v>
      </c>
      <c r="J649" s="9"/>
      <c r="K649" s="9"/>
      <c r="L649" s="9"/>
      <c r="M649" s="9">
        <f t="shared" si="10"/>
        <v>0</v>
      </c>
      <c r="N649" s="9" t="s">
        <v>28</v>
      </c>
      <c r="O649" s="9" t="s">
        <v>29</v>
      </c>
      <c r="P649" s="9" t="s">
        <v>29</v>
      </c>
      <c r="Q649" s="9"/>
      <c r="R649" s="9"/>
      <c r="S649" s="9"/>
      <c r="T649" s="9"/>
      <c r="U649" s="9"/>
      <c r="V649" s="9"/>
      <c r="W649" s="9"/>
      <c r="X649" s="9" t="s">
        <v>30</v>
      </c>
      <c r="Y649" s="11"/>
    </row>
    <row r="650" spans="1:25" s="3" customFormat="1" ht="17.7" customHeight="1" x14ac:dyDescent="0.3">
      <c r="A650" s="20">
        <v>649</v>
      </c>
      <c r="B650" s="20">
        <v>8400201</v>
      </c>
      <c r="C650" s="10" t="s">
        <v>682</v>
      </c>
      <c r="D650" s="10" t="s">
        <v>25</v>
      </c>
      <c r="E650" s="10" t="s">
        <v>35</v>
      </c>
      <c r="F650" s="10"/>
      <c r="G650" s="10">
        <v>3</v>
      </c>
      <c r="H650" s="10"/>
      <c r="I650" s="10" t="s">
        <v>484</v>
      </c>
      <c r="J650" s="10"/>
      <c r="K650" s="10"/>
      <c r="L650" s="10"/>
      <c r="M650" s="10">
        <f t="shared" si="10"/>
        <v>0</v>
      </c>
      <c r="N650" s="10" t="s">
        <v>28</v>
      </c>
      <c r="O650" s="10" t="s">
        <v>29</v>
      </c>
      <c r="P650" s="10" t="s">
        <v>29</v>
      </c>
      <c r="Q650" s="10"/>
      <c r="R650" s="10"/>
      <c r="S650" s="10"/>
      <c r="T650" s="10"/>
      <c r="U650" s="10"/>
      <c r="V650" s="10"/>
      <c r="W650" s="10"/>
      <c r="X650" s="10" t="s">
        <v>30</v>
      </c>
      <c r="Y650" s="11"/>
    </row>
    <row r="651" spans="1:25" s="3" customFormat="1" ht="17.7" customHeight="1" x14ac:dyDescent="0.3">
      <c r="A651" s="21">
        <v>650</v>
      </c>
      <c r="B651" s="21">
        <v>8400202</v>
      </c>
      <c r="C651" s="9" t="s">
        <v>683</v>
      </c>
      <c r="D651" s="9" t="s">
        <v>25</v>
      </c>
      <c r="E651" s="9" t="s">
        <v>35</v>
      </c>
      <c r="F651" s="9"/>
      <c r="G651" s="9">
        <v>3</v>
      </c>
      <c r="H651" s="9"/>
      <c r="I651" s="9" t="s">
        <v>484</v>
      </c>
      <c r="J651" s="9"/>
      <c r="K651" s="9"/>
      <c r="L651" s="9"/>
      <c r="M651" s="9">
        <f t="shared" si="10"/>
        <v>0</v>
      </c>
      <c r="N651" s="9" t="s">
        <v>28</v>
      </c>
      <c r="O651" s="9" t="s">
        <v>29</v>
      </c>
      <c r="P651" s="9" t="s">
        <v>29</v>
      </c>
      <c r="Q651" s="9"/>
      <c r="R651" s="9"/>
      <c r="S651" s="9"/>
      <c r="T651" s="9"/>
      <c r="U651" s="9"/>
      <c r="V651" s="9"/>
      <c r="W651" s="9"/>
      <c r="X651" s="9" t="s">
        <v>30</v>
      </c>
      <c r="Y651" s="11"/>
    </row>
    <row r="652" spans="1:25" s="3" customFormat="1" ht="17.7" customHeight="1" x14ac:dyDescent="0.3">
      <c r="A652" s="20">
        <v>651</v>
      </c>
      <c r="B652" s="20">
        <v>8400203</v>
      </c>
      <c r="C652" s="10" t="s">
        <v>684</v>
      </c>
      <c r="D652" s="10" t="s">
        <v>25</v>
      </c>
      <c r="E652" s="10" t="s">
        <v>35</v>
      </c>
      <c r="F652" s="10"/>
      <c r="G652" s="10">
        <v>5</v>
      </c>
      <c r="H652" s="10"/>
      <c r="I652" s="10" t="s">
        <v>484</v>
      </c>
      <c r="J652" s="10"/>
      <c r="K652" s="10"/>
      <c r="L652" s="10"/>
      <c r="M652" s="10">
        <f t="shared" si="10"/>
        <v>0</v>
      </c>
      <c r="N652" s="10" t="s">
        <v>28</v>
      </c>
      <c r="O652" s="10" t="s">
        <v>29</v>
      </c>
      <c r="P652" s="10" t="s">
        <v>29</v>
      </c>
      <c r="Q652" s="10"/>
      <c r="R652" s="10"/>
      <c r="S652" s="10"/>
      <c r="T652" s="10"/>
      <c r="U652" s="10"/>
      <c r="V652" s="10"/>
      <c r="W652" s="10"/>
      <c r="X652" s="10" t="s">
        <v>30</v>
      </c>
      <c r="Y652" s="11"/>
    </row>
    <row r="653" spans="1:25" s="3" customFormat="1" ht="17.7" customHeight="1" x14ac:dyDescent="0.3">
      <c r="A653" s="21">
        <v>652</v>
      </c>
      <c r="B653" s="21">
        <v>8400204</v>
      </c>
      <c r="C653" s="9" t="s">
        <v>685</v>
      </c>
      <c r="D653" s="9" t="s">
        <v>25</v>
      </c>
      <c r="E653" s="9" t="s">
        <v>35</v>
      </c>
      <c r="F653" s="9"/>
      <c r="G653" s="9">
        <v>5</v>
      </c>
      <c r="H653" s="9"/>
      <c r="I653" s="9" t="s">
        <v>484</v>
      </c>
      <c r="J653" s="9"/>
      <c r="K653" s="9"/>
      <c r="L653" s="9"/>
      <c r="M653" s="9">
        <f t="shared" si="10"/>
        <v>0</v>
      </c>
      <c r="N653" s="9" t="s">
        <v>28</v>
      </c>
      <c r="O653" s="9" t="s">
        <v>29</v>
      </c>
      <c r="P653" s="9" t="s">
        <v>29</v>
      </c>
      <c r="Q653" s="9"/>
      <c r="R653" s="9"/>
      <c r="S653" s="9"/>
      <c r="T653" s="9"/>
      <c r="U653" s="9"/>
      <c r="V653" s="9"/>
      <c r="W653" s="9"/>
      <c r="X653" s="9" t="s">
        <v>30</v>
      </c>
      <c r="Y653" s="11"/>
    </row>
    <row r="654" spans="1:25" s="3" customFormat="1" ht="17.7" customHeight="1" x14ac:dyDescent="0.3">
      <c r="A654" s="20">
        <v>653</v>
      </c>
      <c r="B654" s="20">
        <v>8400205</v>
      </c>
      <c r="C654" s="10" t="s">
        <v>686</v>
      </c>
      <c r="D654" s="10" t="s">
        <v>25</v>
      </c>
      <c r="E654" s="10" t="s">
        <v>35</v>
      </c>
      <c r="F654" s="10"/>
      <c r="G654" s="10">
        <v>3</v>
      </c>
      <c r="H654" s="10"/>
      <c r="I654" s="10" t="s">
        <v>484</v>
      </c>
      <c r="J654" s="10"/>
      <c r="K654" s="10"/>
      <c r="L654" s="10"/>
      <c r="M654" s="10">
        <f t="shared" si="10"/>
        <v>0</v>
      </c>
      <c r="N654" s="10" t="s">
        <v>28</v>
      </c>
      <c r="O654" s="10" t="s">
        <v>29</v>
      </c>
      <c r="P654" s="10" t="s">
        <v>29</v>
      </c>
      <c r="Q654" s="10"/>
      <c r="R654" s="10"/>
      <c r="S654" s="10"/>
      <c r="T654" s="10"/>
      <c r="U654" s="10"/>
      <c r="V654" s="10"/>
      <c r="W654" s="10"/>
      <c r="X654" s="10" t="s">
        <v>30</v>
      </c>
      <c r="Y654" s="11"/>
    </row>
    <row r="655" spans="1:25" s="3" customFormat="1" ht="17.7" customHeight="1" x14ac:dyDescent="0.3">
      <c r="A655" s="21">
        <v>654</v>
      </c>
      <c r="B655" s="21">
        <v>8400206</v>
      </c>
      <c r="C655" s="9" t="s">
        <v>687</v>
      </c>
      <c r="D655" s="9" t="s">
        <v>25</v>
      </c>
      <c r="E655" s="9" t="s">
        <v>35</v>
      </c>
      <c r="F655" s="9"/>
      <c r="G655" s="9">
        <v>5</v>
      </c>
      <c r="H655" s="9"/>
      <c r="I655" s="9" t="s">
        <v>484</v>
      </c>
      <c r="J655" s="9"/>
      <c r="K655" s="9"/>
      <c r="L655" s="9"/>
      <c r="M655" s="9">
        <f t="shared" si="10"/>
        <v>0</v>
      </c>
      <c r="N655" s="9" t="s">
        <v>28</v>
      </c>
      <c r="O655" s="9" t="s">
        <v>29</v>
      </c>
      <c r="P655" s="9" t="s">
        <v>29</v>
      </c>
      <c r="Q655" s="9"/>
      <c r="R655" s="9"/>
      <c r="S655" s="9"/>
      <c r="T655" s="9"/>
      <c r="U655" s="9"/>
      <c r="V655" s="9"/>
      <c r="W655" s="9"/>
      <c r="X655" s="9" t="s">
        <v>30</v>
      </c>
      <c r="Y655" s="11"/>
    </row>
    <row r="656" spans="1:25" s="3" customFormat="1" ht="17.7" customHeight="1" x14ac:dyDescent="0.3">
      <c r="A656" s="20">
        <v>655</v>
      </c>
      <c r="B656" s="20">
        <v>8400207</v>
      </c>
      <c r="C656" s="10" t="s">
        <v>688</v>
      </c>
      <c r="D656" s="10" t="s">
        <v>25</v>
      </c>
      <c r="E656" s="10" t="s">
        <v>35</v>
      </c>
      <c r="F656" s="10"/>
      <c r="G656" s="10">
        <v>5</v>
      </c>
      <c r="H656" s="10"/>
      <c r="I656" s="10" t="s">
        <v>484</v>
      </c>
      <c r="J656" s="10"/>
      <c r="K656" s="10"/>
      <c r="L656" s="10"/>
      <c r="M656" s="10">
        <f t="shared" si="10"/>
        <v>0</v>
      </c>
      <c r="N656" s="10" t="s">
        <v>28</v>
      </c>
      <c r="O656" s="10" t="s">
        <v>29</v>
      </c>
      <c r="P656" s="10" t="s">
        <v>29</v>
      </c>
      <c r="Q656" s="10"/>
      <c r="R656" s="10"/>
      <c r="S656" s="10"/>
      <c r="T656" s="10"/>
      <c r="U656" s="10"/>
      <c r="V656" s="10"/>
      <c r="W656" s="10"/>
      <c r="X656" s="10" t="s">
        <v>30</v>
      </c>
      <c r="Y656" s="11"/>
    </row>
    <row r="657" spans="1:25" s="3" customFormat="1" ht="17.7" customHeight="1" x14ac:dyDescent="0.3">
      <c r="A657" s="21">
        <v>656</v>
      </c>
      <c r="B657" s="21">
        <v>8400208</v>
      </c>
      <c r="C657" s="9" t="s">
        <v>689</v>
      </c>
      <c r="D657" s="9" t="s">
        <v>25</v>
      </c>
      <c r="E657" s="9" t="s">
        <v>35</v>
      </c>
      <c r="F657" s="9"/>
      <c r="G657" s="9">
        <v>15</v>
      </c>
      <c r="H657" s="9"/>
      <c r="I657" s="9" t="s">
        <v>484</v>
      </c>
      <c r="J657" s="9"/>
      <c r="K657" s="9"/>
      <c r="L657" s="9"/>
      <c r="M657" s="9">
        <f t="shared" si="10"/>
        <v>0</v>
      </c>
      <c r="N657" s="9" t="s">
        <v>28</v>
      </c>
      <c r="O657" s="9" t="s">
        <v>29</v>
      </c>
      <c r="P657" s="9" t="s">
        <v>29</v>
      </c>
      <c r="Q657" s="9"/>
      <c r="R657" s="9"/>
      <c r="S657" s="9"/>
      <c r="T657" s="9"/>
      <c r="U657" s="9"/>
      <c r="V657" s="9"/>
      <c r="W657" s="9"/>
      <c r="X657" s="9" t="s">
        <v>30</v>
      </c>
      <c r="Y657" s="11"/>
    </row>
    <row r="658" spans="1:25" s="3" customFormat="1" ht="17.7" customHeight="1" x14ac:dyDescent="0.3">
      <c r="A658" s="20">
        <v>657</v>
      </c>
      <c r="B658" s="20">
        <v>8400209</v>
      </c>
      <c r="C658" s="10" t="s">
        <v>690</v>
      </c>
      <c r="D658" s="10" t="s">
        <v>25</v>
      </c>
      <c r="E658" s="10" t="s">
        <v>35</v>
      </c>
      <c r="F658" s="10"/>
      <c r="G658" s="10">
        <v>15</v>
      </c>
      <c r="H658" s="10"/>
      <c r="I658" s="10" t="s">
        <v>484</v>
      </c>
      <c r="J658" s="10"/>
      <c r="K658" s="10"/>
      <c r="L658" s="10"/>
      <c r="M658" s="10">
        <f t="shared" si="10"/>
        <v>0</v>
      </c>
      <c r="N658" s="10" t="s">
        <v>28</v>
      </c>
      <c r="O658" s="10" t="s">
        <v>29</v>
      </c>
      <c r="P658" s="10" t="s">
        <v>29</v>
      </c>
      <c r="Q658" s="10"/>
      <c r="R658" s="10"/>
      <c r="S658" s="10"/>
      <c r="T658" s="10"/>
      <c r="U658" s="10"/>
      <c r="V658" s="10"/>
      <c r="W658" s="10"/>
      <c r="X658" s="10" t="s">
        <v>30</v>
      </c>
      <c r="Y658" s="11"/>
    </row>
    <row r="659" spans="1:25" s="3" customFormat="1" ht="17.7" customHeight="1" x14ac:dyDescent="0.3">
      <c r="A659" s="21">
        <v>658</v>
      </c>
      <c r="B659" s="21">
        <v>8400210</v>
      </c>
      <c r="C659" s="9" t="s">
        <v>691</v>
      </c>
      <c r="D659" s="9" t="s">
        <v>25</v>
      </c>
      <c r="E659" s="9" t="s">
        <v>35</v>
      </c>
      <c r="F659" s="9"/>
      <c r="G659" s="9">
        <v>15</v>
      </c>
      <c r="H659" s="9"/>
      <c r="I659" s="9" t="s">
        <v>484</v>
      </c>
      <c r="J659" s="9"/>
      <c r="K659" s="9"/>
      <c r="L659" s="9"/>
      <c r="M659" s="9">
        <f t="shared" si="10"/>
        <v>0</v>
      </c>
      <c r="N659" s="9" t="s">
        <v>28</v>
      </c>
      <c r="O659" s="9" t="s">
        <v>29</v>
      </c>
      <c r="P659" s="9" t="s">
        <v>29</v>
      </c>
      <c r="Q659" s="9"/>
      <c r="R659" s="9"/>
      <c r="S659" s="9"/>
      <c r="T659" s="9"/>
      <c r="U659" s="9"/>
      <c r="V659" s="9"/>
      <c r="W659" s="9"/>
      <c r="X659" s="9" t="s">
        <v>30</v>
      </c>
      <c r="Y659" s="11"/>
    </row>
    <row r="660" spans="1:25" s="3" customFormat="1" ht="17.7" customHeight="1" x14ac:dyDescent="0.3">
      <c r="A660" s="20">
        <v>659</v>
      </c>
      <c r="B660" s="20">
        <v>8400211</v>
      </c>
      <c r="C660" s="10" t="s">
        <v>692</v>
      </c>
      <c r="D660" s="10" t="s">
        <v>25</v>
      </c>
      <c r="E660" s="10" t="s">
        <v>35</v>
      </c>
      <c r="F660" s="10"/>
      <c r="G660" s="10">
        <v>5</v>
      </c>
      <c r="H660" s="10"/>
      <c r="I660" s="10" t="s">
        <v>484</v>
      </c>
      <c r="J660" s="10"/>
      <c r="K660" s="10"/>
      <c r="L660" s="10"/>
      <c r="M660" s="10">
        <f t="shared" si="10"/>
        <v>0</v>
      </c>
      <c r="N660" s="10" t="s">
        <v>28</v>
      </c>
      <c r="O660" s="10" t="s">
        <v>29</v>
      </c>
      <c r="P660" s="10" t="s">
        <v>29</v>
      </c>
      <c r="Q660" s="10"/>
      <c r="R660" s="10"/>
      <c r="S660" s="10"/>
      <c r="T660" s="10"/>
      <c r="U660" s="10"/>
      <c r="V660" s="10"/>
      <c r="W660" s="10"/>
      <c r="X660" s="10" t="s">
        <v>30</v>
      </c>
      <c r="Y660" s="11"/>
    </row>
    <row r="661" spans="1:25" s="3" customFormat="1" ht="17.7" customHeight="1" x14ac:dyDescent="0.3">
      <c r="A661" s="21">
        <v>660</v>
      </c>
      <c r="B661" s="21">
        <v>8400212</v>
      </c>
      <c r="C661" s="9" t="s">
        <v>693</v>
      </c>
      <c r="D661" s="9" t="s">
        <v>25</v>
      </c>
      <c r="E661" s="9" t="s">
        <v>35</v>
      </c>
      <c r="F661" s="9"/>
      <c r="G661" s="9">
        <v>5</v>
      </c>
      <c r="H661" s="9"/>
      <c r="I661" s="9" t="s">
        <v>484</v>
      </c>
      <c r="J661" s="9"/>
      <c r="K661" s="9"/>
      <c r="L661" s="9"/>
      <c r="M661" s="9">
        <f t="shared" si="10"/>
        <v>0</v>
      </c>
      <c r="N661" s="9" t="s">
        <v>28</v>
      </c>
      <c r="O661" s="9" t="s">
        <v>29</v>
      </c>
      <c r="P661" s="9" t="s">
        <v>29</v>
      </c>
      <c r="Q661" s="9"/>
      <c r="R661" s="9"/>
      <c r="S661" s="9"/>
      <c r="T661" s="9"/>
      <c r="U661" s="9"/>
      <c r="V661" s="9"/>
      <c r="W661" s="9"/>
      <c r="X661" s="9" t="s">
        <v>30</v>
      </c>
      <c r="Y661" s="11"/>
    </row>
    <row r="662" spans="1:25" s="3" customFormat="1" ht="17.7" customHeight="1" x14ac:dyDescent="0.3">
      <c r="A662" s="20">
        <v>661</v>
      </c>
      <c r="B662" s="20">
        <v>8400213</v>
      </c>
      <c r="C662" s="10" t="s">
        <v>694</v>
      </c>
      <c r="D662" s="10" t="s">
        <v>25</v>
      </c>
      <c r="E662" s="10" t="s">
        <v>35</v>
      </c>
      <c r="F662" s="10"/>
      <c r="G662" s="10">
        <v>5</v>
      </c>
      <c r="H662" s="10"/>
      <c r="I662" s="10" t="s">
        <v>484</v>
      </c>
      <c r="J662" s="10"/>
      <c r="K662" s="10"/>
      <c r="L662" s="10"/>
      <c r="M662" s="10">
        <f t="shared" si="10"/>
        <v>0</v>
      </c>
      <c r="N662" s="10" t="s">
        <v>28</v>
      </c>
      <c r="O662" s="10" t="s">
        <v>29</v>
      </c>
      <c r="P662" s="10" t="s">
        <v>29</v>
      </c>
      <c r="Q662" s="10"/>
      <c r="R662" s="10"/>
      <c r="S662" s="10"/>
      <c r="T662" s="10"/>
      <c r="U662" s="10"/>
      <c r="V662" s="10"/>
      <c r="W662" s="10"/>
      <c r="X662" s="10" t="s">
        <v>30</v>
      </c>
      <c r="Y662" s="11"/>
    </row>
    <row r="663" spans="1:25" s="3" customFormat="1" ht="17.7" customHeight="1" x14ac:dyDescent="0.3">
      <c r="A663" s="21">
        <v>662</v>
      </c>
      <c r="B663" s="21">
        <v>8400214</v>
      </c>
      <c r="C663" s="9" t="s">
        <v>695</v>
      </c>
      <c r="D663" s="9" t="s">
        <v>25</v>
      </c>
      <c r="E663" s="9" t="s">
        <v>35</v>
      </c>
      <c r="F663" s="9"/>
      <c r="G663" s="9">
        <v>5</v>
      </c>
      <c r="H663" s="9"/>
      <c r="I663" s="9" t="s">
        <v>484</v>
      </c>
      <c r="J663" s="9"/>
      <c r="K663" s="9"/>
      <c r="L663" s="9"/>
      <c r="M663" s="9">
        <f t="shared" ref="M663:M726" si="11">F663-F663*11%</f>
        <v>0</v>
      </c>
      <c r="N663" s="9" t="s">
        <v>28</v>
      </c>
      <c r="O663" s="9" t="s">
        <v>29</v>
      </c>
      <c r="P663" s="9" t="s">
        <v>29</v>
      </c>
      <c r="Q663" s="9"/>
      <c r="R663" s="9"/>
      <c r="S663" s="9"/>
      <c r="T663" s="9"/>
      <c r="U663" s="9"/>
      <c r="V663" s="9"/>
      <c r="W663" s="9"/>
      <c r="X663" s="9" t="s">
        <v>30</v>
      </c>
      <c r="Y663" s="11"/>
    </row>
    <row r="664" spans="1:25" s="3" customFormat="1" ht="17.7" customHeight="1" x14ac:dyDescent="0.3">
      <c r="A664" s="20">
        <v>663</v>
      </c>
      <c r="B664" s="20">
        <v>8400215</v>
      </c>
      <c r="C664" s="10" t="s">
        <v>696</v>
      </c>
      <c r="D664" s="10" t="s">
        <v>25</v>
      </c>
      <c r="E664" s="10" t="s">
        <v>35</v>
      </c>
      <c r="F664" s="10"/>
      <c r="G664" s="10">
        <v>1</v>
      </c>
      <c r="H664" s="10"/>
      <c r="I664" s="10" t="s">
        <v>484</v>
      </c>
      <c r="J664" s="10"/>
      <c r="K664" s="10"/>
      <c r="L664" s="10"/>
      <c r="M664" s="10">
        <f t="shared" si="11"/>
        <v>0</v>
      </c>
      <c r="N664" s="10" t="s">
        <v>28</v>
      </c>
      <c r="O664" s="10" t="s">
        <v>29</v>
      </c>
      <c r="P664" s="10" t="s">
        <v>29</v>
      </c>
      <c r="Q664" s="10"/>
      <c r="R664" s="10"/>
      <c r="S664" s="10"/>
      <c r="T664" s="10"/>
      <c r="U664" s="10"/>
      <c r="V664" s="10"/>
      <c r="W664" s="10"/>
      <c r="X664" s="10" t="s">
        <v>30</v>
      </c>
      <c r="Y664" s="11"/>
    </row>
    <row r="665" spans="1:25" s="3" customFormat="1" ht="17.7" customHeight="1" x14ac:dyDescent="0.3">
      <c r="A665" s="21">
        <v>664</v>
      </c>
      <c r="B665" s="21">
        <v>8400216</v>
      </c>
      <c r="C665" s="9" t="s">
        <v>697</v>
      </c>
      <c r="D665" s="9" t="s">
        <v>25</v>
      </c>
      <c r="E665" s="9" t="s">
        <v>35</v>
      </c>
      <c r="F665" s="9"/>
      <c r="G665" s="9">
        <v>5</v>
      </c>
      <c r="H665" s="9"/>
      <c r="I665" s="9" t="s">
        <v>484</v>
      </c>
      <c r="J665" s="9"/>
      <c r="K665" s="9"/>
      <c r="L665" s="9"/>
      <c r="M665" s="9">
        <f t="shared" si="11"/>
        <v>0</v>
      </c>
      <c r="N665" s="9" t="s">
        <v>28</v>
      </c>
      <c r="O665" s="9" t="s">
        <v>29</v>
      </c>
      <c r="P665" s="9" t="s">
        <v>29</v>
      </c>
      <c r="Q665" s="9"/>
      <c r="R665" s="9"/>
      <c r="S665" s="9"/>
      <c r="T665" s="9"/>
      <c r="U665" s="9"/>
      <c r="V665" s="9"/>
      <c r="W665" s="9"/>
      <c r="X665" s="9" t="s">
        <v>30</v>
      </c>
      <c r="Y665" s="11"/>
    </row>
    <row r="666" spans="1:25" s="3" customFormat="1" ht="17.7" customHeight="1" x14ac:dyDescent="0.3">
      <c r="A666" s="20">
        <v>665</v>
      </c>
      <c r="B666" s="20">
        <v>8400217</v>
      </c>
      <c r="C666" s="10" t="s">
        <v>698</v>
      </c>
      <c r="D666" s="10" t="s">
        <v>25</v>
      </c>
      <c r="E666" s="10" t="s">
        <v>35</v>
      </c>
      <c r="F666" s="10"/>
      <c r="G666" s="10">
        <v>15</v>
      </c>
      <c r="H666" s="10"/>
      <c r="I666" s="10" t="s">
        <v>484</v>
      </c>
      <c r="J666" s="10"/>
      <c r="K666" s="10"/>
      <c r="L666" s="10"/>
      <c r="M666" s="10">
        <f t="shared" si="11"/>
        <v>0</v>
      </c>
      <c r="N666" s="10" t="s">
        <v>28</v>
      </c>
      <c r="O666" s="10" t="s">
        <v>29</v>
      </c>
      <c r="P666" s="10" t="s">
        <v>29</v>
      </c>
      <c r="Q666" s="10"/>
      <c r="R666" s="10"/>
      <c r="S666" s="10"/>
      <c r="T666" s="10"/>
      <c r="U666" s="10"/>
      <c r="V666" s="10"/>
      <c r="W666" s="10"/>
      <c r="X666" s="10" t="s">
        <v>30</v>
      </c>
      <c r="Y666" s="11"/>
    </row>
    <row r="667" spans="1:25" s="3" customFormat="1" ht="17.7" customHeight="1" x14ac:dyDescent="0.3">
      <c r="A667" s="21">
        <v>666</v>
      </c>
      <c r="B667" s="21">
        <v>8400218</v>
      </c>
      <c r="C667" s="9" t="s">
        <v>699</v>
      </c>
      <c r="D667" s="9" t="s">
        <v>25</v>
      </c>
      <c r="E667" s="9" t="s">
        <v>35</v>
      </c>
      <c r="F667" s="9"/>
      <c r="G667" s="9">
        <v>15</v>
      </c>
      <c r="H667" s="9"/>
      <c r="I667" s="9" t="s">
        <v>484</v>
      </c>
      <c r="J667" s="9"/>
      <c r="K667" s="9"/>
      <c r="L667" s="9"/>
      <c r="M667" s="9">
        <f t="shared" si="11"/>
        <v>0</v>
      </c>
      <c r="N667" s="9" t="s">
        <v>28</v>
      </c>
      <c r="O667" s="9" t="s">
        <v>29</v>
      </c>
      <c r="P667" s="9" t="s">
        <v>29</v>
      </c>
      <c r="Q667" s="9"/>
      <c r="R667" s="9"/>
      <c r="S667" s="9"/>
      <c r="T667" s="9"/>
      <c r="U667" s="9"/>
      <c r="V667" s="9"/>
      <c r="W667" s="9"/>
      <c r="X667" s="9" t="s">
        <v>30</v>
      </c>
      <c r="Y667" s="11"/>
    </row>
    <row r="668" spans="1:25" s="3" customFormat="1" ht="17.7" customHeight="1" x14ac:dyDescent="0.3">
      <c r="A668" s="20">
        <v>667</v>
      </c>
      <c r="B668" s="20">
        <v>8400219</v>
      </c>
      <c r="C668" s="10" t="s">
        <v>700</v>
      </c>
      <c r="D668" s="10" t="s">
        <v>25</v>
      </c>
      <c r="E668" s="10" t="s">
        <v>35</v>
      </c>
      <c r="F668" s="10"/>
      <c r="G668" s="10">
        <v>15</v>
      </c>
      <c r="H668" s="10"/>
      <c r="I668" s="10" t="s">
        <v>484</v>
      </c>
      <c r="J668" s="10"/>
      <c r="K668" s="10"/>
      <c r="L668" s="10"/>
      <c r="M668" s="10">
        <f t="shared" si="11"/>
        <v>0</v>
      </c>
      <c r="N668" s="10" t="s">
        <v>28</v>
      </c>
      <c r="O668" s="10" t="s">
        <v>29</v>
      </c>
      <c r="P668" s="10" t="s">
        <v>29</v>
      </c>
      <c r="Q668" s="10"/>
      <c r="R668" s="10"/>
      <c r="S668" s="10"/>
      <c r="T668" s="10"/>
      <c r="U668" s="10"/>
      <c r="V668" s="10"/>
      <c r="W668" s="10"/>
      <c r="X668" s="10" t="s">
        <v>30</v>
      </c>
      <c r="Y668" s="11"/>
    </row>
    <row r="669" spans="1:25" s="3" customFormat="1" ht="17.7" customHeight="1" x14ac:dyDescent="0.3">
      <c r="A669" s="21">
        <v>668</v>
      </c>
      <c r="B669" s="21">
        <v>8400220</v>
      </c>
      <c r="C669" s="9" t="s">
        <v>701</v>
      </c>
      <c r="D669" s="9" t="s">
        <v>25</v>
      </c>
      <c r="E669" s="9" t="s">
        <v>35</v>
      </c>
      <c r="F669" s="9"/>
      <c r="G669" s="9">
        <v>15</v>
      </c>
      <c r="H669" s="9"/>
      <c r="I669" s="9" t="s">
        <v>484</v>
      </c>
      <c r="J669" s="9"/>
      <c r="K669" s="9"/>
      <c r="L669" s="9"/>
      <c r="M669" s="9">
        <f t="shared" si="11"/>
        <v>0</v>
      </c>
      <c r="N669" s="9" t="s">
        <v>28</v>
      </c>
      <c r="O669" s="9" t="s">
        <v>29</v>
      </c>
      <c r="P669" s="9" t="s">
        <v>29</v>
      </c>
      <c r="Q669" s="9"/>
      <c r="R669" s="9"/>
      <c r="S669" s="9"/>
      <c r="T669" s="9"/>
      <c r="U669" s="9"/>
      <c r="V669" s="9"/>
      <c r="W669" s="9"/>
      <c r="X669" s="9" t="s">
        <v>30</v>
      </c>
      <c r="Y669" s="11"/>
    </row>
    <row r="670" spans="1:25" s="3" customFormat="1" ht="17.7" customHeight="1" x14ac:dyDescent="0.3">
      <c r="A670" s="20">
        <v>669</v>
      </c>
      <c r="B670" s="20">
        <v>8400221</v>
      </c>
      <c r="C670" s="10" t="s">
        <v>702</v>
      </c>
      <c r="D670" s="10" t="s">
        <v>25</v>
      </c>
      <c r="E670" s="10" t="s">
        <v>35</v>
      </c>
      <c r="F670" s="10"/>
      <c r="G670" s="10">
        <v>15</v>
      </c>
      <c r="H670" s="10"/>
      <c r="I670" s="10" t="s">
        <v>484</v>
      </c>
      <c r="J670" s="10"/>
      <c r="K670" s="10"/>
      <c r="L670" s="10"/>
      <c r="M670" s="10">
        <f t="shared" si="11"/>
        <v>0</v>
      </c>
      <c r="N670" s="10" t="s">
        <v>28</v>
      </c>
      <c r="O670" s="10" t="s">
        <v>29</v>
      </c>
      <c r="P670" s="10" t="s">
        <v>29</v>
      </c>
      <c r="Q670" s="10"/>
      <c r="R670" s="10"/>
      <c r="S670" s="10"/>
      <c r="T670" s="10"/>
      <c r="U670" s="10"/>
      <c r="V670" s="10"/>
      <c r="W670" s="10"/>
      <c r="X670" s="10" t="s">
        <v>30</v>
      </c>
      <c r="Y670" s="11"/>
    </row>
    <row r="671" spans="1:25" s="3" customFormat="1" ht="17.7" customHeight="1" x14ac:dyDescent="0.3">
      <c r="A671" s="21">
        <v>670</v>
      </c>
      <c r="B671" s="21">
        <v>8400222</v>
      </c>
      <c r="C671" s="9" t="s">
        <v>703</v>
      </c>
      <c r="D671" s="9" t="s">
        <v>25</v>
      </c>
      <c r="E671" s="9" t="s">
        <v>35</v>
      </c>
      <c r="F671" s="9"/>
      <c r="G671" s="9">
        <v>15</v>
      </c>
      <c r="H671" s="9"/>
      <c r="I671" s="9" t="s">
        <v>484</v>
      </c>
      <c r="J671" s="9"/>
      <c r="K671" s="9"/>
      <c r="L671" s="9"/>
      <c r="M671" s="9">
        <f t="shared" si="11"/>
        <v>0</v>
      </c>
      <c r="N671" s="9" t="s">
        <v>28</v>
      </c>
      <c r="O671" s="9" t="s">
        <v>29</v>
      </c>
      <c r="P671" s="9" t="s">
        <v>29</v>
      </c>
      <c r="Q671" s="9"/>
      <c r="R671" s="9"/>
      <c r="S671" s="9"/>
      <c r="T671" s="9"/>
      <c r="U671" s="9"/>
      <c r="V671" s="9"/>
      <c r="W671" s="9"/>
      <c r="X671" s="9" t="s">
        <v>30</v>
      </c>
      <c r="Y671" s="11"/>
    </row>
    <row r="672" spans="1:25" s="3" customFormat="1" ht="17.7" customHeight="1" x14ac:dyDescent="0.3">
      <c r="A672" s="20">
        <v>671</v>
      </c>
      <c r="B672" s="20">
        <v>8400223</v>
      </c>
      <c r="C672" s="10" t="s">
        <v>704</v>
      </c>
      <c r="D672" s="10" t="s">
        <v>25</v>
      </c>
      <c r="E672" s="10" t="s">
        <v>35</v>
      </c>
      <c r="F672" s="10"/>
      <c r="G672" s="10">
        <v>15</v>
      </c>
      <c r="H672" s="10"/>
      <c r="I672" s="10" t="s">
        <v>484</v>
      </c>
      <c r="J672" s="10"/>
      <c r="K672" s="10"/>
      <c r="L672" s="10"/>
      <c r="M672" s="10">
        <f t="shared" si="11"/>
        <v>0</v>
      </c>
      <c r="N672" s="10" t="s">
        <v>28</v>
      </c>
      <c r="O672" s="10" t="s">
        <v>29</v>
      </c>
      <c r="P672" s="10" t="s">
        <v>29</v>
      </c>
      <c r="Q672" s="10"/>
      <c r="R672" s="10"/>
      <c r="S672" s="10"/>
      <c r="T672" s="10"/>
      <c r="U672" s="10"/>
      <c r="V672" s="10"/>
      <c r="W672" s="10"/>
      <c r="X672" s="10" t="s">
        <v>30</v>
      </c>
      <c r="Y672" s="11"/>
    </row>
    <row r="673" spans="1:25" s="3" customFormat="1" ht="17.7" customHeight="1" x14ac:dyDescent="0.3">
      <c r="A673" s="21">
        <v>672</v>
      </c>
      <c r="B673" s="21">
        <v>8400224</v>
      </c>
      <c r="C673" s="9" t="s">
        <v>705</v>
      </c>
      <c r="D673" s="9" t="s">
        <v>25</v>
      </c>
      <c r="E673" s="9" t="s">
        <v>35</v>
      </c>
      <c r="F673" s="9"/>
      <c r="G673" s="9">
        <v>15</v>
      </c>
      <c r="H673" s="9"/>
      <c r="I673" s="9" t="s">
        <v>484</v>
      </c>
      <c r="J673" s="9"/>
      <c r="K673" s="9"/>
      <c r="L673" s="9"/>
      <c r="M673" s="9">
        <f t="shared" si="11"/>
        <v>0</v>
      </c>
      <c r="N673" s="9" t="s">
        <v>28</v>
      </c>
      <c r="O673" s="9" t="s">
        <v>29</v>
      </c>
      <c r="P673" s="9" t="s">
        <v>29</v>
      </c>
      <c r="Q673" s="9"/>
      <c r="R673" s="9"/>
      <c r="S673" s="9"/>
      <c r="T673" s="9"/>
      <c r="U673" s="9"/>
      <c r="V673" s="9"/>
      <c r="W673" s="9"/>
      <c r="X673" s="9" t="s">
        <v>30</v>
      </c>
      <c r="Y673" s="11"/>
    </row>
    <row r="674" spans="1:25" s="3" customFormat="1" ht="17.7" customHeight="1" x14ac:dyDescent="0.3">
      <c r="A674" s="20">
        <v>673</v>
      </c>
      <c r="B674" s="20">
        <v>8400225</v>
      </c>
      <c r="C674" s="10" t="s">
        <v>706</v>
      </c>
      <c r="D674" s="10" t="s">
        <v>25</v>
      </c>
      <c r="E674" s="10" t="s">
        <v>35</v>
      </c>
      <c r="F674" s="10"/>
      <c r="G674" s="10">
        <v>5</v>
      </c>
      <c r="H674" s="10"/>
      <c r="I674" s="10" t="s">
        <v>484</v>
      </c>
      <c r="J674" s="10"/>
      <c r="K674" s="10"/>
      <c r="L674" s="10"/>
      <c r="M674" s="10">
        <f t="shared" si="11"/>
        <v>0</v>
      </c>
      <c r="N674" s="10" t="s">
        <v>28</v>
      </c>
      <c r="O674" s="10" t="s">
        <v>29</v>
      </c>
      <c r="P674" s="10" t="s">
        <v>29</v>
      </c>
      <c r="Q674" s="10"/>
      <c r="R674" s="10"/>
      <c r="S674" s="10"/>
      <c r="T674" s="10"/>
      <c r="U674" s="10"/>
      <c r="V674" s="10"/>
      <c r="W674" s="10"/>
      <c r="X674" s="10" t="s">
        <v>30</v>
      </c>
      <c r="Y674" s="11"/>
    </row>
    <row r="675" spans="1:25" s="3" customFormat="1" ht="17.7" customHeight="1" x14ac:dyDescent="0.3">
      <c r="A675" s="21">
        <v>674</v>
      </c>
      <c r="B675" s="21">
        <v>8400226</v>
      </c>
      <c r="C675" s="9" t="s">
        <v>707</v>
      </c>
      <c r="D675" s="9" t="s">
        <v>25</v>
      </c>
      <c r="E675" s="9" t="s">
        <v>35</v>
      </c>
      <c r="F675" s="9"/>
      <c r="G675" s="9">
        <v>15</v>
      </c>
      <c r="H675" s="9"/>
      <c r="I675" s="9" t="s">
        <v>484</v>
      </c>
      <c r="J675" s="9"/>
      <c r="K675" s="9"/>
      <c r="L675" s="9"/>
      <c r="M675" s="9">
        <f t="shared" si="11"/>
        <v>0</v>
      </c>
      <c r="N675" s="9" t="s">
        <v>28</v>
      </c>
      <c r="O675" s="9" t="s">
        <v>29</v>
      </c>
      <c r="P675" s="9" t="s">
        <v>29</v>
      </c>
      <c r="Q675" s="9"/>
      <c r="R675" s="9"/>
      <c r="S675" s="9"/>
      <c r="T675" s="9"/>
      <c r="U675" s="9"/>
      <c r="V675" s="9"/>
      <c r="W675" s="9"/>
      <c r="X675" s="9" t="s">
        <v>30</v>
      </c>
      <c r="Y675" s="11"/>
    </row>
    <row r="676" spans="1:25" s="3" customFormat="1" ht="17.7" customHeight="1" x14ac:dyDescent="0.3">
      <c r="A676" s="20">
        <v>675</v>
      </c>
      <c r="B676" s="20">
        <v>8400227</v>
      </c>
      <c r="C676" s="10" t="s">
        <v>708</v>
      </c>
      <c r="D676" s="10" t="s">
        <v>25</v>
      </c>
      <c r="E676" s="10" t="s">
        <v>35</v>
      </c>
      <c r="F676" s="10"/>
      <c r="G676" s="10">
        <v>5</v>
      </c>
      <c r="H676" s="10"/>
      <c r="I676" s="10" t="s">
        <v>484</v>
      </c>
      <c r="J676" s="10"/>
      <c r="K676" s="10"/>
      <c r="L676" s="10"/>
      <c r="M676" s="10">
        <f t="shared" si="11"/>
        <v>0</v>
      </c>
      <c r="N676" s="10" t="s">
        <v>28</v>
      </c>
      <c r="O676" s="10" t="s">
        <v>29</v>
      </c>
      <c r="P676" s="10" t="s">
        <v>29</v>
      </c>
      <c r="Q676" s="10"/>
      <c r="R676" s="10"/>
      <c r="S676" s="10"/>
      <c r="T676" s="10"/>
      <c r="U676" s="10"/>
      <c r="V676" s="10"/>
      <c r="W676" s="10"/>
      <c r="X676" s="10" t="s">
        <v>30</v>
      </c>
      <c r="Y676" s="11"/>
    </row>
    <row r="677" spans="1:25" s="3" customFormat="1" ht="17.7" customHeight="1" x14ac:dyDescent="0.3">
      <c r="A677" s="21">
        <v>676</v>
      </c>
      <c r="B677" s="21">
        <v>8400228</v>
      </c>
      <c r="C677" s="9" t="s">
        <v>709</v>
      </c>
      <c r="D677" s="9" t="s">
        <v>25</v>
      </c>
      <c r="E677" s="9" t="s">
        <v>35</v>
      </c>
      <c r="F677" s="9"/>
      <c r="G677" s="9">
        <v>5</v>
      </c>
      <c r="H677" s="9"/>
      <c r="I677" s="9" t="s">
        <v>484</v>
      </c>
      <c r="J677" s="9"/>
      <c r="K677" s="9"/>
      <c r="L677" s="9"/>
      <c r="M677" s="9">
        <f t="shared" si="11"/>
        <v>0</v>
      </c>
      <c r="N677" s="9" t="s">
        <v>28</v>
      </c>
      <c r="O677" s="9" t="s">
        <v>29</v>
      </c>
      <c r="P677" s="9" t="s">
        <v>29</v>
      </c>
      <c r="Q677" s="9"/>
      <c r="R677" s="9"/>
      <c r="S677" s="9"/>
      <c r="T677" s="9"/>
      <c r="U677" s="9"/>
      <c r="V677" s="9"/>
      <c r="W677" s="9"/>
      <c r="X677" s="9" t="s">
        <v>30</v>
      </c>
      <c r="Y677" s="11"/>
    </row>
    <row r="678" spans="1:25" s="3" customFormat="1" ht="17.7" customHeight="1" x14ac:dyDescent="0.3">
      <c r="A678" s="20">
        <v>677</v>
      </c>
      <c r="B678" s="20">
        <v>8400229</v>
      </c>
      <c r="C678" s="10" t="s">
        <v>710</v>
      </c>
      <c r="D678" s="10" t="s">
        <v>25</v>
      </c>
      <c r="E678" s="10" t="s">
        <v>35</v>
      </c>
      <c r="F678" s="10"/>
      <c r="G678" s="10">
        <v>15</v>
      </c>
      <c r="H678" s="10"/>
      <c r="I678" s="10" t="s">
        <v>484</v>
      </c>
      <c r="J678" s="10"/>
      <c r="K678" s="10"/>
      <c r="L678" s="10"/>
      <c r="M678" s="10">
        <f t="shared" si="11"/>
        <v>0</v>
      </c>
      <c r="N678" s="10" t="s">
        <v>28</v>
      </c>
      <c r="O678" s="10" t="s">
        <v>29</v>
      </c>
      <c r="P678" s="10" t="s">
        <v>29</v>
      </c>
      <c r="Q678" s="10"/>
      <c r="R678" s="10"/>
      <c r="S678" s="10"/>
      <c r="T678" s="10"/>
      <c r="U678" s="10"/>
      <c r="V678" s="10"/>
      <c r="W678" s="10"/>
      <c r="X678" s="10" t="s">
        <v>30</v>
      </c>
      <c r="Y678" s="11"/>
    </row>
    <row r="679" spans="1:25" s="3" customFormat="1" ht="17.7" customHeight="1" x14ac:dyDescent="0.3">
      <c r="A679" s="21">
        <v>678</v>
      </c>
      <c r="B679" s="21">
        <v>8400230</v>
      </c>
      <c r="C679" s="9" t="s">
        <v>711</v>
      </c>
      <c r="D679" s="9" t="s">
        <v>25</v>
      </c>
      <c r="E679" s="9" t="s">
        <v>35</v>
      </c>
      <c r="F679" s="9"/>
      <c r="G679" s="9">
        <v>10</v>
      </c>
      <c r="H679" s="9"/>
      <c r="I679" s="9" t="s">
        <v>484</v>
      </c>
      <c r="J679" s="9"/>
      <c r="K679" s="9"/>
      <c r="L679" s="9"/>
      <c r="M679" s="9">
        <f t="shared" si="11"/>
        <v>0</v>
      </c>
      <c r="N679" s="9" t="s">
        <v>28</v>
      </c>
      <c r="O679" s="9" t="s">
        <v>29</v>
      </c>
      <c r="P679" s="9" t="s">
        <v>29</v>
      </c>
      <c r="Q679" s="9"/>
      <c r="R679" s="9"/>
      <c r="S679" s="9"/>
      <c r="T679" s="9"/>
      <c r="U679" s="9"/>
      <c r="V679" s="9"/>
      <c r="W679" s="9"/>
      <c r="X679" s="9" t="s">
        <v>30</v>
      </c>
      <c r="Y679" s="11"/>
    </row>
    <row r="680" spans="1:25" s="3" customFormat="1" ht="17.7" customHeight="1" x14ac:dyDescent="0.3">
      <c r="A680" s="20">
        <v>679</v>
      </c>
      <c r="B680" s="20">
        <v>8400231</v>
      </c>
      <c r="C680" s="10" t="s">
        <v>712</v>
      </c>
      <c r="D680" s="10" t="s">
        <v>25</v>
      </c>
      <c r="E680" s="10" t="s">
        <v>35</v>
      </c>
      <c r="F680" s="10"/>
      <c r="G680" s="10">
        <v>5</v>
      </c>
      <c r="H680" s="10"/>
      <c r="I680" s="10" t="s">
        <v>484</v>
      </c>
      <c r="J680" s="10"/>
      <c r="K680" s="10"/>
      <c r="L680" s="10"/>
      <c r="M680" s="10">
        <f t="shared" si="11"/>
        <v>0</v>
      </c>
      <c r="N680" s="10" t="s">
        <v>28</v>
      </c>
      <c r="O680" s="10" t="s">
        <v>29</v>
      </c>
      <c r="P680" s="10" t="s">
        <v>29</v>
      </c>
      <c r="Q680" s="10"/>
      <c r="R680" s="10"/>
      <c r="S680" s="10"/>
      <c r="T680" s="10"/>
      <c r="U680" s="10"/>
      <c r="V680" s="10"/>
      <c r="W680" s="10"/>
      <c r="X680" s="10" t="s">
        <v>30</v>
      </c>
      <c r="Y680" s="11"/>
    </row>
    <row r="681" spans="1:25" s="3" customFormat="1" ht="17.7" customHeight="1" x14ac:dyDescent="0.3">
      <c r="A681" s="21">
        <v>680</v>
      </c>
      <c r="B681" s="21">
        <v>8400232</v>
      </c>
      <c r="C681" s="9" t="s">
        <v>713</v>
      </c>
      <c r="D681" s="9" t="s">
        <v>25</v>
      </c>
      <c r="E681" s="9" t="s">
        <v>35</v>
      </c>
      <c r="F681" s="9"/>
      <c r="G681" s="9">
        <v>5</v>
      </c>
      <c r="H681" s="9"/>
      <c r="I681" s="9" t="s">
        <v>484</v>
      </c>
      <c r="J681" s="9"/>
      <c r="K681" s="9"/>
      <c r="L681" s="9"/>
      <c r="M681" s="9">
        <f t="shared" si="11"/>
        <v>0</v>
      </c>
      <c r="N681" s="9" t="s">
        <v>28</v>
      </c>
      <c r="O681" s="9" t="s">
        <v>29</v>
      </c>
      <c r="P681" s="9" t="s">
        <v>29</v>
      </c>
      <c r="Q681" s="9"/>
      <c r="R681" s="9"/>
      <c r="S681" s="9"/>
      <c r="T681" s="9"/>
      <c r="U681" s="9"/>
      <c r="V681" s="9"/>
      <c r="W681" s="9"/>
      <c r="X681" s="9" t="s">
        <v>30</v>
      </c>
      <c r="Y681" s="11"/>
    </row>
    <row r="682" spans="1:25" s="3" customFormat="1" ht="17.7" customHeight="1" x14ac:dyDescent="0.3">
      <c r="A682" s="20">
        <v>681</v>
      </c>
      <c r="B682" s="20">
        <v>8400233</v>
      </c>
      <c r="C682" s="10" t="s">
        <v>714</v>
      </c>
      <c r="D682" s="10" t="s">
        <v>25</v>
      </c>
      <c r="E682" s="10" t="s">
        <v>35</v>
      </c>
      <c r="F682" s="10"/>
      <c r="G682" s="10">
        <v>5</v>
      </c>
      <c r="H682" s="10"/>
      <c r="I682" s="10" t="s">
        <v>484</v>
      </c>
      <c r="J682" s="10"/>
      <c r="K682" s="10"/>
      <c r="L682" s="10"/>
      <c r="M682" s="10">
        <f t="shared" si="11"/>
        <v>0</v>
      </c>
      <c r="N682" s="10" t="s">
        <v>28</v>
      </c>
      <c r="O682" s="10" t="s">
        <v>29</v>
      </c>
      <c r="P682" s="10" t="s">
        <v>29</v>
      </c>
      <c r="Q682" s="10"/>
      <c r="R682" s="10"/>
      <c r="S682" s="10"/>
      <c r="T682" s="10"/>
      <c r="U682" s="10"/>
      <c r="V682" s="10"/>
      <c r="W682" s="10"/>
      <c r="X682" s="10" t="s">
        <v>30</v>
      </c>
      <c r="Y682" s="11"/>
    </row>
    <row r="683" spans="1:25" s="3" customFormat="1" ht="17.7" customHeight="1" x14ac:dyDescent="0.3">
      <c r="A683" s="21">
        <v>682</v>
      </c>
      <c r="B683" s="21">
        <v>8400234</v>
      </c>
      <c r="C683" s="9" t="s">
        <v>715</v>
      </c>
      <c r="D683" s="9" t="s">
        <v>25</v>
      </c>
      <c r="E683" s="9" t="s">
        <v>35</v>
      </c>
      <c r="F683" s="9"/>
      <c r="G683" s="9">
        <v>5</v>
      </c>
      <c r="H683" s="9"/>
      <c r="I683" s="9" t="s">
        <v>484</v>
      </c>
      <c r="J683" s="9"/>
      <c r="K683" s="9"/>
      <c r="L683" s="9"/>
      <c r="M683" s="9">
        <f t="shared" si="11"/>
        <v>0</v>
      </c>
      <c r="N683" s="9" t="s">
        <v>28</v>
      </c>
      <c r="O683" s="9" t="s">
        <v>29</v>
      </c>
      <c r="P683" s="9" t="s">
        <v>29</v>
      </c>
      <c r="Q683" s="9"/>
      <c r="R683" s="9"/>
      <c r="S683" s="9"/>
      <c r="T683" s="9"/>
      <c r="U683" s="9"/>
      <c r="V683" s="9"/>
      <c r="W683" s="9"/>
      <c r="X683" s="9" t="s">
        <v>30</v>
      </c>
      <c r="Y683" s="11"/>
    </row>
    <row r="684" spans="1:25" s="3" customFormat="1" ht="17.7" customHeight="1" x14ac:dyDescent="0.3">
      <c r="A684" s="20">
        <v>683</v>
      </c>
      <c r="B684" s="20">
        <v>8400235</v>
      </c>
      <c r="C684" s="10" t="s">
        <v>716</v>
      </c>
      <c r="D684" s="10" t="s">
        <v>25</v>
      </c>
      <c r="E684" s="10" t="s">
        <v>35</v>
      </c>
      <c r="F684" s="10"/>
      <c r="G684" s="10">
        <v>5</v>
      </c>
      <c r="H684" s="10"/>
      <c r="I684" s="10" t="s">
        <v>484</v>
      </c>
      <c r="J684" s="10"/>
      <c r="K684" s="10"/>
      <c r="L684" s="10"/>
      <c r="M684" s="10">
        <f t="shared" si="11"/>
        <v>0</v>
      </c>
      <c r="N684" s="10" t="s">
        <v>28</v>
      </c>
      <c r="O684" s="10" t="s">
        <v>29</v>
      </c>
      <c r="P684" s="10" t="s">
        <v>29</v>
      </c>
      <c r="Q684" s="10"/>
      <c r="R684" s="10"/>
      <c r="S684" s="10"/>
      <c r="T684" s="10"/>
      <c r="U684" s="10"/>
      <c r="V684" s="10"/>
      <c r="W684" s="10"/>
      <c r="X684" s="10" t="s">
        <v>30</v>
      </c>
      <c r="Y684" s="11"/>
    </row>
    <row r="685" spans="1:25" s="3" customFormat="1" ht="17.7" customHeight="1" x14ac:dyDescent="0.3">
      <c r="A685" s="21">
        <v>684</v>
      </c>
      <c r="B685" s="21">
        <v>8400236</v>
      </c>
      <c r="C685" s="9" t="s">
        <v>717</v>
      </c>
      <c r="D685" s="9" t="s">
        <v>25</v>
      </c>
      <c r="E685" s="9" t="s">
        <v>35</v>
      </c>
      <c r="F685" s="9"/>
      <c r="G685" s="9">
        <v>5</v>
      </c>
      <c r="H685" s="9"/>
      <c r="I685" s="9" t="s">
        <v>484</v>
      </c>
      <c r="J685" s="9"/>
      <c r="K685" s="9"/>
      <c r="L685" s="9"/>
      <c r="M685" s="9">
        <f t="shared" si="11"/>
        <v>0</v>
      </c>
      <c r="N685" s="9" t="s">
        <v>28</v>
      </c>
      <c r="O685" s="9" t="s">
        <v>29</v>
      </c>
      <c r="P685" s="9" t="s">
        <v>29</v>
      </c>
      <c r="Q685" s="9"/>
      <c r="R685" s="9"/>
      <c r="S685" s="9"/>
      <c r="T685" s="9"/>
      <c r="U685" s="9"/>
      <c r="V685" s="9"/>
      <c r="W685" s="9"/>
      <c r="X685" s="9" t="s">
        <v>30</v>
      </c>
      <c r="Y685" s="11"/>
    </row>
    <row r="686" spans="1:25" s="3" customFormat="1" ht="17.7" customHeight="1" x14ac:dyDescent="0.3">
      <c r="A686" s="20">
        <v>685</v>
      </c>
      <c r="B686" s="20">
        <v>8400237</v>
      </c>
      <c r="C686" s="10" t="s">
        <v>718</v>
      </c>
      <c r="D686" s="10" t="s">
        <v>25</v>
      </c>
      <c r="E686" s="10" t="s">
        <v>35</v>
      </c>
      <c r="F686" s="10"/>
      <c r="G686" s="10">
        <v>5</v>
      </c>
      <c r="H686" s="10"/>
      <c r="I686" s="10" t="s">
        <v>484</v>
      </c>
      <c r="J686" s="10"/>
      <c r="K686" s="10"/>
      <c r="L686" s="10"/>
      <c r="M686" s="10">
        <f t="shared" si="11"/>
        <v>0</v>
      </c>
      <c r="N686" s="10" t="s">
        <v>28</v>
      </c>
      <c r="O686" s="10" t="s">
        <v>29</v>
      </c>
      <c r="P686" s="10" t="s">
        <v>29</v>
      </c>
      <c r="Q686" s="10"/>
      <c r="R686" s="10"/>
      <c r="S686" s="10"/>
      <c r="T686" s="10"/>
      <c r="U686" s="10"/>
      <c r="V686" s="10"/>
      <c r="W686" s="10"/>
      <c r="X686" s="10" t="s">
        <v>30</v>
      </c>
      <c r="Y686" s="11"/>
    </row>
    <row r="687" spans="1:25" s="3" customFormat="1" ht="17.7" customHeight="1" x14ac:dyDescent="0.3">
      <c r="A687" s="21">
        <v>686</v>
      </c>
      <c r="B687" s="21">
        <v>8400238</v>
      </c>
      <c r="C687" s="9" t="s">
        <v>719</v>
      </c>
      <c r="D687" s="9" t="s">
        <v>25</v>
      </c>
      <c r="E687" s="9" t="s">
        <v>35</v>
      </c>
      <c r="F687" s="9"/>
      <c r="G687" s="9">
        <v>5</v>
      </c>
      <c r="H687" s="9"/>
      <c r="I687" s="9" t="s">
        <v>484</v>
      </c>
      <c r="J687" s="9"/>
      <c r="K687" s="9"/>
      <c r="L687" s="9"/>
      <c r="M687" s="9">
        <f t="shared" si="11"/>
        <v>0</v>
      </c>
      <c r="N687" s="9" t="s">
        <v>28</v>
      </c>
      <c r="O687" s="9" t="s">
        <v>29</v>
      </c>
      <c r="P687" s="9" t="s">
        <v>29</v>
      </c>
      <c r="Q687" s="9"/>
      <c r="R687" s="9"/>
      <c r="S687" s="9"/>
      <c r="T687" s="9"/>
      <c r="U687" s="9"/>
      <c r="V687" s="9"/>
      <c r="W687" s="9"/>
      <c r="X687" s="9" t="s">
        <v>30</v>
      </c>
      <c r="Y687" s="11"/>
    </row>
    <row r="688" spans="1:25" s="3" customFormat="1" ht="17.7" customHeight="1" x14ac:dyDescent="0.3">
      <c r="A688" s="20">
        <v>687</v>
      </c>
      <c r="B688" s="20">
        <v>8400239</v>
      </c>
      <c r="C688" s="10" t="s">
        <v>720</v>
      </c>
      <c r="D688" s="10" t="s">
        <v>25</v>
      </c>
      <c r="E688" s="10" t="s">
        <v>35</v>
      </c>
      <c r="F688" s="10"/>
      <c r="G688" s="10">
        <v>5</v>
      </c>
      <c r="H688" s="10"/>
      <c r="I688" s="10" t="s">
        <v>484</v>
      </c>
      <c r="J688" s="10"/>
      <c r="K688" s="10"/>
      <c r="L688" s="10"/>
      <c r="M688" s="10">
        <f t="shared" si="11"/>
        <v>0</v>
      </c>
      <c r="N688" s="10" t="s">
        <v>28</v>
      </c>
      <c r="O688" s="10" t="s">
        <v>29</v>
      </c>
      <c r="P688" s="10" t="s">
        <v>29</v>
      </c>
      <c r="Q688" s="10"/>
      <c r="R688" s="10"/>
      <c r="S688" s="10"/>
      <c r="T688" s="10"/>
      <c r="U688" s="10"/>
      <c r="V688" s="10"/>
      <c r="W688" s="10"/>
      <c r="X688" s="10" t="s">
        <v>30</v>
      </c>
      <c r="Y688" s="11"/>
    </row>
    <row r="689" spans="1:25" s="3" customFormat="1" ht="17.7" customHeight="1" x14ac:dyDescent="0.3">
      <c r="A689" s="21">
        <v>688</v>
      </c>
      <c r="B689" s="21">
        <v>8400240</v>
      </c>
      <c r="C689" s="9" t="s">
        <v>721</v>
      </c>
      <c r="D689" s="9" t="s">
        <v>25</v>
      </c>
      <c r="E689" s="9" t="s">
        <v>35</v>
      </c>
      <c r="F689" s="9"/>
      <c r="G689" s="9">
        <v>5</v>
      </c>
      <c r="H689" s="9"/>
      <c r="I689" s="9" t="s">
        <v>484</v>
      </c>
      <c r="J689" s="9"/>
      <c r="K689" s="9"/>
      <c r="L689" s="9"/>
      <c r="M689" s="9">
        <f t="shared" si="11"/>
        <v>0</v>
      </c>
      <c r="N689" s="9" t="s">
        <v>28</v>
      </c>
      <c r="O689" s="9" t="s">
        <v>29</v>
      </c>
      <c r="P689" s="9" t="s">
        <v>29</v>
      </c>
      <c r="Q689" s="9"/>
      <c r="R689" s="9"/>
      <c r="S689" s="9"/>
      <c r="T689" s="9"/>
      <c r="U689" s="9"/>
      <c r="V689" s="9"/>
      <c r="W689" s="9"/>
      <c r="X689" s="9" t="s">
        <v>30</v>
      </c>
      <c r="Y689" s="11"/>
    </row>
    <row r="690" spans="1:25" s="3" customFormat="1" ht="17.7" customHeight="1" x14ac:dyDescent="0.3">
      <c r="A690" s="20">
        <v>689</v>
      </c>
      <c r="B690" s="20">
        <v>8400241</v>
      </c>
      <c r="C690" s="10" t="s">
        <v>722</v>
      </c>
      <c r="D690" s="10" t="s">
        <v>25</v>
      </c>
      <c r="E690" s="10" t="s">
        <v>35</v>
      </c>
      <c r="F690" s="10"/>
      <c r="G690" s="10">
        <v>5</v>
      </c>
      <c r="H690" s="10"/>
      <c r="I690" s="10" t="s">
        <v>484</v>
      </c>
      <c r="J690" s="10"/>
      <c r="K690" s="10"/>
      <c r="L690" s="10"/>
      <c r="M690" s="10">
        <f t="shared" si="11"/>
        <v>0</v>
      </c>
      <c r="N690" s="10" t="s">
        <v>28</v>
      </c>
      <c r="O690" s="10" t="s">
        <v>29</v>
      </c>
      <c r="P690" s="10" t="s">
        <v>29</v>
      </c>
      <c r="Q690" s="10"/>
      <c r="R690" s="10"/>
      <c r="S690" s="10"/>
      <c r="T690" s="10"/>
      <c r="U690" s="10"/>
      <c r="V690" s="10"/>
      <c r="W690" s="10"/>
      <c r="X690" s="10" t="s">
        <v>30</v>
      </c>
      <c r="Y690" s="11"/>
    </row>
    <row r="691" spans="1:25" s="3" customFormat="1" ht="17.7" customHeight="1" x14ac:dyDescent="0.3">
      <c r="A691" s="21">
        <v>690</v>
      </c>
      <c r="B691" s="21">
        <v>8400242</v>
      </c>
      <c r="C691" s="9" t="s">
        <v>723</v>
      </c>
      <c r="D691" s="9" t="s">
        <v>25</v>
      </c>
      <c r="E691" s="9" t="s">
        <v>35</v>
      </c>
      <c r="F691" s="9"/>
      <c r="G691" s="9">
        <v>5</v>
      </c>
      <c r="H691" s="9"/>
      <c r="I691" s="9" t="s">
        <v>484</v>
      </c>
      <c r="J691" s="9"/>
      <c r="K691" s="9"/>
      <c r="L691" s="9"/>
      <c r="M691" s="9">
        <f t="shared" si="11"/>
        <v>0</v>
      </c>
      <c r="N691" s="9" t="s">
        <v>28</v>
      </c>
      <c r="O691" s="9" t="s">
        <v>29</v>
      </c>
      <c r="P691" s="9" t="s">
        <v>29</v>
      </c>
      <c r="Q691" s="9"/>
      <c r="R691" s="9"/>
      <c r="S691" s="9"/>
      <c r="T691" s="9"/>
      <c r="U691" s="9"/>
      <c r="V691" s="9"/>
      <c r="W691" s="9"/>
      <c r="X691" s="9" t="s">
        <v>30</v>
      </c>
      <c r="Y691" s="11"/>
    </row>
    <row r="692" spans="1:25" s="3" customFormat="1" ht="17.7" customHeight="1" x14ac:dyDescent="0.3">
      <c r="A692" s="20">
        <v>691</v>
      </c>
      <c r="B692" s="20">
        <v>8400243</v>
      </c>
      <c r="C692" s="10" t="s">
        <v>724</v>
      </c>
      <c r="D692" s="10" t="s">
        <v>25</v>
      </c>
      <c r="E692" s="10" t="s">
        <v>35</v>
      </c>
      <c r="F692" s="10"/>
      <c r="G692" s="10">
        <v>1</v>
      </c>
      <c r="H692" s="10"/>
      <c r="I692" s="10" t="s">
        <v>484</v>
      </c>
      <c r="J692" s="10"/>
      <c r="K692" s="10"/>
      <c r="L692" s="10"/>
      <c r="M692" s="10">
        <f t="shared" si="11"/>
        <v>0</v>
      </c>
      <c r="N692" s="10" t="s">
        <v>28</v>
      </c>
      <c r="O692" s="10" t="s">
        <v>29</v>
      </c>
      <c r="P692" s="10" t="s">
        <v>29</v>
      </c>
      <c r="Q692" s="10"/>
      <c r="R692" s="10"/>
      <c r="S692" s="10"/>
      <c r="T692" s="10"/>
      <c r="U692" s="10"/>
      <c r="V692" s="10"/>
      <c r="W692" s="10"/>
      <c r="X692" s="10" t="s">
        <v>30</v>
      </c>
      <c r="Y692" s="11"/>
    </row>
    <row r="693" spans="1:25" s="3" customFormat="1" ht="17.7" customHeight="1" x14ac:dyDescent="0.3">
      <c r="A693" s="21">
        <v>692</v>
      </c>
      <c r="B693" s="21">
        <v>8400244</v>
      </c>
      <c r="C693" s="9" t="s">
        <v>725</v>
      </c>
      <c r="D693" s="9" t="s">
        <v>25</v>
      </c>
      <c r="E693" s="9" t="s">
        <v>35</v>
      </c>
      <c r="F693" s="9"/>
      <c r="G693" s="9">
        <v>5</v>
      </c>
      <c r="H693" s="9"/>
      <c r="I693" s="9" t="s">
        <v>484</v>
      </c>
      <c r="J693" s="9"/>
      <c r="K693" s="9"/>
      <c r="L693" s="9"/>
      <c r="M693" s="9">
        <f t="shared" si="11"/>
        <v>0</v>
      </c>
      <c r="N693" s="9" t="s">
        <v>28</v>
      </c>
      <c r="O693" s="9" t="s">
        <v>29</v>
      </c>
      <c r="P693" s="9" t="s">
        <v>29</v>
      </c>
      <c r="Q693" s="9"/>
      <c r="R693" s="9"/>
      <c r="S693" s="9"/>
      <c r="T693" s="9"/>
      <c r="U693" s="9"/>
      <c r="V693" s="9"/>
      <c r="W693" s="9"/>
      <c r="X693" s="9" t="s">
        <v>30</v>
      </c>
      <c r="Y693" s="11"/>
    </row>
    <row r="694" spans="1:25" s="3" customFormat="1" ht="17.7" customHeight="1" x14ac:dyDescent="0.3">
      <c r="A694" s="20">
        <v>693</v>
      </c>
      <c r="B694" s="20">
        <v>8400245</v>
      </c>
      <c r="C694" s="10" t="s">
        <v>726</v>
      </c>
      <c r="D694" s="10" t="s">
        <v>25</v>
      </c>
      <c r="E694" s="10" t="s">
        <v>35</v>
      </c>
      <c r="F694" s="10"/>
      <c r="G694" s="10">
        <v>20</v>
      </c>
      <c r="H694" s="10"/>
      <c r="I694" s="10" t="s">
        <v>484</v>
      </c>
      <c r="J694" s="10"/>
      <c r="K694" s="10"/>
      <c r="L694" s="10"/>
      <c r="M694" s="10">
        <f t="shared" si="11"/>
        <v>0</v>
      </c>
      <c r="N694" s="10" t="s">
        <v>28</v>
      </c>
      <c r="O694" s="10" t="s">
        <v>29</v>
      </c>
      <c r="P694" s="10" t="s">
        <v>29</v>
      </c>
      <c r="Q694" s="10"/>
      <c r="R694" s="10"/>
      <c r="S694" s="10"/>
      <c r="T694" s="10"/>
      <c r="U694" s="10"/>
      <c r="V694" s="10"/>
      <c r="W694" s="10"/>
      <c r="X694" s="10" t="s">
        <v>30</v>
      </c>
      <c r="Y694" s="11"/>
    </row>
    <row r="695" spans="1:25" s="3" customFormat="1" ht="17.7" customHeight="1" x14ac:dyDescent="0.3">
      <c r="A695" s="21">
        <v>694</v>
      </c>
      <c r="B695" s="21">
        <v>8400246</v>
      </c>
      <c r="C695" s="9" t="s">
        <v>727</v>
      </c>
      <c r="D695" s="9" t="s">
        <v>25</v>
      </c>
      <c r="E695" s="9" t="s">
        <v>35</v>
      </c>
      <c r="F695" s="9"/>
      <c r="G695" s="9">
        <v>5</v>
      </c>
      <c r="H695" s="9"/>
      <c r="I695" s="9" t="s">
        <v>484</v>
      </c>
      <c r="J695" s="9"/>
      <c r="K695" s="9"/>
      <c r="L695" s="9"/>
      <c r="M695" s="9">
        <f t="shared" si="11"/>
        <v>0</v>
      </c>
      <c r="N695" s="9" t="s">
        <v>28</v>
      </c>
      <c r="O695" s="9" t="s">
        <v>29</v>
      </c>
      <c r="P695" s="9" t="s">
        <v>29</v>
      </c>
      <c r="Q695" s="9"/>
      <c r="R695" s="9"/>
      <c r="S695" s="9"/>
      <c r="T695" s="9"/>
      <c r="U695" s="9"/>
      <c r="V695" s="9"/>
      <c r="W695" s="9"/>
      <c r="X695" s="9" t="s">
        <v>30</v>
      </c>
      <c r="Y695" s="11"/>
    </row>
    <row r="696" spans="1:25" s="3" customFormat="1" ht="17.7" customHeight="1" x14ac:dyDescent="0.3">
      <c r="A696" s="20">
        <v>695</v>
      </c>
      <c r="B696" s="20">
        <v>8400247</v>
      </c>
      <c r="C696" s="10" t="s">
        <v>728</v>
      </c>
      <c r="D696" s="10" t="s">
        <v>25</v>
      </c>
      <c r="E696" s="10" t="s">
        <v>35</v>
      </c>
      <c r="F696" s="10"/>
      <c r="G696" s="10">
        <v>5</v>
      </c>
      <c r="H696" s="10"/>
      <c r="I696" s="10" t="s">
        <v>484</v>
      </c>
      <c r="J696" s="10"/>
      <c r="K696" s="10"/>
      <c r="L696" s="10"/>
      <c r="M696" s="10">
        <f t="shared" si="11"/>
        <v>0</v>
      </c>
      <c r="N696" s="10" t="s">
        <v>28</v>
      </c>
      <c r="O696" s="10" t="s">
        <v>29</v>
      </c>
      <c r="P696" s="10" t="s">
        <v>29</v>
      </c>
      <c r="Q696" s="10"/>
      <c r="R696" s="10"/>
      <c r="S696" s="10"/>
      <c r="T696" s="10"/>
      <c r="U696" s="10"/>
      <c r="V696" s="10"/>
      <c r="W696" s="10"/>
      <c r="X696" s="10" t="s">
        <v>30</v>
      </c>
      <c r="Y696" s="11"/>
    </row>
    <row r="697" spans="1:25" s="3" customFormat="1" ht="17.7" customHeight="1" x14ac:dyDescent="0.3">
      <c r="A697" s="21">
        <v>696</v>
      </c>
      <c r="B697" s="21">
        <v>8400248</v>
      </c>
      <c r="C697" s="9" t="s">
        <v>729</v>
      </c>
      <c r="D697" s="9" t="s">
        <v>25</v>
      </c>
      <c r="E697" s="9" t="s">
        <v>35</v>
      </c>
      <c r="F697" s="9"/>
      <c r="G697" s="9">
        <v>5</v>
      </c>
      <c r="H697" s="9"/>
      <c r="I697" s="9" t="s">
        <v>484</v>
      </c>
      <c r="J697" s="9"/>
      <c r="K697" s="9"/>
      <c r="L697" s="9"/>
      <c r="M697" s="9">
        <f t="shared" si="11"/>
        <v>0</v>
      </c>
      <c r="N697" s="9" t="s">
        <v>28</v>
      </c>
      <c r="O697" s="9" t="s">
        <v>29</v>
      </c>
      <c r="P697" s="9" t="s">
        <v>29</v>
      </c>
      <c r="Q697" s="9"/>
      <c r="R697" s="9"/>
      <c r="S697" s="9"/>
      <c r="T697" s="9"/>
      <c r="U697" s="9"/>
      <c r="V697" s="9"/>
      <c r="W697" s="9"/>
      <c r="X697" s="9" t="s">
        <v>30</v>
      </c>
      <c r="Y697" s="11"/>
    </row>
    <row r="698" spans="1:25" s="3" customFormat="1" ht="17.7" customHeight="1" x14ac:dyDescent="0.3">
      <c r="A698" s="20">
        <v>697</v>
      </c>
      <c r="B698" s="20">
        <v>8400249</v>
      </c>
      <c r="C698" s="10" t="s">
        <v>730</v>
      </c>
      <c r="D698" s="10" t="s">
        <v>25</v>
      </c>
      <c r="E698" s="10" t="s">
        <v>35</v>
      </c>
      <c r="F698" s="10"/>
      <c r="G698" s="10">
        <v>5</v>
      </c>
      <c r="H698" s="10"/>
      <c r="I698" s="10" t="s">
        <v>484</v>
      </c>
      <c r="J698" s="10"/>
      <c r="K698" s="10"/>
      <c r="L698" s="10"/>
      <c r="M698" s="10">
        <f t="shared" si="11"/>
        <v>0</v>
      </c>
      <c r="N698" s="10" t="s">
        <v>28</v>
      </c>
      <c r="O698" s="10" t="s">
        <v>29</v>
      </c>
      <c r="P698" s="10" t="s">
        <v>29</v>
      </c>
      <c r="Q698" s="10"/>
      <c r="R698" s="10"/>
      <c r="S698" s="10"/>
      <c r="T698" s="10"/>
      <c r="U698" s="10"/>
      <c r="V698" s="10"/>
      <c r="W698" s="10"/>
      <c r="X698" s="10" t="s">
        <v>30</v>
      </c>
      <c r="Y698" s="11"/>
    </row>
    <row r="699" spans="1:25" s="3" customFormat="1" ht="17.7" customHeight="1" x14ac:dyDescent="0.3">
      <c r="A699" s="21">
        <v>698</v>
      </c>
      <c r="B699" s="21">
        <v>8400250</v>
      </c>
      <c r="C699" s="9" t="s">
        <v>731</v>
      </c>
      <c r="D699" s="9" t="s">
        <v>25</v>
      </c>
      <c r="E699" s="9" t="s">
        <v>35</v>
      </c>
      <c r="F699" s="9"/>
      <c r="G699" s="9">
        <v>5</v>
      </c>
      <c r="H699" s="9"/>
      <c r="I699" s="9" t="s">
        <v>484</v>
      </c>
      <c r="J699" s="9"/>
      <c r="K699" s="9"/>
      <c r="L699" s="9"/>
      <c r="M699" s="9">
        <f t="shared" si="11"/>
        <v>0</v>
      </c>
      <c r="N699" s="9" t="s">
        <v>28</v>
      </c>
      <c r="O699" s="9" t="s">
        <v>29</v>
      </c>
      <c r="P699" s="9" t="s">
        <v>29</v>
      </c>
      <c r="Q699" s="9"/>
      <c r="R699" s="9"/>
      <c r="S699" s="9"/>
      <c r="T699" s="9"/>
      <c r="U699" s="9"/>
      <c r="V699" s="9"/>
      <c r="W699" s="9"/>
      <c r="X699" s="9" t="s">
        <v>30</v>
      </c>
      <c r="Y699" s="11"/>
    </row>
    <row r="700" spans="1:25" s="3" customFormat="1" ht="17.7" customHeight="1" x14ac:dyDescent="0.3">
      <c r="A700" s="20">
        <v>699</v>
      </c>
      <c r="B700" s="20">
        <v>8400251</v>
      </c>
      <c r="C700" s="10" t="s">
        <v>732</v>
      </c>
      <c r="D700" s="10" t="s">
        <v>25</v>
      </c>
      <c r="E700" s="10" t="s">
        <v>35</v>
      </c>
      <c r="F700" s="10"/>
      <c r="G700" s="10">
        <v>5</v>
      </c>
      <c r="H700" s="10"/>
      <c r="I700" s="10" t="s">
        <v>484</v>
      </c>
      <c r="J700" s="10"/>
      <c r="K700" s="10"/>
      <c r="L700" s="10"/>
      <c r="M700" s="10">
        <f t="shared" si="11"/>
        <v>0</v>
      </c>
      <c r="N700" s="10" t="s">
        <v>28</v>
      </c>
      <c r="O700" s="10" t="s">
        <v>29</v>
      </c>
      <c r="P700" s="10" t="s">
        <v>29</v>
      </c>
      <c r="Q700" s="10"/>
      <c r="R700" s="10"/>
      <c r="S700" s="10"/>
      <c r="T700" s="10"/>
      <c r="U700" s="10"/>
      <c r="V700" s="10"/>
      <c r="W700" s="10"/>
      <c r="X700" s="10" t="s">
        <v>30</v>
      </c>
      <c r="Y700" s="11"/>
    </row>
    <row r="701" spans="1:25" s="3" customFormat="1" ht="17.7" customHeight="1" x14ac:dyDescent="0.3">
      <c r="A701" s="21">
        <v>700</v>
      </c>
      <c r="B701" s="21">
        <v>8400252</v>
      </c>
      <c r="C701" s="9" t="s">
        <v>733</v>
      </c>
      <c r="D701" s="9" t="s">
        <v>25</v>
      </c>
      <c r="E701" s="9" t="s">
        <v>35</v>
      </c>
      <c r="F701" s="9"/>
      <c r="G701" s="9">
        <v>5</v>
      </c>
      <c r="H701" s="9"/>
      <c r="I701" s="9" t="s">
        <v>484</v>
      </c>
      <c r="J701" s="9"/>
      <c r="K701" s="9"/>
      <c r="L701" s="9"/>
      <c r="M701" s="9">
        <f t="shared" si="11"/>
        <v>0</v>
      </c>
      <c r="N701" s="9" t="s">
        <v>28</v>
      </c>
      <c r="O701" s="9" t="s">
        <v>29</v>
      </c>
      <c r="P701" s="9" t="s">
        <v>29</v>
      </c>
      <c r="Q701" s="9"/>
      <c r="R701" s="9"/>
      <c r="S701" s="9"/>
      <c r="T701" s="9"/>
      <c r="U701" s="9"/>
      <c r="V701" s="9"/>
      <c r="W701" s="9"/>
      <c r="X701" s="9" t="s">
        <v>30</v>
      </c>
      <c r="Y701" s="11"/>
    </row>
    <row r="702" spans="1:25" s="3" customFormat="1" ht="17.7" customHeight="1" x14ac:dyDescent="0.3">
      <c r="A702" s="20">
        <v>701</v>
      </c>
      <c r="B702" s="20">
        <v>8400253</v>
      </c>
      <c r="C702" s="10" t="s">
        <v>734</v>
      </c>
      <c r="D702" s="10" t="s">
        <v>25</v>
      </c>
      <c r="E702" s="10" t="s">
        <v>35</v>
      </c>
      <c r="F702" s="10"/>
      <c r="G702" s="10">
        <v>5</v>
      </c>
      <c r="H702" s="10"/>
      <c r="I702" s="10" t="s">
        <v>484</v>
      </c>
      <c r="J702" s="10"/>
      <c r="K702" s="10"/>
      <c r="L702" s="10"/>
      <c r="M702" s="10">
        <f t="shared" si="11"/>
        <v>0</v>
      </c>
      <c r="N702" s="10" t="s">
        <v>28</v>
      </c>
      <c r="O702" s="10" t="s">
        <v>29</v>
      </c>
      <c r="P702" s="10" t="s">
        <v>29</v>
      </c>
      <c r="Q702" s="10"/>
      <c r="R702" s="10"/>
      <c r="S702" s="10"/>
      <c r="T702" s="10"/>
      <c r="U702" s="10"/>
      <c r="V702" s="10"/>
      <c r="W702" s="10"/>
      <c r="X702" s="10" t="s">
        <v>30</v>
      </c>
      <c r="Y702" s="11"/>
    </row>
    <row r="703" spans="1:25" s="3" customFormat="1" ht="17.7" customHeight="1" x14ac:dyDescent="0.3">
      <c r="A703" s="21">
        <v>702</v>
      </c>
      <c r="B703" s="21">
        <v>8400254</v>
      </c>
      <c r="C703" s="9" t="s">
        <v>735</v>
      </c>
      <c r="D703" s="9" t="s">
        <v>25</v>
      </c>
      <c r="E703" s="9" t="s">
        <v>35</v>
      </c>
      <c r="F703" s="9"/>
      <c r="G703" s="9">
        <v>5</v>
      </c>
      <c r="H703" s="9"/>
      <c r="I703" s="9" t="s">
        <v>484</v>
      </c>
      <c r="J703" s="9"/>
      <c r="K703" s="9"/>
      <c r="L703" s="9"/>
      <c r="M703" s="9">
        <f t="shared" si="11"/>
        <v>0</v>
      </c>
      <c r="N703" s="9" t="s">
        <v>28</v>
      </c>
      <c r="O703" s="9" t="s">
        <v>29</v>
      </c>
      <c r="P703" s="9" t="s">
        <v>29</v>
      </c>
      <c r="Q703" s="9"/>
      <c r="R703" s="9"/>
      <c r="S703" s="9"/>
      <c r="T703" s="9"/>
      <c r="U703" s="9"/>
      <c r="V703" s="9"/>
      <c r="W703" s="9"/>
      <c r="X703" s="9" t="s">
        <v>30</v>
      </c>
      <c r="Y703" s="11"/>
    </row>
    <row r="704" spans="1:25" s="3" customFormat="1" ht="17.7" customHeight="1" x14ac:dyDescent="0.3">
      <c r="A704" s="20">
        <v>703</v>
      </c>
      <c r="B704" s="20">
        <v>8400255</v>
      </c>
      <c r="C704" s="10" t="s">
        <v>736</v>
      </c>
      <c r="D704" s="10" t="s">
        <v>25</v>
      </c>
      <c r="E704" s="10" t="s">
        <v>35</v>
      </c>
      <c r="F704" s="10"/>
      <c r="G704" s="10">
        <v>5</v>
      </c>
      <c r="H704" s="10"/>
      <c r="I704" s="10" t="s">
        <v>484</v>
      </c>
      <c r="J704" s="10"/>
      <c r="K704" s="10"/>
      <c r="L704" s="10"/>
      <c r="M704" s="10">
        <f t="shared" si="11"/>
        <v>0</v>
      </c>
      <c r="N704" s="10" t="s">
        <v>28</v>
      </c>
      <c r="O704" s="10" t="s">
        <v>29</v>
      </c>
      <c r="P704" s="10" t="s">
        <v>29</v>
      </c>
      <c r="Q704" s="10"/>
      <c r="R704" s="10"/>
      <c r="S704" s="10"/>
      <c r="T704" s="10"/>
      <c r="U704" s="10"/>
      <c r="V704" s="10"/>
      <c r="W704" s="10"/>
      <c r="X704" s="10" t="s">
        <v>30</v>
      </c>
      <c r="Y704" s="11"/>
    </row>
    <row r="705" spans="1:25" s="3" customFormat="1" ht="17.7" customHeight="1" x14ac:dyDescent="0.3">
      <c r="A705" s="21">
        <v>704</v>
      </c>
      <c r="B705" s="21">
        <v>8400256</v>
      </c>
      <c r="C705" s="9" t="s">
        <v>737</v>
      </c>
      <c r="D705" s="9" t="s">
        <v>25</v>
      </c>
      <c r="E705" s="9" t="s">
        <v>35</v>
      </c>
      <c r="F705" s="9"/>
      <c r="G705" s="9">
        <v>3</v>
      </c>
      <c r="H705" s="9"/>
      <c r="I705" s="9" t="s">
        <v>484</v>
      </c>
      <c r="J705" s="9"/>
      <c r="K705" s="9"/>
      <c r="L705" s="9"/>
      <c r="M705" s="9">
        <f t="shared" si="11"/>
        <v>0</v>
      </c>
      <c r="N705" s="9" t="s">
        <v>28</v>
      </c>
      <c r="O705" s="9" t="s">
        <v>29</v>
      </c>
      <c r="P705" s="9" t="s">
        <v>29</v>
      </c>
      <c r="Q705" s="9"/>
      <c r="R705" s="9"/>
      <c r="S705" s="9"/>
      <c r="T705" s="9"/>
      <c r="U705" s="9"/>
      <c r="V705" s="9"/>
      <c r="W705" s="9"/>
      <c r="X705" s="9" t="s">
        <v>30</v>
      </c>
      <c r="Y705" s="11"/>
    </row>
    <row r="706" spans="1:25" s="3" customFormat="1" ht="17.7" customHeight="1" x14ac:dyDescent="0.3">
      <c r="A706" s="20">
        <v>705</v>
      </c>
      <c r="B706" s="20">
        <v>8400257</v>
      </c>
      <c r="C706" s="10" t="s">
        <v>738</v>
      </c>
      <c r="D706" s="10" t="s">
        <v>25</v>
      </c>
      <c r="E706" s="10" t="s">
        <v>35</v>
      </c>
      <c r="F706" s="10"/>
      <c r="G706" s="10">
        <v>5</v>
      </c>
      <c r="H706" s="10"/>
      <c r="I706" s="10" t="s">
        <v>484</v>
      </c>
      <c r="J706" s="10"/>
      <c r="K706" s="10"/>
      <c r="L706" s="10"/>
      <c r="M706" s="10">
        <f t="shared" si="11"/>
        <v>0</v>
      </c>
      <c r="N706" s="10" t="s">
        <v>28</v>
      </c>
      <c r="O706" s="10" t="s">
        <v>29</v>
      </c>
      <c r="P706" s="10" t="s">
        <v>29</v>
      </c>
      <c r="Q706" s="10"/>
      <c r="R706" s="10"/>
      <c r="S706" s="10"/>
      <c r="T706" s="10"/>
      <c r="U706" s="10"/>
      <c r="V706" s="10"/>
      <c r="W706" s="10"/>
      <c r="X706" s="10" t="s">
        <v>30</v>
      </c>
      <c r="Y706" s="11"/>
    </row>
    <row r="707" spans="1:25" s="3" customFormat="1" ht="17.7" customHeight="1" x14ac:dyDescent="0.3">
      <c r="A707" s="21">
        <v>706</v>
      </c>
      <c r="B707" s="21">
        <v>8400258</v>
      </c>
      <c r="C707" s="9" t="s">
        <v>739</v>
      </c>
      <c r="D707" s="9" t="s">
        <v>25</v>
      </c>
      <c r="E707" s="9" t="s">
        <v>35</v>
      </c>
      <c r="F707" s="9"/>
      <c r="G707" s="9">
        <v>5</v>
      </c>
      <c r="H707" s="9"/>
      <c r="I707" s="9" t="s">
        <v>484</v>
      </c>
      <c r="J707" s="9"/>
      <c r="K707" s="9"/>
      <c r="L707" s="9"/>
      <c r="M707" s="9">
        <f t="shared" si="11"/>
        <v>0</v>
      </c>
      <c r="N707" s="9" t="s">
        <v>28</v>
      </c>
      <c r="O707" s="9" t="s">
        <v>29</v>
      </c>
      <c r="P707" s="9" t="s">
        <v>29</v>
      </c>
      <c r="Q707" s="9"/>
      <c r="R707" s="9"/>
      <c r="S707" s="9"/>
      <c r="T707" s="9"/>
      <c r="U707" s="9"/>
      <c r="V707" s="9"/>
      <c r="W707" s="9"/>
      <c r="X707" s="9" t="s">
        <v>30</v>
      </c>
      <c r="Y707" s="11"/>
    </row>
    <row r="708" spans="1:25" s="3" customFormat="1" ht="17.7" customHeight="1" x14ac:dyDescent="0.3">
      <c r="A708" s="20">
        <v>707</v>
      </c>
      <c r="B708" s="20">
        <v>8400259</v>
      </c>
      <c r="C708" s="10" t="s">
        <v>740</v>
      </c>
      <c r="D708" s="10" t="s">
        <v>25</v>
      </c>
      <c r="E708" s="10" t="s">
        <v>35</v>
      </c>
      <c r="F708" s="10"/>
      <c r="G708" s="10">
        <v>5</v>
      </c>
      <c r="H708" s="10"/>
      <c r="I708" s="10" t="s">
        <v>484</v>
      </c>
      <c r="J708" s="10"/>
      <c r="K708" s="10"/>
      <c r="L708" s="10"/>
      <c r="M708" s="10">
        <f t="shared" si="11"/>
        <v>0</v>
      </c>
      <c r="N708" s="10" t="s">
        <v>28</v>
      </c>
      <c r="O708" s="10" t="s">
        <v>29</v>
      </c>
      <c r="P708" s="10" t="s">
        <v>29</v>
      </c>
      <c r="Q708" s="10"/>
      <c r="R708" s="10"/>
      <c r="S708" s="10"/>
      <c r="T708" s="10"/>
      <c r="U708" s="10"/>
      <c r="V708" s="10"/>
      <c r="W708" s="10"/>
      <c r="X708" s="10" t="s">
        <v>30</v>
      </c>
      <c r="Y708" s="11"/>
    </row>
    <row r="709" spans="1:25" s="3" customFormat="1" ht="17.7" customHeight="1" x14ac:dyDescent="0.3">
      <c r="A709" s="21">
        <v>708</v>
      </c>
      <c r="B709" s="21">
        <v>8400260</v>
      </c>
      <c r="C709" s="9" t="s">
        <v>741</v>
      </c>
      <c r="D709" s="9" t="s">
        <v>25</v>
      </c>
      <c r="E709" s="9" t="s">
        <v>35</v>
      </c>
      <c r="F709" s="9"/>
      <c r="G709" s="9">
        <v>3</v>
      </c>
      <c r="H709" s="9"/>
      <c r="I709" s="9" t="s">
        <v>484</v>
      </c>
      <c r="J709" s="9"/>
      <c r="K709" s="9"/>
      <c r="L709" s="9"/>
      <c r="M709" s="9">
        <f t="shared" si="11"/>
        <v>0</v>
      </c>
      <c r="N709" s="9" t="s">
        <v>28</v>
      </c>
      <c r="O709" s="9" t="s">
        <v>29</v>
      </c>
      <c r="P709" s="9" t="s">
        <v>29</v>
      </c>
      <c r="Q709" s="9"/>
      <c r="R709" s="9"/>
      <c r="S709" s="9"/>
      <c r="T709" s="9"/>
      <c r="U709" s="9"/>
      <c r="V709" s="9"/>
      <c r="W709" s="9"/>
      <c r="X709" s="9" t="s">
        <v>30</v>
      </c>
      <c r="Y709" s="11"/>
    </row>
    <row r="710" spans="1:25" s="3" customFormat="1" ht="17.7" customHeight="1" x14ac:dyDescent="0.3">
      <c r="A710" s="20">
        <v>709</v>
      </c>
      <c r="B710" s="20">
        <v>8400261</v>
      </c>
      <c r="C710" s="10" t="s">
        <v>742</v>
      </c>
      <c r="D710" s="10" t="s">
        <v>25</v>
      </c>
      <c r="E710" s="10" t="s">
        <v>35</v>
      </c>
      <c r="F710" s="10"/>
      <c r="G710" s="10">
        <v>3</v>
      </c>
      <c r="H710" s="10"/>
      <c r="I710" s="10" t="s">
        <v>484</v>
      </c>
      <c r="J710" s="10"/>
      <c r="K710" s="10"/>
      <c r="L710" s="10"/>
      <c r="M710" s="10">
        <f t="shared" si="11"/>
        <v>0</v>
      </c>
      <c r="N710" s="10" t="s">
        <v>28</v>
      </c>
      <c r="O710" s="10" t="s">
        <v>29</v>
      </c>
      <c r="P710" s="10" t="s">
        <v>29</v>
      </c>
      <c r="Q710" s="10"/>
      <c r="R710" s="10"/>
      <c r="S710" s="10"/>
      <c r="T710" s="10"/>
      <c r="U710" s="10"/>
      <c r="V710" s="10"/>
      <c r="W710" s="10"/>
      <c r="X710" s="10" t="s">
        <v>30</v>
      </c>
      <c r="Y710" s="11"/>
    </row>
    <row r="711" spans="1:25" s="3" customFormat="1" ht="17.7" customHeight="1" x14ac:dyDescent="0.3">
      <c r="A711" s="21">
        <v>710</v>
      </c>
      <c r="B711" s="21">
        <v>8400262</v>
      </c>
      <c r="C711" s="9" t="s">
        <v>743</v>
      </c>
      <c r="D711" s="9" t="s">
        <v>25</v>
      </c>
      <c r="E711" s="9" t="s">
        <v>35</v>
      </c>
      <c r="F711" s="9"/>
      <c r="G711" s="9">
        <v>5</v>
      </c>
      <c r="H711" s="9"/>
      <c r="I711" s="9" t="s">
        <v>484</v>
      </c>
      <c r="J711" s="9"/>
      <c r="K711" s="9"/>
      <c r="L711" s="9"/>
      <c r="M711" s="9">
        <f t="shared" si="11"/>
        <v>0</v>
      </c>
      <c r="N711" s="9" t="s">
        <v>28</v>
      </c>
      <c r="O711" s="9" t="s">
        <v>29</v>
      </c>
      <c r="P711" s="9" t="s">
        <v>29</v>
      </c>
      <c r="Q711" s="9"/>
      <c r="R711" s="9"/>
      <c r="S711" s="9"/>
      <c r="T711" s="9"/>
      <c r="U711" s="9"/>
      <c r="V711" s="9"/>
      <c r="W711" s="9"/>
      <c r="X711" s="9" t="s">
        <v>30</v>
      </c>
      <c r="Y711" s="11"/>
    </row>
    <row r="712" spans="1:25" s="3" customFormat="1" ht="17.7" customHeight="1" x14ac:dyDescent="0.3">
      <c r="A712" s="20">
        <v>711</v>
      </c>
      <c r="B712" s="20">
        <v>8400263</v>
      </c>
      <c r="C712" s="10" t="s">
        <v>744</v>
      </c>
      <c r="D712" s="10" t="s">
        <v>25</v>
      </c>
      <c r="E712" s="10" t="s">
        <v>35</v>
      </c>
      <c r="F712" s="10"/>
      <c r="G712" s="10">
        <v>1</v>
      </c>
      <c r="H712" s="10"/>
      <c r="I712" s="10" t="s">
        <v>484</v>
      </c>
      <c r="J712" s="10"/>
      <c r="K712" s="10"/>
      <c r="L712" s="10"/>
      <c r="M712" s="10">
        <f t="shared" si="11"/>
        <v>0</v>
      </c>
      <c r="N712" s="10" t="s">
        <v>28</v>
      </c>
      <c r="O712" s="10" t="s">
        <v>29</v>
      </c>
      <c r="P712" s="10" t="s">
        <v>29</v>
      </c>
      <c r="Q712" s="10"/>
      <c r="R712" s="10"/>
      <c r="S712" s="10"/>
      <c r="T712" s="10"/>
      <c r="U712" s="10"/>
      <c r="V712" s="10"/>
      <c r="W712" s="10"/>
      <c r="X712" s="10" t="s">
        <v>30</v>
      </c>
      <c r="Y712" s="11"/>
    </row>
    <row r="713" spans="1:25" s="3" customFormat="1" ht="17.7" customHeight="1" x14ac:dyDescent="0.3">
      <c r="A713" s="21">
        <v>712</v>
      </c>
      <c r="B713" s="21">
        <v>8400264</v>
      </c>
      <c r="C713" s="9" t="s">
        <v>745</v>
      </c>
      <c r="D713" s="9" t="s">
        <v>25</v>
      </c>
      <c r="E713" s="9" t="s">
        <v>35</v>
      </c>
      <c r="F713" s="9"/>
      <c r="G713" s="9">
        <v>3</v>
      </c>
      <c r="H713" s="9"/>
      <c r="I713" s="9" t="s">
        <v>484</v>
      </c>
      <c r="J713" s="9"/>
      <c r="K713" s="9"/>
      <c r="L713" s="9"/>
      <c r="M713" s="9">
        <f t="shared" si="11"/>
        <v>0</v>
      </c>
      <c r="N713" s="9" t="s">
        <v>28</v>
      </c>
      <c r="O713" s="9" t="s">
        <v>29</v>
      </c>
      <c r="P713" s="9" t="s">
        <v>29</v>
      </c>
      <c r="Q713" s="9"/>
      <c r="R713" s="9"/>
      <c r="S713" s="9"/>
      <c r="T713" s="9"/>
      <c r="U713" s="9"/>
      <c r="V713" s="9"/>
      <c r="W713" s="9"/>
      <c r="X713" s="9" t="s">
        <v>30</v>
      </c>
      <c r="Y713" s="11"/>
    </row>
    <row r="714" spans="1:25" s="3" customFormat="1" ht="17.7" customHeight="1" x14ac:dyDescent="0.3">
      <c r="A714" s="20">
        <v>713</v>
      </c>
      <c r="B714" s="20">
        <v>8400265</v>
      </c>
      <c r="C714" s="10" t="s">
        <v>746</v>
      </c>
      <c r="D714" s="10" t="s">
        <v>25</v>
      </c>
      <c r="E714" s="10" t="s">
        <v>35</v>
      </c>
      <c r="F714" s="10"/>
      <c r="G714" s="10">
        <v>5</v>
      </c>
      <c r="H714" s="10"/>
      <c r="I714" s="10" t="s">
        <v>484</v>
      </c>
      <c r="J714" s="10"/>
      <c r="K714" s="10"/>
      <c r="L714" s="10"/>
      <c r="M714" s="10">
        <f t="shared" si="11"/>
        <v>0</v>
      </c>
      <c r="N714" s="10" t="s">
        <v>28</v>
      </c>
      <c r="O714" s="10" t="s">
        <v>29</v>
      </c>
      <c r="P714" s="10" t="s">
        <v>29</v>
      </c>
      <c r="Q714" s="10"/>
      <c r="R714" s="10"/>
      <c r="S714" s="10"/>
      <c r="T714" s="10"/>
      <c r="U714" s="10"/>
      <c r="V714" s="10"/>
      <c r="W714" s="10"/>
      <c r="X714" s="10" t="s">
        <v>30</v>
      </c>
      <c r="Y714" s="11"/>
    </row>
    <row r="715" spans="1:25" s="3" customFormat="1" ht="17.7" customHeight="1" x14ac:dyDescent="0.3">
      <c r="A715" s="21">
        <v>714</v>
      </c>
      <c r="B715" s="21">
        <v>8400266</v>
      </c>
      <c r="C715" s="9" t="s">
        <v>747</v>
      </c>
      <c r="D715" s="9" t="s">
        <v>25</v>
      </c>
      <c r="E715" s="9" t="s">
        <v>35</v>
      </c>
      <c r="F715" s="9"/>
      <c r="G715" s="9">
        <v>5</v>
      </c>
      <c r="H715" s="9"/>
      <c r="I715" s="9" t="s">
        <v>484</v>
      </c>
      <c r="J715" s="9"/>
      <c r="K715" s="9"/>
      <c r="L715" s="9"/>
      <c r="M715" s="9">
        <f t="shared" si="11"/>
        <v>0</v>
      </c>
      <c r="N715" s="9" t="s">
        <v>28</v>
      </c>
      <c r="O715" s="9" t="s">
        <v>29</v>
      </c>
      <c r="P715" s="9" t="s">
        <v>29</v>
      </c>
      <c r="Q715" s="9"/>
      <c r="R715" s="9"/>
      <c r="S715" s="9"/>
      <c r="T715" s="9"/>
      <c r="U715" s="9"/>
      <c r="V715" s="9"/>
      <c r="W715" s="9"/>
      <c r="X715" s="9" t="s">
        <v>30</v>
      </c>
      <c r="Y715" s="11"/>
    </row>
    <row r="716" spans="1:25" s="3" customFormat="1" ht="17.7" customHeight="1" x14ac:dyDescent="0.3">
      <c r="A716" s="20">
        <v>715</v>
      </c>
      <c r="B716" s="20">
        <v>8400267</v>
      </c>
      <c r="C716" s="10" t="s">
        <v>748</v>
      </c>
      <c r="D716" s="10" t="s">
        <v>25</v>
      </c>
      <c r="E716" s="10" t="s">
        <v>35</v>
      </c>
      <c r="F716" s="10"/>
      <c r="G716" s="10">
        <v>3</v>
      </c>
      <c r="H716" s="10"/>
      <c r="I716" s="10" t="s">
        <v>484</v>
      </c>
      <c r="J716" s="10"/>
      <c r="K716" s="10"/>
      <c r="L716" s="10"/>
      <c r="M716" s="10">
        <f t="shared" si="11"/>
        <v>0</v>
      </c>
      <c r="N716" s="10" t="s">
        <v>28</v>
      </c>
      <c r="O716" s="10" t="s">
        <v>29</v>
      </c>
      <c r="P716" s="10" t="s">
        <v>29</v>
      </c>
      <c r="Q716" s="10"/>
      <c r="R716" s="10"/>
      <c r="S716" s="10"/>
      <c r="T716" s="10"/>
      <c r="U716" s="10"/>
      <c r="V716" s="10"/>
      <c r="W716" s="10"/>
      <c r="X716" s="10" t="s">
        <v>30</v>
      </c>
      <c r="Y716" s="11"/>
    </row>
    <row r="717" spans="1:25" s="3" customFormat="1" ht="17.7" customHeight="1" x14ac:dyDescent="0.3">
      <c r="A717" s="21">
        <v>716</v>
      </c>
      <c r="B717" s="21">
        <v>8400268</v>
      </c>
      <c r="C717" s="9" t="s">
        <v>749</v>
      </c>
      <c r="D717" s="9" t="s">
        <v>25</v>
      </c>
      <c r="E717" s="9" t="s">
        <v>35</v>
      </c>
      <c r="F717" s="9"/>
      <c r="G717" s="9">
        <v>5</v>
      </c>
      <c r="H717" s="9"/>
      <c r="I717" s="9" t="s">
        <v>484</v>
      </c>
      <c r="J717" s="9"/>
      <c r="K717" s="9"/>
      <c r="L717" s="9"/>
      <c r="M717" s="9">
        <f t="shared" si="11"/>
        <v>0</v>
      </c>
      <c r="N717" s="9" t="s">
        <v>28</v>
      </c>
      <c r="O717" s="9" t="s">
        <v>29</v>
      </c>
      <c r="P717" s="9" t="s">
        <v>29</v>
      </c>
      <c r="Q717" s="9"/>
      <c r="R717" s="9"/>
      <c r="S717" s="9"/>
      <c r="T717" s="9"/>
      <c r="U717" s="9"/>
      <c r="V717" s="9"/>
      <c r="W717" s="9"/>
      <c r="X717" s="9" t="s">
        <v>30</v>
      </c>
      <c r="Y717" s="11"/>
    </row>
    <row r="718" spans="1:25" s="3" customFormat="1" ht="17.7" customHeight="1" x14ac:dyDescent="0.3">
      <c r="A718" s="20">
        <v>717</v>
      </c>
      <c r="B718" s="20">
        <v>8400269</v>
      </c>
      <c r="C718" s="10" t="s">
        <v>750</v>
      </c>
      <c r="D718" s="10" t="s">
        <v>25</v>
      </c>
      <c r="E718" s="10" t="s">
        <v>35</v>
      </c>
      <c r="F718" s="10"/>
      <c r="G718" s="10">
        <v>5</v>
      </c>
      <c r="H718" s="10"/>
      <c r="I718" s="10" t="s">
        <v>484</v>
      </c>
      <c r="J718" s="10"/>
      <c r="K718" s="10"/>
      <c r="L718" s="10"/>
      <c r="M718" s="10">
        <f t="shared" si="11"/>
        <v>0</v>
      </c>
      <c r="N718" s="10" t="s">
        <v>28</v>
      </c>
      <c r="O718" s="10" t="s">
        <v>29</v>
      </c>
      <c r="P718" s="10" t="s">
        <v>29</v>
      </c>
      <c r="Q718" s="10"/>
      <c r="R718" s="10"/>
      <c r="S718" s="10"/>
      <c r="T718" s="10"/>
      <c r="U718" s="10"/>
      <c r="V718" s="10"/>
      <c r="W718" s="10"/>
      <c r="X718" s="10" t="s">
        <v>30</v>
      </c>
      <c r="Y718" s="11"/>
    </row>
    <row r="719" spans="1:25" s="3" customFormat="1" ht="17.7" customHeight="1" x14ac:dyDescent="0.3">
      <c r="A719" s="21">
        <v>718</v>
      </c>
      <c r="B719" s="21">
        <v>8400270</v>
      </c>
      <c r="C719" s="9" t="s">
        <v>751</v>
      </c>
      <c r="D719" s="9" t="s">
        <v>25</v>
      </c>
      <c r="E719" s="9" t="s">
        <v>35</v>
      </c>
      <c r="F719" s="9"/>
      <c r="G719" s="9">
        <v>5</v>
      </c>
      <c r="H719" s="9"/>
      <c r="I719" s="9" t="s">
        <v>484</v>
      </c>
      <c r="J719" s="9"/>
      <c r="K719" s="9"/>
      <c r="L719" s="9"/>
      <c r="M719" s="9">
        <f t="shared" si="11"/>
        <v>0</v>
      </c>
      <c r="N719" s="9" t="s">
        <v>28</v>
      </c>
      <c r="O719" s="9" t="s">
        <v>29</v>
      </c>
      <c r="P719" s="9" t="s">
        <v>29</v>
      </c>
      <c r="Q719" s="9"/>
      <c r="R719" s="9"/>
      <c r="S719" s="9"/>
      <c r="T719" s="9"/>
      <c r="U719" s="9"/>
      <c r="V719" s="9"/>
      <c r="W719" s="9"/>
      <c r="X719" s="9" t="s">
        <v>30</v>
      </c>
      <c r="Y719" s="11"/>
    </row>
    <row r="720" spans="1:25" s="3" customFormat="1" ht="17.7" customHeight="1" x14ac:dyDescent="0.3">
      <c r="A720" s="20">
        <v>719</v>
      </c>
      <c r="B720" s="20">
        <v>8400271</v>
      </c>
      <c r="C720" s="10" t="s">
        <v>752</v>
      </c>
      <c r="D720" s="10" t="s">
        <v>25</v>
      </c>
      <c r="E720" s="10" t="s">
        <v>35</v>
      </c>
      <c r="F720" s="10"/>
      <c r="G720" s="10">
        <v>5</v>
      </c>
      <c r="H720" s="10"/>
      <c r="I720" s="10" t="s">
        <v>484</v>
      </c>
      <c r="J720" s="10"/>
      <c r="K720" s="10"/>
      <c r="L720" s="10"/>
      <c r="M720" s="10">
        <f t="shared" si="11"/>
        <v>0</v>
      </c>
      <c r="N720" s="10" t="s">
        <v>28</v>
      </c>
      <c r="O720" s="10" t="s">
        <v>29</v>
      </c>
      <c r="P720" s="10" t="s">
        <v>29</v>
      </c>
      <c r="Q720" s="10"/>
      <c r="R720" s="10"/>
      <c r="S720" s="10"/>
      <c r="T720" s="10"/>
      <c r="U720" s="10"/>
      <c r="V720" s="10"/>
      <c r="W720" s="10"/>
      <c r="X720" s="10" t="s">
        <v>30</v>
      </c>
      <c r="Y720" s="11"/>
    </row>
    <row r="721" spans="1:25" s="3" customFormat="1" ht="17.7" customHeight="1" x14ac:dyDescent="0.3">
      <c r="A721" s="21">
        <v>720</v>
      </c>
      <c r="B721" s="21">
        <v>8400272</v>
      </c>
      <c r="C721" s="9" t="s">
        <v>753</v>
      </c>
      <c r="D721" s="9" t="s">
        <v>25</v>
      </c>
      <c r="E721" s="9" t="s">
        <v>35</v>
      </c>
      <c r="F721" s="9"/>
      <c r="G721" s="9">
        <v>5</v>
      </c>
      <c r="H721" s="9"/>
      <c r="I721" s="9" t="s">
        <v>484</v>
      </c>
      <c r="J721" s="9"/>
      <c r="K721" s="9"/>
      <c r="L721" s="9"/>
      <c r="M721" s="9">
        <f t="shared" si="11"/>
        <v>0</v>
      </c>
      <c r="N721" s="9" t="s">
        <v>28</v>
      </c>
      <c r="O721" s="9" t="s">
        <v>29</v>
      </c>
      <c r="P721" s="9" t="s">
        <v>29</v>
      </c>
      <c r="Q721" s="9"/>
      <c r="R721" s="9"/>
      <c r="S721" s="9"/>
      <c r="T721" s="9"/>
      <c r="U721" s="9"/>
      <c r="V721" s="9"/>
      <c r="W721" s="9"/>
      <c r="X721" s="9" t="s">
        <v>30</v>
      </c>
      <c r="Y721" s="11"/>
    </row>
    <row r="722" spans="1:25" s="3" customFormat="1" ht="17.7" customHeight="1" x14ac:dyDescent="0.3">
      <c r="A722" s="20">
        <v>721</v>
      </c>
      <c r="B722" s="20">
        <v>8400273</v>
      </c>
      <c r="C722" s="10" t="s">
        <v>754</v>
      </c>
      <c r="D722" s="10" t="s">
        <v>25</v>
      </c>
      <c r="E722" s="10" t="s">
        <v>35</v>
      </c>
      <c r="F722" s="10"/>
      <c r="G722" s="10">
        <v>5</v>
      </c>
      <c r="H722" s="10"/>
      <c r="I722" s="10" t="s">
        <v>484</v>
      </c>
      <c r="J722" s="10"/>
      <c r="K722" s="10"/>
      <c r="L722" s="10"/>
      <c r="M722" s="10">
        <f t="shared" si="11"/>
        <v>0</v>
      </c>
      <c r="N722" s="10" t="s">
        <v>28</v>
      </c>
      <c r="O722" s="10" t="s">
        <v>29</v>
      </c>
      <c r="P722" s="10" t="s">
        <v>29</v>
      </c>
      <c r="Q722" s="10"/>
      <c r="R722" s="10"/>
      <c r="S722" s="10"/>
      <c r="T722" s="10"/>
      <c r="U722" s="10"/>
      <c r="V722" s="10"/>
      <c r="W722" s="10"/>
      <c r="X722" s="10" t="s">
        <v>30</v>
      </c>
      <c r="Y722" s="11"/>
    </row>
    <row r="723" spans="1:25" s="3" customFormat="1" ht="17.7" customHeight="1" x14ac:dyDescent="0.3">
      <c r="A723" s="21">
        <v>722</v>
      </c>
      <c r="B723" s="21">
        <v>8400274</v>
      </c>
      <c r="C723" s="9" t="s">
        <v>755</v>
      </c>
      <c r="D723" s="9" t="s">
        <v>25</v>
      </c>
      <c r="E723" s="9" t="s">
        <v>35</v>
      </c>
      <c r="F723" s="9"/>
      <c r="G723" s="9">
        <v>5</v>
      </c>
      <c r="H723" s="9"/>
      <c r="I723" s="9" t="s">
        <v>484</v>
      </c>
      <c r="J723" s="9"/>
      <c r="K723" s="9"/>
      <c r="L723" s="9"/>
      <c r="M723" s="9">
        <f t="shared" si="11"/>
        <v>0</v>
      </c>
      <c r="N723" s="9" t="s">
        <v>28</v>
      </c>
      <c r="O723" s="9" t="s">
        <v>29</v>
      </c>
      <c r="P723" s="9" t="s">
        <v>29</v>
      </c>
      <c r="Q723" s="9"/>
      <c r="R723" s="9"/>
      <c r="S723" s="9"/>
      <c r="T723" s="9"/>
      <c r="U723" s="9"/>
      <c r="V723" s="9"/>
      <c r="W723" s="9"/>
      <c r="X723" s="9" t="s">
        <v>30</v>
      </c>
      <c r="Y723" s="11"/>
    </row>
    <row r="724" spans="1:25" s="3" customFormat="1" ht="17.7" customHeight="1" x14ac:dyDescent="0.3">
      <c r="A724" s="20">
        <v>723</v>
      </c>
      <c r="B724" s="20">
        <v>8400275</v>
      </c>
      <c r="C724" s="10" t="s">
        <v>756</v>
      </c>
      <c r="D724" s="10" t="s">
        <v>25</v>
      </c>
      <c r="E724" s="10" t="s">
        <v>35</v>
      </c>
      <c r="F724" s="10"/>
      <c r="G724" s="10">
        <v>5</v>
      </c>
      <c r="H724" s="10"/>
      <c r="I724" s="10" t="s">
        <v>484</v>
      </c>
      <c r="J724" s="10"/>
      <c r="K724" s="10"/>
      <c r="L724" s="10"/>
      <c r="M724" s="10">
        <f t="shared" si="11"/>
        <v>0</v>
      </c>
      <c r="N724" s="10" t="s">
        <v>28</v>
      </c>
      <c r="O724" s="10" t="s">
        <v>29</v>
      </c>
      <c r="P724" s="10" t="s">
        <v>29</v>
      </c>
      <c r="Q724" s="10"/>
      <c r="R724" s="10"/>
      <c r="S724" s="10"/>
      <c r="T724" s="10"/>
      <c r="U724" s="10"/>
      <c r="V724" s="10"/>
      <c r="W724" s="10"/>
      <c r="X724" s="10" t="s">
        <v>30</v>
      </c>
      <c r="Y724" s="11"/>
    </row>
    <row r="725" spans="1:25" s="3" customFormat="1" ht="17.7" customHeight="1" x14ac:dyDescent="0.3">
      <c r="A725" s="21">
        <v>724</v>
      </c>
      <c r="B725" s="21">
        <v>8400276</v>
      </c>
      <c r="C725" s="9" t="s">
        <v>757</v>
      </c>
      <c r="D725" s="9" t="s">
        <v>25</v>
      </c>
      <c r="E725" s="9" t="s">
        <v>35</v>
      </c>
      <c r="F725" s="9"/>
      <c r="G725" s="9">
        <v>3</v>
      </c>
      <c r="H725" s="9"/>
      <c r="I725" s="9" t="s">
        <v>484</v>
      </c>
      <c r="J725" s="9"/>
      <c r="K725" s="9"/>
      <c r="L725" s="9"/>
      <c r="M725" s="9">
        <f t="shared" si="11"/>
        <v>0</v>
      </c>
      <c r="N725" s="9" t="s">
        <v>28</v>
      </c>
      <c r="O725" s="9" t="s">
        <v>29</v>
      </c>
      <c r="P725" s="9" t="s">
        <v>29</v>
      </c>
      <c r="Q725" s="9"/>
      <c r="R725" s="9"/>
      <c r="S725" s="9"/>
      <c r="T725" s="9"/>
      <c r="U725" s="9"/>
      <c r="V725" s="9"/>
      <c r="W725" s="9"/>
      <c r="X725" s="9" t="s">
        <v>30</v>
      </c>
      <c r="Y725" s="11"/>
    </row>
    <row r="726" spans="1:25" s="3" customFormat="1" ht="17.7" customHeight="1" x14ac:dyDescent="0.3">
      <c r="A726" s="20">
        <v>725</v>
      </c>
      <c r="B726" s="20">
        <v>8400277</v>
      </c>
      <c r="C726" s="10" t="s">
        <v>758</v>
      </c>
      <c r="D726" s="10" t="s">
        <v>25</v>
      </c>
      <c r="E726" s="10" t="s">
        <v>35</v>
      </c>
      <c r="F726" s="10"/>
      <c r="G726" s="10">
        <v>2</v>
      </c>
      <c r="H726" s="10"/>
      <c r="I726" s="10" t="s">
        <v>484</v>
      </c>
      <c r="J726" s="10"/>
      <c r="K726" s="10"/>
      <c r="L726" s="10"/>
      <c r="M726" s="10">
        <f t="shared" si="11"/>
        <v>0</v>
      </c>
      <c r="N726" s="10" t="s">
        <v>28</v>
      </c>
      <c r="O726" s="10" t="s">
        <v>29</v>
      </c>
      <c r="P726" s="10" t="s">
        <v>29</v>
      </c>
      <c r="Q726" s="10"/>
      <c r="R726" s="10"/>
      <c r="S726" s="10"/>
      <c r="T726" s="10"/>
      <c r="U726" s="10"/>
      <c r="V726" s="10"/>
      <c r="W726" s="10"/>
      <c r="X726" s="10" t="s">
        <v>30</v>
      </c>
      <c r="Y726" s="11"/>
    </row>
    <row r="727" spans="1:25" s="3" customFormat="1" ht="17.7" customHeight="1" x14ac:dyDescent="0.3">
      <c r="A727" s="21">
        <v>726</v>
      </c>
      <c r="B727" s="21">
        <v>8400278</v>
      </c>
      <c r="C727" s="9" t="s">
        <v>759</v>
      </c>
      <c r="D727" s="9" t="s">
        <v>25</v>
      </c>
      <c r="E727" s="9" t="s">
        <v>35</v>
      </c>
      <c r="F727" s="9"/>
      <c r="G727" s="9">
        <v>5</v>
      </c>
      <c r="H727" s="9"/>
      <c r="I727" s="9" t="s">
        <v>484</v>
      </c>
      <c r="J727" s="9"/>
      <c r="K727" s="9"/>
      <c r="L727" s="9"/>
      <c r="M727" s="9">
        <f t="shared" ref="M727:M752" si="12">F727-F727*11%</f>
        <v>0</v>
      </c>
      <c r="N727" s="9" t="s">
        <v>28</v>
      </c>
      <c r="O727" s="9" t="s">
        <v>29</v>
      </c>
      <c r="P727" s="9" t="s">
        <v>29</v>
      </c>
      <c r="Q727" s="9"/>
      <c r="R727" s="9"/>
      <c r="S727" s="9"/>
      <c r="T727" s="9"/>
      <c r="U727" s="9"/>
      <c r="V727" s="9"/>
      <c r="W727" s="9"/>
      <c r="X727" s="9" t="s">
        <v>30</v>
      </c>
      <c r="Y727" s="11"/>
    </row>
    <row r="728" spans="1:25" s="7" customFormat="1" ht="17.7" customHeight="1" x14ac:dyDescent="0.4">
      <c r="A728" s="20">
        <v>727</v>
      </c>
      <c r="B728" s="20">
        <v>8400279</v>
      </c>
      <c r="C728" s="10" t="s">
        <v>760</v>
      </c>
      <c r="D728" s="10" t="s">
        <v>25</v>
      </c>
      <c r="E728" s="10" t="s">
        <v>35</v>
      </c>
      <c r="F728" s="10"/>
      <c r="G728" s="10">
        <v>1</v>
      </c>
      <c r="H728" s="10"/>
      <c r="I728" s="10" t="s">
        <v>484</v>
      </c>
      <c r="J728" s="10"/>
      <c r="K728" s="10"/>
      <c r="L728" s="10"/>
      <c r="M728" s="10">
        <f t="shared" si="12"/>
        <v>0</v>
      </c>
      <c r="N728" s="10" t="s">
        <v>28</v>
      </c>
      <c r="O728" s="10" t="s">
        <v>29</v>
      </c>
      <c r="P728" s="10" t="s">
        <v>29</v>
      </c>
      <c r="Q728" s="10"/>
      <c r="R728" s="10"/>
      <c r="S728" s="10"/>
      <c r="T728" s="10"/>
      <c r="U728" s="10"/>
      <c r="V728" s="10"/>
      <c r="W728" s="10"/>
      <c r="X728" s="10" t="s">
        <v>30</v>
      </c>
      <c r="Y728" s="15"/>
    </row>
    <row r="729" spans="1:25" s="3" customFormat="1" ht="17.7" customHeight="1" x14ac:dyDescent="0.3">
      <c r="A729" s="21">
        <v>728</v>
      </c>
      <c r="B729" s="21">
        <v>8400280</v>
      </c>
      <c r="C729" s="9" t="s">
        <v>761</v>
      </c>
      <c r="D729" s="9" t="s">
        <v>25</v>
      </c>
      <c r="E729" s="9" t="s">
        <v>35</v>
      </c>
      <c r="F729" s="9"/>
      <c r="G729" s="9">
        <v>5</v>
      </c>
      <c r="H729" s="9"/>
      <c r="I729" s="9" t="s">
        <v>484</v>
      </c>
      <c r="J729" s="9"/>
      <c r="K729" s="9"/>
      <c r="L729" s="9"/>
      <c r="M729" s="9">
        <f t="shared" si="12"/>
        <v>0</v>
      </c>
      <c r="N729" s="9" t="s">
        <v>28</v>
      </c>
      <c r="O729" s="9" t="s">
        <v>29</v>
      </c>
      <c r="P729" s="9" t="s">
        <v>29</v>
      </c>
      <c r="Q729" s="9"/>
      <c r="R729" s="9"/>
      <c r="S729" s="9"/>
      <c r="T729" s="9"/>
      <c r="U729" s="9"/>
      <c r="V729" s="9"/>
      <c r="W729" s="9"/>
      <c r="X729" s="9" t="s">
        <v>30</v>
      </c>
      <c r="Y729" s="11"/>
    </row>
    <row r="730" spans="1:25" s="3" customFormat="1" ht="17.7" customHeight="1" x14ac:dyDescent="0.3">
      <c r="A730" s="20">
        <v>729</v>
      </c>
      <c r="B730" s="20">
        <v>8400281</v>
      </c>
      <c r="C730" s="10" t="s">
        <v>762</v>
      </c>
      <c r="D730" s="10" t="s">
        <v>25</v>
      </c>
      <c r="E730" s="10" t="s">
        <v>35</v>
      </c>
      <c r="F730" s="10"/>
      <c r="G730" s="10">
        <v>5</v>
      </c>
      <c r="H730" s="10"/>
      <c r="I730" s="10" t="s">
        <v>484</v>
      </c>
      <c r="J730" s="10"/>
      <c r="K730" s="10"/>
      <c r="L730" s="10"/>
      <c r="M730" s="10">
        <f t="shared" si="12"/>
        <v>0</v>
      </c>
      <c r="N730" s="10" t="s">
        <v>28</v>
      </c>
      <c r="O730" s="10" t="s">
        <v>29</v>
      </c>
      <c r="P730" s="10" t="s">
        <v>29</v>
      </c>
      <c r="Q730" s="10"/>
      <c r="R730" s="10"/>
      <c r="S730" s="10"/>
      <c r="T730" s="10"/>
      <c r="U730" s="10"/>
      <c r="V730" s="10"/>
      <c r="W730" s="10"/>
      <c r="X730" s="10" t="s">
        <v>30</v>
      </c>
      <c r="Y730" s="11"/>
    </row>
    <row r="731" spans="1:25" s="3" customFormat="1" ht="17.7" customHeight="1" x14ac:dyDescent="0.3">
      <c r="A731" s="21">
        <v>730</v>
      </c>
      <c r="B731" s="21">
        <v>8400282</v>
      </c>
      <c r="C731" s="9" t="s">
        <v>763</v>
      </c>
      <c r="D731" s="9" t="s">
        <v>25</v>
      </c>
      <c r="E731" s="9" t="s">
        <v>35</v>
      </c>
      <c r="F731" s="9"/>
      <c r="G731" s="9">
        <v>3</v>
      </c>
      <c r="H731" s="9"/>
      <c r="I731" s="9" t="s">
        <v>484</v>
      </c>
      <c r="J731" s="9"/>
      <c r="K731" s="9"/>
      <c r="L731" s="9"/>
      <c r="M731" s="9">
        <f t="shared" si="12"/>
        <v>0</v>
      </c>
      <c r="N731" s="9" t="s">
        <v>28</v>
      </c>
      <c r="O731" s="9" t="s">
        <v>29</v>
      </c>
      <c r="P731" s="9" t="s">
        <v>29</v>
      </c>
      <c r="Q731" s="9"/>
      <c r="R731" s="9"/>
      <c r="S731" s="9"/>
      <c r="T731" s="9"/>
      <c r="U731" s="9"/>
      <c r="V731" s="9"/>
      <c r="W731" s="9"/>
      <c r="X731" s="9" t="s">
        <v>30</v>
      </c>
      <c r="Y731" s="11"/>
    </row>
    <row r="732" spans="1:25" s="3" customFormat="1" ht="17.7" customHeight="1" x14ac:dyDescent="0.3">
      <c r="A732" s="20">
        <v>731</v>
      </c>
      <c r="B732" s="20">
        <v>8400283</v>
      </c>
      <c r="C732" s="10" t="s">
        <v>764</v>
      </c>
      <c r="D732" s="10" t="s">
        <v>25</v>
      </c>
      <c r="E732" s="10" t="s">
        <v>35</v>
      </c>
      <c r="F732" s="10"/>
      <c r="G732" s="10">
        <v>5</v>
      </c>
      <c r="H732" s="10"/>
      <c r="I732" s="10" t="s">
        <v>484</v>
      </c>
      <c r="J732" s="10"/>
      <c r="K732" s="10"/>
      <c r="L732" s="10"/>
      <c r="M732" s="10">
        <f t="shared" si="12"/>
        <v>0</v>
      </c>
      <c r="N732" s="10" t="s">
        <v>28</v>
      </c>
      <c r="O732" s="10" t="s">
        <v>29</v>
      </c>
      <c r="P732" s="10" t="s">
        <v>29</v>
      </c>
      <c r="Q732" s="10"/>
      <c r="R732" s="10"/>
      <c r="S732" s="10"/>
      <c r="T732" s="10"/>
      <c r="U732" s="10"/>
      <c r="V732" s="10"/>
      <c r="W732" s="10"/>
      <c r="X732" s="10" t="s">
        <v>30</v>
      </c>
      <c r="Y732" s="11"/>
    </row>
    <row r="733" spans="1:25" s="3" customFormat="1" ht="17.7" customHeight="1" x14ac:dyDescent="0.3">
      <c r="A733" s="21">
        <v>732</v>
      </c>
      <c r="B733" s="21">
        <v>8400284</v>
      </c>
      <c r="C733" s="9" t="s">
        <v>765</v>
      </c>
      <c r="D733" s="9" t="s">
        <v>25</v>
      </c>
      <c r="E733" s="9" t="s">
        <v>35</v>
      </c>
      <c r="F733" s="9"/>
      <c r="G733" s="9">
        <v>5</v>
      </c>
      <c r="H733" s="9"/>
      <c r="I733" s="9" t="s">
        <v>484</v>
      </c>
      <c r="J733" s="9"/>
      <c r="K733" s="9"/>
      <c r="L733" s="9"/>
      <c r="M733" s="9">
        <f t="shared" si="12"/>
        <v>0</v>
      </c>
      <c r="N733" s="9" t="s">
        <v>28</v>
      </c>
      <c r="O733" s="9" t="s">
        <v>29</v>
      </c>
      <c r="P733" s="9" t="s">
        <v>29</v>
      </c>
      <c r="Q733" s="9"/>
      <c r="R733" s="9"/>
      <c r="S733" s="9"/>
      <c r="T733" s="9"/>
      <c r="U733" s="9"/>
      <c r="V733" s="9"/>
      <c r="W733" s="9"/>
      <c r="X733" s="9" t="s">
        <v>30</v>
      </c>
      <c r="Y733" s="11"/>
    </row>
    <row r="734" spans="1:25" s="3" customFormat="1" ht="17.7" customHeight="1" x14ac:dyDescent="0.3">
      <c r="A734" s="20">
        <v>733</v>
      </c>
      <c r="B734" s="20">
        <v>8400285</v>
      </c>
      <c r="C734" s="10" t="s">
        <v>766</v>
      </c>
      <c r="D734" s="10" t="s">
        <v>25</v>
      </c>
      <c r="E734" s="10" t="s">
        <v>35</v>
      </c>
      <c r="F734" s="10"/>
      <c r="G734" s="10">
        <v>5</v>
      </c>
      <c r="H734" s="10"/>
      <c r="I734" s="10" t="s">
        <v>484</v>
      </c>
      <c r="J734" s="10"/>
      <c r="K734" s="10"/>
      <c r="L734" s="10"/>
      <c r="M734" s="10">
        <f t="shared" si="12"/>
        <v>0</v>
      </c>
      <c r="N734" s="10" t="s">
        <v>28</v>
      </c>
      <c r="O734" s="10" t="s">
        <v>29</v>
      </c>
      <c r="P734" s="10" t="s">
        <v>29</v>
      </c>
      <c r="Q734" s="10"/>
      <c r="R734" s="10"/>
      <c r="S734" s="10"/>
      <c r="T734" s="10"/>
      <c r="U734" s="10"/>
      <c r="V734" s="10"/>
      <c r="W734" s="10"/>
      <c r="X734" s="10" t="s">
        <v>30</v>
      </c>
      <c r="Y734" s="11"/>
    </row>
    <row r="735" spans="1:25" s="3" customFormat="1" ht="17.7" customHeight="1" x14ac:dyDescent="0.3">
      <c r="A735" s="21">
        <v>734</v>
      </c>
      <c r="B735" s="21">
        <v>8400286</v>
      </c>
      <c r="C735" s="9" t="s">
        <v>767</v>
      </c>
      <c r="D735" s="9" t="s">
        <v>25</v>
      </c>
      <c r="E735" s="9" t="s">
        <v>35</v>
      </c>
      <c r="F735" s="9"/>
      <c r="G735" s="9">
        <v>3</v>
      </c>
      <c r="H735" s="9"/>
      <c r="I735" s="9" t="s">
        <v>484</v>
      </c>
      <c r="J735" s="9"/>
      <c r="K735" s="9"/>
      <c r="L735" s="9"/>
      <c r="M735" s="9">
        <f t="shared" si="12"/>
        <v>0</v>
      </c>
      <c r="N735" s="9" t="s">
        <v>28</v>
      </c>
      <c r="O735" s="9" t="s">
        <v>29</v>
      </c>
      <c r="P735" s="9" t="s">
        <v>29</v>
      </c>
      <c r="Q735" s="9"/>
      <c r="R735" s="9"/>
      <c r="S735" s="9"/>
      <c r="T735" s="9"/>
      <c r="U735" s="9"/>
      <c r="V735" s="9"/>
      <c r="W735" s="9"/>
      <c r="X735" s="9" t="s">
        <v>30</v>
      </c>
      <c r="Y735" s="11"/>
    </row>
    <row r="736" spans="1:25" s="3" customFormat="1" ht="17.7" customHeight="1" x14ac:dyDescent="0.3">
      <c r="A736" s="20">
        <v>735</v>
      </c>
      <c r="B736" s="20">
        <v>8400287</v>
      </c>
      <c r="C736" s="10" t="s">
        <v>745</v>
      </c>
      <c r="D736" s="10" t="s">
        <v>25</v>
      </c>
      <c r="E736" s="10" t="s">
        <v>35</v>
      </c>
      <c r="F736" s="10"/>
      <c r="G736" s="10">
        <v>3</v>
      </c>
      <c r="H736" s="10"/>
      <c r="I736" s="10" t="s">
        <v>484</v>
      </c>
      <c r="J736" s="10"/>
      <c r="K736" s="10"/>
      <c r="L736" s="10"/>
      <c r="M736" s="10">
        <f t="shared" si="12"/>
        <v>0</v>
      </c>
      <c r="N736" s="10" t="s">
        <v>28</v>
      </c>
      <c r="O736" s="10" t="s">
        <v>29</v>
      </c>
      <c r="P736" s="10" t="s">
        <v>29</v>
      </c>
      <c r="Q736" s="10"/>
      <c r="R736" s="10"/>
      <c r="S736" s="10"/>
      <c r="T736" s="10"/>
      <c r="U736" s="10"/>
      <c r="V736" s="10"/>
      <c r="W736" s="10"/>
      <c r="X736" s="10" t="s">
        <v>30</v>
      </c>
      <c r="Y736" s="11"/>
    </row>
    <row r="737" spans="1:25" s="3" customFormat="1" ht="17.7" customHeight="1" x14ac:dyDescent="0.3">
      <c r="A737" s="21">
        <v>736</v>
      </c>
      <c r="B737" s="21">
        <v>8400288</v>
      </c>
      <c r="C737" s="9" t="s">
        <v>768</v>
      </c>
      <c r="D737" s="9" t="s">
        <v>25</v>
      </c>
      <c r="E737" s="9" t="s">
        <v>35</v>
      </c>
      <c r="F737" s="9"/>
      <c r="G737" s="9">
        <v>5</v>
      </c>
      <c r="H737" s="9"/>
      <c r="I737" s="9" t="s">
        <v>484</v>
      </c>
      <c r="J737" s="9"/>
      <c r="K737" s="9"/>
      <c r="L737" s="9"/>
      <c r="M737" s="9">
        <f t="shared" si="12"/>
        <v>0</v>
      </c>
      <c r="N737" s="9" t="s">
        <v>28</v>
      </c>
      <c r="O737" s="9" t="s">
        <v>29</v>
      </c>
      <c r="P737" s="9" t="s">
        <v>29</v>
      </c>
      <c r="Q737" s="9"/>
      <c r="R737" s="9"/>
      <c r="S737" s="9"/>
      <c r="T737" s="9"/>
      <c r="U737" s="9"/>
      <c r="V737" s="9"/>
      <c r="W737" s="9"/>
      <c r="X737" s="9" t="s">
        <v>30</v>
      </c>
      <c r="Y737" s="11"/>
    </row>
    <row r="738" spans="1:25" s="3" customFormat="1" ht="17.7" customHeight="1" x14ac:dyDescent="0.3">
      <c r="A738" s="20">
        <v>737</v>
      </c>
      <c r="B738" s="20">
        <v>8400289</v>
      </c>
      <c r="C738" s="10" t="s">
        <v>769</v>
      </c>
      <c r="D738" s="10" t="s">
        <v>25</v>
      </c>
      <c r="E738" s="10" t="s">
        <v>35</v>
      </c>
      <c r="F738" s="10"/>
      <c r="G738" s="10">
        <v>2</v>
      </c>
      <c r="H738" s="10"/>
      <c r="I738" s="10" t="s">
        <v>484</v>
      </c>
      <c r="J738" s="10"/>
      <c r="K738" s="10"/>
      <c r="L738" s="10"/>
      <c r="M738" s="10">
        <f t="shared" si="12"/>
        <v>0</v>
      </c>
      <c r="N738" s="10" t="s">
        <v>28</v>
      </c>
      <c r="O738" s="10" t="s">
        <v>29</v>
      </c>
      <c r="P738" s="10" t="s">
        <v>29</v>
      </c>
      <c r="Q738" s="10"/>
      <c r="R738" s="10"/>
      <c r="S738" s="10"/>
      <c r="T738" s="10"/>
      <c r="U738" s="10"/>
      <c r="V738" s="10"/>
      <c r="W738" s="10"/>
      <c r="X738" s="10" t="s">
        <v>30</v>
      </c>
      <c r="Y738" s="11"/>
    </row>
    <row r="739" spans="1:25" s="3" customFormat="1" ht="17.7" customHeight="1" x14ac:dyDescent="0.3">
      <c r="A739" s="21">
        <v>738</v>
      </c>
      <c r="B739" s="21">
        <v>8400290</v>
      </c>
      <c r="C739" s="9" t="s">
        <v>770</v>
      </c>
      <c r="D739" s="9" t="s">
        <v>25</v>
      </c>
      <c r="E739" s="9" t="s">
        <v>35</v>
      </c>
      <c r="F739" s="9"/>
      <c r="G739" s="9">
        <v>3</v>
      </c>
      <c r="H739" s="9"/>
      <c r="I739" s="9" t="s">
        <v>484</v>
      </c>
      <c r="J739" s="9"/>
      <c r="K739" s="9"/>
      <c r="L739" s="9"/>
      <c r="M739" s="9">
        <f t="shared" si="12"/>
        <v>0</v>
      </c>
      <c r="N739" s="9" t="s">
        <v>28</v>
      </c>
      <c r="O739" s="9" t="s">
        <v>29</v>
      </c>
      <c r="P739" s="9" t="s">
        <v>29</v>
      </c>
      <c r="Q739" s="9"/>
      <c r="R739" s="9"/>
      <c r="S739" s="9"/>
      <c r="T739" s="9"/>
      <c r="U739" s="9"/>
      <c r="V739" s="9"/>
      <c r="W739" s="9"/>
      <c r="X739" s="9" t="s">
        <v>30</v>
      </c>
      <c r="Y739" s="11"/>
    </row>
    <row r="740" spans="1:25" s="3" customFormat="1" ht="17.7" customHeight="1" x14ac:dyDescent="0.3">
      <c r="A740" s="20">
        <v>739</v>
      </c>
      <c r="B740" s="20">
        <v>8400291</v>
      </c>
      <c r="C740" s="10" t="s">
        <v>771</v>
      </c>
      <c r="D740" s="10" t="s">
        <v>25</v>
      </c>
      <c r="E740" s="10" t="s">
        <v>35</v>
      </c>
      <c r="F740" s="10"/>
      <c r="G740" s="10">
        <v>5</v>
      </c>
      <c r="H740" s="10"/>
      <c r="I740" s="10" t="s">
        <v>484</v>
      </c>
      <c r="J740" s="10"/>
      <c r="K740" s="10"/>
      <c r="L740" s="10"/>
      <c r="M740" s="10">
        <f t="shared" si="12"/>
        <v>0</v>
      </c>
      <c r="N740" s="10" t="s">
        <v>28</v>
      </c>
      <c r="O740" s="10" t="s">
        <v>29</v>
      </c>
      <c r="P740" s="10" t="s">
        <v>29</v>
      </c>
      <c r="Q740" s="10"/>
      <c r="R740" s="10"/>
      <c r="S740" s="10"/>
      <c r="T740" s="10"/>
      <c r="U740" s="10"/>
      <c r="V740" s="10"/>
      <c r="W740" s="10"/>
      <c r="X740" s="10" t="s">
        <v>30</v>
      </c>
      <c r="Y740" s="11"/>
    </row>
    <row r="741" spans="1:25" s="3" customFormat="1" ht="17.7" customHeight="1" x14ac:dyDescent="0.3">
      <c r="A741" s="21">
        <v>740</v>
      </c>
      <c r="B741" s="21">
        <v>8400292</v>
      </c>
      <c r="C741" s="9" t="s">
        <v>772</v>
      </c>
      <c r="D741" s="9" t="s">
        <v>25</v>
      </c>
      <c r="E741" s="9" t="s">
        <v>35</v>
      </c>
      <c r="F741" s="9"/>
      <c r="G741" s="9">
        <v>5</v>
      </c>
      <c r="H741" s="9"/>
      <c r="I741" s="9" t="s">
        <v>484</v>
      </c>
      <c r="J741" s="9"/>
      <c r="K741" s="9"/>
      <c r="L741" s="9"/>
      <c r="M741" s="9">
        <f t="shared" si="12"/>
        <v>0</v>
      </c>
      <c r="N741" s="9" t="s">
        <v>28</v>
      </c>
      <c r="O741" s="9" t="s">
        <v>29</v>
      </c>
      <c r="P741" s="9" t="s">
        <v>29</v>
      </c>
      <c r="Q741" s="9"/>
      <c r="R741" s="9"/>
      <c r="S741" s="9"/>
      <c r="T741" s="9"/>
      <c r="U741" s="9"/>
      <c r="V741" s="9"/>
      <c r="W741" s="9"/>
      <c r="X741" s="9" t="s">
        <v>30</v>
      </c>
      <c r="Y741" s="11"/>
    </row>
    <row r="742" spans="1:25" s="3" customFormat="1" ht="17.7" customHeight="1" x14ac:dyDescent="0.3">
      <c r="A742" s="20">
        <v>741</v>
      </c>
      <c r="B742" s="20">
        <v>8400293</v>
      </c>
      <c r="C742" s="10" t="s">
        <v>773</v>
      </c>
      <c r="D742" s="10" t="s">
        <v>25</v>
      </c>
      <c r="E742" s="10" t="s">
        <v>35</v>
      </c>
      <c r="F742" s="10"/>
      <c r="G742" s="10">
        <v>5</v>
      </c>
      <c r="H742" s="10"/>
      <c r="I742" s="10" t="s">
        <v>484</v>
      </c>
      <c r="J742" s="10"/>
      <c r="K742" s="10"/>
      <c r="L742" s="10"/>
      <c r="M742" s="10">
        <f t="shared" si="12"/>
        <v>0</v>
      </c>
      <c r="N742" s="10" t="s">
        <v>28</v>
      </c>
      <c r="O742" s="10" t="s">
        <v>29</v>
      </c>
      <c r="P742" s="10" t="s">
        <v>29</v>
      </c>
      <c r="Q742" s="10"/>
      <c r="R742" s="10"/>
      <c r="S742" s="10"/>
      <c r="T742" s="10"/>
      <c r="U742" s="10"/>
      <c r="V742" s="10"/>
      <c r="W742" s="10"/>
      <c r="X742" s="10" t="s">
        <v>30</v>
      </c>
      <c r="Y742" s="11"/>
    </row>
    <row r="743" spans="1:25" s="3" customFormat="1" ht="17.7" customHeight="1" x14ac:dyDescent="0.3">
      <c r="A743" s="21">
        <v>742</v>
      </c>
      <c r="B743" s="21">
        <v>8400294</v>
      </c>
      <c r="C743" s="9" t="s">
        <v>774</v>
      </c>
      <c r="D743" s="9" t="s">
        <v>25</v>
      </c>
      <c r="E743" s="9" t="s">
        <v>35</v>
      </c>
      <c r="F743" s="9"/>
      <c r="G743" s="9">
        <v>5</v>
      </c>
      <c r="H743" s="9"/>
      <c r="I743" s="9" t="s">
        <v>484</v>
      </c>
      <c r="J743" s="9"/>
      <c r="K743" s="9"/>
      <c r="L743" s="9"/>
      <c r="M743" s="9">
        <f t="shared" si="12"/>
        <v>0</v>
      </c>
      <c r="N743" s="9" t="s">
        <v>28</v>
      </c>
      <c r="O743" s="9" t="s">
        <v>29</v>
      </c>
      <c r="P743" s="9" t="s">
        <v>29</v>
      </c>
      <c r="Q743" s="9"/>
      <c r="R743" s="9"/>
      <c r="S743" s="9"/>
      <c r="T743" s="9"/>
      <c r="U743" s="9"/>
      <c r="V743" s="9"/>
      <c r="W743" s="9"/>
      <c r="X743" s="9" t="s">
        <v>30</v>
      </c>
      <c r="Y743" s="11"/>
    </row>
    <row r="744" spans="1:25" s="3" customFormat="1" ht="17.7" customHeight="1" x14ac:dyDescent="0.3">
      <c r="A744" s="20">
        <v>743</v>
      </c>
      <c r="B744" s="20">
        <v>8400295</v>
      </c>
      <c r="C744" s="10" t="s">
        <v>775</v>
      </c>
      <c r="D744" s="10" t="s">
        <v>25</v>
      </c>
      <c r="E744" s="10" t="s">
        <v>35</v>
      </c>
      <c r="F744" s="10"/>
      <c r="G744" s="10">
        <v>5</v>
      </c>
      <c r="H744" s="10"/>
      <c r="I744" s="10" t="s">
        <v>484</v>
      </c>
      <c r="J744" s="10"/>
      <c r="K744" s="10"/>
      <c r="L744" s="10"/>
      <c r="M744" s="10">
        <f t="shared" si="12"/>
        <v>0</v>
      </c>
      <c r="N744" s="10" t="s">
        <v>28</v>
      </c>
      <c r="O744" s="10" t="s">
        <v>29</v>
      </c>
      <c r="P744" s="10" t="s">
        <v>29</v>
      </c>
      <c r="Q744" s="10"/>
      <c r="R744" s="10"/>
      <c r="S744" s="10"/>
      <c r="T744" s="10"/>
      <c r="U744" s="10"/>
      <c r="V744" s="10"/>
      <c r="W744" s="10"/>
      <c r="X744" s="10" t="s">
        <v>30</v>
      </c>
      <c r="Y744" s="11"/>
    </row>
    <row r="745" spans="1:25" s="3" customFormat="1" ht="17.7" customHeight="1" x14ac:dyDescent="0.3">
      <c r="A745" s="21">
        <v>744</v>
      </c>
      <c r="B745" s="21">
        <v>8400296</v>
      </c>
      <c r="C745" s="9" t="s">
        <v>776</v>
      </c>
      <c r="D745" s="9" t="s">
        <v>25</v>
      </c>
      <c r="E745" s="9" t="s">
        <v>35</v>
      </c>
      <c r="F745" s="9"/>
      <c r="G745" s="9">
        <v>5</v>
      </c>
      <c r="H745" s="9"/>
      <c r="I745" s="9" t="s">
        <v>484</v>
      </c>
      <c r="J745" s="9"/>
      <c r="K745" s="9"/>
      <c r="L745" s="9"/>
      <c r="M745" s="9">
        <f t="shared" si="12"/>
        <v>0</v>
      </c>
      <c r="N745" s="9" t="s">
        <v>28</v>
      </c>
      <c r="O745" s="9" t="s">
        <v>29</v>
      </c>
      <c r="P745" s="9" t="s">
        <v>29</v>
      </c>
      <c r="Q745" s="9"/>
      <c r="R745" s="9"/>
      <c r="S745" s="9"/>
      <c r="T745" s="9"/>
      <c r="U745" s="9"/>
      <c r="V745" s="9"/>
      <c r="W745" s="9"/>
      <c r="X745" s="9" t="s">
        <v>30</v>
      </c>
      <c r="Y745" s="11"/>
    </row>
    <row r="746" spans="1:25" s="3" customFormat="1" ht="17.7" customHeight="1" x14ac:dyDescent="0.3">
      <c r="A746" s="20">
        <v>745</v>
      </c>
      <c r="B746" s="20">
        <v>8400297</v>
      </c>
      <c r="C746" s="10" t="s">
        <v>777</v>
      </c>
      <c r="D746" s="10" t="s">
        <v>25</v>
      </c>
      <c r="E746" s="10" t="s">
        <v>35</v>
      </c>
      <c r="F746" s="10"/>
      <c r="G746" s="10">
        <v>3</v>
      </c>
      <c r="H746" s="10"/>
      <c r="I746" s="10" t="s">
        <v>484</v>
      </c>
      <c r="J746" s="10"/>
      <c r="K746" s="10"/>
      <c r="L746" s="10"/>
      <c r="M746" s="10">
        <f t="shared" si="12"/>
        <v>0</v>
      </c>
      <c r="N746" s="10" t="s">
        <v>28</v>
      </c>
      <c r="O746" s="10" t="s">
        <v>29</v>
      </c>
      <c r="P746" s="10" t="s">
        <v>29</v>
      </c>
      <c r="Q746" s="10"/>
      <c r="R746" s="10"/>
      <c r="S746" s="10"/>
      <c r="T746" s="10"/>
      <c r="U746" s="10"/>
      <c r="V746" s="10"/>
      <c r="W746" s="10"/>
      <c r="X746" s="10" t="s">
        <v>30</v>
      </c>
      <c r="Y746" s="11"/>
    </row>
    <row r="747" spans="1:25" s="3" customFormat="1" ht="17.7" customHeight="1" x14ac:dyDescent="0.3">
      <c r="A747" s="21">
        <v>746</v>
      </c>
      <c r="B747" s="21">
        <v>8400298</v>
      </c>
      <c r="C747" s="9" t="s">
        <v>778</v>
      </c>
      <c r="D747" s="9" t="s">
        <v>25</v>
      </c>
      <c r="E747" s="9" t="s">
        <v>35</v>
      </c>
      <c r="F747" s="9"/>
      <c r="G747" s="9">
        <v>5</v>
      </c>
      <c r="H747" s="9"/>
      <c r="I747" s="9" t="s">
        <v>484</v>
      </c>
      <c r="J747" s="9"/>
      <c r="K747" s="9"/>
      <c r="L747" s="9"/>
      <c r="M747" s="9">
        <f t="shared" si="12"/>
        <v>0</v>
      </c>
      <c r="N747" s="9" t="s">
        <v>28</v>
      </c>
      <c r="O747" s="9" t="s">
        <v>29</v>
      </c>
      <c r="P747" s="9" t="s">
        <v>29</v>
      </c>
      <c r="Q747" s="9"/>
      <c r="R747" s="9"/>
      <c r="S747" s="9"/>
      <c r="T747" s="9"/>
      <c r="U747" s="9"/>
      <c r="V747" s="9"/>
      <c r="W747" s="9"/>
      <c r="X747" s="9" t="s">
        <v>30</v>
      </c>
      <c r="Y747" s="11"/>
    </row>
    <row r="748" spans="1:25" s="3" customFormat="1" ht="17.7" customHeight="1" x14ac:dyDescent="0.3">
      <c r="A748" s="20">
        <v>747</v>
      </c>
      <c r="B748" s="20">
        <v>8400299</v>
      </c>
      <c r="C748" s="10" t="s">
        <v>779</v>
      </c>
      <c r="D748" s="10" t="s">
        <v>25</v>
      </c>
      <c r="E748" s="10" t="s">
        <v>35</v>
      </c>
      <c r="F748" s="10"/>
      <c r="G748" s="10">
        <v>2</v>
      </c>
      <c r="H748" s="10"/>
      <c r="I748" s="10" t="s">
        <v>484</v>
      </c>
      <c r="J748" s="10"/>
      <c r="K748" s="10"/>
      <c r="L748" s="10"/>
      <c r="M748" s="10">
        <f t="shared" si="12"/>
        <v>0</v>
      </c>
      <c r="N748" s="10" t="s">
        <v>28</v>
      </c>
      <c r="O748" s="10" t="s">
        <v>29</v>
      </c>
      <c r="P748" s="10" t="s">
        <v>29</v>
      </c>
      <c r="Q748" s="10"/>
      <c r="R748" s="10"/>
      <c r="S748" s="10"/>
      <c r="T748" s="10"/>
      <c r="U748" s="10"/>
      <c r="V748" s="10"/>
      <c r="W748" s="10"/>
      <c r="X748" s="10" t="s">
        <v>30</v>
      </c>
      <c r="Y748" s="11"/>
    </row>
    <row r="749" spans="1:25" s="3" customFormat="1" ht="17.7" customHeight="1" x14ac:dyDescent="0.3">
      <c r="A749" s="21">
        <v>748</v>
      </c>
      <c r="B749" s="21">
        <v>8400300</v>
      </c>
      <c r="C749" s="9" t="s">
        <v>780</v>
      </c>
      <c r="D749" s="9" t="s">
        <v>25</v>
      </c>
      <c r="E749" s="9" t="s">
        <v>35</v>
      </c>
      <c r="F749" s="9"/>
      <c r="G749" s="9">
        <v>5</v>
      </c>
      <c r="H749" s="9"/>
      <c r="I749" s="9" t="s">
        <v>484</v>
      </c>
      <c r="J749" s="9"/>
      <c r="K749" s="9"/>
      <c r="L749" s="9"/>
      <c r="M749" s="9">
        <f t="shared" si="12"/>
        <v>0</v>
      </c>
      <c r="N749" s="9" t="s">
        <v>28</v>
      </c>
      <c r="O749" s="9" t="s">
        <v>29</v>
      </c>
      <c r="P749" s="9" t="s">
        <v>29</v>
      </c>
      <c r="Q749" s="9"/>
      <c r="R749" s="9"/>
      <c r="S749" s="9"/>
      <c r="T749" s="9"/>
      <c r="U749" s="9"/>
      <c r="V749" s="9"/>
      <c r="W749" s="9"/>
      <c r="X749" s="9" t="s">
        <v>30</v>
      </c>
      <c r="Y749" s="11"/>
    </row>
    <row r="750" spans="1:25" s="3" customFormat="1" ht="17.7" customHeight="1" x14ac:dyDescent="0.3">
      <c r="A750" s="20">
        <v>749</v>
      </c>
      <c r="B750" s="20">
        <v>8400301</v>
      </c>
      <c r="C750" s="10" t="s">
        <v>781</v>
      </c>
      <c r="D750" s="10" t="s">
        <v>25</v>
      </c>
      <c r="E750" s="10" t="s">
        <v>35</v>
      </c>
      <c r="F750" s="10"/>
      <c r="G750" s="10">
        <v>5</v>
      </c>
      <c r="H750" s="10"/>
      <c r="I750" s="10" t="s">
        <v>484</v>
      </c>
      <c r="J750" s="10"/>
      <c r="K750" s="10"/>
      <c r="L750" s="10"/>
      <c r="M750" s="10">
        <f t="shared" si="12"/>
        <v>0</v>
      </c>
      <c r="N750" s="10" t="s">
        <v>28</v>
      </c>
      <c r="O750" s="10" t="s">
        <v>29</v>
      </c>
      <c r="P750" s="10" t="s">
        <v>29</v>
      </c>
      <c r="Q750" s="10"/>
      <c r="R750" s="10"/>
      <c r="S750" s="10"/>
      <c r="T750" s="10"/>
      <c r="U750" s="10"/>
      <c r="V750" s="10"/>
      <c r="W750" s="10"/>
      <c r="X750" s="10" t="s">
        <v>30</v>
      </c>
      <c r="Y750" s="11"/>
    </row>
    <row r="751" spans="1:25" s="3" customFormat="1" ht="17.7" customHeight="1" x14ac:dyDescent="0.3">
      <c r="A751" s="21">
        <v>750</v>
      </c>
      <c r="B751" s="21">
        <v>8400302</v>
      </c>
      <c r="C751" s="9" t="s">
        <v>782</v>
      </c>
      <c r="D751" s="9" t="s">
        <v>25</v>
      </c>
      <c r="E751" s="9" t="s">
        <v>35</v>
      </c>
      <c r="F751" s="9"/>
      <c r="G751" s="9">
        <v>5</v>
      </c>
      <c r="H751" s="9"/>
      <c r="I751" s="9" t="s">
        <v>484</v>
      </c>
      <c r="J751" s="9"/>
      <c r="K751" s="9"/>
      <c r="L751" s="9"/>
      <c r="M751" s="9">
        <f t="shared" si="12"/>
        <v>0</v>
      </c>
      <c r="N751" s="9" t="s">
        <v>28</v>
      </c>
      <c r="O751" s="9" t="s">
        <v>29</v>
      </c>
      <c r="P751" s="9" t="s">
        <v>29</v>
      </c>
      <c r="Q751" s="9"/>
      <c r="R751" s="9"/>
      <c r="S751" s="9"/>
      <c r="T751" s="9"/>
      <c r="U751" s="9"/>
      <c r="V751" s="9"/>
      <c r="W751" s="9"/>
      <c r="X751" s="9" t="s">
        <v>30</v>
      </c>
      <c r="Y751" s="11"/>
    </row>
    <row r="752" spans="1:25" s="3" customFormat="1" ht="17.7" customHeight="1" x14ac:dyDescent="0.3">
      <c r="A752" s="20">
        <v>751</v>
      </c>
      <c r="B752" s="20">
        <v>8500001</v>
      </c>
      <c r="C752" s="10" t="s">
        <v>783</v>
      </c>
      <c r="D752" s="10" t="s">
        <v>25</v>
      </c>
      <c r="E752" s="10" t="s">
        <v>784</v>
      </c>
      <c r="F752" s="10"/>
      <c r="G752" s="10">
        <v>3</v>
      </c>
      <c r="H752" s="10"/>
      <c r="I752" s="10" t="s">
        <v>29</v>
      </c>
      <c r="J752" s="10"/>
      <c r="K752" s="10"/>
      <c r="L752" s="10"/>
      <c r="M752" s="10">
        <f t="shared" si="12"/>
        <v>0</v>
      </c>
      <c r="N752" s="10" t="s">
        <v>28</v>
      </c>
      <c r="O752" s="10" t="s">
        <v>29</v>
      </c>
      <c r="P752" s="10" t="s">
        <v>29</v>
      </c>
      <c r="Q752" s="10"/>
      <c r="R752" s="10"/>
      <c r="S752" s="10"/>
      <c r="T752" s="10"/>
      <c r="U752" s="10"/>
      <c r="V752" s="10"/>
      <c r="W752" s="10"/>
      <c r="X752" s="10" t="s">
        <v>30</v>
      </c>
      <c r="Y752" s="11"/>
    </row>
  </sheetData>
  <pageMargins left="0.7" right="0.7" top="0.75" bottom="0.75" header="0.3" footer="0.3"/>
  <pageSetup scale="1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A0D63-6605-42DC-B0CD-1334A6C7F4AF}">
  <dimension ref="A1:I304"/>
  <sheetViews>
    <sheetView workbookViewId="0">
      <selection activeCell="C2" sqref="C2"/>
    </sheetView>
  </sheetViews>
  <sheetFormatPr defaultRowHeight="21" x14ac:dyDescent="0.3"/>
  <cols>
    <col min="1" max="1" width="18.77734375" style="16" customWidth="1"/>
    <col min="2" max="2" width="73.6640625" style="16" customWidth="1"/>
    <col min="3" max="3" width="73.6640625" style="19" customWidth="1"/>
    <col min="4" max="4" width="28.88671875" style="19" customWidth="1"/>
    <col min="5" max="5" width="20" style="16" customWidth="1"/>
    <col min="6" max="6" width="11.6640625" style="16" customWidth="1"/>
    <col min="7" max="7" width="12.77734375" style="16" customWidth="1"/>
    <col min="8" max="8" width="12.44140625" style="16" customWidth="1"/>
    <col min="9" max="9" width="14.33203125" style="16" customWidth="1"/>
  </cols>
  <sheetData>
    <row r="1" spans="1:9" x14ac:dyDescent="0.3">
      <c r="A1" s="9" t="s">
        <v>1</v>
      </c>
      <c r="B1" s="9" t="s">
        <v>2</v>
      </c>
      <c r="C1" s="17" t="s">
        <v>1333</v>
      </c>
      <c r="D1" s="17" t="s">
        <v>1194</v>
      </c>
      <c r="E1" s="9" t="s">
        <v>3</v>
      </c>
      <c r="F1" s="9" t="s">
        <v>5</v>
      </c>
      <c r="G1" s="9" t="s">
        <v>12</v>
      </c>
      <c r="H1" s="9" t="s">
        <v>6</v>
      </c>
      <c r="I1" s="9" t="s">
        <v>8</v>
      </c>
    </row>
    <row r="2" spans="1:9" x14ac:dyDescent="0.3">
      <c r="A2" s="20">
        <v>8400001</v>
      </c>
      <c r="B2" s="10" t="s">
        <v>483</v>
      </c>
      <c r="C2" s="18" t="s">
        <v>483</v>
      </c>
      <c r="D2" s="32"/>
      <c r="E2" s="10" t="s">
        <v>25</v>
      </c>
      <c r="F2" s="10"/>
      <c r="G2" s="10">
        <f t="shared" ref="G2:G65" si="0">F2-F2*11%</f>
        <v>0</v>
      </c>
      <c r="H2" s="10">
        <v>2</v>
      </c>
      <c r="I2" s="10" t="s">
        <v>484</v>
      </c>
    </row>
    <row r="3" spans="1:9" x14ac:dyDescent="0.3">
      <c r="A3" s="21">
        <v>8400002</v>
      </c>
      <c r="B3" s="9" t="s">
        <v>485</v>
      </c>
      <c r="C3" s="31"/>
      <c r="D3" s="31"/>
      <c r="E3" s="9" t="s">
        <v>25</v>
      </c>
      <c r="F3" s="9"/>
      <c r="G3" s="9">
        <f t="shared" si="0"/>
        <v>0</v>
      </c>
      <c r="H3" s="9">
        <v>3</v>
      </c>
      <c r="I3" s="9" t="s">
        <v>484</v>
      </c>
    </row>
    <row r="4" spans="1:9" x14ac:dyDescent="0.3">
      <c r="A4" s="20">
        <v>8400003</v>
      </c>
      <c r="B4" s="10" t="s">
        <v>486</v>
      </c>
      <c r="C4" s="32"/>
      <c r="D4" s="32"/>
      <c r="E4" s="10" t="s">
        <v>25</v>
      </c>
      <c r="F4" s="10"/>
      <c r="G4" s="10">
        <f t="shared" si="0"/>
        <v>0</v>
      </c>
      <c r="H4" s="10">
        <v>3</v>
      </c>
      <c r="I4" s="10" t="s">
        <v>484</v>
      </c>
    </row>
    <row r="5" spans="1:9" x14ac:dyDescent="0.3">
      <c r="A5" s="21">
        <v>8400004</v>
      </c>
      <c r="B5" s="9" t="s">
        <v>487</v>
      </c>
      <c r="C5" s="31"/>
      <c r="D5" s="31"/>
      <c r="E5" s="9" t="s">
        <v>25</v>
      </c>
      <c r="F5" s="9"/>
      <c r="G5" s="9">
        <f t="shared" si="0"/>
        <v>0</v>
      </c>
      <c r="H5" s="9">
        <v>20</v>
      </c>
      <c r="I5" s="9" t="s">
        <v>484</v>
      </c>
    </row>
    <row r="6" spans="1:9" x14ac:dyDescent="0.3">
      <c r="A6" s="20">
        <v>8400005</v>
      </c>
      <c r="B6" s="10" t="s">
        <v>488</v>
      </c>
      <c r="C6" s="32"/>
      <c r="D6" s="32"/>
      <c r="E6" s="10" t="s">
        <v>25</v>
      </c>
      <c r="F6" s="10"/>
      <c r="G6" s="10">
        <f t="shared" si="0"/>
        <v>0</v>
      </c>
      <c r="H6" s="10">
        <v>10</v>
      </c>
      <c r="I6" s="10" t="s">
        <v>484</v>
      </c>
    </row>
    <row r="7" spans="1:9" x14ac:dyDescent="0.3">
      <c r="A7" s="21">
        <v>8400006</v>
      </c>
      <c r="B7" s="9" t="s">
        <v>489</v>
      </c>
      <c r="C7" s="31"/>
      <c r="D7" s="31"/>
      <c r="E7" s="9" t="s">
        <v>25</v>
      </c>
      <c r="F7" s="9"/>
      <c r="G7" s="9">
        <f t="shared" si="0"/>
        <v>0</v>
      </c>
      <c r="H7" s="9">
        <v>10</v>
      </c>
      <c r="I7" s="9" t="s">
        <v>484</v>
      </c>
    </row>
    <row r="8" spans="1:9" x14ac:dyDescent="0.3">
      <c r="A8" s="20">
        <v>8400007</v>
      </c>
      <c r="B8" s="10" t="s">
        <v>490</v>
      </c>
      <c r="C8" s="32"/>
      <c r="D8" s="32"/>
      <c r="E8" s="10" t="s">
        <v>25</v>
      </c>
      <c r="F8" s="10"/>
      <c r="G8" s="10">
        <f t="shared" si="0"/>
        <v>0</v>
      </c>
      <c r="H8" s="10">
        <v>10</v>
      </c>
      <c r="I8" s="10" t="s">
        <v>484</v>
      </c>
    </row>
    <row r="9" spans="1:9" x14ac:dyDescent="0.3">
      <c r="A9" s="21">
        <v>8400008</v>
      </c>
      <c r="B9" s="9" t="s">
        <v>491</v>
      </c>
      <c r="C9" s="31"/>
      <c r="D9" s="31"/>
      <c r="E9" s="9" t="s">
        <v>25</v>
      </c>
      <c r="F9" s="9"/>
      <c r="G9" s="9">
        <f t="shared" si="0"/>
        <v>0</v>
      </c>
      <c r="H9" s="9">
        <v>10</v>
      </c>
      <c r="I9" s="9" t="s">
        <v>484</v>
      </c>
    </row>
    <row r="10" spans="1:9" x14ac:dyDescent="0.3">
      <c r="A10" s="20">
        <v>8400009</v>
      </c>
      <c r="B10" s="10" t="s">
        <v>492</v>
      </c>
      <c r="C10" s="32"/>
      <c r="D10" s="32"/>
      <c r="E10" s="10" t="s">
        <v>25</v>
      </c>
      <c r="F10" s="10"/>
      <c r="G10" s="10">
        <f t="shared" si="0"/>
        <v>0</v>
      </c>
      <c r="H10" s="10">
        <v>10</v>
      </c>
      <c r="I10" s="10" t="s">
        <v>484</v>
      </c>
    </row>
    <row r="11" spans="1:9" x14ac:dyDescent="0.3">
      <c r="A11" s="21">
        <v>8400010</v>
      </c>
      <c r="B11" s="9" t="s">
        <v>493</v>
      </c>
      <c r="C11" s="31"/>
      <c r="D11" s="31"/>
      <c r="E11" s="9" t="s">
        <v>25</v>
      </c>
      <c r="F11" s="9"/>
      <c r="G11" s="9">
        <f t="shared" si="0"/>
        <v>0</v>
      </c>
      <c r="H11" s="9">
        <v>10</v>
      </c>
      <c r="I11" s="9" t="s">
        <v>484</v>
      </c>
    </row>
    <row r="12" spans="1:9" x14ac:dyDescent="0.3">
      <c r="A12" s="20">
        <v>8400011</v>
      </c>
      <c r="B12" s="10" t="s">
        <v>494</v>
      </c>
      <c r="C12" s="32"/>
      <c r="D12" s="32"/>
      <c r="E12" s="10" t="s">
        <v>25</v>
      </c>
      <c r="F12" s="10"/>
      <c r="G12" s="10">
        <f t="shared" si="0"/>
        <v>0</v>
      </c>
      <c r="H12" s="10">
        <v>5</v>
      </c>
      <c r="I12" s="10" t="s">
        <v>484</v>
      </c>
    </row>
    <row r="13" spans="1:9" x14ac:dyDescent="0.3">
      <c r="A13" s="21">
        <v>8400012</v>
      </c>
      <c r="B13" s="9" t="s">
        <v>495</v>
      </c>
      <c r="C13" s="31"/>
      <c r="D13" s="31"/>
      <c r="E13" s="9" t="s">
        <v>25</v>
      </c>
      <c r="F13" s="9"/>
      <c r="G13" s="9">
        <f t="shared" si="0"/>
        <v>0</v>
      </c>
      <c r="H13" s="9">
        <v>5</v>
      </c>
      <c r="I13" s="9" t="s">
        <v>484</v>
      </c>
    </row>
    <row r="14" spans="1:9" x14ac:dyDescent="0.3">
      <c r="A14" s="20">
        <v>8400013</v>
      </c>
      <c r="B14" s="10" t="s">
        <v>496</v>
      </c>
      <c r="C14" s="32"/>
      <c r="D14" s="32"/>
      <c r="E14" s="10" t="s">
        <v>25</v>
      </c>
      <c r="F14" s="10"/>
      <c r="G14" s="10">
        <f t="shared" si="0"/>
        <v>0</v>
      </c>
      <c r="H14" s="10">
        <v>5</v>
      </c>
      <c r="I14" s="10" t="s">
        <v>484</v>
      </c>
    </row>
    <row r="15" spans="1:9" x14ac:dyDescent="0.3">
      <c r="A15" s="21">
        <v>8400014</v>
      </c>
      <c r="B15" s="9" t="s">
        <v>497</v>
      </c>
      <c r="C15" s="31"/>
      <c r="D15" s="31"/>
      <c r="E15" s="9" t="s">
        <v>25</v>
      </c>
      <c r="F15" s="9"/>
      <c r="G15" s="9">
        <f t="shared" si="0"/>
        <v>0</v>
      </c>
      <c r="H15" s="9">
        <v>5</v>
      </c>
      <c r="I15" s="9" t="s">
        <v>484</v>
      </c>
    </row>
    <row r="16" spans="1:9" x14ac:dyDescent="0.3">
      <c r="A16" s="20">
        <v>8400015</v>
      </c>
      <c r="B16" s="10" t="s">
        <v>498</v>
      </c>
      <c r="C16" s="32"/>
      <c r="D16" s="32"/>
      <c r="E16" s="10" t="s">
        <v>25</v>
      </c>
      <c r="F16" s="10"/>
      <c r="G16" s="10">
        <f t="shared" si="0"/>
        <v>0</v>
      </c>
      <c r="H16" s="10">
        <v>5</v>
      </c>
      <c r="I16" s="10" t="s">
        <v>484</v>
      </c>
    </row>
    <row r="17" spans="1:9" x14ac:dyDescent="0.3">
      <c r="A17" s="21">
        <v>8400016</v>
      </c>
      <c r="B17" s="9" t="s">
        <v>499</v>
      </c>
      <c r="C17" s="31"/>
      <c r="D17" s="31"/>
      <c r="E17" s="9" t="s">
        <v>25</v>
      </c>
      <c r="F17" s="9"/>
      <c r="G17" s="9">
        <f t="shared" si="0"/>
        <v>0</v>
      </c>
      <c r="H17" s="9">
        <v>5</v>
      </c>
      <c r="I17" s="9" t="s">
        <v>484</v>
      </c>
    </row>
    <row r="18" spans="1:9" x14ac:dyDescent="0.3">
      <c r="A18" s="20">
        <v>8400017</v>
      </c>
      <c r="B18" s="10" t="s">
        <v>500</v>
      </c>
      <c r="C18" s="32"/>
      <c r="D18" s="32"/>
      <c r="E18" s="10" t="s">
        <v>25</v>
      </c>
      <c r="F18" s="10"/>
      <c r="G18" s="10">
        <f t="shared" si="0"/>
        <v>0</v>
      </c>
      <c r="H18" s="10">
        <v>5</v>
      </c>
      <c r="I18" s="10" t="s">
        <v>484</v>
      </c>
    </row>
    <row r="19" spans="1:9" x14ac:dyDescent="0.3">
      <c r="A19" s="21">
        <v>8400018</v>
      </c>
      <c r="B19" s="9" t="s">
        <v>501</v>
      </c>
      <c r="C19" s="31"/>
      <c r="D19" s="31"/>
      <c r="E19" s="9" t="s">
        <v>25</v>
      </c>
      <c r="F19" s="9"/>
      <c r="G19" s="9">
        <f t="shared" si="0"/>
        <v>0</v>
      </c>
      <c r="H19" s="9">
        <v>5</v>
      </c>
      <c r="I19" s="9" t="s">
        <v>484</v>
      </c>
    </row>
    <row r="20" spans="1:9" x14ac:dyDescent="0.3">
      <c r="A20" s="20">
        <v>8400019</v>
      </c>
      <c r="B20" s="10" t="s">
        <v>502</v>
      </c>
      <c r="C20" s="32"/>
      <c r="D20" s="32"/>
      <c r="E20" s="10" t="s">
        <v>25</v>
      </c>
      <c r="F20" s="10"/>
      <c r="G20" s="10">
        <f t="shared" si="0"/>
        <v>0</v>
      </c>
      <c r="H20" s="10">
        <v>3</v>
      </c>
      <c r="I20" s="10" t="s">
        <v>484</v>
      </c>
    </row>
    <row r="21" spans="1:9" x14ac:dyDescent="0.3">
      <c r="A21" s="21">
        <v>8400020</v>
      </c>
      <c r="B21" s="9" t="s">
        <v>503</v>
      </c>
      <c r="C21" s="31"/>
      <c r="D21" s="31"/>
      <c r="E21" s="9" t="s">
        <v>25</v>
      </c>
      <c r="F21" s="9"/>
      <c r="G21" s="9">
        <f t="shared" si="0"/>
        <v>0</v>
      </c>
      <c r="H21" s="9">
        <v>1</v>
      </c>
      <c r="I21" s="9" t="s">
        <v>484</v>
      </c>
    </row>
    <row r="22" spans="1:9" x14ac:dyDescent="0.3">
      <c r="A22" s="20">
        <v>8400021</v>
      </c>
      <c r="B22" s="10" t="s">
        <v>504</v>
      </c>
      <c r="C22" s="32"/>
      <c r="D22" s="32"/>
      <c r="E22" s="10" t="s">
        <v>25</v>
      </c>
      <c r="F22" s="10"/>
      <c r="G22" s="10">
        <f t="shared" si="0"/>
        <v>0</v>
      </c>
      <c r="H22" s="10">
        <v>5</v>
      </c>
      <c r="I22" s="10" t="s">
        <v>484</v>
      </c>
    </row>
    <row r="23" spans="1:9" x14ac:dyDescent="0.3">
      <c r="A23" s="21">
        <v>8400022</v>
      </c>
      <c r="B23" s="9" t="s">
        <v>505</v>
      </c>
      <c r="C23" s="31"/>
      <c r="D23" s="31"/>
      <c r="E23" s="9" t="s">
        <v>25</v>
      </c>
      <c r="F23" s="9"/>
      <c r="G23" s="9">
        <f t="shared" si="0"/>
        <v>0</v>
      </c>
      <c r="H23" s="9">
        <v>5</v>
      </c>
      <c r="I23" s="9" t="s">
        <v>484</v>
      </c>
    </row>
    <row r="24" spans="1:9" x14ac:dyDescent="0.3">
      <c r="A24" s="20">
        <v>8400023</v>
      </c>
      <c r="B24" s="10" t="s">
        <v>506</v>
      </c>
      <c r="C24" s="32"/>
      <c r="D24" s="32"/>
      <c r="E24" s="10" t="s">
        <v>25</v>
      </c>
      <c r="F24" s="10"/>
      <c r="G24" s="10">
        <f t="shared" si="0"/>
        <v>0</v>
      </c>
      <c r="H24" s="10">
        <v>5</v>
      </c>
      <c r="I24" s="10" t="s">
        <v>484</v>
      </c>
    </row>
    <row r="25" spans="1:9" x14ac:dyDescent="0.3">
      <c r="A25" s="21">
        <v>8400024</v>
      </c>
      <c r="B25" s="9" t="s">
        <v>507</v>
      </c>
      <c r="C25" s="31"/>
      <c r="D25" s="31"/>
      <c r="E25" s="9" t="s">
        <v>25</v>
      </c>
      <c r="F25" s="9"/>
      <c r="G25" s="9">
        <f t="shared" si="0"/>
        <v>0</v>
      </c>
      <c r="H25" s="9">
        <v>1</v>
      </c>
      <c r="I25" s="9" t="s">
        <v>484</v>
      </c>
    </row>
    <row r="26" spans="1:9" x14ac:dyDescent="0.3">
      <c r="A26" s="20">
        <v>8400025</v>
      </c>
      <c r="B26" s="10" t="s">
        <v>508</v>
      </c>
      <c r="C26" s="32"/>
      <c r="D26" s="32"/>
      <c r="E26" s="10" t="s">
        <v>25</v>
      </c>
      <c r="F26" s="10"/>
      <c r="G26" s="10">
        <f t="shared" si="0"/>
        <v>0</v>
      </c>
      <c r="H26" s="10">
        <v>3</v>
      </c>
      <c r="I26" s="10" t="s">
        <v>484</v>
      </c>
    </row>
    <row r="27" spans="1:9" x14ac:dyDescent="0.3">
      <c r="A27" s="21">
        <v>8400026</v>
      </c>
      <c r="B27" s="9" t="s">
        <v>509</v>
      </c>
      <c r="C27" s="31"/>
      <c r="D27" s="31"/>
      <c r="E27" s="9" t="s">
        <v>25</v>
      </c>
      <c r="F27" s="9"/>
      <c r="G27" s="9">
        <f t="shared" si="0"/>
        <v>0</v>
      </c>
      <c r="H27" s="9">
        <v>5</v>
      </c>
      <c r="I27" s="9" t="s">
        <v>484</v>
      </c>
    </row>
    <row r="28" spans="1:9" x14ac:dyDescent="0.3">
      <c r="A28" s="20">
        <v>8400027</v>
      </c>
      <c r="B28" s="10" t="s">
        <v>510</v>
      </c>
      <c r="C28" s="32"/>
      <c r="D28" s="32"/>
      <c r="E28" s="10" t="s">
        <v>25</v>
      </c>
      <c r="F28" s="10"/>
      <c r="G28" s="10">
        <f t="shared" si="0"/>
        <v>0</v>
      </c>
      <c r="H28" s="10">
        <v>5</v>
      </c>
      <c r="I28" s="10" t="s">
        <v>484</v>
      </c>
    </row>
    <row r="29" spans="1:9" x14ac:dyDescent="0.3">
      <c r="A29" s="21">
        <v>8400028</v>
      </c>
      <c r="B29" s="9" t="s">
        <v>511</v>
      </c>
      <c r="C29" s="31"/>
      <c r="D29" s="31"/>
      <c r="E29" s="9" t="s">
        <v>25</v>
      </c>
      <c r="F29" s="9"/>
      <c r="G29" s="9">
        <f t="shared" si="0"/>
        <v>0</v>
      </c>
      <c r="H29" s="9">
        <v>5</v>
      </c>
      <c r="I29" s="9" t="s">
        <v>484</v>
      </c>
    </row>
    <row r="30" spans="1:9" x14ac:dyDescent="0.3">
      <c r="A30" s="20">
        <v>8400029</v>
      </c>
      <c r="B30" s="10" t="s">
        <v>512</v>
      </c>
      <c r="C30" s="32"/>
      <c r="D30" s="32"/>
      <c r="E30" s="10" t="s">
        <v>25</v>
      </c>
      <c r="F30" s="10"/>
      <c r="G30" s="10">
        <f t="shared" si="0"/>
        <v>0</v>
      </c>
      <c r="H30" s="10">
        <v>5</v>
      </c>
      <c r="I30" s="10" t="s">
        <v>484</v>
      </c>
    </row>
    <row r="31" spans="1:9" x14ac:dyDescent="0.3">
      <c r="A31" s="21">
        <v>8400030</v>
      </c>
      <c r="B31" s="9" t="s">
        <v>513</v>
      </c>
      <c r="C31" s="31"/>
      <c r="D31" s="31"/>
      <c r="E31" s="9" t="s">
        <v>25</v>
      </c>
      <c r="F31" s="9"/>
      <c r="G31" s="9">
        <f t="shared" si="0"/>
        <v>0</v>
      </c>
      <c r="H31" s="9">
        <v>5</v>
      </c>
      <c r="I31" s="9" t="s">
        <v>484</v>
      </c>
    </row>
    <row r="32" spans="1:9" x14ac:dyDescent="0.3">
      <c r="A32" s="20">
        <v>8400031</v>
      </c>
      <c r="B32" s="10" t="s">
        <v>514</v>
      </c>
      <c r="C32" s="32"/>
      <c r="D32" s="32"/>
      <c r="E32" s="10" t="s">
        <v>25</v>
      </c>
      <c r="F32" s="10"/>
      <c r="G32" s="10">
        <f t="shared" si="0"/>
        <v>0</v>
      </c>
      <c r="H32" s="10">
        <v>5</v>
      </c>
      <c r="I32" s="10" t="s">
        <v>484</v>
      </c>
    </row>
    <row r="33" spans="1:9" x14ac:dyDescent="0.3">
      <c r="A33" s="21">
        <v>8400032</v>
      </c>
      <c r="B33" s="9" t="s">
        <v>515</v>
      </c>
      <c r="C33" s="31"/>
      <c r="D33" s="31"/>
      <c r="E33" s="9" t="s">
        <v>25</v>
      </c>
      <c r="F33" s="9"/>
      <c r="G33" s="9">
        <f t="shared" si="0"/>
        <v>0</v>
      </c>
      <c r="H33" s="9">
        <v>5</v>
      </c>
      <c r="I33" s="9" t="s">
        <v>484</v>
      </c>
    </row>
    <row r="34" spans="1:9" x14ac:dyDescent="0.3">
      <c r="A34" s="20">
        <v>8400033</v>
      </c>
      <c r="B34" s="10" t="s">
        <v>516</v>
      </c>
      <c r="C34" s="32"/>
      <c r="D34" s="32"/>
      <c r="E34" s="10" t="s">
        <v>25</v>
      </c>
      <c r="F34" s="10"/>
      <c r="G34" s="10">
        <f t="shared" si="0"/>
        <v>0</v>
      </c>
      <c r="H34" s="10">
        <v>5</v>
      </c>
      <c r="I34" s="10" t="s">
        <v>484</v>
      </c>
    </row>
    <row r="35" spans="1:9" x14ac:dyDescent="0.3">
      <c r="A35" s="21">
        <v>8400034</v>
      </c>
      <c r="B35" s="9" t="s">
        <v>517</v>
      </c>
      <c r="C35" s="31"/>
      <c r="D35" s="31"/>
      <c r="E35" s="9" t="s">
        <v>25</v>
      </c>
      <c r="F35" s="9"/>
      <c r="G35" s="9">
        <f t="shared" si="0"/>
        <v>0</v>
      </c>
      <c r="H35" s="9">
        <v>5</v>
      </c>
      <c r="I35" s="9" t="s">
        <v>484</v>
      </c>
    </row>
    <row r="36" spans="1:9" x14ac:dyDescent="0.3">
      <c r="A36" s="20">
        <v>8400035</v>
      </c>
      <c r="B36" s="10" t="s">
        <v>518</v>
      </c>
      <c r="C36" s="32"/>
      <c r="D36" s="32"/>
      <c r="E36" s="10" t="s">
        <v>25</v>
      </c>
      <c r="F36" s="10"/>
      <c r="G36" s="10">
        <f t="shared" si="0"/>
        <v>0</v>
      </c>
      <c r="H36" s="10">
        <v>5</v>
      </c>
      <c r="I36" s="10" t="s">
        <v>484</v>
      </c>
    </row>
    <row r="37" spans="1:9" x14ac:dyDescent="0.3">
      <c r="A37" s="21">
        <v>8400036</v>
      </c>
      <c r="B37" s="9" t="s">
        <v>519</v>
      </c>
      <c r="C37" s="31"/>
      <c r="D37" s="31"/>
      <c r="E37" s="9" t="s">
        <v>25</v>
      </c>
      <c r="F37" s="9"/>
      <c r="G37" s="9">
        <f t="shared" si="0"/>
        <v>0</v>
      </c>
      <c r="H37" s="9">
        <v>5</v>
      </c>
      <c r="I37" s="9" t="s">
        <v>484</v>
      </c>
    </row>
    <row r="38" spans="1:9" x14ac:dyDescent="0.3">
      <c r="A38" s="20">
        <v>8400037</v>
      </c>
      <c r="B38" s="10" t="s">
        <v>520</v>
      </c>
      <c r="C38" s="32"/>
      <c r="D38" s="32"/>
      <c r="E38" s="10" t="s">
        <v>25</v>
      </c>
      <c r="F38" s="10"/>
      <c r="G38" s="10">
        <f t="shared" si="0"/>
        <v>0</v>
      </c>
      <c r="H38" s="10">
        <v>5</v>
      </c>
      <c r="I38" s="10" t="s">
        <v>484</v>
      </c>
    </row>
    <row r="39" spans="1:9" x14ac:dyDescent="0.3">
      <c r="A39" s="21">
        <v>8400038</v>
      </c>
      <c r="B39" s="9" t="s">
        <v>521</v>
      </c>
      <c r="C39" s="31"/>
      <c r="D39" s="31"/>
      <c r="E39" s="9" t="s">
        <v>25</v>
      </c>
      <c r="F39" s="9"/>
      <c r="G39" s="9">
        <f t="shared" si="0"/>
        <v>0</v>
      </c>
      <c r="H39" s="9">
        <v>5</v>
      </c>
      <c r="I39" s="9" t="s">
        <v>484</v>
      </c>
    </row>
    <row r="40" spans="1:9" x14ac:dyDescent="0.3">
      <c r="A40" s="20">
        <v>8400039</v>
      </c>
      <c r="B40" s="10" t="s">
        <v>522</v>
      </c>
      <c r="C40" s="32"/>
      <c r="D40" s="32"/>
      <c r="E40" s="10" t="s">
        <v>25</v>
      </c>
      <c r="F40" s="10"/>
      <c r="G40" s="10">
        <f t="shared" si="0"/>
        <v>0</v>
      </c>
      <c r="H40" s="10">
        <v>5</v>
      </c>
      <c r="I40" s="10" t="s">
        <v>484</v>
      </c>
    </row>
    <row r="41" spans="1:9" x14ac:dyDescent="0.3">
      <c r="A41" s="21">
        <v>8400040</v>
      </c>
      <c r="B41" s="9" t="s">
        <v>523</v>
      </c>
      <c r="C41" s="31"/>
      <c r="D41" s="31"/>
      <c r="E41" s="9" t="s">
        <v>25</v>
      </c>
      <c r="F41" s="9"/>
      <c r="G41" s="9">
        <f t="shared" si="0"/>
        <v>0</v>
      </c>
      <c r="H41" s="9">
        <v>5</v>
      </c>
      <c r="I41" s="9" t="s">
        <v>484</v>
      </c>
    </row>
    <row r="42" spans="1:9" x14ac:dyDescent="0.3">
      <c r="A42" s="20">
        <v>8400041</v>
      </c>
      <c r="B42" s="10" t="s">
        <v>524</v>
      </c>
      <c r="C42" s="32"/>
      <c r="D42" s="32"/>
      <c r="E42" s="10" t="s">
        <v>25</v>
      </c>
      <c r="F42" s="10"/>
      <c r="G42" s="10">
        <f t="shared" si="0"/>
        <v>0</v>
      </c>
      <c r="H42" s="10">
        <v>5</v>
      </c>
      <c r="I42" s="10" t="s">
        <v>484</v>
      </c>
    </row>
    <row r="43" spans="1:9" x14ac:dyDescent="0.3">
      <c r="A43" s="21">
        <v>8400042</v>
      </c>
      <c r="B43" s="9" t="s">
        <v>525</v>
      </c>
      <c r="C43" s="31"/>
      <c r="D43" s="31"/>
      <c r="E43" s="9" t="s">
        <v>25</v>
      </c>
      <c r="F43" s="9"/>
      <c r="G43" s="9">
        <f t="shared" si="0"/>
        <v>0</v>
      </c>
      <c r="H43" s="9">
        <v>5</v>
      </c>
      <c r="I43" s="9" t="s">
        <v>484</v>
      </c>
    </row>
    <row r="44" spans="1:9" x14ac:dyDescent="0.3">
      <c r="A44" s="20">
        <v>8400043</v>
      </c>
      <c r="B44" s="10" t="s">
        <v>526</v>
      </c>
      <c r="C44" s="32"/>
      <c r="D44" s="32"/>
      <c r="E44" s="10" t="s">
        <v>25</v>
      </c>
      <c r="F44" s="10"/>
      <c r="G44" s="10">
        <f t="shared" si="0"/>
        <v>0</v>
      </c>
      <c r="H44" s="10">
        <v>3</v>
      </c>
      <c r="I44" s="10" t="s">
        <v>484</v>
      </c>
    </row>
    <row r="45" spans="1:9" x14ac:dyDescent="0.3">
      <c r="A45" s="21">
        <v>8400044</v>
      </c>
      <c r="B45" s="9" t="s">
        <v>527</v>
      </c>
      <c r="C45" s="31"/>
      <c r="D45" s="31"/>
      <c r="E45" s="9" t="s">
        <v>25</v>
      </c>
      <c r="F45" s="9"/>
      <c r="G45" s="9">
        <f t="shared" si="0"/>
        <v>0</v>
      </c>
      <c r="H45" s="9">
        <v>3</v>
      </c>
      <c r="I45" s="9" t="s">
        <v>484</v>
      </c>
    </row>
    <row r="46" spans="1:9" x14ac:dyDescent="0.3">
      <c r="A46" s="20">
        <v>8400045</v>
      </c>
      <c r="B46" s="10" t="s">
        <v>528</v>
      </c>
      <c r="C46" s="32"/>
      <c r="D46" s="32"/>
      <c r="E46" s="10" t="s">
        <v>25</v>
      </c>
      <c r="F46" s="10"/>
      <c r="G46" s="10">
        <f t="shared" si="0"/>
        <v>0</v>
      </c>
      <c r="H46" s="10">
        <v>3</v>
      </c>
      <c r="I46" s="10" t="s">
        <v>484</v>
      </c>
    </row>
    <row r="47" spans="1:9" x14ac:dyDescent="0.3">
      <c r="A47" s="21">
        <v>8400046</v>
      </c>
      <c r="B47" s="9" t="s">
        <v>529</v>
      </c>
      <c r="C47" s="31"/>
      <c r="D47" s="31"/>
      <c r="E47" s="9" t="s">
        <v>25</v>
      </c>
      <c r="F47" s="9"/>
      <c r="G47" s="9">
        <f t="shared" si="0"/>
        <v>0</v>
      </c>
      <c r="H47" s="9">
        <v>5</v>
      </c>
      <c r="I47" s="9" t="s">
        <v>484</v>
      </c>
    </row>
    <row r="48" spans="1:9" x14ac:dyDescent="0.3">
      <c r="A48" s="20">
        <v>8400047</v>
      </c>
      <c r="B48" s="10" t="s">
        <v>530</v>
      </c>
      <c r="C48" s="32"/>
      <c r="D48" s="32"/>
      <c r="E48" s="10" t="s">
        <v>25</v>
      </c>
      <c r="F48" s="10"/>
      <c r="G48" s="10">
        <f t="shared" si="0"/>
        <v>0</v>
      </c>
      <c r="H48" s="10">
        <v>1</v>
      </c>
      <c r="I48" s="10" t="s">
        <v>484</v>
      </c>
    </row>
    <row r="49" spans="1:9" x14ac:dyDescent="0.3">
      <c r="A49" s="21">
        <v>8400048</v>
      </c>
      <c r="B49" s="9" t="s">
        <v>531</v>
      </c>
      <c r="C49" s="31"/>
      <c r="D49" s="31"/>
      <c r="E49" s="9" t="s">
        <v>25</v>
      </c>
      <c r="F49" s="9"/>
      <c r="G49" s="9">
        <f t="shared" si="0"/>
        <v>0</v>
      </c>
      <c r="H49" s="9">
        <v>1</v>
      </c>
      <c r="I49" s="9" t="s">
        <v>484</v>
      </c>
    </row>
    <row r="50" spans="1:9" x14ac:dyDescent="0.3">
      <c r="A50" s="20">
        <v>8400049</v>
      </c>
      <c r="B50" s="10" t="s">
        <v>532</v>
      </c>
      <c r="C50" s="32"/>
      <c r="D50" s="32"/>
      <c r="E50" s="10" t="s">
        <v>25</v>
      </c>
      <c r="F50" s="10"/>
      <c r="G50" s="10">
        <f t="shared" si="0"/>
        <v>0</v>
      </c>
      <c r="H50" s="10">
        <v>1</v>
      </c>
      <c r="I50" s="10" t="s">
        <v>484</v>
      </c>
    </row>
    <row r="51" spans="1:9" x14ac:dyDescent="0.3">
      <c r="A51" s="21">
        <v>8400050</v>
      </c>
      <c r="B51" s="9" t="s">
        <v>533</v>
      </c>
      <c r="C51" s="31"/>
      <c r="D51" s="31"/>
      <c r="E51" s="9" t="s">
        <v>25</v>
      </c>
      <c r="F51" s="9"/>
      <c r="G51" s="9">
        <f t="shared" si="0"/>
        <v>0</v>
      </c>
      <c r="H51" s="9">
        <v>5</v>
      </c>
      <c r="I51" s="9" t="s">
        <v>484</v>
      </c>
    </row>
    <row r="52" spans="1:9" x14ac:dyDescent="0.3">
      <c r="A52" s="20">
        <v>8400051</v>
      </c>
      <c r="B52" s="10" t="s">
        <v>534</v>
      </c>
      <c r="C52" s="32"/>
      <c r="D52" s="32"/>
      <c r="E52" s="10" t="s">
        <v>25</v>
      </c>
      <c r="F52" s="10"/>
      <c r="G52" s="10">
        <f t="shared" si="0"/>
        <v>0</v>
      </c>
      <c r="H52" s="10">
        <v>5</v>
      </c>
      <c r="I52" s="10" t="s">
        <v>484</v>
      </c>
    </row>
    <row r="53" spans="1:9" x14ac:dyDescent="0.3">
      <c r="A53" s="21">
        <v>8400052</v>
      </c>
      <c r="B53" s="9" t="s">
        <v>535</v>
      </c>
      <c r="C53" s="31"/>
      <c r="D53" s="31"/>
      <c r="E53" s="9" t="s">
        <v>25</v>
      </c>
      <c r="F53" s="9"/>
      <c r="G53" s="9">
        <f t="shared" si="0"/>
        <v>0</v>
      </c>
      <c r="H53" s="9">
        <v>1</v>
      </c>
      <c r="I53" s="9" t="s">
        <v>484</v>
      </c>
    </row>
    <row r="54" spans="1:9" x14ac:dyDescent="0.3">
      <c r="A54" s="20">
        <v>8400053</v>
      </c>
      <c r="B54" s="10" t="s">
        <v>536</v>
      </c>
      <c r="C54" s="32"/>
      <c r="D54" s="32"/>
      <c r="E54" s="10" t="s">
        <v>25</v>
      </c>
      <c r="F54" s="10"/>
      <c r="G54" s="10">
        <f t="shared" si="0"/>
        <v>0</v>
      </c>
      <c r="H54" s="10">
        <v>3</v>
      </c>
      <c r="I54" s="10" t="s">
        <v>484</v>
      </c>
    </row>
    <row r="55" spans="1:9" x14ac:dyDescent="0.3">
      <c r="A55" s="21">
        <v>8400054</v>
      </c>
      <c r="B55" s="9" t="s">
        <v>537</v>
      </c>
      <c r="C55" s="31"/>
      <c r="D55" s="31"/>
      <c r="E55" s="9" t="s">
        <v>25</v>
      </c>
      <c r="F55" s="9"/>
      <c r="G55" s="9">
        <f t="shared" si="0"/>
        <v>0</v>
      </c>
      <c r="H55" s="9">
        <v>5</v>
      </c>
      <c r="I55" s="9" t="s">
        <v>484</v>
      </c>
    </row>
    <row r="56" spans="1:9" x14ac:dyDescent="0.3">
      <c r="A56" s="20">
        <v>8400055</v>
      </c>
      <c r="B56" s="10" t="s">
        <v>538</v>
      </c>
      <c r="C56" s="32"/>
      <c r="D56" s="32"/>
      <c r="E56" s="10" t="s">
        <v>25</v>
      </c>
      <c r="F56" s="10"/>
      <c r="G56" s="10">
        <f t="shared" si="0"/>
        <v>0</v>
      </c>
      <c r="H56" s="10">
        <v>5</v>
      </c>
      <c r="I56" s="10" t="s">
        <v>484</v>
      </c>
    </row>
    <row r="57" spans="1:9" x14ac:dyDescent="0.3">
      <c r="A57" s="21">
        <v>8400056</v>
      </c>
      <c r="B57" s="9" t="s">
        <v>539</v>
      </c>
      <c r="C57" s="31"/>
      <c r="D57" s="31"/>
      <c r="E57" s="9" t="s">
        <v>25</v>
      </c>
      <c r="F57" s="9"/>
      <c r="G57" s="9">
        <f t="shared" si="0"/>
        <v>0</v>
      </c>
      <c r="H57" s="9">
        <v>15</v>
      </c>
      <c r="I57" s="9" t="s">
        <v>484</v>
      </c>
    </row>
    <row r="58" spans="1:9" x14ac:dyDescent="0.3">
      <c r="A58" s="20">
        <v>8400057</v>
      </c>
      <c r="B58" s="10" t="s">
        <v>540</v>
      </c>
      <c r="C58" s="32"/>
      <c r="D58" s="32"/>
      <c r="E58" s="10" t="s">
        <v>25</v>
      </c>
      <c r="F58" s="10"/>
      <c r="G58" s="10">
        <f t="shared" si="0"/>
        <v>0</v>
      </c>
      <c r="H58" s="10">
        <v>20</v>
      </c>
      <c r="I58" s="10" t="s">
        <v>484</v>
      </c>
    </row>
    <row r="59" spans="1:9" x14ac:dyDescent="0.3">
      <c r="A59" s="21">
        <v>8400058</v>
      </c>
      <c r="B59" s="9" t="s">
        <v>541</v>
      </c>
      <c r="C59" s="31"/>
      <c r="D59" s="31"/>
      <c r="E59" s="9" t="s">
        <v>25</v>
      </c>
      <c r="F59" s="9"/>
      <c r="G59" s="9">
        <f t="shared" si="0"/>
        <v>0</v>
      </c>
      <c r="H59" s="9">
        <v>5</v>
      </c>
      <c r="I59" s="9" t="s">
        <v>484</v>
      </c>
    </row>
    <row r="60" spans="1:9" x14ac:dyDescent="0.3">
      <c r="A60" s="20">
        <v>8400059</v>
      </c>
      <c r="B60" s="10" t="s">
        <v>542</v>
      </c>
      <c r="C60" s="32"/>
      <c r="D60" s="32"/>
      <c r="E60" s="10" t="s">
        <v>25</v>
      </c>
      <c r="F60" s="10"/>
      <c r="G60" s="10">
        <f t="shared" si="0"/>
        <v>0</v>
      </c>
      <c r="H60" s="10">
        <v>5</v>
      </c>
      <c r="I60" s="10" t="s">
        <v>484</v>
      </c>
    </row>
    <row r="61" spans="1:9" x14ac:dyDescent="0.3">
      <c r="A61" s="21">
        <v>8400060</v>
      </c>
      <c r="B61" s="9" t="s">
        <v>543</v>
      </c>
      <c r="C61" s="31"/>
      <c r="D61" s="31"/>
      <c r="E61" s="9" t="s">
        <v>25</v>
      </c>
      <c r="F61" s="9"/>
      <c r="G61" s="9">
        <f t="shared" si="0"/>
        <v>0</v>
      </c>
      <c r="H61" s="9">
        <v>5</v>
      </c>
      <c r="I61" s="9" t="s">
        <v>484</v>
      </c>
    </row>
    <row r="62" spans="1:9" x14ac:dyDescent="0.3">
      <c r="A62" s="20">
        <v>8400061</v>
      </c>
      <c r="B62" s="10" t="s">
        <v>544</v>
      </c>
      <c r="C62" s="32"/>
      <c r="D62" s="32"/>
      <c r="E62" s="10" t="s">
        <v>25</v>
      </c>
      <c r="F62" s="10"/>
      <c r="G62" s="10">
        <f t="shared" si="0"/>
        <v>0</v>
      </c>
      <c r="H62" s="10">
        <v>20</v>
      </c>
      <c r="I62" s="10" t="s">
        <v>484</v>
      </c>
    </row>
    <row r="63" spans="1:9" x14ac:dyDescent="0.3">
      <c r="A63" s="21">
        <v>8400062</v>
      </c>
      <c r="B63" s="9" t="s">
        <v>545</v>
      </c>
      <c r="C63" s="31"/>
      <c r="D63" s="31"/>
      <c r="E63" s="9" t="s">
        <v>25</v>
      </c>
      <c r="F63" s="9"/>
      <c r="G63" s="9">
        <f t="shared" si="0"/>
        <v>0</v>
      </c>
      <c r="H63" s="9">
        <v>20</v>
      </c>
      <c r="I63" s="9" t="s">
        <v>484</v>
      </c>
    </row>
    <row r="64" spans="1:9" x14ac:dyDescent="0.3">
      <c r="A64" s="20">
        <v>8400063</v>
      </c>
      <c r="B64" s="10" t="s">
        <v>546</v>
      </c>
      <c r="C64" s="32"/>
      <c r="D64" s="32"/>
      <c r="E64" s="10" t="s">
        <v>25</v>
      </c>
      <c r="F64" s="10"/>
      <c r="G64" s="10">
        <f t="shared" si="0"/>
        <v>0</v>
      </c>
      <c r="H64" s="10">
        <v>20</v>
      </c>
      <c r="I64" s="10" t="s">
        <v>484</v>
      </c>
    </row>
    <row r="65" spans="1:9" x14ac:dyDescent="0.3">
      <c r="A65" s="21">
        <v>8400064</v>
      </c>
      <c r="B65" s="9" t="s">
        <v>547</v>
      </c>
      <c r="C65" s="31"/>
      <c r="D65" s="31"/>
      <c r="E65" s="9" t="s">
        <v>25</v>
      </c>
      <c r="F65" s="9"/>
      <c r="G65" s="9">
        <f t="shared" si="0"/>
        <v>0</v>
      </c>
      <c r="H65" s="9">
        <v>20</v>
      </c>
      <c r="I65" s="9" t="s">
        <v>484</v>
      </c>
    </row>
    <row r="66" spans="1:9" x14ac:dyDescent="0.3">
      <c r="A66" s="20">
        <v>8400065</v>
      </c>
      <c r="B66" s="10" t="s">
        <v>548</v>
      </c>
      <c r="C66" s="32"/>
      <c r="D66" s="32"/>
      <c r="E66" s="10" t="s">
        <v>25</v>
      </c>
      <c r="F66" s="10"/>
      <c r="G66" s="10">
        <f t="shared" ref="G66:G129" si="1">F66-F66*11%</f>
        <v>0</v>
      </c>
      <c r="H66" s="10">
        <v>20</v>
      </c>
      <c r="I66" s="10" t="s">
        <v>484</v>
      </c>
    </row>
    <row r="67" spans="1:9" x14ac:dyDescent="0.3">
      <c r="A67" s="21">
        <v>8400066</v>
      </c>
      <c r="B67" s="9" t="s">
        <v>549</v>
      </c>
      <c r="C67" s="31"/>
      <c r="D67" s="31"/>
      <c r="E67" s="9" t="s">
        <v>25</v>
      </c>
      <c r="F67" s="9"/>
      <c r="G67" s="9">
        <f t="shared" si="1"/>
        <v>0</v>
      </c>
      <c r="H67" s="9">
        <v>20</v>
      </c>
      <c r="I67" s="9" t="s">
        <v>484</v>
      </c>
    </row>
    <row r="68" spans="1:9" x14ac:dyDescent="0.3">
      <c r="A68" s="20">
        <v>8400067</v>
      </c>
      <c r="B68" s="10" t="s">
        <v>550</v>
      </c>
      <c r="C68" s="32"/>
      <c r="D68" s="32"/>
      <c r="E68" s="10" t="s">
        <v>25</v>
      </c>
      <c r="F68" s="10"/>
      <c r="G68" s="10">
        <f t="shared" si="1"/>
        <v>0</v>
      </c>
      <c r="H68" s="10">
        <v>5</v>
      </c>
      <c r="I68" s="10" t="s">
        <v>484</v>
      </c>
    </row>
    <row r="69" spans="1:9" x14ac:dyDescent="0.3">
      <c r="A69" s="21">
        <v>8400068</v>
      </c>
      <c r="B69" s="9" t="s">
        <v>551</v>
      </c>
      <c r="C69" s="31"/>
      <c r="D69" s="31"/>
      <c r="E69" s="9" t="s">
        <v>25</v>
      </c>
      <c r="F69" s="9"/>
      <c r="G69" s="9">
        <f t="shared" si="1"/>
        <v>0</v>
      </c>
      <c r="H69" s="9">
        <v>5</v>
      </c>
      <c r="I69" s="9" t="s">
        <v>484</v>
      </c>
    </row>
    <row r="70" spans="1:9" x14ac:dyDescent="0.3">
      <c r="A70" s="20">
        <v>8400069</v>
      </c>
      <c r="B70" s="10" t="s">
        <v>552</v>
      </c>
      <c r="C70" s="32"/>
      <c r="D70" s="32"/>
      <c r="E70" s="10" t="s">
        <v>25</v>
      </c>
      <c r="F70" s="10"/>
      <c r="G70" s="10">
        <f t="shared" si="1"/>
        <v>0</v>
      </c>
      <c r="H70" s="10">
        <v>5</v>
      </c>
      <c r="I70" s="10" t="s">
        <v>484</v>
      </c>
    </row>
    <row r="71" spans="1:9" x14ac:dyDescent="0.3">
      <c r="A71" s="21">
        <v>8400070</v>
      </c>
      <c r="B71" s="9" t="s">
        <v>553</v>
      </c>
      <c r="C71" s="31"/>
      <c r="D71" s="31"/>
      <c r="E71" s="9" t="s">
        <v>25</v>
      </c>
      <c r="F71" s="9"/>
      <c r="G71" s="9">
        <f t="shared" si="1"/>
        <v>0</v>
      </c>
      <c r="H71" s="9">
        <v>5</v>
      </c>
      <c r="I71" s="9" t="s">
        <v>484</v>
      </c>
    </row>
    <row r="72" spans="1:9" x14ac:dyDescent="0.3">
      <c r="A72" s="20">
        <v>8400071</v>
      </c>
      <c r="B72" s="10" t="s">
        <v>554</v>
      </c>
      <c r="C72" s="32"/>
      <c r="D72" s="32"/>
      <c r="E72" s="10" t="s">
        <v>25</v>
      </c>
      <c r="F72" s="10"/>
      <c r="G72" s="10">
        <f t="shared" si="1"/>
        <v>0</v>
      </c>
      <c r="H72" s="10">
        <v>10</v>
      </c>
      <c r="I72" s="10" t="s">
        <v>484</v>
      </c>
    </row>
    <row r="73" spans="1:9" x14ac:dyDescent="0.3">
      <c r="A73" s="21">
        <v>8400072</v>
      </c>
      <c r="B73" s="9" t="s">
        <v>555</v>
      </c>
      <c r="C73" s="31"/>
      <c r="D73" s="31"/>
      <c r="E73" s="9" t="s">
        <v>25</v>
      </c>
      <c r="F73" s="9"/>
      <c r="G73" s="9">
        <f t="shared" si="1"/>
        <v>0</v>
      </c>
      <c r="H73" s="9">
        <v>5</v>
      </c>
      <c r="I73" s="9" t="s">
        <v>484</v>
      </c>
    </row>
    <row r="74" spans="1:9" x14ac:dyDescent="0.3">
      <c r="A74" s="20">
        <v>8400073</v>
      </c>
      <c r="B74" s="10" t="s">
        <v>556</v>
      </c>
      <c r="C74" s="32"/>
      <c r="D74" s="32"/>
      <c r="E74" s="10" t="s">
        <v>25</v>
      </c>
      <c r="F74" s="10"/>
      <c r="G74" s="10">
        <f t="shared" si="1"/>
        <v>0</v>
      </c>
      <c r="H74" s="10">
        <v>5</v>
      </c>
      <c r="I74" s="10" t="s">
        <v>484</v>
      </c>
    </row>
    <row r="75" spans="1:9" x14ac:dyDescent="0.3">
      <c r="A75" s="21">
        <v>8400074</v>
      </c>
      <c r="B75" s="9" t="s">
        <v>557</v>
      </c>
      <c r="C75" s="31"/>
      <c r="D75" s="31"/>
      <c r="E75" s="9" t="s">
        <v>25</v>
      </c>
      <c r="F75" s="9"/>
      <c r="G75" s="9">
        <f t="shared" si="1"/>
        <v>0</v>
      </c>
      <c r="H75" s="9">
        <v>5</v>
      </c>
      <c r="I75" s="9" t="s">
        <v>484</v>
      </c>
    </row>
    <row r="76" spans="1:9" x14ac:dyDescent="0.3">
      <c r="A76" s="20">
        <v>8400075</v>
      </c>
      <c r="B76" s="10" t="s">
        <v>558</v>
      </c>
      <c r="C76" s="32"/>
      <c r="D76" s="32"/>
      <c r="E76" s="10" t="s">
        <v>25</v>
      </c>
      <c r="F76" s="10"/>
      <c r="G76" s="10">
        <f t="shared" si="1"/>
        <v>0</v>
      </c>
      <c r="H76" s="10">
        <v>5</v>
      </c>
      <c r="I76" s="10" t="s">
        <v>484</v>
      </c>
    </row>
    <row r="77" spans="1:9" x14ac:dyDescent="0.3">
      <c r="A77" s="21">
        <v>8400076</v>
      </c>
      <c r="B77" s="9" t="s">
        <v>559</v>
      </c>
      <c r="C77" s="31"/>
      <c r="D77" s="31"/>
      <c r="E77" s="9" t="s">
        <v>25</v>
      </c>
      <c r="F77" s="9"/>
      <c r="G77" s="9">
        <f t="shared" si="1"/>
        <v>0</v>
      </c>
      <c r="H77" s="9">
        <v>5</v>
      </c>
      <c r="I77" s="9" t="s">
        <v>484</v>
      </c>
    </row>
    <row r="78" spans="1:9" x14ac:dyDescent="0.3">
      <c r="A78" s="20">
        <v>8400077</v>
      </c>
      <c r="B78" s="10" t="s">
        <v>560</v>
      </c>
      <c r="C78" s="32"/>
      <c r="D78" s="32"/>
      <c r="E78" s="10" t="s">
        <v>25</v>
      </c>
      <c r="F78" s="10"/>
      <c r="G78" s="10">
        <f t="shared" si="1"/>
        <v>0</v>
      </c>
      <c r="H78" s="10">
        <v>5</v>
      </c>
      <c r="I78" s="10" t="s">
        <v>484</v>
      </c>
    </row>
    <row r="79" spans="1:9" x14ac:dyDescent="0.3">
      <c r="A79" s="21">
        <v>8400078</v>
      </c>
      <c r="B79" s="9" t="s">
        <v>561</v>
      </c>
      <c r="C79" s="31"/>
      <c r="D79" s="31"/>
      <c r="E79" s="9" t="s">
        <v>25</v>
      </c>
      <c r="F79" s="9"/>
      <c r="G79" s="9">
        <f t="shared" si="1"/>
        <v>0</v>
      </c>
      <c r="H79" s="9">
        <v>3</v>
      </c>
      <c r="I79" s="9" t="s">
        <v>484</v>
      </c>
    </row>
    <row r="80" spans="1:9" x14ac:dyDescent="0.3">
      <c r="A80" s="20">
        <v>8400079</v>
      </c>
      <c r="B80" s="10" t="s">
        <v>562</v>
      </c>
      <c r="C80" s="32"/>
      <c r="D80" s="32"/>
      <c r="E80" s="10" t="s">
        <v>25</v>
      </c>
      <c r="F80" s="10"/>
      <c r="G80" s="10">
        <f t="shared" si="1"/>
        <v>0</v>
      </c>
      <c r="H80" s="10">
        <v>3</v>
      </c>
      <c r="I80" s="10" t="s">
        <v>484</v>
      </c>
    </row>
    <row r="81" spans="1:9" x14ac:dyDescent="0.3">
      <c r="A81" s="21">
        <v>8400080</v>
      </c>
      <c r="B81" s="9" t="s">
        <v>563</v>
      </c>
      <c r="C81" s="31"/>
      <c r="D81" s="31"/>
      <c r="E81" s="9" t="s">
        <v>25</v>
      </c>
      <c r="F81" s="9"/>
      <c r="G81" s="9">
        <f t="shared" si="1"/>
        <v>0</v>
      </c>
      <c r="H81" s="9">
        <v>3</v>
      </c>
      <c r="I81" s="9" t="s">
        <v>484</v>
      </c>
    </row>
    <row r="82" spans="1:9" x14ac:dyDescent="0.3">
      <c r="A82" s="20">
        <v>8400081</v>
      </c>
      <c r="B82" s="10" t="s">
        <v>564</v>
      </c>
      <c r="C82" s="32"/>
      <c r="D82" s="32"/>
      <c r="E82" s="10" t="s">
        <v>25</v>
      </c>
      <c r="F82" s="10"/>
      <c r="G82" s="10">
        <f t="shared" si="1"/>
        <v>0</v>
      </c>
      <c r="H82" s="10">
        <v>3</v>
      </c>
      <c r="I82" s="10" t="s">
        <v>484</v>
      </c>
    </row>
    <row r="83" spans="1:9" x14ac:dyDescent="0.3">
      <c r="A83" s="21">
        <v>8400082</v>
      </c>
      <c r="B83" s="9" t="s">
        <v>565</v>
      </c>
      <c r="C83" s="31"/>
      <c r="D83" s="31"/>
      <c r="E83" s="9" t="s">
        <v>25</v>
      </c>
      <c r="F83" s="9"/>
      <c r="G83" s="9">
        <f t="shared" si="1"/>
        <v>0</v>
      </c>
      <c r="H83" s="9">
        <v>3</v>
      </c>
      <c r="I83" s="9" t="s">
        <v>484</v>
      </c>
    </row>
    <row r="84" spans="1:9" x14ac:dyDescent="0.3">
      <c r="A84" s="20">
        <v>8400083</v>
      </c>
      <c r="B84" s="10" t="s">
        <v>566</v>
      </c>
      <c r="C84" s="32"/>
      <c r="D84" s="32"/>
      <c r="E84" s="10" t="s">
        <v>25</v>
      </c>
      <c r="F84" s="10"/>
      <c r="G84" s="10">
        <f t="shared" si="1"/>
        <v>0</v>
      </c>
      <c r="H84" s="10">
        <v>3</v>
      </c>
      <c r="I84" s="10" t="s">
        <v>484</v>
      </c>
    </row>
    <row r="85" spans="1:9" x14ac:dyDescent="0.3">
      <c r="A85" s="21">
        <v>8400084</v>
      </c>
      <c r="B85" s="9" t="s">
        <v>567</v>
      </c>
      <c r="C85" s="31"/>
      <c r="D85" s="31"/>
      <c r="E85" s="9" t="s">
        <v>25</v>
      </c>
      <c r="F85" s="9"/>
      <c r="G85" s="9">
        <f t="shared" si="1"/>
        <v>0</v>
      </c>
      <c r="H85" s="9">
        <v>3</v>
      </c>
      <c r="I85" s="9" t="s">
        <v>484</v>
      </c>
    </row>
    <row r="86" spans="1:9" x14ac:dyDescent="0.3">
      <c r="A86" s="20">
        <v>8400085</v>
      </c>
      <c r="B86" s="10" t="s">
        <v>568</v>
      </c>
      <c r="C86" s="32"/>
      <c r="D86" s="32"/>
      <c r="E86" s="10" t="s">
        <v>25</v>
      </c>
      <c r="F86" s="10"/>
      <c r="G86" s="10">
        <f t="shared" si="1"/>
        <v>0</v>
      </c>
      <c r="H86" s="10">
        <v>3</v>
      </c>
      <c r="I86" s="10" t="s">
        <v>484</v>
      </c>
    </row>
    <row r="87" spans="1:9" x14ac:dyDescent="0.3">
      <c r="A87" s="21">
        <v>8400086</v>
      </c>
      <c r="B87" s="9" t="s">
        <v>569</v>
      </c>
      <c r="C87" s="31"/>
      <c r="D87" s="31"/>
      <c r="E87" s="9" t="s">
        <v>25</v>
      </c>
      <c r="F87" s="9"/>
      <c r="G87" s="9">
        <f t="shared" si="1"/>
        <v>0</v>
      </c>
      <c r="H87" s="9">
        <v>3</v>
      </c>
      <c r="I87" s="9" t="s">
        <v>484</v>
      </c>
    </row>
    <row r="88" spans="1:9" x14ac:dyDescent="0.3">
      <c r="A88" s="20">
        <v>8400087</v>
      </c>
      <c r="B88" s="10" t="s">
        <v>570</v>
      </c>
      <c r="C88" s="32"/>
      <c r="D88" s="32"/>
      <c r="E88" s="10" t="s">
        <v>25</v>
      </c>
      <c r="F88" s="10"/>
      <c r="G88" s="10">
        <f t="shared" si="1"/>
        <v>0</v>
      </c>
      <c r="H88" s="10">
        <v>5</v>
      </c>
      <c r="I88" s="10" t="s">
        <v>484</v>
      </c>
    </row>
    <row r="89" spans="1:9" x14ac:dyDescent="0.3">
      <c r="A89" s="21">
        <v>8400088</v>
      </c>
      <c r="B89" s="9" t="s">
        <v>571</v>
      </c>
      <c r="C89" s="31"/>
      <c r="D89" s="31"/>
      <c r="E89" s="9" t="s">
        <v>25</v>
      </c>
      <c r="F89" s="9"/>
      <c r="G89" s="9">
        <f t="shared" si="1"/>
        <v>0</v>
      </c>
      <c r="H89" s="9">
        <v>5</v>
      </c>
      <c r="I89" s="9" t="s">
        <v>484</v>
      </c>
    </row>
    <row r="90" spans="1:9" x14ac:dyDescent="0.3">
      <c r="A90" s="20">
        <v>8400089</v>
      </c>
      <c r="B90" s="10" t="s">
        <v>572</v>
      </c>
      <c r="C90" s="32"/>
      <c r="D90" s="32"/>
      <c r="E90" s="10" t="s">
        <v>25</v>
      </c>
      <c r="F90" s="10"/>
      <c r="G90" s="10">
        <f t="shared" si="1"/>
        <v>0</v>
      </c>
      <c r="H90" s="10">
        <v>5</v>
      </c>
      <c r="I90" s="10" t="s">
        <v>484</v>
      </c>
    </row>
    <row r="91" spans="1:9" x14ac:dyDescent="0.3">
      <c r="A91" s="21">
        <v>8400090</v>
      </c>
      <c r="B91" s="9" t="s">
        <v>573</v>
      </c>
      <c r="C91" s="31"/>
      <c r="D91" s="31"/>
      <c r="E91" s="9" t="s">
        <v>25</v>
      </c>
      <c r="F91" s="9"/>
      <c r="G91" s="9">
        <f t="shared" si="1"/>
        <v>0</v>
      </c>
      <c r="H91" s="9">
        <v>5</v>
      </c>
      <c r="I91" s="9" t="s">
        <v>484</v>
      </c>
    </row>
    <row r="92" spans="1:9" x14ac:dyDescent="0.3">
      <c r="A92" s="20">
        <v>8400091</v>
      </c>
      <c r="B92" s="10" t="s">
        <v>574</v>
      </c>
      <c r="C92" s="32"/>
      <c r="D92" s="32"/>
      <c r="E92" s="10" t="s">
        <v>25</v>
      </c>
      <c r="F92" s="10"/>
      <c r="G92" s="10">
        <f t="shared" si="1"/>
        <v>0</v>
      </c>
      <c r="H92" s="10">
        <v>5</v>
      </c>
      <c r="I92" s="10" t="s">
        <v>484</v>
      </c>
    </row>
    <row r="93" spans="1:9" x14ac:dyDescent="0.3">
      <c r="A93" s="21">
        <v>8400092</v>
      </c>
      <c r="B93" s="9" t="s">
        <v>575</v>
      </c>
      <c r="C93" s="31"/>
      <c r="D93" s="31"/>
      <c r="E93" s="9" t="s">
        <v>25</v>
      </c>
      <c r="F93" s="9"/>
      <c r="G93" s="9">
        <f t="shared" si="1"/>
        <v>0</v>
      </c>
      <c r="H93" s="9">
        <v>10</v>
      </c>
      <c r="I93" s="9" t="s">
        <v>484</v>
      </c>
    </row>
    <row r="94" spans="1:9" x14ac:dyDescent="0.3">
      <c r="A94" s="20">
        <v>8400093</v>
      </c>
      <c r="B94" s="10" t="s">
        <v>576</v>
      </c>
      <c r="C94" s="32"/>
      <c r="D94" s="32"/>
      <c r="E94" s="10" t="s">
        <v>25</v>
      </c>
      <c r="F94" s="10"/>
      <c r="G94" s="10">
        <f t="shared" si="1"/>
        <v>0</v>
      </c>
      <c r="H94" s="10">
        <v>10</v>
      </c>
      <c r="I94" s="10" t="s">
        <v>484</v>
      </c>
    </row>
    <row r="95" spans="1:9" x14ac:dyDescent="0.3">
      <c r="A95" s="21">
        <v>8400094</v>
      </c>
      <c r="B95" s="9" t="s">
        <v>577</v>
      </c>
      <c r="C95" s="31"/>
      <c r="D95" s="31"/>
      <c r="E95" s="9" t="s">
        <v>25</v>
      </c>
      <c r="F95" s="9"/>
      <c r="G95" s="9">
        <f t="shared" si="1"/>
        <v>0</v>
      </c>
      <c r="H95" s="9">
        <v>10</v>
      </c>
      <c r="I95" s="9" t="s">
        <v>484</v>
      </c>
    </row>
    <row r="96" spans="1:9" x14ac:dyDescent="0.3">
      <c r="A96" s="20">
        <v>8400095</v>
      </c>
      <c r="B96" s="10" t="s">
        <v>578</v>
      </c>
      <c r="C96" s="32"/>
      <c r="D96" s="32"/>
      <c r="E96" s="10" t="s">
        <v>25</v>
      </c>
      <c r="F96" s="10"/>
      <c r="G96" s="10">
        <f t="shared" si="1"/>
        <v>0</v>
      </c>
      <c r="H96" s="10">
        <v>10</v>
      </c>
      <c r="I96" s="10" t="s">
        <v>484</v>
      </c>
    </row>
    <row r="97" spans="1:9" x14ac:dyDescent="0.3">
      <c r="A97" s="21">
        <v>8400096</v>
      </c>
      <c r="B97" s="9" t="s">
        <v>579</v>
      </c>
      <c r="C97" s="31"/>
      <c r="D97" s="31"/>
      <c r="E97" s="9" t="s">
        <v>25</v>
      </c>
      <c r="F97" s="9"/>
      <c r="G97" s="9">
        <f t="shared" si="1"/>
        <v>0</v>
      </c>
      <c r="H97" s="9">
        <v>10</v>
      </c>
      <c r="I97" s="9" t="s">
        <v>484</v>
      </c>
    </row>
    <row r="98" spans="1:9" x14ac:dyDescent="0.3">
      <c r="A98" s="20">
        <v>8400097</v>
      </c>
      <c r="B98" s="10" t="s">
        <v>580</v>
      </c>
      <c r="C98" s="32"/>
      <c r="D98" s="32"/>
      <c r="E98" s="10" t="s">
        <v>25</v>
      </c>
      <c r="F98" s="10"/>
      <c r="G98" s="10">
        <f t="shared" si="1"/>
        <v>0</v>
      </c>
      <c r="H98" s="10">
        <v>10</v>
      </c>
      <c r="I98" s="10" t="s">
        <v>484</v>
      </c>
    </row>
    <row r="99" spans="1:9" x14ac:dyDescent="0.3">
      <c r="A99" s="21">
        <v>8400098</v>
      </c>
      <c r="B99" s="9" t="s">
        <v>581</v>
      </c>
      <c r="C99" s="31"/>
      <c r="D99" s="31"/>
      <c r="E99" s="9" t="s">
        <v>25</v>
      </c>
      <c r="F99" s="9"/>
      <c r="G99" s="9">
        <f t="shared" si="1"/>
        <v>0</v>
      </c>
      <c r="H99" s="9">
        <v>5</v>
      </c>
      <c r="I99" s="9" t="s">
        <v>484</v>
      </c>
    </row>
    <row r="100" spans="1:9" x14ac:dyDescent="0.3">
      <c r="A100" s="20">
        <v>8400099</v>
      </c>
      <c r="B100" s="10" t="s">
        <v>582</v>
      </c>
      <c r="C100" s="32"/>
      <c r="D100" s="32"/>
      <c r="E100" s="10" t="s">
        <v>25</v>
      </c>
      <c r="F100" s="10"/>
      <c r="G100" s="10">
        <f t="shared" si="1"/>
        <v>0</v>
      </c>
      <c r="H100" s="10">
        <v>5</v>
      </c>
      <c r="I100" s="10" t="s">
        <v>484</v>
      </c>
    </row>
    <row r="101" spans="1:9" x14ac:dyDescent="0.3">
      <c r="A101" s="21">
        <v>8400100</v>
      </c>
      <c r="B101" s="9" t="s">
        <v>583</v>
      </c>
      <c r="C101" s="31"/>
      <c r="D101" s="31"/>
      <c r="E101" s="9" t="s">
        <v>25</v>
      </c>
      <c r="F101" s="9"/>
      <c r="G101" s="9">
        <f t="shared" si="1"/>
        <v>0</v>
      </c>
      <c r="H101" s="9">
        <v>5</v>
      </c>
      <c r="I101" s="9" t="s">
        <v>484</v>
      </c>
    </row>
    <row r="102" spans="1:9" x14ac:dyDescent="0.3">
      <c r="A102" s="20">
        <v>8400101</v>
      </c>
      <c r="B102" s="10" t="s">
        <v>584</v>
      </c>
      <c r="C102" s="32"/>
      <c r="D102" s="32"/>
      <c r="E102" s="10" t="s">
        <v>25</v>
      </c>
      <c r="F102" s="10"/>
      <c r="G102" s="10">
        <f t="shared" si="1"/>
        <v>0</v>
      </c>
      <c r="H102" s="10">
        <v>5</v>
      </c>
      <c r="I102" s="10" t="s">
        <v>484</v>
      </c>
    </row>
    <row r="103" spans="1:9" x14ac:dyDescent="0.3">
      <c r="A103" s="21">
        <v>8400102</v>
      </c>
      <c r="B103" s="9" t="s">
        <v>585</v>
      </c>
      <c r="C103" s="31"/>
      <c r="D103" s="31"/>
      <c r="E103" s="9" t="s">
        <v>25</v>
      </c>
      <c r="F103" s="9"/>
      <c r="G103" s="9">
        <f t="shared" si="1"/>
        <v>0</v>
      </c>
      <c r="H103" s="9">
        <v>5</v>
      </c>
      <c r="I103" s="9" t="s">
        <v>484</v>
      </c>
    </row>
    <row r="104" spans="1:9" x14ac:dyDescent="0.3">
      <c r="A104" s="20">
        <v>8400103</v>
      </c>
      <c r="B104" s="10" t="s">
        <v>586</v>
      </c>
      <c r="C104" s="32"/>
      <c r="D104" s="32"/>
      <c r="E104" s="10" t="s">
        <v>25</v>
      </c>
      <c r="F104" s="10"/>
      <c r="G104" s="10">
        <f t="shared" si="1"/>
        <v>0</v>
      </c>
      <c r="H104" s="10">
        <v>5</v>
      </c>
      <c r="I104" s="10" t="s">
        <v>484</v>
      </c>
    </row>
    <row r="105" spans="1:9" x14ac:dyDescent="0.3">
      <c r="A105" s="21">
        <v>8400104</v>
      </c>
      <c r="B105" s="9" t="s">
        <v>587</v>
      </c>
      <c r="C105" s="31"/>
      <c r="D105" s="31"/>
      <c r="E105" s="9" t="s">
        <v>25</v>
      </c>
      <c r="F105" s="9"/>
      <c r="G105" s="9">
        <f t="shared" si="1"/>
        <v>0</v>
      </c>
      <c r="H105" s="9">
        <v>5</v>
      </c>
      <c r="I105" s="9" t="s">
        <v>484</v>
      </c>
    </row>
    <row r="106" spans="1:9" x14ac:dyDescent="0.3">
      <c r="A106" s="20">
        <v>8400105</v>
      </c>
      <c r="B106" s="10" t="s">
        <v>588</v>
      </c>
      <c r="C106" s="32"/>
      <c r="D106" s="32"/>
      <c r="E106" s="10" t="s">
        <v>25</v>
      </c>
      <c r="F106" s="10"/>
      <c r="G106" s="10">
        <f t="shared" si="1"/>
        <v>0</v>
      </c>
      <c r="H106" s="10">
        <v>5</v>
      </c>
      <c r="I106" s="10" t="s">
        <v>484</v>
      </c>
    </row>
    <row r="107" spans="1:9" x14ac:dyDescent="0.3">
      <c r="A107" s="21">
        <v>8400106</v>
      </c>
      <c r="B107" s="9" t="s">
        <v>589</v>
      </c>
      <c r="C107" s="31"/>
      <c r="D107" s="31"/>
      <c r="E107" s="9" t="s">
        <v>25</v>
      </c>
      <c r="F107" s="9"/>
      <c r="G107" s="9">
        <f t="shared" si="1"/>
        <v>0</v>
      </c>
      <c r="H107" s="9">
        <v>5</v>
      </c>
      <c r="I107" s="9" t="s">
        <v>484</v>
      </c>
    </row>
    <row r="108" spans="1:9" x14ac:dyDescent="0.3">
      <c r="A108" s="20">
        <v>8400107</v>
      </c>
      <c r="B108" s="10" t="s">
        <v>590</v>
      </c>
      <c r="C108" s="32"/>
      <c r="D108" s="32"/>
      <c r="E108" s="10" t="s">
        <v>25</v>
      </c>
      <c r="F108" s="10"/>
      <c r="G108" s="10">
        <f t="shared" si="1"/>
        <v>0</v>
      </c>
      <c r="H108" s="10">
        <v>5</v>
      </c>
      <c r="I108" s="10" t="s">
        <v>484</v>
      </c>
    </row>
    <row r="109" spans="1:9" x14ac:dyDescent="0.3">
      <c r="A109" s="21">
        <v>8400108</v>
      </c>
      <c r="B109" s="9" t="s">
        <v>591</v>
      </c>
      <c r="C109" s="31"/>
      <c r="D109" s="31"/>
      <c r="E109" s="9" t="s">
        <v>25</v>
      </c>
      <c r="F109" s="9"/>
      <c r="G109" s="9">
        <f t="shared" si="1"/>
        <v>0</v>
      </c>
      <c r="H109" s="9">
        <v>5</v>
      </c>
      <c r="I109" s="9" t="s">
        <v>484</v>
      </c>
    </row>
    <row r="110" spans="1:9" x14ac:dyDescent="0.3">
      <c r="A110" s="20">
        <v>8400109</v>
      </c>
      <c r="B110" s="10" t="s">
        <v>592</v>
      </c>
      <c r="C110" s="32"/>
      <c r="D110" s="32"/>
      <c r="E110" s="10" t="s">
        <v>25</v>
      </c>
      <c r="F110" s="10"/>
      <c r="G110" s="10">
        <f t="shared" si="1"/>
        <v>0</v>
      </c>
      <c r="H110" s="10">
        <v>5</v>
      </c>
      <c r="I110" s="10" t="s">
        <v>484</v>
      </c>
    </row>
    <row r="111" spans="1:9" x14ac:dyDescent="0.3">
      <c r="A111" s="21">
        <v>8400110</v>
      </c>
      <c r="B111" s="9" t="s">
        <v>593</v>
      </c>
      <c r="C111" s="31"/>
      <c r="D111" s="31"/>
      <c r="E111" s="9" t="s">
        <v>25</v>
      </c>
      <c r="F111" s="9"/>
      <c r="G111" s="9">
        <f t="shared" si="1"/>
        <v>0</v>
      </c>
      <c r="H111" s="9">
        <v>5</v>
      </c>
      <c r="I111" s="9" t="s">
        <v>484</v>
      </c>
    </row>
    <row r="112" spans="1:9" x14ac:dyDescent="0.3">
      <c r="A112" s="20">
        <v>8400111</v>
      </c>
      <c r="B112" s="10" t="s">
        <v>594</v>
      </c>
      <c r="C112" s="32"/>
      <c r="D112" s="32"/>
      <c r="E112" s="10" t="s">
        <v>25</v>
      </c>
      <c r="F112" s="10"/>
      <c r="G112" s="10">
        <f t="shared" si="1"/>
        <v>0</v>
      </c>
      <c r="H112" s="10">
        <v>5</v>
      </c>
      <c r="I112" s="10" t="s">
        <v>484</v>
      </c>
    </row>
    <row r="113" spans="1:9" x14ac:dyDescent="0.3">
      <c r="A113" s="21">
        <v>8400112</v>
      </c>
      <c r="B113" s="9" t="s">
        <v>595</v>
      </c>
      <c r="C113" s="31"/>
      <c r="D113" s="31"/>
      <c r="E113" s="9" t="s">
        <v>25</v>
      </c>
      <c r="F113" s="9"/>
      <c r="G113" s="9">
        <f t="shared" si="1"/>
        <v>0</v>
      </c>
      <c r="H113" s="9">
        <v>15</v>
      </c>
      <c r="I113" s="9" t="s">
        <v>484</v>
      </c>
    </row>
    <row r="114" spans="1:9" x14ac:dyDescent="0.3">
      <c r="A114" s="20">
        <v>8400113</v>
      </c>
      <c r="B114" s="10" t="s">
        <v>596</v>
      </c>
      <c r="C114" s="32"/>
      <c r="D114" s="32"/>
      <c r="E114" s="10" t="s">
        <v>25</v>
      </c>
      <c r="F114" s="10"/>
      <c r="G114" s="10">
        <f t="shared" si="1"/>
        <v>0</v>
      </c>
      <c r="H114" s="10">
        <v>15</v>
      </c>
      <c r="I114" s="10" t="s">
        <v>484</v>
      </c>
    </row>
    <row r="115" spans="1:9" x14ac:dyDescent="0.3">
      <c r="A115" s="21">
        <v>8400114</v>
      </c>
      <c r="B115" s="9" t="s">
        <v>597</v>
      </c>
      <c r="C115" s="31"/>
      <c r="D115" s="31"/>
      <c r="E115" s="9" t="s">
        <v>25</v>
      </c>
      <c r="F115" s="9"/>
      <c r="G115" s="9">
        <f t="shared" si="1"/>
        <v>0</v>
      </c>
      <c r="H115" s="9">
        <v>15</v>
      </c>
      <c r="I115" s="9" t="s">
        <v>484</v>
      </c>
    </row>
    <row r="116" spans="1:9" x14ac:dyDescent="0.3">
      <c r="A116" s="20">
        <v>8400115</v>
      </c>
      <c r="B116" s="10" t="s">
        <v>598</v>
      </c>
      <c r="C116" s="32"/>
      <c r="D116" s="32"/>
      <c r="E116" s="10" t="s">
        <v>25</v>
      </c>
      <c r="F116" s="10"/>
      <c r="G116" s="10">
        <f t="shared" si="1"/>
        <v>0</v>
      </c>
      <c r="H116" s="10">
        <v>15</v>
      </c>
      <c r="I116" s="10" t="s">
        <v>484</v>
      </c>
    </row>
    <row r="117" spans="1:9" x14ac:dyDescent="0.3">
      <c r="A117" s="21">
        <v>8400116</v>
      </c>
      <c r="B117" s="9" t="s">
        <v>599</v>
      </c>
      <c r="C117" s="31"/>
      <c r="D117" s="31"/>
      <c r="E117" s="9" t="s">
        <v>25</v>
      </c>
      <c r="F117" s="9"/>
      <c r="G117" s="9">
        <f t="shared" si="1"/>
        <v>0</v>
      </c>
      <c r="H117" s="9">
        <v>10</v>
      </c>
      <c r="I117" s="9" t="s">
        <v>484</v>
      </c>
    </row>
    <row r="118" spans="1:9" x14ac:dyDescent="0.3">
      <c r="A118" s="20">
        <v>8400117</v>
      </c>
      <c r="B118" s="10" t="s">
        <v>600</v>
      </c>
      <c r="C118" s="32"/>
      <c r="D118" s="32"/>
      <c r="E118" s="10" t="s">
        <v>25</v>
      </c>
      <c r="F118" s="10"/>
      <c r="G118" s="10">
        <f t="shared" si="1"/>
        <v>0</v>
      </c>
      <c r="H118" s="10">
        <v>10</v>
      </c>
      <c r="I118" s="10" t="s">
        <v>484</v>
      </c>
    </row>
    <row r="119" spans="1:9" x14ac:dyDescent="0.3">
      <c r="A119" s="21">
        <v>8400118</v>
      </c>
      <c r="B119" s="9" t="s">
        <v>601</v>
      </c>
      <c r="C119" s="31"/>
      <c r="D119" s="31"/>
      <c r="E119" s="9" t="s">
        <v>25</v>
      </c>
      <c r="F119" s="9"/>
      <c r="G119" s="9">
        <f t="shared" si="1"/>
        <v>0</v>
      </c>
      <c r="H119" s="9">
        <v>10</v>
      </c>
      <c r="I119" s="9" t="s">
        <v>484</v>
      </c>
    </row>
    <row r="120" spans="1:9" x14ac:dyDescent="0.3">
      <c r="A120" s="20">
        <v>8400119</v>
      </c>
      <c r="B120" s="10" t="s">
        <v>602</v>
      </c>
      <c r="C120" s="32"/>
      <c r="D120" s="32"/>
      <c r="E120" s="10" t="s">
        <v>25</v>
      </c>
      <c r="F120" s="10"/>
      <c r="G120" s="10">
        <f t="shared" si="1"/>
        <v>0</v>
      </c>
      <c r="H120" s="10">
        <v>5</v>
      </c>
      <c r="I120" s="10" t="s">
        <v>484</v>
      </c>
    </row>
    <row r="121" spans="1:9" x14ac:dyDescent="0.3">
      <c r="A121" s="21">
        <v>8400120</v>
      </c>
      <c r="B121" s="9" t="s">
        <v>603</v>
      </c>
      <c r="C121" s="31"/>
      <c r="D121" s="31"/>
      <c r="E121" s="9" t="s">
        <v>25</v>
      </c>
      <c r="F121" s="9"/>
      <c r="G121" s="9">
        <f t="shared" si="1"/>
        <v>0</v>
      </c>
      <c r="H121" s="9">
        <v>5</v>
      </c>
      <c r="I121" s="9" t="s">
        <v>484</v>
      </c>
    </row>
    <row r="122" spans="1:9" x14ac:dyDescent="0.3">
      <c r="A122" s="20">
        <v>8400121</v>
      </c>
      <c r="B122" s="10" t="s">
        <v>604</v>
      </c>
      <c r="C122" s="32"/>
      <c r="D122" s="32"/>
      <c r="E122" s="10" t="s">
        <v>25</v>
      </c>
      <c r="F122" s="10"/>
      <c r="G122" s="10">
        <f t="shared" si="1"/>
        <v>0</v>
      </c>
      <c r="H122" s="10">
        <v>5</v>
      </c>
      <c r="I122" s="10" t="s">
        <v>484</v>
      </c>
    </row>
    <row r="123" spans="1:9" x14ac:dyDescent="0.3">
      <c r="A123" s="21">
        <v>8400122</v>
      </c>
      <c r="B123" s="9" t="s">
        <v>605</v>
      </c>
      <c r="C123" s="31"/>
      <c r="D123" s="31"/>
      <c r="E123" s="9" t="s">
        <v>25</v>
      </c>
      <c r="F123" s="9"/>
      <c r="G123" s="9">
        <f t="shared" si="1"/>
        <v>0</v>
      </c>
      <c r="H123" s="9">
        <v>5</v>
      </c>
      <c r="I123" s="9" t="s">
        <v>484</v>
      </c>
    </row>
    <row r="124" spans="1:9" x14ac:dyDescent="0.3">
      <c r="A124" s="20">
        <v>8400123</v>
      </c>
      <c r="B124" s="10" t="s">
        <v>606</v>
      </c>
      <c r="C124" s="32"/>
      <c r="D124" s="32"/>
      <c r="E124" s="10" t="s">
        <v>25</v>
      </c>
      <c r="F124" s="10"/>
      <c r="G124" s="10">
        <f t="shared" si="1"/>
        <v>0</v>
      </c>
      <c r="H124" s="10">
        <v>5</v>
      </c>
      <c r="I124" s="10" t="s">
        <v>484</v>
      </c>
    </row>
    <row r="125" spans="1:9" x14ac:dyDescent="0.3">
      <c r="A125" s="21">
        <v>8400124</v>
      </c>
      <c r="B125" s="9" t="s">
        <v>607</v>
      </c>
      <c r="C125" s="31"/>
      <c r="D125" s="31"/>
      <c r="E125" s="9" t="s">
        <v>25</v>
      </c>
      <c r="F125" s="9"/>
      <c r="G125" s="9">
        <f t="shared" si="1"/>
        <v>0</v>
      </c>
      <c r="H125" s="9">
        <v>5</v>
      </c>
      <c r="I125" s="9" t="s">
        <v>484</v>
      </c>
    </row>
    <row r="126" spans="1:9" x14ac:dyDescent="0.3">
      <c r="A126" s="20">
        <v>8400125</v>
      </c>
      <c r="B126" s="10" t="s">
        <v>608</v>
      </c>
      <c r="C126" s="32"/>
      <c r="D126" s="32"/>
      <c r="E126" s="10" t="s">
        <v>25</v>
      </c>
      <c r="F126" s="10"/>
      <c r="G126" s="10">
        <f t="shared" si="1"/>
        <v>0</v>
      </c>
      <c r="H126" s="10">
        <v>3</v>
      </c>
      <c r="I126" s="10" t="s">
        <v>484</v>
      </c>
    </row>
    <row r="127" spans="1:9" x14ac:dyDescent="0.3">
      <c r="A127" s="21">
        <v>8400126</v>
      </c>
      <c r="B127" s="9" t="s">
        <v>609</v>
      </c>
      <c r="C127" s="31"/>
      <c r="D127" s="31"/>
      <c r="E127" s="9" t="s">
        <v>25</v>
      </c>
      <c r="F127" s="9"/>
      <c r="G127" s="9">
        <f t="shared" si="1"/>
        <v>0</v>
      </c>
      <c r="H127" s="9">
        <v>5</v>
      </c>
      <c r="I127" s="9" t="s">
        <v>484</v>
      </c>
    </row>
    <row r="128" spans="1:9" x14ac:dyDescent="0.3">
      <c r="A128" s="20">
        <v>8400127</v>
      </c>
      <c r="B128" s="10" t="s">
        <v>609</v>
      </c>
      <c r="C128" s="32"/>
      <c r="D128" s="32"/>
      <c r="E128" s="10" t="s">
        <v>25</v>
      </c>
      <c r="F128" s="10"/>
      <c r="G128" s="10">
        <f t="shared" si="1"/>
        <v>0</v>
      </c>
      <c r="H128" s="10">
        <v>5</v>
      </c>
      <c r="I128" s="10" t="s">
        <v>484</v>
      </c>
    </row>
    <row r="129" spans="1:9" x14ac:dyDescent="0.3">
      <c r="A129" s="21">
        <v>8400128</v>
      </c>
      <c r="B129" s="9" t="s">
        <v>610</v>
      </c>
      <c r="C129" s="31"/>
      <c r="D129" s="31"/>
      <c r="E129" s="9" t="s">
        <v>25</v>
      </c>
      <c r="F129" s="9"/>
      <c r="G129" s="9">
        <f t="shared" si="1"/>
        <v>0</v>
      </c>
      <c r="H129" s="9">
        <v>5</v>
      </c>
      <c r="I129" s="9" t="s">
        <v>484</v>
      </c>
    </row>
    <row r="130" spans="1:9" x14ac:dyDescent="0.3">
      <c r="A130" s="20">
        <v>8400129</v>
      </c>
      <c r="B130" s="10" t="s">
        <v>610</v>
      </c>
      <c r="C130" s="32"/>
      <c r="D130" s="32"/>
      <c r="E130" s="10" t="s">
        <v>25</v>
      </c>
      <c r="F130" s="10"/>
      <c r="G130" s="10">
        <f t="shared" ref="G130:G193" si="2">F130-F130*11%</f>
        <v>0</v>
      </c>
      <c r="H130" s="10">
        <v>5</v>
      </c>
      <c r="I130" s="10" t="s">
        <v>484</v>
      </c>
    </row>
    <row r="131" spans="1:9" x14ac:dyDescent="0.3">
      <c r="A131" s="21">
        <v>8400130</v>
      </c>
      <c r="B131" s="9" t="s">
        <v>611</v>
      </c>
      <c r="C131" s="31"/>
      <c r="D131" s="31"/>
      <c r="E131" s="9" t="s">
        <v>25</v>
      </c>
      <c r="F131" s="9"/>
      <c r="G131" s="9">
        <f t="shared" si="2"/>
        <v>0</v>
      </c>
      <c r="H131" s="9">
        <v>5</v>
      </c>
      <c r="I131" s="9" t="s">
        <v>484</v>
      </c>
    </row>
    <row r="132" spans="1:9" x14ac:dyDescent="0.3">
      <c r="A132" s="20">
        <v>8400131</v>
      </c>
      <c r="B132" s="10" t="s">
        <v>612</v>
      </c>
      <c r="C132" s="32"/>
      <c r="D132" s="32"/>
      <c r="E132" s="10" t="s">
        <v>25</v>
      </c>
      <c r="F132" s="10"/>
      <c r="G132" s="10">
        <f t="shared" si="2"/>
        <v>0</v>
      </c>
      <c r="H132" s="10">
        <v>5</v>
      </c>
      <c r="I132" s="10" t="s">
        <v>484</v>
      </c>
    </row>
    <row r="133" spans="1:9" x14ac:dyDescent="0.3">
      <c r="A133" s="21">
        <v>8400132</v>
      </c>
      <c r="B133" s="9" t="s">
        <v>613</v>
      </c>
      <c r="C133" s="31"/>
      <c r="D133" s="31"/>
      <c r="E133" s="9" t="s">
        <v>25</v>
      </c>
      <c r="F133" s="9"/>
      <c r="G133" s="9">
        <f t="shared" si="2"/>
        <v>0</v>
      </c>
      <c r="H133" s="9">
        <v>5</v>
      </c>
      <c r="I133" s="9" t="s">
        <v>484</v>
      </c>
    </row>
    <row r="134" spans="1:9" x14ac:dyDescent="0.3">
      <c r="A134" s="20">
        <v>8400133</v>
      </c>
      <c r="B134" s="10" t="s">
        <v>614</v>
      </c>
      <c r="C134" s="32"/>
      <c r="D134" s="32"/>
      <c r="E134" s="10" t="s">
        <v>25</v>
      </c>
      <c r="F134" s="10"/>
      <c r="G134" s="10">
        <f t="shared" si="2"/>
        <v>0</v>
      </c>
      <c r="H134" s="10">
        <v>5</v>
      </c>
      <c r="I134" s="10" t="s">
        <v>484</v>
      </c>
    </row>
    <row r="135" spans="1:9" x14ac:dyDescent="0.3">
      <c r="A135" s="21">
        <v>8400134</v>
      </c>
      <c r="B135" s="9" t="s">
        <v>615</v>
      </c>
      <c r="C135" s="31"/>
      <c r="D135" s="31"/>
      <c r="E135" s="9" t="s">
        <v>25</v>
      </c>
      <c r="F135" s="9"/>
      <c r="G135" s="9">
        <f t="shared" si="2"/>
        <v>0</v>
      </c>
      <c r="H135" s="9">
        <v>10</v>
      </c>
      <c r="I135" s="9" t="s">
        <v>484</v>
      </c>
    </row>
    <row r="136" spans="1:9" x14ac:dyDescent="0.3">
      <c r="A136" s="20">
        <v>8400135</v>
      </c>
      <c r="B136" s="10" t="s">
        <v>616</v>
      </c>
      <c r="C136" s="32"/>
      <c r="D136" s="32"/>
      <c r="E136" s="10" t="s">
        <v>25</v>
      </c>
      <c r="F136" s="10"/>
      <c r="G136" s="10">
        <f t="shared" si="2"/>
        <v>0</v>
      </c>
      <c r="H136" s="10">
        <v>10</v>
      </c>
      <c r="I136" s="10" t="s">
        <v>484</v>
      </c>
    </row>
    <row r="137" spans="1:9" x14ac:dyDescent="0.3">
      <c r="A137" s="21">
        <v>8400136</v>
      </c>
      <c r="B137" s="9" t="s">
        <v>617</v>
      </c>
      <c r="C137" s="31"/>
      <c r="D137" s="31"/>
      <c r="E137" s="9" t="s">
        <v>25</v>
      </c>
      <c r="F137" s="9"/>
      <c r="G137" s="9">
        <f t="shared" si="2"/>
        <v>0</v>
      </c>
      <c r="H137" s="9">
        <v>3</v>
      </c>
      <c r="I137" s="9" t="s">
        <v>484</v>
      </c>
    </row>
    <row r="138" spans="1:9" x14ac:dyDescent="0.3">
      <c r="A138" s="20">
        <v>8400137</v>
      </c>
      <c r="B138" s="10" t="s">
        <v>618</v>
      </c>
      <c r="C138" s="32"/>
      <c r="D138" s="32"/>
      <c r="E138" s="10" t="s">
        <v>25</v>
      </c>
      <c r="F138" s="10"/>
      <c r="G138" s="10">
        <f t="shared" si="2"/>
        <v>0</v>
      </c>
      <c r="H138" s="10">
        <v>5</v>
      </c>
      <c r="I138" s="10" t="s">
        <v>484</v>
      </c>
    </row>
    <row r="139" spans="1:9" x14ac:dyDescent="0.3">
      <c r="A139" s="21">
        <v>8400138</v>
      </c>
      <c r="B139" s="9" t="s">
        <v>619</v>
      </c>
      <c r="C139" s="31"/>
      <c r="D139" s="31"/>
      <c r="E139" s="9" t="s">
        <v>25</v>
      </c>
      <c r="F139" s="9"/>
      <c r="G139" s="9">
        <f t="shared" si="2"/>
        <v>0</v>
      </c>
      <c r="H139" s="9">
        <v>5</v>
      </c>
      <c r="I139" s="9" t="s">
        <v>484</v>
      </c>
    </row>
    <row r="140" spans="1:9" x14ac:dyDescent="0.3">
      <c r="A140" s="20">
        <v>8400139</v>
      </c>
      <c r="B140" s="10" t="s">
        <v>620</v>
      </c>
      <c r="C140" s="32"/>
      <c r="D140" s="32"/>
      <c r="E140" s="10" t="s">
        <v>25</v>
      </c>
      <c r="F140" s="10"/>
      <c r="G140" s="10">
        <f t="shared" si="2"/>
        <v>0</v>
      </c>
      <c r="H140" s="10">
        <v>5</v>
      </c>
      <c r="I140" s="10" t="s">
        <v>484</v>
      </c>
    </row>
    <row r="141" spans="1:9" x14ac:dyDescent="0.3">
      <c r="A141" s="21">
        <v>8400140</v>
      </c>
      <c r="B141" s="9" t="s">
        <v>621</v>
      </c>
      <c r="C141" s="31"/>
      <c r="D141" s="31"/>
      <c r="E141" s="9" t="s">
        <v>25</v>
      </c>
      <c r="F141" s="9"/>
      <c r="G141" s="9">
        <f t="shared" si="2"/>
        <v>0</v>
      </c>
      <c r="H141" s="9">
        <v>3</v>
      </c>
      <c r="I141" s="9" t="s">
        <v>484</v>
      </c>
    </row>
    <row r="142" spans="1:9" x14ac:dyDescent="0.3">
      <c r="A142" s="20">
        <v>8400141</v>
      </c>
      <c r="B142" s="10" t="s">
        <v>622</v>
      </c>
      <c r="C142" s="32"/>
      <c r="D142" s="32"/>
      <c r="E142" s="10" t="s">
        <v>25</v>
      </c>
      <c r="F142" s="10"/>
      <c r="G142" s="10">
        <f t="shared" si="2"/>
        <v>0</v>
      </c>
      <c r="H142" s="10">
        <v>10</v>
      </c>
      <c r="I142" s="10" t="s">
        <v>484</v>
      </c>
    </row>
    <row r="143" spans="1:9" x14ac:dyDescent="0.3">
      <c r="A143" s="21">
        <v>8400142</v>
      </c>
      <c r="B143" s="9" t="s">
        <v>623</v>
      </c>
      <c r="C143" s="31"/>
      <c r="D143" s="31"/>
      <c r="E143" s="9" t="s">
        <v>25</v>
      </c>
      <c r="F143" s="9"/>
      <c r="G143" s="9">
        <f t="shared" si="2"/>
        <v>0</v>
      </c>
      <c r="H143" s="9">
        <v>10</v>
      </c>
      <c r="I143" s="9" t="s">
        <v>484</v>
      </c>
    </row>
    <row r="144" spans="1:9" x14ac:dyDescent="0.3">
      <c r="A144" s="20">
        <v>8400143</v>
      </c>
      <c r="B144" s="10" t="s">
        <v>624</v>
      </c>
      <c r="C144" s="32"/>
      <c r="D144" s="32"/>
      <c r="E144" s="10" t="s">
        <v>25</v>
      </c>
      <c r="F144" s="10"/>
      <c r="G144" s="10">
        <f t="shared" si="2"/>
        <v>0</v>
      </c>
      <c r="H144" s="10">
        <v>10</v>
      </c>
      <c r="I144" s="10" t="s">
        <v>484</v>
      </c>
    </row>
    <row r="145" spans="1:9" x14ac:dyDescent="0.3">
      <c r="A145" s="21">
        <v>8400144</v>
      </c>
      <c r="B145" s="9" t="s">
        <v>625</v>
      </c>
      <c r="C145" s="31"/>
      <c r="D145" s="31"/>
      <c r="E145" s="9" t="s">
        <v>25</v>
      </c>
      <c r="F145" s="9"/>
      <c r="G145" s="9">
        <f t="shared" si="2"/>
        <v>0</v>
      </c>
      <c r="H145" s="9">
        <v>10</v>
      </c>
      <c r="I145" s="9" t="s">
        <v>484</v>
      </c>
    </row>
    <row r="146" spans="1:9" x14ac:dyDescent="0.3">
      <c r="A146" s="20">
        <v>8400145</v>
      </c>
      <c r="B146" s="10" t="s">
        <v>626</v>
      </c>
      <c r="C146" s="32"/>
      <c r="D146" s="32"/>
      <c r="E146" s="10" t="s">
        <v>25</v>
      </c>
      <c r="F146" s="10"/>
      <c r="G146" s="10">
        <f t="shared" si="2"/>
        <v>0</v>
      </c>
      <c r="H146" s="10">
        <v>10</v>
      </c>
      <c r="I146" s="10" t="s">
        <v>484</v>
      </c>
    </row>
    <row r="147" spans="1:9" x14ac:dyDescent="0.3">
      <c r="A147" s="21">
        <v>8400146</v>
      </c>
      <c r="B147" s="9" t="s">
        <v>627</v>
      </c>
      <c r="C147" s="31"/>
      <c r="D147" s="31"/>
      <c r="E147" s="9" t="s">
        <v>25</v>
      </c>
      <c r="F147" s="9"/>
      <c r="G147" s="9">
        <f t="shared" si="2"/>
        <v>0</v>
      </c>
      <c r="H147" s="9">
        <v>10</v>
      </c>
      <c r="I147" s="9" t="s">
        <v>484</v>
      </c>
    </row>
    <row r="148" spans="1:9" x14ac:dyDescent="0.3">
      <c r="A148" s="20">
        <v>8400147</v>
      </c>
      <c r="B148" s="10" t="s">
        <v>628</v>
      </c>
      <c r="C148" s="32"/>
      <c r="D148" s="32"/>
      <c r="E148" s="10" t="s">
        <v>25</v>
      </c>
      <c r="F148" s="10"/>
      <c r="G148" s="10">
        <f t="shared" si="2"/>
        <v>0</v>
      </c>
      <c r="H148" s="10">
        <v>5</v>
      </c>
      <c r="I148" s="10" t="s">
        <v>484</v>
      </c>
    </row>
    <row r="149" spans="1:9" x14ac:dyDescent="0.3">
      <c r="A149" s="21">
        <v>8400148</v>
      </c>
      <c r="B149" s="9" t="s">
        <v>629</v>
      </c>
      <c r="C149" s="31"/>
      <c r="D149" s="31"/>
      <c r="E149" s="9" t="s">
        <v>25</v>
      </c>
      <c r="F149" s="9"/>
      <c r="G149" s="9">
        <f t="shared" si="2"/>
        <v>0</v>
      </c>
      <c r="H149" s="9">
        <v>10</v>
      </c>
      <c r="I149" s="9" t="s">
        <v>484</v>
      </c>
    </row>
    <row r="150" spans="1:9" x14ac:dyDescent="0.3">
      <c r="A150" s="20">
        <v>8400149</v>
      </c>
      <c r="B150" s="10" t="s">
        <v>630</v>
      </c>
      <c r="C150" s="32"/>
      <c r="D150" s="32"/>
      <c r="E150" s="10" t="s">
        <v>25</v>
      </c>
      <c r="F150" s="10"/>
      <c r="G150" s="10">
        <f t="shared" si="2"/>
        <v>0</v>
      </c>
      <c r="H150" s="10">
        <v>5</v>
      </c>
      <c r="I150" s="10" t="s">
        <v>484</v>
      </c>
    </row>
    <row r="151" spans="1:9" x14ac:dyDescent="0.3">
      <c r="A151" s="21">
        <v>8400150</v>
      </c>
      <c r="B151" s="9" t="s">
        <v>631</v>
      </c>
      <c r="C151" s="31"/>
      <c r="D151" s="31"/>
      <c r="E151" s="9" t="s">
        <v>25</v>
      </c>
      <c r="F151" s="9"/>
      <c r="G151" s="9">
        <f t="shared" si="2"/>
        <v>0</v>
      </c>
      <c r="H151" s="9">
        <v>5</v>
      </c>
      <c r="I151" s="9" t="s">
        <v>484</v>
      </c>
    </row>
    <row r="152" spans="1:9" x14ac:dyDescent="0.3">
      <c r="A152" s="20">
        <v>8400151</v>
      </c>
      <c r="B152" s="10" t="s">
        <v>632</v>
      </c>
      <c r="C152" s="32"/>
      <c r="D152" s="32"/>
      <c r="E152" s="10" t="s">
        <v>25</v>
      </c>
      <c r="F152" s="10"/>
      <c r="G152" s="10">
        <f t="shared" si="2"/>
        <v>0</v>
      </c>
      <c r="H152" s="10">
        <v>10</v>
      </c>
      <c r="I152" s="10" t="s">
        <v>484</v>
      </c>
    </row>
    <row r="153" spans="1:9" x14ac:dyDescent="0.3">
      <c r="A153" s="21">
        <v>8400152</v>
      </c>
      <c r="B153" s="9" t="s">
        <v>633</v>
      </c>
      <c r="C153" s="31"/>
      <c r="D153" s="31"/>
      <c r="E153" s="9" t="s">
        <v>25</v>
      </c>
      <c r="F153" s="9"/>
      <c r="G153" s="9">
        <f t="shared" si="2"/>
        <v>0</v>
      </c>
      <c r="H153" s="9">
        <v>10</v>
      </c>
      <c r="I153" s="9" t="s">
        <v>484</v>
      </c>
    </row>
    <row r="154" spans="1:9" x14ac:dyDescent="0.3">
      <c r="A154" s="20">
        <v>8400153</v>
      </c>
      <c r="B154" s="10" t="s">
        <v>634</v>
      </c>
      <c r="C154" s="32"/>
      <c r="D154" s="32"/>
      <c r="E154" s="10" t="s">
        <v>25</v>
      </c>
      <c r="F154" s="10"/>
      <c r="G154" s="10">
        <f t="shared" si="2"/>
        <v>0</v>
      </c>
      <c r="H154" s="10">
        <v>10</v>
      </c>
      <c r="I154" s="10" t="s">
        <v>484</v>
      </c>
    </row>
    <row r="155" spans="1:9" x14ac:dyDescent="0.3">
      <c r="A155" s="21">
        <v>8400154</v>
      </c>
      <c r="B155" s="9" t="s">
        <v>635</v>
      </c>
      <c r="C155" s="31"/>
      <c r="D155" s="31"/>
      <c r="E155" s="9" t="s">
        <v>25</v>
      </c>
      <c r="F155" s="9"/>
      <c r="G155" s="9">
        <f t="shared" si="2"/>
        <v>0</v>
      </c>
      <c r="H155" s="9">
        <v>10</v>
      </c>
      <c r="I155" s="9" t="s">
        <v>484</v>
      </c>
    </row>
    <row r="156" spans="1:9" x14ac:dyDescent="0.3">
      <c r="A156" s="20">
        <v>8400155</v>
      </c>
      <c r="B156" s="10" t="s">
        <v>636</v>
      </c>
      <c r="C156" s="32"/>
      <c r="D156" s="32"/>
      <c r="E156" s="10" t="s">
        <v>25</v>
      </c>
      <c r="F156" s="10"/>
      <c r="G156" s="10">
        <f t="shared" si="2"/>
        <v>0</v>
      </c>
      <c r="H156" s="10">
        <v>5</v>
      </c>
      <c r="I156" s="10" t="s">
        <v>484</v>
      </c>
    </row>
    <row r="157" spans="1:9" x14ac:dyDescent="0.3">
      <c r="A157" s="21">
        <v>8400156</v>
      </c>
      <c r="B157" s="9" t="s">
        <v>637</v>
      </c>
      <c r="C157" s="31"/>
      <c r="D157" s="31"/>
      <c r="E157" s="9" t="s">
        <v>25</v>
      </c>
      <c r="F157" s="9"/>
      <c r="G157" s="9">
        <f t="shared" si="2"/>
        <v>0</v>
      </c>
      <c r="H157" s="9">
        <v>10</v>
      </c>
      <c r="I157" s="9" t="s">
        <v>484</v>
      </c>
    </row>
    <row r="158" spans="1:9" x14ac:dyDescent="0.3">
      <c r="A158" s="20">
        <v>8400157</v>
      </c>
      <c r="B158" s="10" t="s">
        <v>638</v>
      </c>
      <c r="C158" s="32"/>
      <c r="D158" s="32"/>
      <c r="E158" s="10" t="s">
        <v>25</v>
      </c>
      <c r="F158" s="10"/>
      <c r="G158" s="10">
        <f t="shared" si="2"/>
        <v>0</v>
      </c>
      <c r="H158" s="10">
        <v>5</v>
      </c>
      <c r="I158" s="10" t="s">
        <v>484</v>
      </c>
    </row>
    <row r="159" spans="1:9" x14ac:dyDescent="0.3">
      <c r="A159" s="21">
        <v>8400158</v>
      </c>
      <c r="B159" s="9" t="s">
        <v>639</v>
      </c>
      <c r="C159" s="31"/>
      <c r="D159" s="31"/>
      <c r="E159" s="9" t="s">
        <v>25</v>
      </c>
      <c r="F159" s="9"/>
      <c r="G159" s="9">
        <f t="shared" si="2"/>
        <v>0</v>
      </c>
      <c r="H159" s="9">
        <v>5</v>
      </c>
      <c r="I159" s="9" t="s">
        <v>484</v>
      </c>
    </row>
    <row r="160" spans="1:9" x14ac:dyDescent="0.3">
      <c r="A160" s="20">
        <v>8400159</v>
      </c>
      <c r="B160" s="10" t="s">
        <v>640</v>
      </c>
      <c r="C160" s="32"/>
      <c r="D160" s="32"/>
      <c r="E160" s="10" t="s">
        <v>25</v>
      </c>
      <c r="F160" s="10"/>
      <c r="G160" s="10">
        <f t="shared" si="2"/>
        <v>0</v>
      </c>
      <c r="H160" s="10">
        <v>5</v>
      </c>
      <c r="I160" s="10" t="s">
        <v>484</v>
      </c>
    </row>
    <row r="161" spans="1:9" x14ac:dyDescent="0.3">
      <c r="A161" s="21">
        <v>8400160</v>
      </c>
      <c r="B161" s="9" t="s">
        <v>641</v>
      </c>
      <c r="C161" s="31"/>
      <c r="D161" s="31"/>
      <c r="E161" s="9" t="s">
        <v>25</v>
      </c>
      <c r="F161" s="9"/>
      <c r="G161" s="9">
        <f t="shared" si="2"/>
        <v>0</v>
      </c>
      <c r="H161" s="9">
        <v>5</v>
      </c>
      <c r="I161" s="9" t="s">
        <v>484</v>
      </c>
    </row>
    <row r="162" spans="1:9" x14ac:dyDescent="0.3">
      <c r="A162" s="20">
        <v>8400161</v>
      </c>
      <c r="B162" s="10" t="s">
        <v>642</v>
      </c>
      <c r="C162" s="32"/>
      <c r="D162" s="32"/>
      <c r="E162" s="10" t="s">
        <v>25</v>
      </c>
      <c r="F162" s="10"/>
      <c r="G162" s="10">
        <f t="shared" si="2"/>
        <v>0</v>
      </c>
      <c r="H162" s="10">
        <v>5</v>
      </c>
      <c r="I162" s="10" t="s">
        <v>484</v>
      </c>
    </row>
    <row r="163" spans="1:9" x14ac:dyDescent="0.3">
      <c r="A163" s="21">
        <v>8400162</v>
      </c>
      <c r="B163" s="9" t="s">
        <v>643</v>
      </c>
      <c r="C163" s="31"/>
      <c r="D163" s="31"/>
      <c r="E163" s="9" t="s">
        <v>25</v>
      </c>
      <c r="F163" s="9"/>
      <c r="G163" s="9">
        <f t="shared" si="2"/>
        <v>0</v>
      </c>
      <c r="H163" s="9">
        <v>5</v>
      </c>
      <c r="I163" s="9" t="s">
        <v>484</v>
      </c>
    </row>
    <row r="164" spans="1:9" x14ac:dyDescent="0.3">
      <c r="A164" s="20">
        <v>8400163</v>
      </c>
      <c r="B164" s="10" t="s">
        <v>644</v>
      </c>
      <c r="C164" s="32"/>
      <c r="D164" s="32"/>
      <c r="E164" s="10" t="s">
        <v>25</v>
      </c>
      <c r="F164" s="10"/>
      <c r="G164" s="10">
        <f t="shared" si="2"/>
        <v>0</v>
      </c>
      <c r="H164" s="10">
        <v>5</v>
      </c>
      <c r="I164" s="10" t="s">
        <v>484</v>
      </c>
    </row>
    <row r="165" spans="1:9" x14ac:dyDescent="0.3">
      <c r="A165" s="21">
        <v>8400164</v>
      </c>
      <c r="B165" s="9" t="s">
        <v>645</v>
      </c>
      <c r="C165" s="31"/>
      <c r="D165" s="31"/>
      <c r="E165" s="9" t="s">
        <v>25</v>
      </c>
      <c r="F165" s="9"/>
      <c r="G165" s="9">
        <f t="shared" si="2"/>
        <v>0</v>
      </c>
      <c r="H165" s="9">
        <v>5</v>
      </c>
      <c r="I165" s="9" t="s">
        <v>484</v>
      </c>
    </row>
    <row r="166" spans="1:9" x14ac:dyDescent="0.3">
      <c r="A166" s="20">
        <v>8400165</v>
      </c>
      <c r="B166" s="10" t="s">
        <v>646</v>
      </c>
      <c r="C166" s="32"/>
      <c r="D166" s="32"/>
      <c r="E166" s="10" t="s">
        <v>25</v>
      </c>
      <c r="F166" s="10"/>
      <c r="G166" s="10">
        <f t="shared" si="2"/>
        <v>0</v>
      </c>
      <c r="H166" s="10">
        <v>5</v>
      </c>
      <c r="I166" s="10" t="s">
        <v>484</v>
      </c>
    </row>
    <row r="167" spans="1:9" x14ac:dyDescent="0.3">
      <c r="A167" s="21">
        <v>8400166</v>
      </c>
      <c r="B167" s="9" t="s">
        <v>647</v>
      </c>
      <c r="C167" s="31"/>
      <c r="D167" s="31"/>
      <c r="E167" s="9" t="s">
        <v>25</v>
      </c>
      <c r="F167" s="9"/>
      <c r="G167" s="9">
        <f t="shared" si="2"/>
        <v>0</v>
      </c>
      <c r="H167" s="9">
        <v>3</v>
      </c>
      <c r="I167" s="9" t="s">
        <v>484</v>
      </c>
    </row>
    <row r="168" spans="1:9" x14ac:dyDescent="0.3">
      <c r="A168" s="20">
        <v>8400167</v>
      </c>
      <c r="B168" s="10" t="s">
        <v>648</v>
      </c>
      <c r="C168" s="32"/>
      <c r="D168" s="32"/>
      <c r="E168" s="10" t="s">
        <v>25</v>
      </c>
      <c r="F168" s="10"/>
      <c r="G168" s="10">
        <f t="shared" si="2"/>
        <v>0</v>
      </c>
      <c r="H168" s="10">
        <v>5</v>
      </c>
      <c r="I168" s="10" t="s">
        <v>484</v>
      </c>
    </row>
    <row r="169" spans="1:9" x14ac:dyDescent="0.3">
      <c r="A169" s="21">
        <v>8400168</v>
      </c>
      <c r="B169" s="9" t="s">
        <v>649</v>
      </c>
      <c r="C169" s="31"/>
      <c r="D169" s="31"/>
      <c r="E169" s="9" t="s">
        <v>25</v>
      </c>
      <c r="F169" s="9"/>
      <c r="G169" s="9">
        <f t="shared" si="2"/>
        <v>0</v>
      </c>
      <c r="H169" s="9">
        <v>5</v>
      </c>
      <c r="I169" s="9" t="s">
        <v>484</v>
      </c>
    </row>
    <row r="170" spans="1:9" x14ac:dyDescent="0.3">
      <c r="A170" s="20">
        <v>8400169</v>
      </c>
      <c r="B170" s="10" t="s">
        <v>650</v>
      </c>
      <c r="C170" s="32"/>
      <c r="D170" s="32"/>
      <c r="E170" s="10" t="s">
        <v>25</v>
      </c>
      <c r="F170" s="10"/>
      <c r="G170" s="10">
        <f t="shared" si="2"/>
        <v>0</v>
      </c>
      <c r="H170" s="10">
        <v>5</v>
      </c>
      <c r="I170" s="10" t="s">
        <v>484</v>
      </c>
    </row>
    <row r="171" spans="1:9" x14ac:dyDescent="0.3">
      <c r="A171" s="21">
        <v>8400170</v>
      </c>
      <c r="B171" s="9" t="s">
        <v>651</v>
      </c>
      <c r="C171" s="31"/>
      <c r="D171" s="31"/>
      <c r="E171" s="9" t="s">
        <v>25</v>
      </c>
      <c r="F171" s="9"/>
      <c r="G171" s="9">
        <f t="shared" si="2"/>
        <v>0</v>
      </c>
      <c r="H171" s="9">
        <v>5</v>
      </c>
      <c r="I171" s="9" t="s">
        <v>484</v>
      </c>
    </row>
    <row r="172" spans="1:9" x14ac:dyDescent="0.3">
      <c r="A172" s="20">
        <v>8400171</v>
      </c>
      <c r="B172" s="10" t="s">
        <v>652</v>
      </c>
      <c r="C172" s="32"/>
      <c r="D172" s="32"/>
      <c r="E172" s="10" t="s">
        <v>25</v>
      </c>
      <c r="F172" s="10"/>
      <c r="G172" s="10">
        <f t="shared" si="2"/>
        <v>0</v>
      </c>
      <c r="H172" s="10">
        <v>5</v>
      </c>
      <c r="I172" s="10" t="s">
        <v>484</v>
      </c>
    </row>
    <row r="173" spans="1:9" x14ac:dyDescent="0.3">
      <c r="A173" s="21">
        <v>8400172</v>
      </c>
      <c r="B173" s="9" t="s">
        <v>653</v>
      </c>
      <c r="C173" s="31"/>
      <c r="D173" s="31"/>
      <c r="E173" s="9" t="s">
        <v>25</v>
      </c>
      <c r="F173" s="9"/>
      <c r="G173" s="9">
        <f t="shared" si="2"/>
        <v>0</v>
      </c>
      <c r="H173" s="9">
        <v>5</v>
      </c>
      <c r="I173" s="9" t="s">
        <v>484</v>
      </c>
    </row>
    <row r="174" spans="1:9" x14ac:dyDescent="0.3">
      <c r="A174" s="20">
        <v>8400173</v>
      </c>
      <c r="B174" s="10" t="s">
        <v>654</v>
      </c>
      <c r="C174" s="32"/>
      <c r="D174" s="32"/>
      <c r="E174" s="10" t="s">
        <v>25</v>
      </c>
      <c r="F174" s="10"/>
      <c r="G174" s="10">
        <f t="shared" si="2"/>
        <v>0</v>
      </c>
      <c r="H174" s="10">
        <v>10</v>
      </c>
      <c r="I174" s="10" t="s">
        <v>484</v>
      </c>
    </row>
    <row r="175" spans="1:9" x14ac:dyDescent="0.3">
      <c r="A175" s="21">
        <v>8400174</v>
      </c>
      <c r="B175" s="9" t="s">
        <v>655</v>
      </c>
      <c r="C175" s="31"/>
      <c r="D175" s="31"/>
      <c r="E175" s="9" t="s">
        <v>25</v>
      </c>
      <c r="F175" s="9"/>
      <c r="G175" s="9">
        <f t="shared" si="2"/>
        <v>0</v>
      </c>
      <c r="H175" s="9">
        <v>10</v>
      </c>
      <c r="I175" s="9" t="s">
        <v>484</v>
      </c>
    </row>
    <row r="176" spans="1:9" x14ac:dyDescent="0.3">
      <c r="A176" s="20">
        <v>8400175</v>
      </c>
      <c r="B176" s="10" t="s">
        <v>656</v>
      </c>
      <c r="C176" s="32"/>
      <c r="D176" s="32"/>
      <c r="E176" s="10" t="s">
        <v>25</v>
      </c>
      <c r="F176" s="10"/>
      <c r="G176" s="10">
        <f t="shared" si="2"/>
        <v>0</v>
      </c>
      <c r="H176" s="10">
        <v>10</v>
      </c>
      <c r="I176" s="10" t="s">
        <v>484</v>
      </c>
    </row>
    <row r="177" spans="1:9" x14ac:dyDescent="0.3">
      <c r="A177" s="21">
        <v>8400176</v>
      </c>
      <c r="B177" s="9" t="s">
        <v>657</v>
      </c>
      <c r="C177" s="31"/>
      <c r="D177" s="31"/>
      <c r="E177" s="9" t="s">
        <v>25</v>
      </c>
      <c r="F177" s="9"/>
      <c r="G177" s="9">
        <f t="shared" si="2"/>
        <v>0</v>
      </c>
      <c r="H177" s="9">
        <v>10</v>
      </c>
      <c r="I177" s="9" t="s">
        <v>484</v>
      </c>
    </row>
    <row r="178" spans="1:9" x14ac:dyDescent="0.3">
      <c r="A178" s="20">
        <v>8400177</v>
      </c>
      <c r="B178" s="10" t="s">
        <v>658</v>
      </c>
      <c r="C178" s="32"/>
      <c r="D178" s="32"/>
      <c r="E178" s="10" t="s">
        <v>25</v>
      </c>
      <c r="F178" s="10"/>
      <c r="G178" s="10">
        <f t="shared" si="2"/>
        <v>0</v>
      </c>
      <c r="H178" s="10">
        <v>10</v>
      </c>
      <c r="I178" s="10" t="s">
        <v>484</v>
      </c>
    </row>
    <row r="179" spans="1:9" x14ac:dyDescent="0.3">
      <c r="A179" s="21">
        <v>8400178</v>
      </c>
      <c r="B179" s="9" t="s">
        <v>659</v>
      </c>
      <c r="C179" s="31"/>
      <c r="D179" s="31"/>
      <c r="E179" s="9" t="s">
        <v>25</v>
      </c>
      <c r="F179" s="9"/>
      <c r="G179" s="9">
        <f t="shared" si="2"/>
        <v>0</v>
      </c>
      <c r="H179" s="9">
        <v>5</v>
      </c>
      <c r="I179" s="9" t="s">
        <v>484</v>
      </c>
    </row>
    <row r="180" spans="1:9" x14ac:dyDescent="0.3">
      <c r="A180" s="20">
        <v>8400179</v>
      </c>
      <c r="B180" s="10" t="s">
        <v>660</v>
      </c>
      <c r="C180" s="32"/>
      <c r="D180" s="32"/>
      <c r="E180" s="10" t="s">
        <v>25</v>
      </c>
      <c r="F180" s="10"/>
      <c r="G180" s="10">
        <f t="shared" si="2"/>
        <v>0</v>
      </c>
      <c r="H180" s="10">
        <v>5</v>
      </c>
      <c r="I180" s="10" t="s">
        <v>484</v>
      </c>
    </row>
    <row r="181" spans="1:9" x14ac:dyDescent="0.3">
      <c r="A181" s="21">
        <v>8400180</v>
      </c>
      <c r="B181" s="9" t="s">
        <v>661</v>
      </c>
      <c r="C181" s="31"/>
      <c r="D181" s="31"/>
      <c r="E181" s="9" t="s">
        <v>25</v>
      </c>
      <c r="F181" s="9"/>
      <c r="G181" s="9">
        <f t="shared" si="2"/>
        <v>0</v>
      </c>
      <c r="H181" s="9">
        <v>10</v>
      </c>
      <c r="I181" s="9" t="s">
        <v>484</v>
      </c>
    </row>
    <row r="182" spans="1:9" x14ac:dyDescent="0.3">
      <c r="A182" s="20">
        <v>8400181</v>
      </c>
      <c r="B182" s="10" t="s">
        <v>662</v>
      </c>
      <c r="C182" s="32"/>
      <c r="D182" s="32"/>
      <c r="E182" s="10" t="s">
        <v>25</v>
      </c>
      <c r="F182" s="10"/>
      <c r="G182" s="10">
        <f t="shared" si="2"/>
        <v>0</v>
      </c>
      <c r="H182" s="10">
        <v>10</v>
      </c>
      <c r="I182" s="10" t="s">
        <v>484</v>
      </c>
    </row>
    <row r="183" spans="1:9" x14ac:dyDescent="0.3">
      <c r="A183" s="21">
        <v>8400182</v>
      </c>
      <c r="B183" s="9" t="s">
        <v>663</v>
      </c>
      <c r="C183" s="31"/>
      <c r="D183" s="31"/>
      <c r="E183" s="9" t="s">
        <v>25</v>
      </c>
      <c r="F183" s="9"/>
      <c r="G183" s="9">
        <f t="shared" si="2"/>
        <v>0</v>
      </c>
      <c r="H183" s="9">
        <v>5</v>
      </c>
      <c r="I183" s="9" t="s">
        <v>484</v>
      </c>
    </row>
    <row r="184" spans="1:9" x14ac:dyDescent="0.3">
      <c r="A184" s="20">
        <v>8400183</v>
      </c>
      <c r="B184" s="10" t="s">
        <v>664</v>
      </c>
      <c r="C184" s="32"/>
      <c r="D184" s="32"/>
      <c r="E184" s="10" t="s">
        <v>25</v>
      </c>
      <c r="F184" s="10"/>
      <c r="G184" s="10">
        <f t="shared" si="2"/>
        <v>0</v>
      </c>
      <c r="H184" s="10">
        <v>5</v>
      </c>
      <c r="I184" s="10" t="s">
        <v>484</v>
      </c>
    </row>
    <row r="185" spans="1:9" x14ac:dyDescent="0.3">
      <c r="A185" s="21">
        <v>8400184</v>
      </c>
      <c r="B185" s="9" t="s">
        <v>665</v>
      </c>
      <c r="C185" s="31"/>
      <c r="D185" s="31"/>
      <c r="E185" s="9" t="s">
        <v>25</v>
      </c>
      <c r="F185" s="9"/>
      <c r="G185" s="9">
        <f t="shared" si="2"/>
        <v>0</v>
      </c>
      <c r="H185" s="9">
        <v>3</v>
      </c>
      <c r="I185" s="9" t="s">
        <v>484</v>
      </c>
    </row>
    <row r="186" spans="1:9" x14ac:dyDescent="0.3">
      <c r="A186" s="20">
        <v>8400185</v>
      </c>
      <c r="B186" s="10" t="s">
        <v>666</v>
      </c>
      <c r="C186" s="32"/>
      <c r="D186" s="32"/>
      <c r="E186" s="10" t="s">
        <v>25</v>
      </c>
      <c r="F186" s="10"/>
      <c r="G186" s="10">
        <f t="shared" si="2"/>
        <v>0</v>
      </c>
      <c r="H186" s="10">
        <v>5</v>
      </c>
      <c r="I186" s="10" t="s">
        <v>484</v>
      </c>
    </row>
    <row r="187" spans="1:9" x14ac:dyDescent="0.3">
      <c r="A187" s="21">
        <v>8400186</v>
      </c>
      <c r="B187" s="9" t="s">
        <v>667</v>
      </c>
      <c r="C187" s="31"/>
      <c r="D187" s="31"/>
      <c r="E187" s="9" t="s">
        <v>25</v>
      </c>
      <c r="F187" s="9"/>
      <c r="G187" s="9">
        <f t="shared" si="2"/>
        <v>0</v>
      </c>
      <c r="H187" s="9">
        <v>5</v>
      </c>
      <c r="I187" s="9" t="s">
        <v>484</v>
      </c>
    </row>
    <row r="188" spans="1:9" x14ac:dyDescent="0.3">
      <c r="A188" s="20">
        <v>8400187</v>
      </c>
      <c r="B188" s="10" t="s">
        <v>668</v>
      </c>
      <c r="C188" s="32"/>
      <c r="D188" s="32"/>
      <c r="E188" s="10" t="s">
        <v>25</v>
      </c>
      <c r="F188" s="10"/>
      <c r="G188" s="10">
        <f t="shared" si="2"/>
        <v>0</v>
      </c>
      <c r="H188" s="10">
        <v>5</v>
      </c>
      <c r="I188" s="10" t="s">
        <v>484</v>
      </c>
    </row>
    <row r="189" spans="1:9" x14ac:dyDescent="0.3">
      <c r="A189" s="21">
        <v>8400188</v>
      </c>
      <c r="B189" s="9" t="s">
        <v>669</v>
      </c>
      <c r="C189" s="31"/>
      <c r="D189" s="31"/>
      <c r="E189" s="9" t="s">
        <v>25</v>
      </c>
      <c r="F189" s="9"/>
      <c r="G189" s="9">
        <f t="shared" si="2"/>
        <v>0</v>
      </c>
      <c r="H189" s="9">
        <v>5</v>
      </c>
      <c r="I189" s="9" t="s">
        <v>484</v>
      </c>
    </row>
    <row r="190" spans="1:9" x14ac:dyDescent="0.3">
      <c r="A190" s="20">
        <v>8400189</v>
      </c>
      <c r="B190" s="10" t="s">
        <v>670</v>
      </c>
      <c r="C190" s="32"/>
      <c r="D190" s="32"/>
      <c r="E190" s="10" t="s">
        <v>25</v>
      </c>
      <c r="F190" s="10"/>
      <c r="G190" s="10">
        <f t="shared" si="2"/>
        <v>0</v>
      </c>
      <c r="H190" s="10">
        <v>5</v>
      </c>
      <c r="I190" s="10" t="s">
        <v>484</v>
      </c>
    </row>
    <row r="191" spans="1:9" x14ac:dyDescent="0.3">
      <c r="A191" s="21">
        <v>8400190</v>
      </c>
      <c r="B191" s="9" t="s">
        <v>671</v>
      </c>
      <c r="C191" s="31"/>
      <c r="D191" s="31"/>
      <c r="E191" s="9" t="s">
        <v>25</v>
      </c>
      <c r="F191" s="9"/>
      <c r="G191" s="9">
        <f t="shared" si="2"/>
        <v>0</v>
      </c>
      <c r="H191" s="9">
        <v>5</v>
      </c>
      <c r="I191" s="9" t="s">
        <v>484</v>
      </c>
    </row>
    <row r="192" spans="1:9" x14ac:dyDescent="0.3">
      <c r="A192" s="20">
        <v>8400191</v>
      </c>
      <c r="B192" s="10" t="s">
        <v>672</v>
      </c>
      <c r="C192" s="32"/>
      <c r="D192" s="32"/>
      <c r="E192" s="10" t="s">
        <v>25</v>
      </c>
      <c r="F192" s="10"/>
      <c r="G192" s="10">
        <f t="shared" si="2"/>
        <v>0</v>
      </c>
      <c r="H192" s="10">
        <v>5</v>
      </c>
      <c r="I192" s="10" t="s">
        <v>484</v>
      </c>
    </row>
    <row r="193" spans="1:9" x14ac:dyDescent="0.3">
      <c r="A193" s="21">
        <v>8400192</v>
      </c>
      <c r="B193" s="9" t="s">
        <v>673</v>
      </c>
      <c r="C193" s="31"/>
      <c r="D193" s="31"/>
      <c r="E193" s="9" t="s">
        <v>25</v>
      </c>
      <c r="F193" s="9"/>
      <c r="G193" s="9">
        <f t="shared" si="2"/>
        <v>0</v>
      </c>
      <c r="H193" s="9">
        <v>5</v>
      </c>
      <c r="I193" s="9" t="s">
        <v>484</v>
      </c>
    </row>
    <row r="194" spans="1:9" x14ac:dyDescent="0.3">
      <c r="A194" s="20">
        <v>8400193</v>
      </c>
      <c r="B194" s="10" t="s">
        <v>674</v>
      </c>
      <c r="C194" s="32"/>
      <c r="D194" s="32"/>
      <c r="E194" s="10" t="s">
        <v>25</v>
      </c>
      <c r="F194" s="10"/>
      <c r="G194" s="10">
        <f t="shared" ref="G194:G257" si="3">F194-F194*11%</f>
        <v>0</v>
      </c>
      <c r="H194" s="10">
        <v>5</v>
      </c>
      <c r="I194" s="10" t="s">
        <v>484</v>
      </c>
    </row>
    <row r="195" spans="1:9" x14ac:dyDescent="0.3">
      <c r="A195" s="21">
        <v>8400194</v>
      </c>
      <c r="B195" s="9" t="s">
        <v>675</v>
      </c>
      <c r="C195" s="31"/>
      <c r="D195" s="31"/>
      <c r="E195" s="9" t="s">
        <v>25</v>
      </c>
      <c r="F195" s="9"/>
      <c r="G195" s="9">
        <f t="shared" si="3"/>
        <v>0</v>
      </c>
      <c r="H195" s="9">
        <v>3</v>
      </c>
      <c r="I195" s="9" t="s">
        <v>484</v>
      </c>
    </row>
    <row r="196" spans="1:9" x14ac:dyDescent="0.3">
      <c r="A196" s="20">
        <v>8400195</v>
      </c>
      <c r="B196" s="10" t="s">
        <v>676</v>
      </c>
      <c r="C196" s="32"/>
      <c r="D196" s="32"/>
      <c r="E196" s="10" t="s">
        <v>25</v>
      </c>
      <c r="F196" s="10"/>
      <c r="G196" s="10">
        <f t="shared" si="3"/>
        <v>0</v>
      </c>
      <c r="H196" s="10">
        <v>3</v>
      </c>
      <c r="I196" s="10" t="s">
        <v>484</v>
      </c>
    </row>
    <row r="197" spans="1:9" x14ac:dyDescent="0.3">
      <c r="A197" s="21">
        <v>8400196</v>
      </c>
      <c r="B197" s="9" t="s">
        <v>677</v>
      </c>
      <c r="C197" s="31"/>
      <c r="D197" s="31"/>
      <c r="E197" s="9" t="s">
        <v>25</v>
      </c>
      <c r="F197" s="9"/>
      <c r="G197" s="9">
        <f t="shared" si="3"/>
        <v>0</v>
      </c>
      <c r="H197" s="9">
        <v>5</v>
      </c>
      <c r="I197" s="9" t="s">
        <v>484</v>
      </c>
    </row>
    <row r="198" spans="1:9" x14ac:dyDescent="0.3">
      <c r="A198" s="20">
        <v>8400197</v>
      </c>
      <c r="B198" s="10" t="s">
        <v>678</v>
      </c>
      <c r="C198" s="32"/>
      <c r="D198" s="32"/>
      <c r="E198" s="10" t="s">
        <v>25</v>
      </c>
      <c r="F198" s="10"/>
      <c r="G198" s="10">
        <f t="shared" si="3"/>
        <v>0</v>
      </c>
      <c r="H198" s="10">
        <v>5</v>
      </c>
      <c r="I198" s="10" t="s">
        <v>484</v>
      </c>
    </row>
    <row r="199" spans="1:9" x14ac:dyDescent="0.3">
      <c r="A199" s="21">
        <v>8400198</v>
      </c>
      <c r="B199" s="9" t="s">
        <v>679</v>
      </c>
      <c r="C199" s="31"/>
      <c r="D199" s="31"/>
      <c r="E199" s="9" t="s">
        <v>25</v>
      </c>
      <c r="F199" s="9"/>
      <c r="G199" s="9">
        <f t="shared" si="3"/>
        <v>0</v>
      </c>
      <c r="H199" s="9">
        <v>5</v>
      </c>
      <c r="I199" s="9" t="s">
        <v>484</v>
      </c>
    </row>
    <row r="200" spans="1:9" x14ac:dyDescent="0.3">
      <c r="A200" s="20">
        <v>8400199</v>
      </c>
      <c r="B200" s="10" t="s">
        <v>680</v>
      </c>
      <c r="C200" s="32"/>
      <c r="D200" s="32"/>
      <c r="E200" s="10" t="s">
        <v>25</v>
      </c>
      <c r="F200" s="10"/>
      <c r="G200" s="10">
        <f t="shared" si="3"/>
        <v>0</v>
      </c>
      <c r="H200" s="10">
        <v>5</v>
      </c>
      <c r="I200" s="10" t="s">
        <v>484</v>
      </c>
    </row>
    <row r="201" spans="1:9" x14ac:dyDescent="0.3">
      <c r="A201" s="21">
        <v>8400200</v>
      </c>
      <c r="B201" s="9" t="s">
        <v>681</v>
      </c>
      <c r="C201" s="31"/>
      <c r="D201" s="31"/>
      <c r="E201" s="9" t="s">
        <v>25</v>
      </c>
      <c r="F201" s="9"/>
      <c r="G201" s="9">
        <f t="shared" si="3"/>
        <v>0</v>
      </c>
      <c r="H201" s="9">
        <v>5</v>
      </c>
      <c r="I201" s="9" t="s">
        <v>484</v>
      </c>
    </row>
    <row r="202" spans="1:9" x14ac:dyDescent="0.3">
      <c r="A202" s="20">
        <v>8400201</v>
      </c>
      <c r="B202" s="10" t="s">
        <v>682</v>
      </c>
      <c r="C202" s="32"/>
      <c r="D202" s="32"/>
      <c r="E202" s="10" t="s">
        <v>25</v>
      </c>
      <c r="F202" s="10"/>
      <c r="G202" s="10">
        <f t="shared" si="3"/>
        <v>0</v>
      </c>
      <c r="H202" s="10">
        <v>3</v>
      </c>
      <c r="I202" s="10" t="s">
        <v>484</v>
      </c>
    </row>
    <row r="203" spans="1:9" x14ac:dyDescent="0.3">
      <c r="A203" s="21">
        <v>8400202</v>
      </c>
      <c r="B203" s="9" t="s">
        <v>683</v>
      </c>
      <c r="C203" s="31"/>
      <c r="D203" s="31"/>
      <c r="E203" s="9" t="s">
        <v>25</v>
      </c>
      <c r="F203" s="9"/>
      <c r="G203" s="9">
        <f t="shared" si="3"/>
        <v>0</v>
      </c>
      <c r="H203" s="9">
        <v>3</v>
      </c>
      <c r="I203" s="9" t="s">
        <v>484</v>
      </c>
    </row>
    <row r="204" spans="1:9" x14ac:dyDescent="0.3">
      <c r="A204" s="20">
        <v>8400203</v>
      </c>
      <c r="B204" s="10" t="s">
        <v>684</v>
      </c>
      <c r="C204" s="32"/>
      <c r="D204" s="32"/>
      <c r="E204" s="10" t="s">
        <v>25</v>
      </c>
      <c r="F204" s="10"/>
      <c r="G204" s="10">
        <f t="shared" si="3"/>
        <v>0</v>
      </c>
      <c r="H204" s="10">
        <v>5</v>
      </c>
      <c r="I204" s="10" t="s">
        <v>484</v>
      </c>
    </row>
    <row r="205" spans="1:9" x14ac:dyDescent="0.3">
      <c r="A205" s="21">
        <v>8400204</v>
      </c>
      <c r="B205" s="9" t="s">
        <v>685</v>
      </c>
      <c r="C205" s="31"/>
      <c r="D205" s="31"/>
      <c r="E205" s="9" t="s">
        <v>25</v>
      </c>
      <c r="F205" s="9"/>
      <c r="G205" s="9">
        <f t="shared" si="3"/>
        <v>0</v>
      </c>
      <c r="H205" s="9">
        <v>5</v>
      </c>
      <c r="I205" s="9" t="s">
        <v>484</v>
      </c>
    </row>
    <row r="206" spans="1:9" x14ac:dyDescent="0.3">
      <c r="A206" s="20">
        <v>8400205</v>
      </c>
      <c r="B206" s="10" t="s">
        <v>686</v>
      </c>
      <c r="C206" s="32"/>
      <c r="D206" s="32"/>
      <c r="E206" s="10" t="s">
        <v>25</v>
      </c>
      <c r="F206" s="10"/>
      <c r="G206" s="10">
        <f t="shared" si="3"/>
        <v>0</v>
      </c>
      <c r="H206" s="10">
        <v>3</v>
      </c>
      <c r="I206" s="10" t="s">
        <v>484</v>
      </c>
    </row>
    <row r="207" spans="1:9" x14ac:dyDescent="0.3">
      <c r="A207" s="21">
        <v>8400206</v>
      </c>
      <c r="B207" s="9" t="s">
        <v>687</v>
      </c>
      <c r="C207" s="31"/>
      <c r="D207" s="31"/>
      <c r="E207" s="9" t="s">
        <v>25</v>
      </c>
      <c r="F207" s="9"/>
      <c r="G207" s="9">
        <f t="shared" si="3"/>
        <v>0</v>
      </c>
      <c r="H207" s="9">
        <v>5</v>
      </c>
      <c r="I207" s="9" t="s">
        <v>484</v>
      </c>
    </row>
    <row r="208" spans="1:9" x14ac:dyDescent="0.3">
      <c r="A208" s="20">
        <v>8400207</v>
      </c>
      <c r="B208" s="10" t="s">
        <v>688</v>
      </c>
      <c r="C208" s="32"/>
      <c r="D208" s="32"/>
      <c r="E208" s="10" t="s">
        <v>25</v>
      </c>
      <c r="F208" s="10"/>
      <c r="G208" s="10">
        <f t="shared" si="3"/>
        <v>0</v>
      </c>
      <c r="H208" s="10">
        <v>5</v>
      </c>
      <c r="I208" s="10" t="s">
        <v>484</v>
      </c>
    </row>
    <row r="209" spans="1:9" x14ac:dyDescent="0.3">
      <c r="A209" s="21">
        <v>8400208</v>
      </c>
      <c r="B209" s="9" t="s">
        <v>689</v>
      </c>
      <c r="C209" s="31"/>
      <c r="D209" s="31"/>
      <c r="E209" s="9" t="s">
        <v>25</v>
      </c>
      <c r="F209" s="9"/>
      <c r="G209" s="9">
        <f t="shared" si="3"/>
        <v>0</v>
      </c>
      <c r="H209" s="9">
        <v>15</v>
      </c>
      <c r="I209" s="9" t="s">
        <v>484</v>
      </c>
    </row>
    <row r="210" spans="1:9" x14ac:dyDescent="0.3">
      <c r="A210" s="20">
        <v>8400209</v>
      </c>
      <c r="B210" s="10" t="s">
        <v>690</v>
      </c>
      <c r="C210" s="32"/>
      <c r="D210" s="32"/>
      <c r="E210" s="10" t="s">
        <v>25</v>
      </c>
      <c r="F210" s="10"/>
      <c r="G210" s="10">
        <f t="shared" si="3"/>
        <v>0</v>
      </c>
      <c r="H210" s="10">
        <v>15</v>
      </c>
      <c r="I210" s="10" t="s">
        <v>484</v>
      </c>
    </row>
    <row r="211" spans="1:9" x14ac:dyDescent="0.3">
      <c r="A211" s="21">
        <v>8400210</v>
      </c>
      <c r="B211" s="9" t="s">
        <v>691</v>
      </c>
      <c r="C211" s="31"/>
      <c r="D211" s="31"/>
      <c r="E211" s="9" t="s">
        <v>25</v>
      </c>
      <c r="F211" s="9"/>
      <c r="G211" s="9">
        <f t="shared" si="3"/>
        <v>0</v>
      </c>
      <c r="H211" s="9">
        <v>15</v>
      </c>
      <c r="I211" s="9" t="s">
        <v>484</v>
      </c>
    </row>
    <row r="212" spans="1:9" x14ac:dyDescent="0.3">
      <c r="A212" s="20">
        <v>8400211</v>
      </c>
      <c r="B212" s="10" t="s">
        <v>692</v>
      </c>
      <c r="C212" s="32"/>
      <c r="D212" s="32"/>
      <c r="E212" s="10" t="s">
        <v>25</v>
      </c>
      <c r="F212" s="10"/>
      <c r="G212" s="10">
        <f t="shared" si="3"/>
        <v>0</v>
      </c>
      <c r="H212" s="10">
        <v>5</v>
      </c>
      <c r="I212" s="10" t="s">
        <v>484</v>
      </c>
    </row>
    <row r="213" spans="1:9" x14ac:dyDescent="0.3">
      <c r="A213" s="21">
        <v>8400212</v>
      </c>
      <c r="B213" s="9" t="s">
        <v>693</v>
      </c>
      <c r="C213" s="31"/>
      <c r="D213" s="31"/>
      <c r="E213" s="9" t="s">
        <v>25</v>
      </c>
      <c r="F213" s="9"/>
      <c r="G213" s="9">
        <f t="shared" si="3"/>
        <v>0</v>
      </c>
      <c r="H213" s="9">
        <v>5</v>
      </c>
      <c r="I213" s="9" t="s">
        <v>484</v>
      </c>
    </row>
    <row r="214" spans="1:9" x14ac:dyDescent="0.3">
      <c r="A214" s="20">
        <v>8400213</v>
      </c>
      <c r="B214" s="10" t="s">
        <v>694</v>
      </c>
      <c r="C214" s="32"/>
      <c r="D214" s="32"/>
      <c r="E214" s="10" t="s">
        <v>25</v>
      </c>
      <c r="F214" s="10"/>
      <c r="G214" s="10">
        <f t="shared" si="3"/>
        <v>0</v>
      </c>
      <c r="H214" s="10">
        <v>5</v>
      </c>
      <c r="I214" s="10" t="s">
        <v>484</v>
      </c>
    </row>
    <row r="215" spans="1:9" x14ac:dyDescent="0.3">
      <c r="A215" s="21">
        <v>8400214</v>
      </c>
      <c r="B215" s="9" t="s">
        <v>695</v>
      </c>
      <c r="C215" s="31"/>
      <c r="D215" s="31"/>
      <c r="E215" s="9" t="s">
        <v>25</v>
      </c>
      <c r="F215" s="9"/>
      <c r="G215" s="9">
        <f t="shared" si="3"/>
        <v>0</v>
      </c>
      <c r="H215" s="9">
        <v>5</v>
      </c>
      <c r="I215" s="9" t="s">
        <v>484</v>
      </c>
    </row>
    <row r="216" spans="1:9" x14ac:dyDescent="0.3">
      <c r="A216" s="20">
        <v>8400215</v>
      </c>
      <c r="B216" s="10" t="s">
        <v>696</v>
      </c>
      <c r="C216" s="32"/>
      <c r="D216" s="32"/>
      <c r="E216" s="10" t="s">
        <v>25</v>
      </c>
      <c r="F216" s="10"/>
      <c r="G216" s="10">
        <f t="shared" si="3"/>
        <v>0</v>
      </c>
      <c r="H216" s="10">
        <v>1</v>
      </c>
      <c r="I216" s="10" t="s">
        <v>484</v>
      </c>
    </row>
    <row r="217" spans="1:9" x14ac:dyDescent="0.3">
      <c r="A217" s="21">
        <v>8400216</v>
      </c>
      <c r="B217" s="9" t="s">
        <v>697</v>
      </c>
      <c r="C217" s="31"/>
      <c r="D217" s="31"/>
      <c r="E217" s="9" t="s">
        <v>25</v>
      </c>
      <c r="F217" s="9"/>
      <c r="G217" s="9">
        <f t="shared" si="3"/>
        <v>0</v>
      </c>
      <c r="H217" s="9">
        <v>5</v>
      </c>
      <c r="I217" s="9" t="s">
        <v>484</v>
      </c>
    </row>
    <row r="218" spans="1:9" x14ac:dyDescent="0.3">
      <c r="A218" s="20">
        <v>8400217</v>
      </c>
      <c r="B218" s="10" t="s">
        <v>698</v>
      </c>
      <c r="C218" s="32"/>
      <c r="D218" s="32"/>
      <c r="E218" s="10" t="s">
        <v>25</v>
      </c>
      <c r="F218" s="10"/>
      <c r="G218" s="10">
        <f t="shared" si="3"/>
        <v>0</v>
      </c>
      <c r="H218" s="10">
        <v>15</v>
      </c>
      <c r="I218" s="10" t="s">
        <v>484</v>
      </c>
    </row>
    <row r="219" spans="1:9" x14ac:dyDescent="0.3">
      <c r="A219" s="21">
        <v>8400218</v>
      </c>
      <c r="B219" s="9" t="s">
        <v>699</v>
      </c>
      <c r="C219" s="31"/>
      <c r="D219" s="31"/>
      <c r="E219" s="9" t="s">
        <v>25</v>
      </c>
      <c r="F219" s="9"/>
      <c r="G219" s="9">
        <f t="shared" si="3"/>
        <v>0</v>
      </c>
      <c r="H219" s="9">
        <v>15</v>
      </c>
      <c r="I219" s="9" t="s">
        <v>484</v>
      </c>
    </row>
    <row r="220" spans="1:9" x14ac:dyDescent="0.3">
      <c r="A220" s="20">
        <v>8400219</v>
      </c>
      <c r="B220" s="10" t="s">
        <v>700</v>
      </c>
      <c r="C220" s="32"/>
      <c r="D220" s="32"/>
      <c r="E220" s="10" t="s">
        <v>25</v>
      </c>
      <c r="F220" s="10"/>
      <c r="G220" s="10">
        <f t="shared" si="3"/>
        <v>0</v>
      </c>
      <c r="H220" s="10">
        <v>15</v>
      </c>
      <c r="I220" s="10" t="s">
        <v>484</v>
      </c>
    </row>
    <row r="221" spans="1:9" x14ac:dyDescent="0.3">
      <c r="A221" s="21">
        <v>8400220</v>
      </c>
      <c r="B221" s="9" t="s">
        <v>701</v>
      </c>
      <c r="C221" s="31"/>
      <c r="D221" s="31"/>
      <c r="E221" s="9" t="s">
        <v>25</v>
      </c>
      <c r="F221" s="9"/>
      <c r="G221" s="9">
        <f t="shared" si="3"/>
        <v>0</v>
      </c>
      <c r="H221" s="9">
        <v>15</v>
      </c>
      <c r="I221" s="9" t="s">
        <v>484</v>
      </c>
    </row>
    <row r="222" spans="1:9" x14ac:dyDescent="0.3">
      <c r="A222" s="20">
        <v>8400221</v>
      </c>
      <c r="B222" s="10" t="s">
        <v>702</v>
      </c>
      <c r="C222" s="32"/>
      <c r="D222" s="32"/>
      <c r="E222" s="10" t="s">
        <v>25</v>
      </c>
      <c r="F222" s="10"/>
      <c r="G222" s="10">
        <f t="shared" si="3"/>
        <v>0</v>
      </c>
      <c r="H222" s="10">
        <v>15</v>
      </c>
      <c r="I222" s="10" t="s">
        <v>484</v>
      </c>
    </row>
    <row r="223" spans="1:9" x14ac:dyDescent="0.3">
      <c r="A223" s="21">
        <v>8400222</v>
      </c>
      <c r="B223" s="9" t="s">
        <v>703</v>
      </c>
      <c r="C223" s="31"/>
      <c r="D223" s="31"/>
      <c r="E223" s="9" t="s">
        <v>25</v>
      </c>
      <c r="F223" s="9"/>
      <c r="G223" s="9">
        <f t="shared" si="3"/>
        <v>0</v>
      </c>
      <c r="H223" s="9">
        <v>15</v>
      </c>
      <c r="I223" s="9" t="s">
        <v>484</v>
      </c>
    </row>
    <row r="224" spans="1:9" x14ac:dyDescent="0.3">
      <c r="A224" s="20">
        <v>8400223</v>
      </c>
      <c r="B224" s="10" t="s">
        <v>704</v>
      </c>
      <c r="C224" s="32"/>
      <c r="D224" s="32"/>
      <c r="E224" s="10" t="s">
        <v>25</v>
      </c>
      <c r="F224" s="10"/>
      <c r="G224" s="10">
        <f t="shared" si="3"/>
        <v>0</v>
      </c>
      <c r="H224" s="10">
        <v>15</v>
      </c>
      <c r="I224" s="10" t="s">
        <v>484</v>
      </c>
    </row>
    <row r="225" spans="1:9" x14ac:dyDescent="0.3">
      <c r="A225" s="21">
        <v>8400224</v>
      </c>
      <c r="B225" s="9" t="s">
        <v>705</v>
      </c>
      <c r="C225" s="31"/>
      <c r="D225" s="31"/>
      <c r="E225" s="9" t="s">
        <v>25</v>
      </c>
      <c r="F225" s="9"/>
      <c r="G225" s="9">
        <f t="shared" si="3"/>
        <v>0</v>
      </c>
      <c r="H225" s="9">
        <v>15</v>
      </c>
      <c r="I225" s="9" t="s">
        <v>484</v>
      </c>
    </row>
    <row r="226" spans="1:9" x14ac:dyDescent="0.3">
      <c r="A226" s="20">
        <v>8400225</v>
      </c>
      <c r="B226" s="10" t="s">
        <v>706</v>
      </c>
      <c r="C226" s="32"/>
      <c r="D226" s="32"/>
      <c r="E226" s="10" t="s">
        <v>25</v>
      </c>
      <c r="F226" s="10"/>
      <c r="G226" s="10">
        <f t="shared" si="3"/>
        <v>0</v>
      </c>
      <c r="H226" s="10">
        <v>5</v>
      </c>
      <c r="I226" s="10" t="s">
        <v>484</v>
      </c>
    </row>
    <row r="227" spans="1:9" x14ac:dyDescent="0.3">
      <c r="A227" s="21">
        <v>8400226</v>
      </c>
      <c r="B227" s="9" t="s">
        <v>707</v>
      </c>
      <c r="C227" s="31"/>
      <c r="D227" s="31"/>
      <c r="E227" s="9" t="s">
        <v>25</v>
      </c>
      <c r="F227" s="9"/>
      <c r="G227" s="9">
        <f t="shared" si="3"/>
        <v>0</v>
      </c>
      <c r="H227" s="9">
        <v>15</v>
      </c>
      <c r="I227" s="9" t="s">
        <v>484</v>
      </c>
    </row>
    <row r="228" spans="1:9" x14ac:dyDescent="0.3">
      <c r="A228" s="20">
        <v>8400227</v>
      </c>
      <c r="B228" s="10" t="s">
        <v>708</v>
      </c>
      <c r="C228" s="32"/>
      <c r="D228" s="32"/>
      <c r="E228" s="10" t="s">
        <v>25</v>
      </c>
      <c r="F228" s="10"/>
      <c r="G228" s="10">
        <f t="shared" si="3"/>
        <v>0</v>
      </c>
      <c r="H228" s="10">
        <v>5</v>
      </c>
      <c r="I228" s="10" t="s">
        <v>484</v>
      </c>
    </row>
    <row r="229" spans="1:9" x14ac:dyDescent="0.3">
      <c r="A229" s="21">
        <v>8400228</v>
      </c>
      <c r="B229" s="9" t="s">
        <v>709</v>
      </c>
      <c r="C229" s="31"/>
      <c r="D229" s="31"/>
      <c r="E229" s="9" t="s">
        <v>25</v>
      </c>
      <c r="F229" s="9"/>
      <c r="G229" s="9">
        <f t="shared" si="3"/>
        <v>0</v>
      </c>
      <c r="H229" s="9">
        <v>5</v>
      </c>
      <c r="I229" s="9" t="s">
        <v>484</v>
      </c>
    </row>
    <row r="230" spans="1:9" x14ac:dyDescent="0.3">
      <c r="A230" s="20">
        <v>8400229</v>
      </c>
      <c r="B230" s="10" t="s">
        <v>710</v>
      </c>
      <c r="C230" s="32"/>
      <c r="D230" s="32"/>
      <c r="E230" s="10" t="s">
        <v>25</v>
      </c>
      <c r="F230" s="10"/>
      <c r="G230" s="10">
        <f t="shared" si="3"/>
        <v>0</v>
      </c>
      <c r="H230" s="10">
        <v>15</v>
      </c>
      <c r="I230" s="10" t="s">
        <v>484</v>
      </c>
    </row>
    <row r="231" spans="1:9" x14ac:dyDescent="0.3">
      <c r="A231" s="21">
        <v>8400230</v>
      </c>
      <c r="B231" s="9" t="s">
        <v>711</v>
      </c>
      <c r="C231" s="31"/>
      <c r="D231" s="31"/>
      <c r="E231" s="9" t="s">
        <v>25</v>
      </c>
      <c r="F231" s="9"/>
      <c r="G231" s="9">
        <f t="shared" si="3"/>
        <v>0</v>
      </c>
      <c r="H231" s="9">
        <v>10</v>
      </c>
      <c r="I231" s="9" t="s">
        <v>484</v>
      </c>
    </row>
    <row r="232" spans="1:9" x14ac:dyDescent="0.3">
      <c r="A232" s="20">
        <v>8400231</v>
      </c>
      <c r="B232" s="10" t="s">
        <v>712</v>
      </c>
      <c r="C232" s="32"/>
      <c r="D232" s="32"/>
      <c r="E232" s="10" t="s">
        <v>25</v>
      </c>
      <c r="F232" s="10"/>
      <c r="G232" s="10">
        <f t="shared" si="3"/>
        <v>0</v>
      </c>
      <c r="H232" s="10">
        <v>5</v>
      </c>
      <c r="I232" s="10" t="s">
        <v>484</v>
      </c>
    </row>
    <row r="233" spans="1:9" x14ac:dyDescent="0.3">
      <c r="A233" s="21">
        <v>8400232</v>
      </c>
      <c r="B233" s="9" t="s">
        <v>713</v>
      </c>
      <c r="C233" s="31"/>
      <c r="D233" s="31"/>
      <c r="E233" s="9" t="s">
        <v>25</v>
      </c>
      <c r="F233" s="9"/>
      <c r="G233" s="9">
        <f t="shared" si="3"/>
        <v>0</v>
      </c>
      <c r="H233" s="9">
        <v>5</v>
      </c>
      <c r="I233" s="9" t="s">
        <v>484</v>
      </c>
    </row>
    <row r="234" spans="1:9" x14ac:dyDescent="0.3">
      <c r="A234" s="20">
        <v>8400233</v>
      </c>
      <c r="B234" s="10" t="s">
        <v>714</v>
      </c>
      <c r="C234" s="32"/>
      <c r="D234" s="32"/>
      <c r="E234" s="10" t="s">
        <v>25</v>
      </c>
      <c r="F234" s="10"/>
      <c r="G234" s="10">
        <f t="shared" si="3"/>
        <v>0</v>
      </c>
      <c r="H234" s="10">
        <v>5</v>
      </c>
      <c r="I234" s="10" t="s">
        <v>484</v>
      </c>
    </row>
    <row r="235" spans="1:9" x14ac:dyDescent="0.3">
      <c r="A235" s="21">
        <v>8400234</v>
      </c>
      <c r="B235" s="9" t="s">
        <v>715</v>
      </c>
      <c r="C235" s="31"/>
      <c r="D235" s="31"/>
      <c r="E235" s="9" t="s">
        <v>25</v>
      </c>
      <c r="F235" s="9"/>
      <c r="G235" s="9">
        <f t="shared" si="3"/>
        <v>0</v>
      </c>
      <c r="H235" s="9">
        <v>5</v>
      </c>
      <c r="I235" s="9" t="s">
        <v>484</v>
      </c>
    </row>
    <row r="236" spans="1:9" x14ac:dyDescent="0.3">
      <c r="A236" s="20">
        <v>8400235</v>
      </c>
      <c r="B236" s="10" t="s">
        <v>716</v>
      </c>
      <c r="C236" s="32"/>
      <c r="D236" s="32"/>
      <c r="E236" s="10" t="s">
        <v>25</v>
      </c>
      <c r="F236" s="10"/>
      <c r="G236" s="10">
        <f t="shared" si="3"/>
        <v>0</v>
      </c>
      <c r="H236" s="10">
        <v>5</v>
      </c>
      <c r="I236" s="10" t="s">
        <v>484</v>
      </c>
    </row>
    <row r="237" spans="1:9" x14ac:dyDescent="0.3">
      <c r="A237" s="21">
        <v>8400236</v>
      </c>
      <c r="B237" s="9" t="s">
        <v>717</v>
      </c>
      <c r="C237" s="31"/>
      <c r="D237" s="31"/>
      <c r="E237" s="9" t="s">
        <v>25</v>
      </c>
      <c r="F237" s="9"/>
      <c r="G237" s="9">
        <f t="shared" si="3"/>
        <v>0</v>
      </c>
      <c r="H237" s="9">
        <v>5</v>
      </c>
      <c r="I237" s="9" t="s">
        <v>484</v>
      </c>
    </row>
    <row r="238" spans="1:9" x14ac:dyDescent="0.3">
      <c r="A238" s="20">
        <v>8400237</v>
      </c>
      <c r="B238" s="10" t="s">
        <v>718</v>
      </c>
      <c r="C238" s="32"/>
      <c r="D238" s="32"/>
      <c r="E238" s="10" t="s">
        <v>25</v>
      </c>
      <c r="F238" s="10"/>
      <c r="G238" s="10">
        <f t="shared" si="3"/>
        <v>0</v>
      </c>
      <c r="H238" s="10">
        <v>5</v>
      </c>
      <c r="I238" s="10" t="s">
        <v>484</v>
      </c>
    </row>
    <row r="239" spans="1:9" x14ac:dyDescent="0.3">
      <c r="A239" s="21">
        <v>8400238</v>
      </c>
      <c r="B239" s="9" t="s">
        <v>719</v>
      </c>
      <c r="C239" s="31"/>
      <c r="D239" s="31"/>
      <c r="E239" s="9" t="s">
        <v>25</v>
      </c>
      <c r="F239" s="9"/>
      <c r="G239" s="9">
        <f t="shared" si="3"/>
        <v>0</v>
      </c>
      <c r="H239" s="9">
        <v>5</v>
      </c>
      <c r="I239" s="9" t="s">
        <v>484</v>
      </c>
    </row>
    <row r="240" spans="1:9" x14ac:dyDescent="0.3">
      <c r="A240" s="20">
        <v>8400239</v>
      </c>
      <c r="B240" s="10" t="s">
        <v>720</v>
      </c>
      <c r="C240" s="32"/>
      <c r="D240" s="32"/>
      <c r="E240" s="10" t="s">
        <v>25</v>
      </c>
      <c r="F240" s="10"/>
      <c r="G240" s="10">
        <f t="shared" si="3"/>
        <v>0</v>
      </c>
      <c r="H240" s="10">
        <v>5</v>
      </c>
      <c r="I240" s="10" t="s">
        <v>484</v>
      </c>
    </row>
    <row r="241" spans="1:9" x14ac:dyDescent="0.3">
      <c r="A241" s="21">
        <v>8400240</v>
      </c>
      <c r="B241" s="9" t="s">
        <v>721</v>
      </c>
      <c r="C241" s="31"/>
      <c r="D241" s="31"/>
      <c r="E241" s="9" t="s">
        <v>25</v>
      </c>
      <c r="F241" s="9"/>
      <c r="G241" s="9">
        <f t="shared" si="3"/>
        <v>0</v>
      </c>
      <c r="H241" s="9">
        <v>5</v>
      </c>
      <c r="I241" s="9" t="s">
        <v>484</v>
      </c>
    </row>
    <row r="242" spans="1:9" x14ac:dyDescent="0.3">
      <c r="A242" s="20">
        <v>8400241</v>
      </c>
      <c r="B242" s="10" t="s">
        <v>722</v>
      </c>
      <c r="C242" s="32"/>
      <c r="D242" s="32"/>
      <c r="E242" s="10" t="s">
        <v>25</v>
      </c>
      <c r="F242" s="10"/>
      <c r="G242" s="10">
        <f t="shared" si="3"/>
        <v>0</v>
      </c>
      <c r="H242" s="10">
        <v>5</v>
      </c>
      <c r="I242" s="10" t="s">
        <v>484</v>
      </c>
    </row>
    <row r="243" spans="1:9" x14ac:dyDescent="0.3">
      <c r="A243" s="21">
        <v>8400242</v>
      </c>
      <c r="B243" s="9" t="s">
        <v>723</v>
      </c>
      <c r="C243" s="31"/>
      <c r="D243" s="31"/>
      <c r="E243" s="9" t="s">
        <v>25</v>
      </c>
      <c r="F243" s="9"/>
      <c r="G243" s="9">
        <f t="shared" si="3"/>
        <v>0</v>
      </c>
      <c r="H243" s="9">
        <v>5</v>
      </c>
      <c r="I243" s="9" t="s">
        <v>484</v>
      </c>
    </row>
    <row r="244" spans="1:9" x14ac:dyDescent="0.3">
      <c r="A244" s="20">
        <v>8400243</v>
      </c>
      <c r="B244" s="10" t="s">
        <v>724</v>
      </c>
      <c r="C244" s="32"/>
      <c r="D244" s="32"/>
      <c r="E244" s="10" t="s">
        <v>25</v>
      </c>
      <c r="F244" s="10"/>
      <c r="G244" s="10">
        <f t="shared" si="3"/>
        <v>0</v>
      </c>
      <c r="H244" s="10">
        <v>1</v>
      </c>
      <c r="I244" s="10" t="s">
        <v>484</v>
      </c>
    </row>
    <row r="245" spans="1:9" x14ac:dyDescent="0.3">
      <c r="A245" s="21">
        <v>8400244</v>
      </c>
      <c r="B245" s="9" t="s">
        <v>725</v>
      </c>
      <c r="C245" s="31"/>
      <c r="D245" s="31"/>
      <c r="E245" s="9" t="s">
        <v>25</v>
      </c>
      <c r="F245" s="9"/>
      <c r="G245" s="9">
        <f t="shared" si="3"/>
        <v>0</v>
      </c>
      <c r="H245" s="9">
        <v>5</v>
      </c>
      <c r="I245" s="9" t="s">
        <v>484</v>
      </c>
    </row>
    <row r="246" spans="1:9" x14ac:dyDescent="0.3">
      <c r="A246" s="20">
        <v>8400245</v>
      </c>
      <c r="B246" s="10" t="s">
        <v>726</v>
      </c>
      <c r="C246" s="32"/>
      <c r="D246" s="32"/>
      <c r="E246" s="10" t="s">
        <v>25</v>
      </c>
      <c r="F246" s="10"/>
      <c r="G246" s="10">
        <f t="shared" si="3"/>
        <v>0</v>
      </c>
      <c r="H246" s="10">
        <v>20</v>
      </c>
      <c r="I246" s="10" t="s">
        <v>484</v>
      </c>
    </row>
    <row r="247" spans="1:9" x14ac:dyDescent="0.3">
      <c r="A247" s="21">
        <v>8400246</v>
      </c>
      <c r="B247" s="9" t="s">
        <v>727</v>
      </c>
      <c r="C247" s="31"/>
      <c r="D247" s="31"/>
      <c r="E247" s="9" t="s">
        <v>25</v>
      </c>
      <c r="F247" s="9"/>
      <c r="G247" s="9">
        <f t="shared" si="3"/>
        <v>0</v>
      </c>
      <c r="H247" s="9">
        <v>5</v>
      </c>
      <c r="I247" s="9" t="s">
        <v>484</v>
      </c>
    </row>
    <row r="248" spans="1:9" x14ac:dyDescent="0.3">
      <c r="A248" s="20">
        <v>8400247</v>
      </c>
      <c r="B248" s="10" t="s">
        <v>728</v>
      </c>
      <c r="C248" s="32"/>
      <c r="D248" s="32"/>
      <c r="E248" s="10" t="s">
        <v>25</v>
      </c>
      <c r="F248" s="10"/>
      <c r="G248" s="10">
        <f t="shared" si="3"/>
        <v>0</v>
      </c>
      <c r="H248" s="10">
        <v>5</v>
      </c>
      <c r="I248" s="10" t="s">
        <v>484</v>
      </c>
    </row>
    <row r="249" spans="1:9" x14ac:dyDescent="0.3">
      <c r="A249" s="21">
        <v>8400248</v>
      </c>
      <c r="B249" s="9" t="s">
        <v>729</v>
      </c>
      <c r="C249" s="31"/>
      <c r="D249" s="31"/>
      <c r="E249" s="9" t="s">
        <v>25</v>
      </c>
      <c r="F249" s="9"/>
      <c r="G249" s="9">
        <f t="shared" si="3"/>
        <v>0</v>
      </c>
      <c r="H249" s="9">
        <v>5</v>
      </c>
      <c r="I249" s="9" t="s">
        <v>484</v>
      </c>
    </row>
    <row r="250" spans="1:9" x14ac:dyDescent="0.3">
      <c r="A250" s="20">
        <v>8400249</v>
      </c>
      <c r="B250" s="10" t="s">
        <v>730</v>
      </c>
      <c r="C250" s="32"/>
      <c r="D250" s="32"/>
      <c r="E250" s="10" t="s">
        <v>25</v>
      </c>
      <c r="F250" s="10"/>
      <c r="G250" s="10">
        <f t="shared" si="3"/>
        <v>0</v>
      </c>
      <c r="H250" s="10">
        <v>5</v>
      </c>
      <c r="I250" s="10" t="s">
        <v>484</v>
      </c>
    </row>
    <row r="251" spans="1:9" x14ac:dyDescent="0.3">
      <c r="A251" s="21">
        <v>8400250</v>
      </c>
      <c r="B251" s="9" t="s">
        <v>731</v>
      </c>
      <c r="C251" s="31"/>
      <c r="D251" s="31"/>
      <c r="E251" s="9" t="s">
        <v>25</v>
      </c>
      <c r="F251" s="9"/>
      <c r="G251" s="9">
        <f t="shared" si="3"/>
        <v>0</v>
      </c>
      <c r="H251" s="9">
        <v>5</v>
      </c>
      <c r="I251" s="9" t="s">
        <v>484</v>
      </c>
    </row>
    <row r="252" spans="1:9" x14ac:dyDescent="0.3">
      <c r="A252" s="20">
        <v>8400251</v>
      </c>
      <c r="B252" s="10" t="s">
        <v>732</v>
      </c>
      <c r="C252" s="32"/>
      <c r="D252" s="32"/>
      <c r="E252" s="10" t="s">
        <v>25</v>
      </c>
      <c r="F252" s="10"/>
      <c r="G252" s="10">
        <f t="shared" si="3"/>
        <v>0</v>
      </c>
      <c r="H252" s="10">
        <v>5</v>
      </c>
      <c r="I252" s="10" t="s">
        <v>484</v>
      </c>
    </row>
    <row r="253" spans="1:9" x14ac:dyDescent="0.3">
      <c r="A253" s="21">
        <v>8400252</v>
      </c>
      <c r="B253" s="9" t="s">
        <v>733</v>
      </c>
      <c r="C253" s="31"/>
      <c r="D253" s="31"/>
      <c r="E253" s="9" t="s">
        <v>25</v>
      </c>
      <c r="F253" s="9"/>
      <c r="G253" s="9">
        <f t="shared" si="3"/>
        <v>0</v>
      </c>
      <c r="H253" s="9">
        <v>5</v>
      </c>
      <c r="I253" s="9" t="s">
        <v>484</v>
      </c>
    </row>
    <row r="254" spans="1:9" x14ac:dyDescent="0.3">
      <c r="A254" s="20">
        <v>8400253</v>
      </c>
      <c r="B254" s="10" t="s">
        <v>734</v>
      </c>
      <c r="C254" s="32"/>
      <c r="D254" s="32"/>
      <c r="E254" s="10" t="s">
        <v>25</v>
      </c>
      <c r="F254" s="10"/>
      <c r="G254" s="10">
        <f t="shared" si="3"/>
        <v>0</v>
      </c>
      <c r="H254" s="10">
        <v>5</v>
      </c>
      <c r="I254" s="10" t="s">
        <v>484</v>
      </c>
    </row>
    <row r="255" spans="1:9" x14ac:dyDescent="0.3">
      <c r="A255" s="21">
        <v>8400254</v>
      </c>
      <c r="B255" s="9" t="s">
        <v>735</v>
      </c>
      <c r="C255" s="31"/>
      <c r="D255" s="31"/>
      <c r="E255" s="9" t="s">
        <v>25</v>
      </c>
      <c r="F255" s="9"/>
      <c r="G255" s="9">
        <f t="shared" si="3"/>
        <v>0</v>
      </c>
      <c r="H255" s="9">
        <v>5</v>
      </c>
      <c r="I255" s="9" t="s">
        <v>484</v>
      </c>
    </row>
    <row r="256" spans="1:9" x14ac:dyDescent="0.3">
      <c r="A256" s="20">
        <v>8400255</v>
      </c>
      <c r="B256" s="10" t="s">
        <v>736</v>
      </c>
      <c r="C256" s="32"/>
      <c r="D256" s="32"/>
      <c r="E256" s="10" t="s">
        <v>25</v>
      </c>
      <c r="F256" s="10"/>
      <c r="G256" s="10">
        <f t="shared" si="3"/>
        <v>0</v>
      </c>
      <c r="H256" s="10">
        <v>5</v>
      </c>
      <c r="I256" s="10" t="s">
        <v>484</v>
      </c>
    </row>
    <row r="257" spans="1:9" x14ac:dyDescent="0.3">
      <c r="A257" s="21">
        <v>8400256</v>
      </c>
      <c r="B257" s="9" t="s">
        <v>737</v>
      </c>
      <c r="C257" s="31"/>
      <c r="D257" s="31"/>
      <c r="E257" s="9" t="s">
        <v>25</v>
      </c>
      <c r="F257" s="9"/>
      <c r="G257" s="9">
        <f t="shared" si="3"/>
        <v>0</v>
      </c>
      <c r="H257" s="9">
        <v>3</v>
      </c>
      <c r="I257" s="9" t="s">
        <v>484</v>
      </c>
    </row>
    <row r="258" spans="1:9" x14ac:dyDescent="0.3">
      <c r="A258" s="20">
        <v>8400257</v>
      </c>
      <c r="B258" s="10" t="s">
        <v>738</v>
      </c>
      <c r="C258" s="32"/>
      <c r="D258" s="32"/>
      <c r="E258" s="10" t="s">
        <v>25</v>
      </c>
      <c r="F258" s="10"/>
      <c r="G258" s="10">
        <f t="shared" ref="G258:G321" si="4">F258-F258*11%</f>
        <v>0</v>
      </c>
      <c r="H258" s="10">
        <v>5</v>
      </c>
      <c r="I258" s="10" t="s">
        <v>484</v>
      </c>
    </row>
    <row r="259" spans="1:9" x14ac:dyDescent="0.3">
      <c r="A259" s="21">
        <v>8400258</v>
      </c>
      <c r="B259" s="9" t="s">
        <v>739</v>
      </c>
      <c r="C259" s="31"/>
      <c r="D259" s="31"/>
      <c r="E259" s="9" t="s">
        <v>25</v>
      </c>
      <c r="F259" s="9"/>
      <c r="G259" s="9">
        <f t="shared" si="4"/>
        <v>0</v>
      </c>
      <c r="H259" s="9">
        <v>5</v>
      </c>
      <c r="I259" s="9" t="s">
        <v>484</v>
      </c>
    </row>
    <row r="260" spans="1:9" x14ac:dyDescent="0.3">
      <c r="A260" s="20">
        <v>8400259</v>
      </c>
      <c r="B260" s="10" t="s">
        <v>740</v>
      </c>
      <c r="C260" s="32"/>
      <c r="D260" s="32"/>
      <c r="E260" s="10" t="s">
        <v>25</v>
      </c>
      <c r="F260" s="10"/>
      <c r="G260" s="10">
        <f t="shared" si="4"/>
        <v>0</v>
      </c>
      <c r="H260" s="10">
        <v>5</v>
      </c>
      <c r="I260" s="10" t="s">
        <v>484</v>
      </c>
    </row>
    <row r="261" spans="1:9" x14ac:dyDescent="0.3">
      <c r="A261" s="21">
        <v>8400260</v>
      </c>
      <c r="B261" s="9" t="s">
        <v>741</v>
      </c>
      <c r="C261" s="31"/>
      <c r="D261" s="31"/>
      <c r="E261" s="9" t="s">
        <v>25</v>
      </c>
      <c r="F261" s="9"/>
      <c r="G261" s="9">
        <f t="shared" si="4"/>
        <v>0</v>
      </c>
      <c r="H261" s="9">
        <v>3</v>
      </c>
      <c r="I261" s="9" t="s">
        <v>484</v>
      </c>
    </row>
    <row r="262" spans="1:9" x14ac:dyDescent="0.3">
      <c r="A262" s="20">
        <v>8400261</v>
      </c>
      <c r="B262" s="10" t="s">
        <v>742</v>
      </c>
      <c r="C262" s="32"/>
      <c r="D262" s="32"/>
      <c r="E262" s="10" t="s">
        <v>25</v>
      </c>
      <c r="F262" s="10"/>
      <c r="G262" s="10">
        <f t="shared" si="4"/>
        <v>0</v>
      </c>
      <c r="H262" s="10">
        <v>3</v>
      </c>
      <c r="I262" s="10" t="s">
        <v>484</v>
      </c>
    </row>
    <row r="263" spans="1:9" x14ac:dyDescent="0.3">
      <c r="A263" s="21">
        <v>8400262</v>
      </c>
      <c r="B263" s="9" t="s">
        <v>743</v>
      </c>
      <c r="C263" s="31"/>
      <c r="D263" s="31"/>
      <c r="E263" s="9" t="s">
        <v>25</v>
      </c>
      <c r="F263" s="9"/>
      <c r="G263" s="9">
        <f t="shared" si="4"/>
        <v>0</v>
      </c>
      <c r="H263" s="9">
        <v>5</v>
      </c>
      <c r="I263" s="9" t="s">
        <v>484</v>
      </c>
    </row>
    <row r="264" spans="1:9" x14ac:dyDescent="0.3">
      <c r="A264" s="20">
        <v>8400263</v>
      </c>
      <c r="B264" s="10" t="s">
        <v>744</v>
      </c>
      <c r="C264" s="32"/>
      <c r="D264" s="32"/>
      <c r="E264" s="10" t="s">
        <v>25</v>
      </c>
      <c r="F264" s="10"/>
      <c r="G264" s="10">
        <f t="shared" si="4"/>
        <v>0</v>
      </c>
      <c r="H264" s="10">
        <v>1</v>
      </c>
      <c r="I264" s="10" t="s">
        <v>484</v>
      </c>
    </row>
    <row r="265" spans="1:9" x14ac:dyDescent="0.3">
      <c r="A265" s="21">
        <v>8400264</v>
      </c>
      <c r="B265" s="9" t="s">
        <v>745</v>
      </c>
      <c r="C265" s="31"/>
      <c r="D265" s="31"/>
      <c r="E265" s="9" t="s">
        <v>25</v>
      </c>
      <c r="F265" s="9"/>
      <c r="G265" s="9">
        <f t="shared" si="4"/>
        <v>0</v>
      </c>
      <c r="H265" s="9">
        <v>3</v>
      </c>
      <c r="I265" s="9" t="s">
        <v>484</v>
      </c>
    </row>
    <row r="266" spans="1:9" x14ac:dyDescent="0.3">
      <c r="A266" s="20">
        <v>8400265</v>
      </c>
      <c r="B266" s="10" t="s">
        <v>746</v>
      </c>
      <c r="C266" s="32"/>
      <c r="D266" s="32"/>
      <c r="E266" s="10" t="s">
        <v>25</v>
      </c>
      <c r="F266" s="10"/>
      <c r="G266" s="10">
        <f t="shared" si="4"/>
        <v>0</v>
      </c>
      <c r="H266" s="10">
        <v>5</v>
      </c>
      <c r="I266" s="10" t="s">
        <v>484</v>
      </c>
    </row>
    <row r="267" spans="1:9" x14ac:dyDescent="0.3">
      <c r="A267" s="21">
        <v>8400266</v>
      </c>
      <c r="B267" s="9" t="s">
        <v>747</v>
      </c>
      <c r="C267" s="31"/>
      <c r="D267" s="31"/>
      <c r="E267" s="9" t="s">
        <v>25</v>
      </c>
      <c r="F267" s="9"/>
      <c r="G267" s="9">
        <f t="shared" si="4"/>
        <v>0</v>
      </c>
      <c r="H267" s="9">
        <v>5</v>
      </c>
      <c r="I267" s="9" t="s">
        <v>484</v>
      </c>
    </row>
    <row r="268" spans="1:9" x14ac:dyDescent="0.3">
      <c r="A268" s="20">
        <v>8400267</v>
      </c>
      <c r="B268" s="10" t="s">
        <v>748</v>
      </c>
      <c r="C268" s="32"/>
      <c r="D268" s="32"/>
      <c r="E268" s="10" t="s">
        <v>25</v>
      </c>
      <c r="F268" s="10"/>
      <c r="G268" s="10">
        <f t="shared" si="4"/>
        <v>0</v>
      </c>
      <c r="H268" s="10">
        <v>3</v>
      </c>
      <c r="I268" s="10" t="s">
        <v>484</v>
      </c>
    </row>
    <row r="269" spans="1:9" x14ac:dyDescent="0.3">
      <c r="A269" s="21">
        <v>8400268</v>
      </c>
      <c r="B269" s="9" t="s">
        <v>749</v>
      </c>
      <c r="C269" s="31"/>
      <c r="D269" s="31"/>
      <c r="E269" s="9" t="s">
        <v>25</v>
      </c>
      <c r="F269" s="9"/>
      <c r="G269" s="9">
        <f t="shared" si="4"/>
        <v>0</v>
      </c>
      <c r="H269" s="9">
        <v>5</v>
      </c>
      <c r="I269" s="9" t="s">
        <v>484</v>
      </c>
    </row>
    <row r="270" spans="1:9" x14ac:dyDescent="0.3">
      <c r="A270" s="20">
        <v>8400269</v>
      </c>
      <c r="B270" s="10" t="s">
        <v>750</v>
      </c>
      <c r="C270" s="32"/>
      <c r="D270" s="32"/>
      <c r="E270" s="10" t="s">
        <v>25</v>
      </c>
      <c r="F270" s="10"/>
      <c r="G270" s="10">
        <f t="shared" si="4"/>
        <v>0</v>
      </c>
      <c r="H270" s="10">
        <v>5</v>
      </c>
      <c r="I270" s="10" t="s">
        <v>484</v>
      </c>
    </row>
    <row r="271" spans="1:9" x14ac:dyDescent="0.3">
      <c r="A271" s="21">
        <v>8400270</v>
      </c>
      <c r="B271" s="9" t="s">
        <v>751</v>
      </c>
      <c r="C271" s="31"/>
      <c r="D271" s="31"/>
      <c r="E271" s="9" t="s">
        <v>25</v>
      </c>
      <c r="F271" s="9"/>
      <c r="G271" s="9">
        <f t="shared" si="4"/>
        <v>0</v>
      </c>
      <c r="H271" s="9">
        <v>5</v>
      </c>
      <c r="I271" s="9" t="s">
        <v>484</v>
      </c>
    </row>
    <row r="272" spans="1:9" x14ac:dyDescent="0.3">
      <c r="A272" s="20">
        <v>8400271</v>
      </c>
      <c r="B272" s="10" t="s">
        <v>752</v>
      </c>
      <c r="C272" s="32"/>
      <c r="D272" s="32"/>
      <c r="E272" s="10" t="s">
        <v>25</v>
      </c>
      <c r="F272" s="10"/>
      <c r="G272" s="10">
        <f t="shared" si="4"/>
        <v>0</v>
      </c>
      <c r="H272" s="10">
        <v>5</v>
      </c>
      <c r="I272" s="10" t="s">
        <v>484</v>
      </c>
    </row>
    <row r="273" spans="1:9" x14ac:dyDescent="0.3">
      <c r="A273" s="21">
        <v>8400272</v>
      </c>
      <c r="B273" s="9" t="s">
        <v>753</v>
      </c>
      <c r="C273" s="31"/>
      <c r="D273" s="31"/>
      <c r="E273" s="9" t="s">
        <v>25</v>
      </c>
      <c r="F273" s="9"/>
      <c r="G273" s="9">
        <f t="shared" si="4"/>
        <v>0</v>
      </c>
      <c r="H273" s="9">
        <v>5</v>
      </c>
      <c r="I273" s="9" t="s">
        <v>484</v>
      </c>
    </row>
    <row r="274" spans="1:9" x14ac:dyDescent="0.3">
      <c r="A274" s="20">
        <v>8400273</v>
      </c>
      <c r="B274" s="10" t="s">
        <v>754</v>
      </c>
      <c r="C274" s="32"/>
      <c r="D274" s="32"/>
      <c r="E274" s="10" t="s">
        <v>25</v>
      </c>
      <c r="F274" s="10"/>
      <c r="G274" s="10">
        <f t="shared" si="4"/>
        <v>0</v>
      </c>
      <c r="H274" s="10">
        <v>5</v>
      </c>
      <c r="I274" s="10" t="s">
        <v>484</v>
      </c>
    </row>
    <row r="275" spans="1:9" x14ac:dyDescent="0.3">
      <c r="A275" s="21">
        <v>8400274</v>
      </c>
      <c r="B275" s="9" t="s">
        <v>755</v>
      </c>
      <c r="C275" s="31"/>
      <c r="D275" s="31"/>
      <c r="E275" s="9" t="s">
        <v>25</v>
      </c>
      <c r="F275" s="9"/>
      <c r="G275" s="9">
        <f t="shared" si="4"/>
        <v>0</v>
      </c>
      <c r="H275" s="9">
        <v>5</v>
      </c>
      <c r="I275" s="9" t="s">
        <v>484</v>
      </c>
    </row>
    <row r="276" spans="1:9" x14ac:dyDescent="0.3">
      <c r="A276" s="20">
        <v>8400275</v>
      </c>
      <c r="B276" s="10" t="s">
        <v>756</v>
      </c>
      <c r="C276" s="32"/>
      <c r="D276" s="32"/>
      <c r="E276" s="10" t="s">
        <v>25</v>
      </c>
      <c r="F276" s="10"/>
      <c r="G276" s="10">
        <f t="shared" si="4"/>
        <v>0</v>
      </c>
      <c r="H276" s="10">
        <v>5</v>
      </c>
      <c r="I276" s="10" t="s">
        <v>484</v>
      </c>
    </row>
    <row r="277" spans="1:9" x14ac:dyDescent="0.3">
      <c r="A277" s="21">
        <v>8400276</v>
      </c>
      <c r="B277" s="9" t="s">
        <v>757</v>
      </c>
      <c r="C277" s="31"/>
      <c r="D277" s="31"/>
      <c r="E277" s="9" t="s">
        <v>25</v>
      </c>
      <c r="F277" s="9"/>
      <c r="G277" s="9">
        <f t="shared" si="4"/>
        <v>0</v>
      </c>
      <c r="H277" s="9">
        <v>3</v>
      </c>
      <c r="I277" s="9" t="s">
        <v>484</v>
      </c>
    </row>
    <row r="278" spans="1:9" x14ac:dyDescent="0.3">
      <c r="A278" s="20">
        <v>8400277</v>
      </c>
      <c r="B278" s="10" t="s">
        <v>758</v>
      </c>
      <c r="C278" s="32"/>
      <c r="D278" s="32"/>
      <c r="E278" s="10" t="s">
        <v>25</v>
      </c>
      <c r="F278" s="10"/>
      <c r="G278" s="10">
        <f t="shared" si="4"/>
        <v>0</v>
      </c>
      <c r="H278" s="10">
        <v>2</v>
      </c>
      <c r="I278" s="10" t="s">
        <v>484</v>
      </c>
    </row>
    <row r="279" spans="1:9" x14ac:dyDescent="0.3">
      <c r="A279" s="21">
        <v>8400278</v>
      </c>
      <c r="B279" s="9" t="s">
        <v>759</v>
      </c>
      <c r="C279" s="31"/>
      <c r="D279" s="31"/>
      <c r="E279" s="9" t="s">
        <v>25</v>
      </c>
      <c r="F279" s="9"/>
      <c r="G279" s="9">
        <f t="shared" si="4"/>
        <v>0</v>
      </c>
      <c r="H279" s="9">
        <v>5</v>
      </c>
      <c r="I279" s="9" t="s">
        <v>484</v>
      </c>
    </row>
    <row r="280" spans="1:9" x14ac:dyDescent="0.3">
      <c r="A280" s="20">
        <v>8400279</v>
      </c>
      <c r="B280" s="10" t="s">
        <v>760</v>
      </c>
      <c r="C280" s="32"/>
      <c r="D280" s="32"/>
      <c r="E280" s="10" t="s">
        <v>25</v>
      </c>
      <c r="F280" s="10"/>
      <c r="G280" s="10">
        <f t="shared" si="4"/>
        <v>0</v>
      </c>
      <c r="H280" s="10">
        <v>1</v>
      </c>
      <c r="I280" s="10" t="s">
        <v>484</v>
      </c>
    </row>
    <row r="281" spans="1:9" x14ac:dyDescent="0.3">
      <c r="A281" s="21">
        <v>8400280</v>
      </c>
      <c r="B281" s="9" t="s">
        <v>761</v>
      </c>
      <c r="C281" s="31"/>
      <c r="D281" s="31"/>
      <c r="E281" s="9" t="s">
        <v>25</v>
      </c>
      <c r="F281" s="9"/>
      <c r="G281" s="9">
        <f t="shared" si="4"/>
        <v>0</v>
      </c>
      <c r="H281" s="9">
        <v>5</v>
      </c>
      <c r="I281" s="9" t="s">
        <v>484</v>
      </c>
    </row>
    <row r="282" spans="1:9" x14ac:dyDescent="0.3">
      <c r="A282" s="20">
        <v>8400281</v>
      </c>
      <c r="B282" s="10" t="s">
        <v>762</v>
      </c>
      <c r="C282" s="32"/>
      <c r="D282" s="32"/>
      <c r="E282" s="10" t="s">
        <v>25</v>
      </c>
      <c r="F282" s="10"/>
      <c r="G282" s="10">
        <f t="shared" si="4"/>
        <v>0</v>
      </c>
      <c r="H282" s="10">
        <v>5</v>
      </c>
      <c r="I282" s="10" t="s">
        <v>484</v>
      </c>
    </row>
    <row r="283" spans="1:9" x14ac:dyDescent="0.3">
      <c r="A283" s="21">
        <v>8400282</v>
      </c>
      <c r="B283" s="9" t="s">
        <v>763</v>
      </c>
      <c r="C283" s="31"/>
      <c r="D283" s="31"/>
      <c r="E283" s="9" t="s">
        <v>25</v>
      </c>
      <c r="F283" s="9"/>
      <c r="G283" s="9">
        <f t="shared" si="4"/>
        <v>0</v>
      </c>
      <c r="H283" s="9">
        <v>3</v>
      </c>
      <c r="I283" s="9" t="s">
        <v>484</v>
      </c>
    </row>
    <row r="284" spans="1:9" x14ac:dyDescent="0.3">
      <c r="A284" s="20">
        <v>8400283</v>
      </c>
      <c r="B284" s="10" t="s">
        <v>764</v>
      </c>
      <c r="C284" s="32"/>
      <c r="D284" s="32"/>
      <c r="E284" s="10" t="s">
        <v>25</v>
      </c>
      <c r="F284" s="10"/>
      <c r="G284" s="10">
        <f t="shared" si="4"/>
        <v>0</v>
      </c>
      <c r="H284" s="10">
        <v>5</v>
      </c>
      <c r="I284" s="10" t="s">
        <v>484</v>
      </c>
    </row>
    <row r="285" spans="1:9" x14ac:dyDescent="0.3">
      <c r="A285" s="21">
        <v>8400284</v>
      </c>
      <c r="B285" s="9" t="s">
        <v>765</v>
      </c>
      <c r="C285" s="31"/>
      <c r="D285" s="31"/>
      <c r="E285" s="9" t="s">
        <v>25</v>
      </c>
      <c r="F285" s="9"/>
      <c r="G285" s="9">
        <f t="shared" si="4"/>
        <v>0</v>
      </c>
      <c r="H285" s="9">
        <v>5</v>
      </c>
      <c r="I285" s="9" t="s">
        <v>484</v>
      </c>
    </row>
    <row r="286" spans="1:9" x14ac:dyDescent="0.3">
      <c r="A286" s="20">
        <v>8400285</v>
      </c>
      <c r="B286" s="10" t="s">
        <v>766</v>
      </c>
      <c r="C286" s="32"/>
      <c r="D286" s="32"/>
      <c r="E286" s="10" t="s">
        <v>25</v>
      </c>
      <c r="F286" s="10"/>
      <c r="G286" s="10">
        <f t="shared" si="4"/>
        <v>0</v>
      </c>
      <c r="H286" s="10">
        <v>5</v>
      </c>
      <c r="I286" s="10" t="s">
        <v>484</v>
      </c>
    </row>
    <row r="287" spans="1:9" x14ac:dyDescent="0.3">
      <c r="A287" s="21">
        <v>8400286</v>
      </c>
      <c r="B287" s="9" t="s">
        <v>767</v>
      </c>
      <c r="C287" s="31"/>
      <c r="D287" s="31"/>
      <c r="E287" s="9" t="s">
        <v>25</v>
      </c>
      <c r="F287" s="9"/>
      <c r="G287" s="9">
        <f t="shared" si="4"/>
        <v>0</v>
      </c>
      <c r="H287" s="9">
        <v>3</v>
      </c>
      <c r="I287" s="9" t="s">
        <v>484</v>
      </c>
    </row>
    <row r="288" spans="1:9" x14ac:dyDescent="0.3">
      <c r="A288" s="20">
        <v>8400287</v>
      </c>
      <c r="B288" s="10" t="s">
        <v>745</v>
      </c>
      <c r="C288" s="32"/>
      <c r="D288" s="32"/>
      <c r="E288" s="10" t="s">
        <v>25</v>
      </c>
      <c r="F288" s="10"/>
      <c r="G288" s="10">
        <f t="shared" si="4"/>
        <v>0</v>
      </c>
      <c r="H288" s="10">
        <v>3</v>
      </c>
      <c r="I288" s="10" t="s">
        <v>484</v>
      </c>
    </row>
    <row r="289" spans="1:9" x14ac:dyDescent="0.3">
      <c r="A289" s="21">
        <v>8400288</v>
      </c>
      <c r="B289" s="9" t="s">
        <v>768</v>
      </c>
      <c r="C289" s="31"/>
      <c r="D289" s="31"/>
      <c r="E289" s="9" t="s">
        <v>25</v>
      </c>
      <c r="F289" s="9"/>
      <c r="G289" s="9">
        <f t="shared" si="4"/>
        <v>0</v>
      </c>
      <c r="H289" s="9">
        <v>5</v>
      </c>
      <c r="I289" s="9" t="s">
        <v>484</v>
      </c>
    </row>
    <row r="290" spans="1:9" x14ac:dyDescent="0.3">
      <c r="A290" s="20">
        <v>8400289</v>
      </c>
      <c r="B290" s="10" t="s">
        <v>769</v>
      </c>
      <c r="C290" s="32"/>
      <c r="D290" s="32"/>
      <c r="E290" s="10" t="s">
        <v>25</v>
      </c>
      <c r="F290" s="10"/>
      <c r="G290" s="10">
        <f t="shared" si="4"/>
        <v>0</v>
      </c>
      <c r="H290" s="10">
        <v>2</v>
      </c>
      <c r="I290" s="10" t="s">
        <v>484</v>
      </c>
    </row>
    <row r="291" spans="1:9" x14ac:dyDescent="0.3">
      <c r="A291" s="21">
        <v>8400290</v>
      </c>
      <c r="B291" s="9" t="s">
        <v>770</v>
      </c>
      <c r="C291" s="31"/>
      <c r="D291" s="31"/>
      <c r="E291" s="9" t="s">
        <v>25</v>
      </c>
      <c r="F291" s="9"/>
      <c r="G291" s="9">
        <f t="shared" si="4"/>
        <v>0</v>
      </c>
      <c r="H291" s="9">
        <v>3</v>
      </c>
      <c r="I291" s="9" t="s">
        <v>484</v>
      </c>
    </row>
    <row r="292" spans="1:9" x14ac:dyDescent="0.3">
      <c r="A292" s="20">
        <v>8400291</v>
      </c>
      <c r="B292" s="10" t="s">
        <v>771</v>
      </c>
      <c r="C292" s="32"/>
      <c r="D292" s="32"/>
      <c r="E292" s="10" t="s">
        <v>25</v>
      </c>
      <c r="F292" s="10"/>
      <c r="G292" s="10">
        <f t="shared" si="4"/>
        <v>0</v>
      </c>
      <c r="H292" s="10">
        <v>5</v>
      </c>
      <c r="I292" s="10" t="s">
        <v>484</v>
      </c>
    </row>
    <row r="293" spans="1:9" x14ac:dyDescent="0.3">
      <c r="A293" s="21">
        <v>8400292</v>
      </c>
      <c r="B293" s="9" t="s">
        <v>772</v>
      </c>
      <c r="C293" s="31"/>
      <c r="D293" s="31"/>
      <c r="E293" s="9" t="s">
        <v>25</v>
      </c>
      <c r="F293" s="9"/>
      <c r="G293" s="9">
        <f t="shared" si="4"/>
        <v>0</v>
      </c>
      <c r="H293" s="9">
        <v>5</v>
      </c>
      <c r="I293" s="9" t="s">
        <v>484</v>
      </c>
    </row>
    <row r="294" spans="1:9" x14ac:dyDescent="0.3">
      <c r="A294" s="20">
        <v>8400293</v>
      </c>
      <c r="B294" s="10" t="s">
        <v>773</v>
      </c>
      <c r="C294" s="32"/>
      <c r="D294" s="32"/>
      <c r="E294" s="10" t="s">
        <v>25</v>
      </c>
      <c r="F294" s="10"/>
      <c r="G294" s="10">
        <f t="shared" si="4"/>
        <v>0</v>
      </c>
      <c r="H294" s="10">
        <v>5</v>
      </c>
      <c r="I294" s="10" t="s">
        <v>484</v>
      </c>
    </row>
    <row r="295" spans="1:9" x14ac:dyDescent="0.3">
      <c r="A295" s="21">
        <v>8400294</v>
      </c>
      <c r="B295" s="9" t="s">
        <v>774</v>
      </c>
      <c r="C295" s="31"/>
      <c r="D295" s="31"/>
      <c r="E295" s="9" t="s">
        <v>25</v>
      </c>
      <c r="F295" s="9"/>
      <c r="G295" s="9">
        <f t="shared" si="4"/>
        <v>0</v>
      </c>
      <c r="H295" s="9">
        <v>5</v>
      </c>
      <c r="I295" s="9" t="s">
        <v>484</v>
      </c>
    </row>
    <row r="296" spans="1:9" x14ac:dyDescent="0.3">
      <c r="A296" s="20">
        <v>8400295</v>
      </c>
      <c r="B296" s="10" t="s">
        <v>775</v>
      </c>
      <c r="C296" s="32"/>
      <c r="D296" s="32"/>
      <c r="E296" s="10" t="s">
        <v>25</v>
      </c>
      <c r="F296" s="10"/>
      <c r="G296" s="10">
        <f t="shared" si="4"/>
        <v>0</v>
      </c>
      <c r="H296" s="10">
        <v>5</v>
      </c>
      <c r="I296" s="10" t="s">
        <v>484</v>
      </c>
    </row>
    <row r="297" spans="1:9" x14ac:dyDescent="0.3">
      <c r="A297" s="21">
        <v>8400296</v>
      </c>
      <c r="B297" s="9" t="s">
        <v>776</v>
      </c>
      <c r="C297" s="31"/>
      <c r="D297" s="31"/>
      <c r="E297" s="9" t="s">
        <v>25</v>
      </c>
      <c r="F297" s="9"/>
      <c r="G297" s="9">
        <f t="shared" si="4"/>
        <v>0</v>
      </c>
      <c r="H297" s="9">
        <v>5</v>
      </c>
      <c r="I297" s="9" t="s">
        <v>484</v>
      </c>
    </row>
    <row r="298" spans="1:9" x14ac:dyDescent="0.3">
      <c r="A298" s="20">
        <v>8400297</v>
      </c>
      <c r="B298" s="10" t="s">
        <v>777</v>
      </c>
      <c r="C298" s="32"/>
      <c r="D298" s="32"/>
      <c r="E298" s="10" t="s">
        <v>25</v>
      </c>
      <c r="F298" s="10"/>
      <c r="G298" s="10">
        <f t="shared" si="4"/>
        <v>0</v>
      </c>
      <c r="H298" s="10">
        <v>3</v>
      </c>
      <c r="I298" s="10" t="s">
        <v>484</v>
      </c>
    </row>
    <row r="299" spans="1:9" x14ac:dyDescent="0.3">
      <c r="A299" s="21">
        <v>8400298</v>
      </c>
      <c r="B299" s="9" t="s">
        <v>778</v>
      </c>
      <c r="C299" s="31"/>
      <c r="D299" s="31"/>
      <c r="E299" s="9" t="s">
        <v>25</v>
      </c>
      <c r="F299" s="9"/>
      <c r="G299" s="9">
        <f t="shared" si="4"/>
        <v>0</v>
      </c>
      <c r="H299" s="9">
        <v>5</v>
      </c>
      <c r="I299" s="9" t="s">
        <v>484</v>
      </c>
    </row>
    <row r="300" spans="1:9" x14ac:dyDescent="0.3">
      <c r="A300" s="20">
        <v>8400299</v>
      </c>
      <c r="B300" s="10" t="s">
        <v>779</v>
      </c>
      <c r="C300" s="32"/>
      <c r="D300" s="32"/>
      <c r="E300" s="10" t="s">
        <v>25</v>
      </c>
      <c r="F300" s="10"/>
      <c r="G300" s="10">
        <f t="shared" si="4"/>
        <v>0</v>
      </c>
      <c r="H300" s="10">
        <v>2</v>
      </c>
      <c r="I300" s="10" t="s">
        <v>484</v>
      </c>
    </row>
    <row r="301" spans="1:9" x14ac:dyDescent="0.3">
      <c r="A301" s="21">
        <v>8400300</v>
      </c>
      <c r="B301" s="9" t="s">
        <v>780</v>
      </c>
      <c r="C301" s="31"/>
      <c r="D301" s="31"/>
      <c r="E301" s="9" t="s">
        <v>25</v>
      </c>
      <c r="F301" s="9"/>
      <c r="G301" s="9">
        <f t="shared" si="4"/>
        <v>0</v>
      </c>
      <c r="H301" s="9">
        <v>5</v>
      </c>
      <c r="I301" s="9" t="s">
        <v>484</v>
      </c>
    </row>
    <row r="302" spans="1:9" x14ac:dyDescent="0.3">
      <c r="A302" s="20">
        <v>8400301</v>
      </c>
      <c r="B302" s="10" t="s">
        <v>781</v>
      </c>
      <c r="C302" s="32"/>
      <c r="D302" s="32"/>
      <c r="E302" s="10" t="s">
        <v>25</v>
      </c>
      <c r="F302" s="10"/>
      <c r="G302" s="10">
        <f t="shared" si="4"/>
        <v>0</v>
      </c>
      <c r="H302" s="10">
        <v>5</v>
      </c>
      <c r="I302" s="10" t="s">
        <v>484</v>
      </c>
    </row>
    <row r="303" spans="1:9" x14ac:dyDescent="0.3">
      <c r="A303" s="21">
        <v>8400302</v>
      </c>
      <c r="B303" s="9" t="s">
        <v>782</v>
      </c>
      <c r="C303" s="31"/>
      <c r="D303" s="31"/>
      <c r="E303" s="9" t="s">
        <v>25</v>
      </c>
      <c r="F303" s="9"/>
      <c r="G303" s="9">
        <f t="shared" si="4"/>
        <v>0</v>
      </c>
      <c r="H303" s="9">
        <v>5</v>
      </c>
      <c r="I303" s="9" t="s">
        <v>484</v>
      </c>
    </row>
    <row r="304" spans="1:9" x14ac:dyDescent="0.3">
      <c r="A304" s="20">
        <v>8500001</v>
      </c>
      <c r="B304" s="10" t="s">
        <v>783</v>
      </c>
      <c r="C304" s="32"/>
      <c r="D304" s="32"/>
      <c r="E304" s="10" t="s">
        <v>25</v>
      </c>
      <c r="F304" s="10"/>
      <c r="G304" s="10">
        <f t="shared" si="4"/>
        <v>0</v>
      </c>
      <c r="H304" s="10">
        <v>3</v>
      </c>
      <c r="I304" s="47" t="s">
        <v>484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A6E6B-B9D4-4082-835C-589E2E24DB59}">
  <sheetPr>
    <pageSetUpPr fitToPage="1"/>
  </sheetPr>
  <dimension ref="A1:I85"/>
  <sheetViews>
    <sheetView workbookViewId="0">
      <selection activeCell="B50" sqref="B50"/>
    </sheetView>
  </sheetViews>
  <sheetFormatPr defaultRowHeight="21" x14ac:dyDescent="0.3"/>
  <cols>
    <col min="1" max="1" width="18.77734375" style="16" customWidth="1"/>
    <col min="2" max="2" width="54.6640625" style="16" customWidth="1"/>
    <col min="3" max="3" width="44.6640625" style="19" customWidth="1"/>
    <col min="4" max="4" width="30.5546875" style="19" customWidth="1"/>
    <col min="5" max="5" width="20" style="16" customWidth="1"/>
    <col min="6" max="6" width="11.6640625" style="16" customWidth="1"/>
    <col min="7" max="7" width="12.77734375" style="16" customWidth="1"/>
    <col min="8" max="8" width="12.44140625" style="16" customWidth="1"/>
    <col min="9" max="9" width="14.33203125" style="16" customWidth="1"/>
  </cols>
  <sheetData>
    <row r="1" spans="1:9" x14ac:dyDescent="0.3">
      <c r="A1" s="9" t="s">
        <v>1</v>
      </c>
      <c r="B1" s="9" t="s">
        <v>2</v>
      </c>
      <c r="C1" s="17" t="s">
        <v>1193</v>
      </c>
      <c r="D1" s="17" t="s">
        <v>1194</v>
      </c>
      <c r="E1" s="30" t="s">
        <v>3</v>
      </c>
      <c r="F1" s="9" t="s">
        <v>5</v>
      </c>
      <c r="G1" s="9" t="s">
        <v>12</v>
      </c>
      <c r="H1" s="9" t="s">
        <v>6</v>
      </c>
      <c r="I1" s="9" t="s">
        <v>8</v>
      </c>
    </row>
    <row r="2" spans="1:9" x14ac:dyDescent="0.3">
      <c r="A2" s="20">
        <v>8000001</v>
      </c>
      <c r="B2" s="10" t="s">
        <v>24</v>
      </c>
      <c r="C2" s="18" t="s">
        <v>1165</v>
      </c>
      <c r="D2" s="18" t="s">
        <v>1195</v>
      </c>
      <c r="E2" s="10" t="s">
        <v>25</v>
      </c>
      <c r="F2" s="10">
        <v>39.5</v>
      </c>
      <c r="G2" s="10">
        <f t="shared" ref="G2:G46" si="0">F2-F2*17%</f>
        <v>32.784999999999997</v>
      </c>
      <c r="H2" s="10">
        <v>50</v>
      </c>
      <c r="I2" s="10" t="s">
        <v>27</v>
      </c>
    </row>
    <row r="3" spans="1:9" x14ac:dyDescent="0.3">
      <c r="A3" s="21">
        <v>8000002</v>
      </c>
      <c r="B3" s="9" t="s">
        <v>31</v>
      </c>
      <c r="C3" s="29"/>
      <c r="D3" s="29"/>
      <c r="E3" s="9" t="s">
        <v>25</v>
      </c>
      <c r="F3" s="9">
        <v>66</v>
      </c>
      <c r="G3" s="9">
        <f t="shared" si="0"/>
        <v>54.78</v>
      </c>
      <c r="H3" s="9">
        <v>200</v>
      </c>
      <c r="I3" s="9" t="s">
        <v>27</v>
      </c>
    </row>
    <row r="4" spans="1:9" x14ac:dyDescent="0.3">
      <c r="A4" s="20">
        <v>8000003</v>
      </c>
      <c r="B4" s="10" t="s">
        <v>32</v>
      </c>
      <c r="C4" s="29"/>
      <c r="D4" s="29"/>
      <c r="E4" s="10" t="s">
        <v>25</v>
      </c>
      <c r="F4" s="10">
        <v>94.75</v>
      </c>
      <c r="G4" s="10">
        <f t="shared" si="0"/>
        <v>78.642499999999998</v>
      </c>
      <c r="H4" s="10">
        <v>100</v>
      </c>
      <c r="I4" s="10" t="s">
        <v>27</v>
      </c>
    </row>
    <row r="5" spans="1:9" x14ac:dyDescent="0.3">
      <c r="A5" s="21">
        <v>8000004</v>
      </c>
      <c r="B5" s="9" t="s">
        <v>33</v>
      </c>
      <c r="C5" s="29"/>
      <c r="D5" s="29"/>
      <c r="E5" s="9" t="s">
        <v>25</v>
      </c>
      <c r="F5" s="9">
        <v>227</v>
      </c>
      <c r="G5" s="9">
        <f t="shared" si="0"/>
        <v>188.41</v>
      </c>
      <c r="H5" s="9">
        <v>3</v>
      </c>
      <c r="I5" s="9" t="s">
        <v>27</v>
      </c>
    </row>
    <row r="6" spans="1:9" x14ac:dyDescent="0.3">
      <c r="A6" s="20">
        <v>8000005</v>
      </c>
      <c r="B6" s="10" t="s">
        <v>34</v>
      </c>
      <c r="C6" s="18" t="s">
        <v>1166</v>
      </c>
      <c r="D6" s="18" t="s">
        <v>1196</v>
      </c>
      <c r="E6" s="10" t="s">
        <v>25</v>
      </c>
      <c r="F6" s="10">
        <v>23</v>
      </c>
      <c r="G6" s="10">
        <f t="shared" si="0"/>
        <v>19.09</v>
      </c>
      <c r="H6" s="10">
        <v>30</v>
      </c>
      <c r="I6" s="10" t="s">
        <v>27</v>
      </c>
    </row>
    <row r="7" spans="1:9" x14ac:dyDescent="0.3">
      <c r="A7" s="21">
        <v>8000006</v>
      </c>
      <c r="B7" s="9" t="s">
        <v>36</v>
      </c>
      <c r="C7" s="29"/>
      <c r="D7" s="29"/>
      <c r="E7" s="9" t="s">
        <v>25</v>
      </c>
      <c r="F7" s="9">
        <v>29.75</v>
      </c>
      <c r="G7" s="9">
        <f t="shared" si="0"/>
        <v>24.692499999999999</v>
      </c>
      <c r="H7" s="9">
        <v>160</v>
      </c>
      <c r="I7" s="9" t="s">
        <v>27</v>
      </c>
    </row>
    <row r="8" spans="1:9" x14ac:dyDescent="0.3">
      <c r="A8" s="20">
        <v>8000007</v>
      </c>
      <c r="B8" s="10" t="s">
        <v>37</v>
      </c>
      <c r="C8" s="29"/>
      <c r="D8" s="29"/>
      <c r="E8" s="10" t="s">
        <v>25</v>
      </c>
      <c r="F8" s="10">
        <v>53.75</v>
      </c>
      <c r="G8" s="10">
        <f t="shared" si="0"/>
        <v>44.612499999999997</v>
      </c>
      <c r="H8" s="10">
        <v>50</v>
      </c>
      <c r="I8" s="10" t="s">
        <v>27</v>
      </c>
    </row>
    <row r="9" spans="1:9" x14ac:dyDescent="0.3">
      <c r="A9" s="21">
        <v>8000008</v>
      </c>
      <c r="B9" s="9" t="s">
        <v>38</v>
      </c>
      <c r="C9" s="29"/>
      <c r="D9" s="29"/>
      <c r="E9" s="9" t="s">
        <v>25</v>
      </c>
      <c r="F9" s="9">
        <v>169.75</v>
      </c>
      <c r="G9" s="9">
        <f t="shared" si="0"/>
        <v>140.89249999999998</v>
      </c>
      <c r="H9" s="9">
        <v>5</v>
      </c>
      <c r="I9" s="9" t="s">
        <v>27</v>
      </c>
    </row>
    <row r="10" spans="1:9" x14ac:dyDescent="0.3">
      <c r="A10" s="20">
        <v>8000009</v>
      </c>
      <c r="B10" s="10" t="s">
        <v>39</v>
      </c>
      <c r="C10" s="18" t="s">
        <v>1167</v>
      </c>
      <c r="D10" s="18" t="s">
        <v>1196</v>
      </c>
      <c r="E10" s="10" t="s">
        <v>25</v>
      </c>
      <c r="F10" s="10">
        <v>15.75</v>
      </c>
      <c r="G10" s="10">
        <f t="shared" si="0"/>
        <v>13.0725</v>
      </c>
      <c r="H10" s="10">
        <v>30</v>
      </c>
      <c r="I10" s="10" t="s">
        <v>27</v>
      </c>
    </row>
    <row r="11" spans="1:9" x14ac:dyDescent="0.3">
      <c r="A11" s="21">
        <v>8000010</v>
      </c>
      <c r="B11" s="9" t="s">
        <v>40</v>
      </c>
      <c r="C11" s="29"/>
      <c r="D11" s="29"/>
      <c r="E11" s="9" t="s">
        <v>25</v>
      </c>
      <c r="F11" s="9">
        <v>22</v>
      </c>
      <c r="G11" s="9">
        <f t="shared" si="0"/>
        <v>18.259999999999998</v>
      </c>
      <c r="H11" s="9">
        <v>160</v>
      </c>
      <c r="I11" s="9" t="s">
        <v>27</v>
      </c>
    </row>
    <row r="12" spans="1:9" x14ac:dyDescent="0.3">
      <c r="A12" s="20">
        <v>8000011</v>
      </c>
      <c r="B12" s="10" t="s">
        <v>41</v>
      </c>
      <c r="C12" s="29"/>
      <c r="D12" s="29"/>
      <c r="E12" s="10" t="s">
        <v>25</v>
      </c>
      <c r="F12" s="10">
        <v>42</v>
      </c>
      <c r="G12" s="10">
        <f t="shared" si="0"/>
        <v>34.86</v>
      </c>
      <c r="H12" s="10">
        <v>30</v>
      </c>
      <c r="I12" s="10" t="s">
        <v>27</v>
      </c>
    </row>
    <row r="13" spans="1:9" x14ac:dyDescent="0.3">
      <c r="A13" s="21">
        <v>8000012</v>
      </c>
      <c r="B13" s="9" t="s">
        <v>42</v>
      </c>
      <c r="C13" s="29"/>
      <c r="D13" s="29"/>
      <c r="E13" s="9" t="s">
        <v>25</v>
      </c>
      <c r="F13" s="9">
        <v>154.5</v>
      </c>
      <c r="G13" s="9">
        <f t="shared" si="0"/>
        <v>128.23500000000001</v>
      </c>
      <c r="H13" s="9">
        <v>5</v>
      </c>
      <c r="I13" s="9" t="s">
        <v>27</v>
      </c>
    </row>
    <row r="14" spans="1:9" x14ac:dyDescent="0.3">
      <c r="A14" s="20">
        <v>8000013</v>
      </c>
      <c r="B14" s="10" t="s">
        <v>43</v>
      </c>
      <c r="C14" s="18" t="s">
        <v>1169</v>
      </c>
      <c r="D14" s="18" t="s">
        <v>1196</v>
      </c>
      <c r="E14" s="10" t="s">
        <v>25</v>
      </c>
      <c r="F14" s="10">
        <v>27</v>
      </c>
      <c r="G14" s="10">
        <f t="shared" si="0"/>
        <v>22.41</v>
      </c>
      <c r="H14" s="10">
        <v>30</v>
      </c>
      <c r="I14" s="10" t="s">
        <v>27</v>
      </c>
    </row>
    <row r="15" spans="1:9" x14ac:dyDescent="0.3">
      <c r="A15" s="21">
        <v>8000014</v>
      </c>
      <c r="B15" s="9" t="s">
        <v>44</v>
      </c>
      <c r="C15" s="29"/>
      <c r="D15" s="29"/>
      <c r="E15" s="9" t="s">
        <v>25</v>
      </c>
      <c r="F15" s="9">
        <v>30.5</v>
      </c>
      <c r="G15" s="9">
        <f t="shared" si="0"/>
        <v>25.314999999999998</v>
      </c>
      <c r="H15" s="9">
        <v>160</v>
      </c>
      <c r="I15" s="9" t="s">
        <v>27</v>
      </c>
    </row>
    <row r="16" spans="1:9" x14ac:dyDescent="0.3">
      <c r="A16" s="20">
        <v>8000015</v>
      </c>
      <c r="B16" s="10" t="s">
        <v>45</v>
      </c>
      <c r="C16" s="29"/>
      <c r="D16" s="29"/>
      <c r="E16" s="10" t="s">
        <v>25</v>
      </c>
      <c r="F16" s="10">
        <v>45.5</v>
      </c>
      <c r="G16" s="10">
        <f t="shared" si="0"/>
        <v>37.765000000000001</v>
      </c>
      <c r="H16" s="10">
        <v>30</v>
      </c>
      <c r="I16" s="10" t="s">
        <v>27</v>
      </c>
    </row>
    <row r="17" spans="1:9" x14ac:dyDescent="0.3">
      <c r="A17" s="21">
        <v>8000016</v>
      </c>
      <c r="B17" s="9" t="s">
        <v>46</v>
      </c>
      <c r="C17" s="29"/>
      <c r="D17" s="29"/>
      <c r="E17" s="9" t="s">
        <v>25</v>
      </c>
      <c r="F17" s="9">
        <v>160.5</v>
      </c>
      <c r="G17" s="9">
        <f t="shared" si="0"/>
        <v>133.215</v>
      </c>
      <c r="H17" s="9">
        <v>5</v>
      </c>
      <c r="I17" s="9" t="s">
        <v>27</v>
      </c>
    </row>
    <row r="18" spans="1:9" x14ac:dyDescent="0.3">
      <c r="A18" s="20">
        <v>8000017</v>
      </c>
      <c r="B18" s="10" t="s">
        <v>47</v>
      </c>
      <c r="C18" s="18" t="s">
        <v>1168</v>
      </c>
      <c r="D18" s="18" t="s">
        <v>1196</v>
      </c>
      <c r="E18" s="10" t="s">
        <v>25</v>
      </c>
      <c r="F18" s="10">
        <v>16</v>
      </c>
      <c r="G18" s="10">
        <f t="shared" si="0"/>
        <v>13.28</v>
      </c>
      <c r="H18" s="10">
        <v>10</v>
      </c>
      <c r="I18" s="10" t="s">
        <v>27</v>
      </c>
    </row>
    <row r="19" spans="1:9" x14ac:dyDescent="0.3">
      <c r="A19" s="21">
        <v>8000018</v>
      </c>
      <c r="B19" s="9" t="s">
        <v>48</v>
      </c>
      <c r="C19" s="29"/>
      <c r="D19" s="29"/>
      <c r="E19" s="9" t="s">
        <v>25</v>
      </c>
      <c r="F19" s="9">
        <v>17.75</v>
      </c>
      <c r="G19" s="9">
        <f t="shared" si="0"/>
        <v>14.7325</v>
      </c>
      <c r="H19" s="9">
        <v>100</v>
      </c>
      <c r="I19" s="9" t="s">
        <v>27</v>
      </c>
    </row>
    <row r="20" spans="1:9" x14ac:dyDescent="0.3">
      <c r="A20" s="20">
        <v>8000019</v>
      </c>
      <c r="B20" s="10" t="s">
        <v>49</v>
      </c>
      <c r="C20" s="29"/>
      <c r="D20" s="29"/>
      <c r="E20" s="10" t="s">
        <v>25</v>
      </c>
      <c r="F20" s="10">
        <v>30.25</v>
      </c>
      <c r="G20" s="10">
        <f t="shared" si="0"/>
        <v>25.107500000000002</v>
      </c>
      <c r="H20" s="10">
        <v>30</v>
      </c>
      <c r="I20" s="10" t="s">
        <v>27</v>
      </c>
    </row>
    <row r="21" spans="1:9" x14ac:dyDescent="0.3">
      <c r="A21" s="21">
        <v>8000020</v>
      </c>
      <c r="B21" s="9" t="s">
        <v>50</v>
      </c>
      <c r="C21" s="29"/>
      <c r="D21" s="29"/>
      <c r="E21" s="9" t="s">
        <v>25</v>
      </c>
      <c r="F21" s="9">
        <v>93.25</v>
      </c>
      <c r="G21" s="9">
        <f t="shared" si="0"/>
        <v>77.397499999999994</v>
      </c>
      <c r="H21" s="9">
        <v>5</v>
      </c>
      <c r="I21" s="9" t="s">
        <v>27</v>
      </c>
    </row>
    <row r="22" spans="1:9" x14ac:dyDescent="0.3">
      <c r="A22" s="20">
        <v>8000021</v>
      </c>
      <c r="B22" s="10" t="s">
        <v>51</v>
      </c>
      <c r="C22" s="18" t="s">
        <v>1170</v>
      </c>
      <c r="D22" s="18" t="s">
        <v>1196</v>
      </c>
      <c r="E22" s="10" t="s">
        <v>25</v>
      </c>
      <c r="F22" s="10">
        <v>125.75</v>
      </c>
      <c r="G22" s="10">
        <f t="shared" si="0"/>
        <v>104.3725</v>
      </c>
      <c r="H22" s="10">
        <v>160</v>
      </c>
      <c r="I22" s="10" t="s">
        <v>27</v>
      </c>
    </row>
    <row r="23" spans="1:9" x14ac:dyDescent="0.3">
      <c r="A23" s="21">
        <v>8000022</v>
      </c>
      <c r="B23" s="9" t="s">
        <v>52</v>
      </c>
      <c r="C23" s="29"/>
      <c r="D23" s="29"/>
      <c r="E23" s="9" t="s">
        <v>25</v>
      </c>
      <c r="F23" s="9">
        <v>227.25</v>
      </c>
      <c r="G23" s="9">
        <f t="shared" si="0"/>
        <v>188.61750000000001</v>
      </c>
      <c r="H23" s="9">
        <v>30</v>
      </c>
      <c r="I23" s="9" t="s">
        <v>27</v>
      </c>
    </row>
    <row r="24" spans="1:9" x14ac:dyDescent="0.3">
      <c r="A24" s="20">
        <v>8000023</v>
      </c>
      <c r="B24" s="10" t="s">
        <v>53</v>
      </c>
      <c r="C24" s="29"/>
      <c r="D24" s="29"/>
      <c r="E24" s="10" t="s">
        <v>25</v>
      </c>
      <c r="F24" s="10">
        <v>387.5</v>
      </c>
      <c r="G24" s="10">
        <f t="shared" si="0"/>
        <v>321.625</v>
      </c>
      <c r="H24" s="10">
        <v>10</v>
      </c>
      <c r="I24" s="10" t="s">
        <v>27</v>
      </c>
    </row>
    <row r="25" spans="1:9" x14ac:dyDescent="0.3">
      <c r="A25" s="21">
        <v>8000024</v>
      </c>
      <c r="B25" s="9" t="s">
        <v>54</v>
      </c>
      <c r="C25" s="29"/>
      <c r="D25" s="29"/>
      <c r="E25" s="9" t="s">
        <v>25</v>
      </c>
      <c r="F25" s="9">
        <v>185</v>
      </c>
      <c r="G25" s="9">
        <f t="shared" si="0"/>
        <v>153.55000000000001</v>
      </c>
      <c r="H25" s="9">
        <v>10</v>
      </c>
      <c r="I25" s="9" t="s">
        <v>27</v>
      </c>
    </row>
    <row r="26" spans="1:9" x14ac:dyDescent="0.3">
      <c r="A26" s="21">
        <v>8000052</v>
      </c>
      <c r="B26" s="9" t="s">
        <v>84</v>
      </c>
      <c r="C26" s="17" t="s">
        <v>1180</v>
      </c>
      <c r="D26" s="17" t="s">
        <v>1196</v>
      </c>
      <c r="E26" s="9" t="s">
        <v>25</v>
      </c>
      <c r="F26" s="9">
        <v>188.25</v>
      </c>
      <c r="G26" s="9">
        <f t="shared" ref="G26:G36" si="1">F26-F26*17%</f>
        <v>156.2475</v>
      </c>
      <c r="H26" s="9">
        <v>50</v>
      </c>
      <c r="I26" s="9" t="s">
        <v>27</v>
      </c>
    </row>
    <row r="27" spans="1:9" x14ac:dyDescent="0.3">
      <c r="A27" s="20">
        <v>8000053</v>
      </c>
      <c r="B27" s="10" t="s">
        <v>85</v>
      </c>
      <c r="C27" s="29"/>
      <c r="D27" s="29"/>
      <c r="E27" s="10" t="s">
        <v>25</v>
      </c>
      <c r="F27" s="10">
        <v>444.75</v>
      </c>
      <c r="G27" s="10">
        <f t="shared" si="1"/>
        <v>369.14249999999998</v>
      </c>
      <c r="H27" s="10">
        <v>5</v>
      </c>
      <c r="I27" s="10" t="s">
        <v>27</v>
      </c>
    </row>
    <row r="28" spans="1:9" x14ac:dyDescent="0.3">
      <c r="A28" s="21">
        <v>8000054</v>
      </c>
      <c r="B28" s="9" t="s">
        <v>86</v>
      </c>
      <c r="C28" s="29"/>
      <c r="D28" s="29"/>
      <c r="E28" s="9" t="s">
        <v>25</v>
      </c>
      <c r="F28" s="9">
        <v>202.5</v>
      </c>
      <c r="G28" s="9">
        <f t="shared" si="1"/>
        <v>168.07499999999999</v>
      </c>
      <c r="H28" s="9">
        <v>3</v>
      </c>
      <c r="I28" s="9" t="s">
        <v>27</v>
      </c>
    </row>
    <row r="29" spans="1:9" x14ac:dyDescent="0.3">
      <c r="A29" s="21">
        <v>8000044</v>
      </c>
      <c r="B29" s="9" t="s">
        <v>76</v>
      </c>
      <c r="C29" s="17" t="s">
        <v>1178</v>
      </c>
      <c r="D29" s="17" t="s">
        <v>1196</v>
      </c>
      <c r="E29" s="9" t="s">
        <v>25</v>
      </c>
      <c r="F29" s="9">
        <v>152</v>
      </c>
      <c r="G29" s="9">
        <f t="shared" si="1"/>
        <v>126.16</v>
      </c>
      <c r="H29" s="9">
        <v>100</v>
      </c>
      <c r="I29" s="9" t="s">
        <v>27</v>
      </c>
    </row>
    <row r="30" spans="1:9" x14ac:dyDescent="0.3">
      <c r="A30" s="20">
        <v>8000045</v>
      </c>
      <c r="B30" s="10" t="s">
        <v>77</v>
      </c>
      <c r="C30" s="29"/>
      <c r="D30" s="29"/>
      <c r="E30" s="10" t="s">
        <v>25</v>
      </c>
      <c r="F30" s="10">
        <v>252</v>
      </c>
      <c r="G30" s="10">
        <f t="shared" si="1"/>
        <v>209.16</v>
      </c>
      <c r="H30" s="10">
        <v>50</v>
      </c>
      <c r="I30" s="10" t="s">
        <v>27</v>
      </c>
    </row>
    <row r="31" spans="1:9" x14ac:dyDescent="0.3">
      <c r="A31" s="21">
        <v>8000046</v>
      </c>
      <c r="B31" s="9" t="s">
        <v>78</v>
      </c>
      <c r="C31" s="29"/>
      <c r="D31" s="29"/>
      <c r="E31" s="9" t="s">
        <v>25</v>
      </c>
      <c r="F31" s="9">
        <v>346.25</v>
      </c>
      <c r="G31" s="9">
        <f t="shared" si="1"/>
        <v>287.38749999999999</v>
      </c>
      <c r="H31" s="9">
        <v>10</v>
      </c>
      <c r="I31" s="9" t="s">
        <v>27</v>
      </c>
    </row>
    <row r="32" spans="1:9" x14ac:dyDescent="0.3">
      <c r="A32" s="20">
        <v>8000047</v>
      </c>
      <c r="B32" s="10" t="s">
        <v>79</v>
      </c>
      <c r="C32" s="29"/>
      <c r="D32" s="29"/>
      <c r="E32" s="10" t="s">
        <v>25</v>
      </c>
      <c r="F32" s="10">
        <v>163.75</v>
      </c>
      <c r="G32" s="10">
        <f t="shared" si="1"/>
        <v>135.91249999999999</v>
      </c>
      <c r="H32" s="10">
        <v>10</v>
      </c>
      <c r="I32" s="10" t="s">
        <v>27</v>
      </c>
    </row>
    <row r="33" spans="1:9" x14ac:dyDescent="0.3">
      <c r="A33" s="21">
        <v>8000048</v>
      </c>
      <c r="B33" s="9" t="s">
        <v>80</v>
      </c>
      <c r="C33" s="17" t="s">
        <v>1179</v>
      </c>
      <c r="D33" s="17" t="s">
        <v>1196</v>
      </c>
      <c r="E33" s="9" t="s">
        <v>25</v>
      </c>
      <c r="F33" s="9">
        <v>168.75</v>
      </c>
      <c r="G33" s="9">
        <f t="shared" si="1"/>
        <v>140.0625</v>
      </c>
      <c r="H33" s="9">
        <v>30</v>
      </c>
      <c r="I33" s="9" t="s">
        <v>27</v>
      </c>
    </row>
    <row r="34" spans="1:9" x14ac:dyDescent="0.3">
      <c r="A34" s="20">
        <v>8000049</v>
      </c>
      <c r="B34" s="10" t="s">
        <v>81</v>
      </c>
      <c r="C34" s="29"/>
      <c r="D34" s="29"/>
      <c r="E34" s="10" t="s">
        <v>25</v>
      </c>
      <c r="F34" s="10">
        <v>265.75</v>
      </c>
      <c r="G34" s="10">
        <f t="shared" si="1"/>
        <v>220.57249999999999</v>
      </c>
      <c r="H34" s="10">
        <v>10</v>
      </c>
      <c r="I34" s="10" t="s">
        <v>27</v>
      </c>
    </row>
    <row r="35" spans="1:9" x14ac:dyDescent="0.3">
      <c r="A35" s="21">
        <v>8000050</v>
      </c>
      <c r="B35" s="9" t="s">
        <v>82</v>
      </c>
      <c r="C35" s="29"/>
      <c r="D35" s="29"/>
      <c r="E35" s="9" t="s">
        <v>25</v>
      </c>
      <c r="F35" s="9">
        <v>206</v>
      </c>
      <c r="G35" s="9">
        <f t="shared" si="1"/>
        <v>170.98</v>
      </c>
      <c r="H35" s="9">
        <v>10</v>
      </c>
      <c r="I35" s="9" t="s">
        <v>27</v>
      </c>
    </row>
    <row r="36" spans="1:9" x14ac:dyDescent="0.3">
      <c r="A36" s="20">
        <v>8000051</v>
      </c>
      <c r="B36" s="10" t="s">
        <v>83</v>
      </c>
      <c r="C36" s="29"/>
      <c r="D36" s="29"/>
      <c r="E36" s="10" t="s">
        <v>25</v>
      </c>
      <c r="F36" s="10">
        <v>388.5</v>
      </c>
      <c r="G36" s="10">
        <f t="shared" si="1"/>
        <v>322.45499999999998</v>
      </c>
      <c r="H36" s="10">
        <v>5</v>
      </c>
      <c r="I36" s="10" t="s">
        <v>27</v>
      </c>
    </row>
    <row r="37" spans="1:9" x14ac:dyDescent="0.3">
      <c r="A37" s="20">
        <v>8000025</v>
      </c>
      <c r="B37" s="10" t="s">
        <v>55</v>
      </c>
      <c r="C37" s="18" t="s">
        <v>1171</v>
      </c>
      <c r="D37" s="18" t="s">
        <v>1196</v>
      </c>
      <c r="E37" s="10" t="s">
        <v>25</v>
      </c>
      <c r="F37" s="10">
        <v>167</v>
      </c>
      <c r="G37" s="10">
        <f t="shared" si="0"/>
        <v>138.61000000000001</v>
      </c>
      <c r="H37" s="10">
        <v>160</v>
      </c>
      <c r="I37" s="10" t="s">
        <v>27</v>
      </c>
    </row>
    <row r="38" spans="1:9" x14ac:dyDescent="0.3">
      <c r="A38" s="21">
        <v>8000026</v>
      </c>
      <c r="B38" s="9" t="s">
        <v>56</v>
      </c>
      <c r="C38" s="29"/>
      <c r="D38" s="29"/>
      <c r="E38" s="9" t="s">
        <v>25</v>
      </c>
      <c r="F38" s="9">
        <v>315.25</v>
      </c>
      <c r="G38" s="9">
        <f t="shared" si="0"/>
        <v>261.65750000000003</v>
      </c>
      <c r="H38" s="9">
        <v>50</v>
      </c>
      <c r="I38" s="9" t="s">
        <v>27</v>
      </c>
    </row>
    <row r="39" spans="1:9" x14ac:dyDescent="0.3">
      <c r="A39" s="20">
        <v>8000027</v>
      </c>
      <c r="B39" s="10" t="s">
        <v>57</v>
      </c>
      <c r="C39" s="29"/>
      <c r="D39" s="29"/>
      <c r="E39" s="10" t="s">
        <v>25</v>
      </c>
      <c r="F39" s="10">
        <v>446.25</v>
      </c>
      <c r="G39" s="10">
        <f t="shared" si="0"/>
        <v>370.38749999999999</v>
      </c>
      <c r="H39" s="10">
        <v>10</v>
      </c>
      <c r="I39" s="10" t="s">
        <v>27</v>
      </c>
    </row>
    <row r="40" spans="1:9" x14ac:dyDescent="0.3">
      <c r="A40" s="21">
        <v>8000028</v>
      </c>
      <c r="B40" s="9" t="s">
        <v>58</v>
      </c>
      <c r="C40" s="29"/>
      <c r="D40" s="29"/>
      <c r="E40" s="9" t="s">
        <v>25</v>
      </c>
      <c r="F40" s="9">
        <v>240.25</v>
      </c>
      <c r="G40" s="9">
        <f t="shared" si="0"/>
        <v>199.4075</v>
      </c>
      <c r="H40" s="9">
        <v>10</v>
      </c>
      <c r="I40" s="9" t="s">
        <v>27</v>
      </c>
    </row>
    <row r="41" spans="1:9" x14ac:dyDescent="0.3">
      <c r="A41" s="20">
        <v>8000025</v>
      </c>
      <c r="B41" s="43" t="s">
        <v>1256</v>
      </c>
      <c r="C41" s="34" t="s">
        <v>1258</v>
      </c>
      <c r="D41" s="18" t="s">
        <v>1196</v>
      </c>
      <c r="E41" s="10" t="s">
        <v>25</v>
      </c>
      <c r="F41" s="10">
        <v>199.25</v>
      </c>
      <c r="G41" s="10">
        <f t="shared" si="0"/>
        <v>165.3775</v>
      </c>
      <c r="H41" s="10">
        <v>160</v>
      </c>
      <c r="I41" s="10" t="s">
        <v>27</v>
      </c>
    </row>
    <row r="42" spans="1:9" x14ac:dyDescent="0.3">
      <c r="A42" s="21">
        <v>8000028</v>
      </c>
      <c r="B42" s="44" t="s">
        <v>1257</v>
      </c>
      <c r="C42" s="29"/>
      <c r="D42" s="29"/>
      <c r="E42" s="9" t="s">
        <v>25</v>
      </c>
      <c r="F42" s="9">
        <v>260.25</v>
      </c>
      <c r="G42" s="9">
        <f t="shared" si="0"/>
        <v>216.00749999999999</v>
      </c>
      <c r="H42" s="9">
        <v>10</v>
      </c>
      <c r="I42" s="9" t="s">
        <v>27</v>
      </c>
    </row>
    <row r="43" spans="1:9" x14ac:dyDescent="0.3">
      <c r="A43" s="20">
        <v>8000029</v>
      </c>
      <c r="B43" s="10" t="s">
        <v>59</v>
      </c>
      <c r="C43" s="18" t="s">
        <v>1172</v>
      </c>
      <c r="D43" s="18" t="s">
        <v>1196</v>
      </c>
      <c r="E43" s="10" t="s">
        <v>25</v>
      </c>
      <c r="F43" s="10">
        <v>8</v>
      </c>
      <c r="G43" s="10">
        <f t="shared" si="0"/>
        <v>6.64</v>
      </c>
      <c r="H43" s="10">
        <v>200</v>
      </c>
      <c r="I43" s="10" t="s">
        <v>27</v>
      </c>
    </row>
    <row r="44" spans="1:9" x14ac:dyDescent="0.3">
      <c r="A44" s="21">
        <v>8000030</v>
      </c>
      <c r="B44" s="9" t="s">
        <v>60</v>
      </c>
      <c r="C44" s="17" t="s">
        <v>1174</v>
      </c>
      <c r="D44" s="17" t="s">
        <v>1199</v>
      </c>
      <c r="E44" s="9" t="s">
        <v>25</v>
      </c>
      <c r="F44" s="9">
        <v>640.25</v>
      </c>
      <c r="G44" s="9">
        <f t="shared" si="0"/>
        <v>531.40750000000003</v>
      </c>
      <c r="H44" s="9">
        <v>10</v>
      </c>
      <c r="I44" s="9" t="s">
        <v>27</v>
      </c>
    </row>
    <row r="45" spans="1:9" x14ac:dyDescent="0.3">
      <c r="A45" s="20">
        <v>8000031</v>
      </c>
      <c r="B45" s="10" t="s">
        <v>61</v>
      </c>
      <c r="C45" s="29"/>
      <c r="D45" s="29"/>
      <c r="E45" s="10" t="s">
        <v>25</v>
      </c>
      <c r="F45" s="10">
        <v>590</v>
      </c>
      <c r="G45" s="10">
        <f t="shared" si="0"/>
        <v>489.7</v>
      </c>
      <c r="H45" s="10">
        <v>10</v>
      </c>
      <c r="I45" s="10" t="s">
        <v>27</v>
      </c>
    </row>
    <row r="46" spans="1:9" x14ac:dyDescent="0.3">
      <c r="A46" s="21">
        <v>8000032</v>
      </c>
      <c r="B46" s="9" t="s">
        <v>63</v>
      </c>
      <c r="C46" s="29"/>
      <c r="D46" s="29"/>
      <c r="E46" s="9" t="s">
        <v>25</v>
      </c>
      <c r="F46" s="9">
        <v>174.5</v>
      </c>
      <c r="G46" s="9">
        <f t="shared" si="0"/>
        <v>144.83500000000001</v>
      </c>
      <c r="H46" s="9">
        <v>10</v>
      </c>
      <c r="I46" s="9" t="s">
        <v>27</v>
      </c>
    </row>
    <row r="47" spans="1:9" x14ac:dyDescent="0.3">
      <c r="A47" s="20">
        <v>8000033</v>
      </c>
      <c r="B47" s="10" t="s">
        <v>65</v>
      </c>
      <c r="C47" s="29"/>
      <c r="D47" s="29"/>
      <c r="E47" s="10" t="s">
        <v>25</v>
      </c>
      <c r="F47" s="10">
        <v>138.25</v>
      </c>
      <c r="G47" s="10">
        <f t="shared" ref="G47:G67" si="2">F47-F47*17%</f>
        <v>114.7475</v>
      </c>
      <c r="H47" s="10">
        <v>5</v>
      </c>
      <c r="I47" s="10" t="s">
        <v>27</v>
      </c>
    </row>
    <row r="48" spans="1:9" x14ac:dyDescent="0.3">
      <c r="A48" s="21">
        <v>8000034</v>
      </c>
      <c r="B48" s="9" t="s">
        <v>66</v>
      </c>
      <c r="C48" s="17" t="s">
        <v>1175</v>
      </c>
      <c r="D48" s="17" t="s">
        <v>1196</v>
      </c>
      <c r="E48" s="9" t="s">
        <v>25</v>
      </c>
      <c r="F48" s="9">
        <v>23.75</v>
      </c>
      <c r="G48" s="9">
        <f t="shared" si="2"/>
        <v>19.712499999999999</v>
      </c>
      <c r="H48" s="9">
        <v>10</v>
      </c>
      <c r="I48" s="9" t="s">
        <v>27</v>
      </c>
    </row>
    <row r="49" spans="1:9" x14ac:dyDescent="0.3">
      <c r="A49" s="21">
        <v>8000036</v>
      </c>
      <c r="B49" s="9" t="s">
        <v>68</v>
      </c>
      <c r="C49" s="29"/>
      <c r="D49" s="29"/>
      <c r="E49" s="9" t="s">
        <v>25</v>
      </c>
      <c r="F49" s="9">
        <v>31.25</v>
      </c>
      <c r="G49" s="9">
        <f>F49-F49*17%</f>
        <v>25.9375</v>
      </c>
      <c r="H49" s="9">
        <v>50</v>
      </c>
      <c r="I49" s="9" t="s">
        <v>27</v>
      </c>
    </row>
    <row r="50" spans="1:9" x14ac:dyDescent="0.3">
      <c r="A50" s="20">
        <v>8000035</v>
      </c>
      <c r="B50" s="10" t="s">
        <v>67</v>
      </c>
      <c r="C50" s="29"/>
      <c r="D50" s="29"/>
      <c r="E50" s="10" t="s">
        <v>25</v>
      </c>
      <c r="F50" s="10">
        <v>32.25</v>
      </c>
      <c r="G50" s="10">
        <f t="shared" si="2"/>
        <v>26.767499999999998</v>
      </c>
      <c r="H50" s="10">
        <v>50</v>
      </c>
      <c r="I50" s="10" t="s">
        <v>27</v>
      </c>
    </row>
    <row r="51" spans="1:9" x14ac:dyDescent="0.3">
      <c r="A51" s="20">
        <v>8000037</v>
      </c>
      <c r="B51" s="10" t="s">
        <v>69</v>
      </c>
      <c r="C51" s="18" t="s">
        <v>1176</v>
      </c>
      <c r="D51" s="18" t="s">
        <v>1196</v>
      </c>
      <c r="E51" s="10" t="s">
        <v>25</v>
      </c>
      <c r="F51" s="10">
        <v>50.25</v>
      </c>
      <c r="G51" s="10">
        <f t="shared" si="2"/>
        <v>41.707499999999996</v>
      </c>
      <c r="H51" s="10">
        <v>30</v>
      </c>
      <c r="I51" s="10" t="s">
        <v>27</v>
      </c>
    </row>
    <row r="52" spans="1:9" x14ac:dyDescent="0.3">
      <c r="A52" s="21">
        <v>8000038</v>
      </c>
      <c r="B52" s="9" t="s">
        <v>70</v>
      </c>
      <c r="C52" s="29"/>
      <c r="D52" s="29"/>
      <c r="E52" s="9" t="s">
        <v>25</v>
      </c>
      <c r="F52" s="9">
        <v>44</v>
      </c>
      <c r="G52" s="9">
        <f t="shared" si="2"/>
        <v>36.519999999999996</v>
      </c>
      <c r="H52" s="9">
        <v>0</v>
      </c>
      <c r="I52" s="9" t="s">
        <v>27</v>
      </c>
    </row>
    <row r="53" spans="1:9" x14ac:dyDescent="0.3">
      <c r="A53" s="20">
        <v>8000039</v>
      </c>
      <c r="B53" s="10" t="s">
        <v>71</v>
      </c>
      <c r="C53" s="18" t="s">
        <v>1173</v>
      </c>
      <c r="D53" s="18" t="s">
        <v>1196</v>
      </c>
      <c r="E53" s="10" t="s">
        <v>25</v>
      </c>
      <c r="F53" s="10">
        <v>18.5</v>
      </c>
      <c r="G53" s="10">
        <f t="shared" si="2"/>
        <v>15.355</v>
      </c>
      <c r="H53" s="10">
        <v>10</v>
      </c>
      <c r="I53" s="10" t="s">
        <v>27</v>
      </c>
    </row>
    <row r="54" spans="1:9" x14ac:dyDescent="0.3">
      <c r="A54" s="21">
        <v>8000040</v>
      </c>
      <c r="B54" s="9" t="s">
        <v>72</v>
      </c>
      <c r="C54" s="29"/>
      <c r="D54" s="29"/>
      <c r="E54" s="9" t="s">
        <v>25</v>
      </c>
      <c r="F54" s="9">
        <v>22.25</v>
      </c>
      <c r="G54" s="9">
        <f t="shared" si="2"/>
        <v>18.467500000000001</v>
      </c>
      <c r="H54" s="9">
        <v>100</v>
      </c>
      <c r="I54" s="9" t="s">
        <v>27</v>
      </c>
    </row>
    <row r="55" spans="1:9" x14ac:dyDescent="0.3">
      <c r="A55" s="20">
        <v>8000041</v>
      </c>
      <c r="B55" s="10" t="s">
        <v>73</v>
      </c>
      <c r="C55" s="29"/>
      <c r="D55" s="29"/>
      <c r="E55" s="10" t="s">
        <v>25</v>
      </c>
      <c r="F55" s="10">
        <v>35.75</v>
      </c>
      <c r="G55" s="10">
        <f t="shared" si="2"/>
        <v>29.672499999999999</v>
      </c>
      <c r="H55" s="10">
        <v>50</v>
      </c>
      <c r="I55" s="10" t="s">
        <v>27</v>
      </c>
    </row>
    <row r="56" spans="1:9" x14ac:dyDescent="0.3">
      <c r="A56" s="21">
        <v>8000042</v>
      </c>
      <c r="B56" s="9" t="s">
        <v>74</v>
      </c>
      <c r="C56" s="17" t="s">
        <v>1177</v>
      </c>
      <c r="D56" s="17" t="s">
        <v>1196</v>
      </c>
      <c r="E56" s="9" t="s">
        <v>25</v>
      </c>
      <c r="F56" s="9">
        <v>68.75</v>
      </c>
      <c r="G56" s="9">
        <f t="shared" si="2"/>
        <v>57.0625</v>
      </c>
      <c r="H56" s="9">
        <v>30</v>
      </c>
      <c r="I56" s="9" t="s">
        <v>27</v>
      </c>
    </row>
    <row r="57" spans="1:9" x14ac:dyDescent="0.3">
      <c r="A57" s="20">
        <v>8000043</v>
      </c>
      <c r="B57" s="10" t="s">
        <v>75</v>
      </c>
      <c r="C57" s="29"/>
      <c r="D57" s="29"/>
      <c r="E57" s="10" t="s">
        <v>25</v>
      </c>
      <c r="F57" s="10">
        <v>46.25</v>
      </c>
      <c r="G57" s="10">
        <f t="shared" si="2"/>
        <v>38.387500000000003</v>
      </c>
      <c r="H57" s="10">
        <v>10</v>
      </c>
      <c r="I57" s="10" t="s">
        <v>27</v>
      </c>
    </row>
    <row r="58" spans="1:9" x14ac:dyDescent="0.3">
      <c r="A58" s="20">
        <v>8000055</v>
      </c>
      <c r="B58" s="10" t="s">
        <v>87</v>
      </c>
      <c r="C58" s="18" t="s">
        <v>1181</v>
      </c>
      <c r="D58" s="18" t="s">
        <v>1197</v>
      </c>
      <c r="E58" s="10" t="s">
        <v>25</v>
      </c>
      <c r="F58" s="10">
        <v>280</v>
      </c>
      <c r="G58" s="10">
        <f t="shared" si="2"/>
        <v>232.4</v>
      </c>
      <c r="H58" s="10">
        <v>10</v>
      </c>
      <c r="I58" s="10" t="s">
        <v>27</v>
      </c>
    </row>
    <row r="59" spans="1:9" x14ac:dyDescent="0.3">
      <c r="A59" s="21">
        <v>8000056</v>
      </c>
      <c r="B59" s="9" t="s">
        <v>88</v>
      </c>
      <c r="C59" s="17" t="s">
        <v>1182</v>
      </c>
      <c r="D59" s="17" t="s">
        <v>1197</v>
      </c>
      <c r="E59" s="9" t="s">
        <v>25</v>
      </c>
      <c r="F59" s="9">
        <v>320.5</v>
      </c>
      <c r="G59" s="9">
        <f t="shared" si="2"/>
        <v>266.01499999999999</v>
      </c>
      <c r="H59" s="9">
        <v>10</v>
      </c>
      <c r="I59" s="9" t="s">
        <v>27</v>
      </c>
    </row>
    <row r="60" spans="1:9" x14ac:dyDescent="0.3">
      <c r="A60" s="20">
        <v>8000057</v>
      </c>
      <c r="B60" s="10" t="s">
        <v>89</v>
      </c>
      <c r="C60" s="29"/>
      <c r="D60" s="29"/>
      <c r="E60" s="10" t="s">
        <v>25</v>
      </c>
      <c r="F60" s="10">
        <v>212.5</v>
      </c>
      <c r="G60" s="10">
        <f t="shared" si="2"/>
        <v>176.375</v>
      </c>
      <c r="H60" s="10">
        <v>5</v>
      </c>
      <c r="I60" s="10" t="s">
        <v>27</v>
      </c>
    </row>
    <row r="61" spans="1:9" x14ac:dyDescent="0.3">
      <c r="A61" s="21">
        <v>8000058</v>
      </c>
      <c r="B61" s="9" t="s">
        <v>90</v>
      </c>
      <c r="C61" s="17" t="s">
        <v>1183</v>
      </c>
      <c r="D61" s="17" t="s">
        <v>1197</v>
      </c>
      <c r="E61" s="9" t="s">
        <v>25</v>
      </c>
      <c r="F61" s="9">
        <v>181.25</v>
      </c>
      <c r="G61" s="9">
        <f t="shared" si="2"/>
        <v>150.4375</v>
      </c>
      <c r="H61" s="9">
        <v>2</v>
      </c>
      <c r="I61" s="9" t="s">
        <v>27</v>
      </c>
    </row>
    <row r="62" spans="1:9" x14ac:dyDescent="0.3">
      <c r="A62" s="20">
        <v>8000059</v>
      </c>
      <c r="B62" s="10" t="s">
        <v>91</v>
      </c>
      <c r="C62" s="29"/>
      <c r="D62" s="29"/>
      <c r="E62" s="10" t="s">
        <v>25</v>
      </c>
      <c r="F62" s="10">
        <v>236</v>
      </c>
      <c r="G62" s="10">
        <f t="shared" si="2"/>
        <v>195.88</v>
      </c>
      <c r="H62" s="10">
        <v>2</v>
      </c>
      <c r="I62" s="10" t="s">
        <v>27</v>
      </c>
    </row>
    <row r="63" spans="1:9" x14ac:dyDescent="0.3">
      <c r="A63" s="21">
        <v>8000060</v>
      </c>
      <c r="B63" s="9" t="s">
        <v>92</v>
      </c>
      <c r="C63" s="17" t="s">
        <v>1187</v>
      </c>
      <c r="D63" s="17" t="s">
        <v>1197</v>
      </c>
      <c r="E63" s="9" t="s">
        <v>25</v>
      </c>
      <c r="F63" s="9">
        <v>438.5</v>
      </c>
      <c r="G63" s="9">
        <f t="shared" si="2"/>
        <v>363.95499999999998</v>
      </c>
      <c r="H63" s="9">
        <v>1</v>
      </c>
      <c r="I63" s="9" t="s">
        <v>27</v>
      </c>
    </row>
    <row r="64" spans="1:9" x14ac:dyDescent="0.3">
      <c r="A64" s="20">
        <v>8000061</v>
      </c>
      <c r="B64" s="10" t="s">
        <v>93</v>
      </c>
      <c r="C64" s="29"/>
      <c r="D64" s="29"/>
      <c r="E64" s="10" t="s">
        <v>25</v>
      </c>
      <c r="F64" s="10">
        <v>601.5</v>
      </c>
      <c r="G64" s="10">
        <f t="shared" si="2"/>
        <v>499.245</v>
      </c>
      <c r="H64" s="10">
        <v>5</v>
      </c>
      <c r="I64" s="10" t="s">
        <v>27</v>
      </c>
    </row>
    <row r="65" spans="1:9" x14ac:dyDescent="0.3">
      <c r="A65" s="21">
        <v>8000062</v>
      </c>
      <c r="B65" s="9" t="s">
        <v>94</v>
      </c>
      <c r="C65" s="29"/>
      <c r="D65" s="29"/>
      <c r="E65" s="9" t="s">
        <v>25</v>
      </c>
      <c r="F65" s="9">
        <v>818.75</v>
      </c>
      <c r="G65" s="9">
        <f t="shared" si="2"/>
        <v>679.5625</v>
      </c>
      <c r="H65" s="9">
        <v>7</v>
      </c>
      <c r="I65" s="9" t="s">
        <v>27</v>
      </c>
    </row>
    <row r="66" spans="1:9" x14ac:dyDescent="0.3">
      <c r="A66" s="20">
        <v>8000063</v>
      </c>
      <c r="B66" s="10" t="s">
        <v>95</v>
      </c>
      <c r="C66" s="29"/>
      <c r="D66" s="29"/>
      <c r="E66" s="10" t="s">
        <v>25</v>
      </c>
      <c r="F66" s="10">
        <v>1369.25</v>
      </c>
      <c r="G66" s="10">
        <f t="shared" si="2"/>
        <v>1136.4775</v>
      </c>
      <c r="H66" s="10">
        <v>1</v>
      </c>
      <c r="I66" s="10" t="s">
        <v>27</v>
      </c>
    </row>
    <row r="67" spans="1:9" x14ac:dyDescent="0.3">
      <c r="A67" s="21">
        <v>8000064</v>
      </c>
      <c r="B67" s="9" t="s">
        <v>96</v>
      </c>
      <c r="C67" s="29"/>
      <c r="D67" s="29"/>
      <c r="E67" s="9" t="s">
        <v>25</v>
      </c>
      <c r="F67" s="9">
        <v>2033.5</v>
      </c>
      <c r="G67" s="9">
        <f t="shared" si="2"/>
        <v>1687.8049999999998</v>
      </c>
      <c r="H67" s="9">
        <v>1</v>
      </c>
      <c r="I67" s="9" t="s">
        <v>27</v>
      </c>
    </row>
    <row r="68" spans="1:9" x14ac:dyDescent="0.3">
      <c r="A68" s="20">
        <v>8000065</v>
      </c>
      <c r="B68" s="10" t="s">
        <v>97</v>
      </c>
      <c r="C68" s="29"/>
      <c r="D68" s="29"/>
      <c r="E68" s="10" t="s">
        <v>25</v>
      </c>
      <c r="F68" s="10">
        <v>3394.5</v>
      </c>
      <c r="G68" s="10">
        <f t="shared" ref="G68:G85" si="3">F68-F68*17%</f>
        <v>2817.4349999999999</v>
      </c>
      <c r="H68" s="10">
        <v>1</v>
      </c>
      <c r="I68" s="10" t="s">
        <v>27</v>
      </c>
    </row>
    <row r="69" spans="1:9" x14ac:dyDescent="0.3">
      <c r="A69" s="21">
        <v>8000066</v>
      </c>
      <c r="B69" s="9" t="s">
        <v>98</v>
      </c>
      <c r="C69" s="17" t="s">
        <v>1184</v>
      </c>
      <c r="D69" s="17" t="s">
        <v>1197</v>
      </c>
      <c r="E69" s="9" t="s">
        <v>25</v>
      </c>
      <c r="F69" s="9">
        <v>544.25</v>
      </c>
      <c r="G69" s="9">
        <f t="shared" si="3"/>
        <v>451.72749999999996</v>
      </c>
      <c r="H69" s="9">
        <v>5</v>
      </c>
      <c r="I69" s="9" t="s">
        <v>27</v>
      </c>
    </row>
    <row r="70" spans="1:9" x14ac:dyDescent="0.3">
      <c r="A70" s="20">
        <v>8000067</v>
      </c>
      <c r="B70" s="10" t="s">
        <v>99</v>
      </c>
      <c r="C70" s="29"/>
      <c r="D70" s="29"/>
      <c r="E70" s="10" t="s">
        <v>25</v>
      </c>
      <c r="F70" s="10">
        <v>645.5</v>
      </c>
      <c r="G70" s="10">
        <f t="shared" si="3"/>
        <v>535.76499999999999</v>
      </c>
      <c r="H70" s="10">
        <v>3</v>
      </c>
      <c r="I70" s="10" t="s">
        <v>27</v>
      </c>
    </row>
    <row r="71" spans="1:9" x14ac:dyDescent="0.3">
      <c r="A71" s="21">
        <v>8000068</v>
      </c>
      <c r="B71" s="9" t="s">
        <v>100</v>
      </c>
      <c r="C71" s="29"/>
      <c r="D71" s="29"/>
      <c r="E71" s="9" t="s">
        <v>25</v>
      </c>
      <c r="F71" s="9">
        <v>1317.5</v>
      </c>
      <c r="G71" s="9">
        <f t="shared" si="3"/>
        <v>1093.5250000000001</v>
      </c>
      <c r="H71" s="9">
        <v>2</v>
      </c>
      <c r="I71" s="9" t="s">
        <v>27</v>
      </c>
    </row>
    <row r="72" spans="1:9" x14ac:dyDescent="0.3">
      <c r="A72" s="20">
        <v>8000069</v>
      </c>
      <c r="B72" s="10" t="s">
        <v>101</v>
      </c>
      <c r="C72" s="18" t="s">
        <v>1185</v>
      </c>
      <c r="D72" s="18" t="s">
        <v>1197</v>
      </c>
      <c r="E72" s="10" t="s">
        <v>25</v>
      </c>
      <c r="F72" s="10">
        <v>8.25</v>
      </c>
      <c r="G72" s="10">
        <f t="shared" si="3"/>
        <v>6.8475000000000001</v>
      </c>
      <c r="H72" s="10">
        <v>4</v>
      </c>
      <c r="I72" s="10" t="s">
        <v>27</v>
      </c>
    </row>
    <row r="73" spans="1:9" x14ac:dyDescent="0.3">
      <c r="A73" s="21">
        <v>8000070</v>
      </c>
      <c r="B73" s="9" t="s">
        <v>102</v>
      </c>
      <c r="C73" s="29"/>
      <c r="D73" s="29"/>
      <c r="E73" s="9" t="s">
        <v>25</v>
      </c>
      <c r="F73" s="9">
        <v>12</v>
      </c>
      <c r="G73" s="9">
        <f t="shared" si="3"/>
        <v>9.9600000000000009</v>
      </c>
      <c r="H73" s="9">
        <v>10</v>
      </c>
      <c r="I73" s="9" t="s">
        <v>27</v>
      </c>
    </row>
    <row r="74" spans="1:9" x14ac:dyDescent="0.3">
      <c r="A74" s="20">
        <v>8000071</v>
      </c>
      <c r="B74" s="10" t="s">
        <v>103</v>
      </c>
      <c r="C74" s="18" t="s">
        <v>1186</v>
      </c>
      <c r="D74" s="18" t="s">
        <v>1196</v>
      </c>
      <c r="E74" s="10" t="s">
        <v>25</v>
      </c>
      <c r="F74" s="10">
        <v>5.75</v>
      </c>
      <c r="G74" s="10">
        <f t="shared" si="3"/>
        <v>4.7725</v>
      </c>
      <c r="H74" s="10">
        <v>10</v>
      </c>
      <c r="I74" s="10" t="s">
        <v>27</v>
      </c>
    </row>
    <row r="75" spans="1:9" x14ac:dyDescent="0.3">
      <c r="A75" s="21">
        <v>8000072</v>
      </c>
      <c r="B75" s="9" t="s">
        <v>104</v>
      </c>
      <c r="C75" s="29"/>
      <c r="D75" s="29"/>
      <c r="E75" s="9" t="s">
        <v>25</v>
      </c>
      <c r="F75" s="9">
        <v>7.5</v>
      </c>
      <c r="G75" s="9">
        <f t="shared" si="3"/>
        <v>6.2249999999999996</v>
      </c>
      <c r="H75" s="9">
        <v>20</v>
      </c>
      <c r="I75" s="9" t="s">
        <v>27</v>
      </c>
    </row>
    <row r="76" spans="1:9" x14ac:dyDescent="0.3">
      <c r="A76" s="20">
        <v>8000073</v>
      </c>
      <c r="B76" s="10" t="s">
        <v>105</v>
      </c>
      <c r="C76" s="29"/>
      <c r="D76" s="29"/>
      <c r="E76" s="10" t="s">
        <v>25</v>
      </c>
      <c r="F76" s="10">
        <v>9.5</v>
      </c>
      <c r="G76" s="10">
        <f t="shared" si="3"/>
        <v>7.8849999999999998</v>
      </c>
      <c r="H76" s="10">
        <v>20</v>
      </c>
      <c r="I76" s="10" t="s">
        <v>27</v>
      </c>
    </row>
    <row r="77" spans="1:9" x14ac:dyDescent="0.3">
      <c r="A77" s="21">
        <v>8000074</v>
      </c>
      <c r="B77" s="9" t="s">
        <v>106</v>
      </c>
      <c r="C77" s="17" t="s">
        <v>1189</v>
      </c>
      <c r="D77" s="17" t="s">
        <v>1196</v>
      </c>
      <c r="E77" s="9" t="s">
        <v>25</v>
      </c>
      <c r="F77" s="9">
        <v>15</v>
      </c>
      <c r="G77" s="9">
        <f t="shared" si="3"/>
        <v>12.45</v>
      </c>
      <c r="H77" s="9">
        <v>50</v>
      </c>
      <c r="I77" s="9" t="s">
        <v>27</v>
      </c>
    </row>
    <row r="78" spans="1:9" x14ac:dyDescent="0.3">
      <c r="A78" s="20">
        <v>8000075</v>
      </c>
      <c r="B78" s="10" t="s">
        <v>107</v>
      </c>
      <c r="C78" s="18" t="s">
        <v>1188</v>
      </c>
      <c r="D78" s="18" t="s">
        <v>1195</v>
      </c>
      <c r="E78" s="10" t="s">
        <v>25</v>
      </c>
      <c r="F78" s="10">
        <v>100.25</v>
      </c>
      <c r="G78" s="10">
        <f t="shared" si="3"/>
        <v>83.207499999999996</v>
      </c>
      <c r="H78" s="10">
        <v>100</v>
      </c>
      <c r="I78" s="10" t="s">
        <v>27</v>
      </c>
    </row>
    <row r="79" spans="1:9" x14ac:dyDescent="0.3">
      <c r="A79" s="21">
        <v>8000076</v>
      </c>
      <c r="B79" s="9" t="s">
        <v>108</v>
      </c>
      <c r="C79" s="29"/>
      <c r="D79" s="29"/>
      <c r="E79" s="9" t="s">
        <v>25</v>
      </c>
      <c r="F79" s="9">
        <v>146.25</v>
      </c>
      <c r="G79" s="9">
        <f t="shared" si="3"/>
        <v>121.3875</v>
      </c>
      <c r="H79" s="9">
        <v>36</v>
      </c>
      <c r="I79" s="9" t="s">
        <v>27</v>
      </c>
    </row>
    <row r="80" spans="1:9" x14ac:dyDescent="0.3">
      <c r="A80" s="20">
        <v>8000077</v>
      </c>
      <c r="B80" s="10" t="s">
        <v>109</v>
      </c>
      <c r="C80" s="18" t="s">
        <v>1190</v>
      </c>
      <c r="D80" s="18" t="s">
        <v>1196</v>
      </c>
      <c r="E80" s="10" t="s">
        <v>25</v>
      </c>
      <c r="F80" s="10">
        <v>36.25</v>
      </c>
      <c r="G80" s="10">
        <f t="shared" si="3"/>
        <v>30.087499999999999</v>
      </c>
      <c r="H80" s="10">
        <v>100</v>
      </c>
      <c r="I80" s="10" t="s">
        <v>27</v>
      </c>
    </row>
    <row r="81" spans="1:9" x14ac:dyDescent="0.3">
      <c r="A81" s="21">
        <v>8000078</v>
      </c>
      <c r="B81" s="9" t="s">
        <v>110</v>
      </c>
      <c r="C81" s="29"/>
      <c r="D81" s="29"/>
      <c r="E81" s="9" t="s">
        <v>25</v>
      </c>
      <c r="F81" s="9">
        <v>61</v>
      </c>
      <c r="G81" s="9">
        <f t="shared" si="3"/>
        <v>50.629999999999995</v>
      </c>
      <c r="H81" s="9">
        <v>100</v>
      </c>
      <c r="I81" s="9" t="s">
        <v>27</v>
      </c>
    </row>
    <row r="82" spans="1:9" x14ac:dyDescent="0.3">
      <c r="A82" s="20">
        <v>8000079</v>
      </c>
      <c r="B82" s="10" t="s">
        <v>111</v>
      </c>
      <c r="C82" s="18" t="s">
        <v>1191</v>
      </c>
      <c r="D82" s="18" t="s">
        <v>1196</v>
      </c>
      <c r="E82" s="10" t="s">
        <v>25</v>
      </c>
      <c r="F82" s="10">
        <v>27.25</v>
      </c>
      <c r="G82" s="10">
        <f t="shared" si="3"/>
        <v>22.6175</v>
      </c>
      <c r="H82" s="10">
        <v>50</v>
      </c>
      <c r="I82" s="10" t="s">
        <v>27</v>
      </c>
    </row>
    <row r="83" spans="1:9" x14ac:dyDescent="0.3">
      <c r="A83" s="21">
        <v>8000080</v>
      </c>
      <c r="B83" s="9" t="s">
        <v>112</v>
      </c>
      <c r="C83" s="29"/>
      <c r="D83" s="29"/>
      <c r="E83" s="9" t="s">
        <v>25</v>
      </c>
      <c r="F83" s="9">
        <v>35.25</v>
      </c>
      <c r="G83" s="9">
        <f t="shared" si="3"/>
        <v>29.2575</v>
      </c>
      <c r="H83" s="9">
        <v>50</v>
      </c>
      <c r="I83" s="9" t="s">
        <v>27</v>
      </c>
    </row>
    <row r="84" spans="1:9" x14ac:dyDescent="0.3">
      <c r="A84" s="20">
        <v>8000081</v>
      </c>
      <c r="B84" s="10" t="s">
        <v>113</v>
      </c>
      <c r="C84" s="18" t="s">
        <v>1192</v>
      </c>
      <c r="D84" s="18" t="s">
        <v>1196</v>
      </c>
      <c r="E84" s="10" t="s">
        <v>25</v>
      </c>
      <c r="F84" s="10">
        <v>28.75</v>
      </c>
      <c r="G84" s="10">
        <f t="shared" si="3"/>
        <v>23.862500000000001</v>
      </c>
      <c r="H84" s="10">
        <v>10</v>
      </c>
      <c r="I84" s="10" t="s">
        <v>27</v>
      </c>
    </row>
    <row r="85" spans="1:9" x14ac:dyDescent="0.3">
      <c r="A85" s="21">
        <v>8000082</v>
      </c>
      <c r="B85" s="9" t="s">
        <v>114</v>
      </c>
      <c r="C85" s="29"/>
      <c r="D85" s="29"/>
      <c r="E85" s="9" t="s">
        <v>25</v>
      </c>
      <c r="F85" s="9">
        <v>40</v>
      </c>
      <c r="G85" s="9">
        <f t="shared" si="3"/>
        <v>33.200000000000003</v>
      </c>
      <c r="H85" s="9">
        <v>10</v>
      </c>
      <c r="I85" s="9" t="s">
        <v>27</v>
      </c>
    </row>
  </sheetData>
  <pageMargins left="0.7" right="0.7" top="0.75" bottom="0.75" header="0.3" footer="0.3"/>
  <pageSetup scale="41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7FFD0-2DB4-476F-A703-60FB68C86725}">
  <sheetPr>
    <pageSetUpPr fitToPage="1"/>
  </sheetPr>
  <dimension ref="A1:AI43"/>
  <sheetViews>
    <sheetView workbookViewId="0">
      <selection activeCell="B13" sqref="B13"/>
    </sheetView>
  </sheetViews>
  <sheetFormatPr defaultRowHeight="21" x14ac:dyDescent="0.3"/>
  <cols>
    <col min="1" max="1" width="18.77734375" style="16" customWidth="1"/>
    <col min="2" max="2" width="73.6640625" style="16" customWidth="1"/>
    <col min="3" max="3" width="73.6640625" style="19" customWidth="1"/>
    <col min="4" max="4" width="25.77734375" style="19" customWidth="1"/>
    <col min="5" max="5" width="20" style="16" customWidth="1"/>
    <col min="6" max="6" width="11.6640625" style="16" customWidth="1"/>
    <col min="7" max="7" width="12.77734375" style="16" customWidth="1"/>
    <col min="8" max="8" width="12.44140625" style="16" customWidth="1"/>
    <col min="9" max="9" width="14.33203125" style="16" customWidth="1"/>
  </cols>
  <sheetData>
    <row r="1" spans="1:35" s="3" customFormat="1" ht="17.7" customHeight="1" x14ac:dyDescent="0.3">
      <c r="A1" s="9" t="s">
        <v>1</v>
      </c>
      <c r="B1" s="9" t="s">
        <v>2</v>
      </c>
      <c r="C1" s="17" t="s">
        <v>1193</v>
      </c>
      <c r="D1" s="17" t="s">
        <v>1194</v>
      </c>
      <c r="E1" s="9" t="s">
        <v>3</v>
      </c>
      <c r="F1" s="9" t="s">
        <v>5</v>
      </c>
      <c r="G1" s="9" t="s">
        <v>12</v>
      </c>
      <c r="H1" s="9" t="s">
        <v>6</v>
      </c>
      <c r="I1" s="9" t="s">
        <v>8</v>
      </c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s="42" customFormat="1" x14ac:dyDescent="0.3">
      <c r="A2" s="40">
        <v>8300002</v>
      </c>
      <c r="B2" s="48" t="s">
        <v>1318</v>
      </c>
      <c r="C2" s="46" t="s">
        <v>1319</v>
      </c>
      <c r="D2" s="46" t="s">
        <v>1328</v>
      </c>
      <c r="E2" s="41" t="s">
        <v>25</v>
      </c>
      <c r="F2" s="41"/>
      <c r="G2" s="41">
        <f>F2-F2*17%</f>
        <v>0</v>
      </c>
      <c r="H2" s="41">
        <v>15</v>
      </c>
      <c r="I2" s="41" t="s">
        <v>437</v>
      </c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x14ac:dyDescent="0.3">
      <c r="A3" s="20">
        <v>8300003</v>
      </c>
      <c r="B3" s="10" t="s">
        <v>1320</v>
      </c>
      <c r="C3" s="29"/>
      <c r="D3" s="29"/>
      <c r="E3" s="10" t="s">
        <v>25</v>
      </c>
      <c r="F3" s="10"/>
      <c r="G3" s="10">
        <v>0</v>
      </c>
      <c r="H3" s="10">
        <v>15</v>
      </c>
      <c r="I3" s="10" t="s">
        <v>437</v>
      </c>
    </row>
    <row r="4" spans="1:35" x14ac:dyDescent="0.3">
      <c r="A4" s="21">
        <v>8300004</v>
      </c>
      <c r="B4" s="9" t="s">
        <v>1321</v>
      </c>
      <c r="C4" s="29"/>
      <c r="D4" s="29"/>
      <c r="E4" s="9" t="s">
        <v>25</v>
      </c>
      <c r="F4" s="9"/>
      <c r="G4" s="9">
        <f t="shared" ref="G4:G31" si="0">F4-F4*11%</f>
        <v>0</v>
      </c>
      <c r="H4" s="9">
        <v>15</v>
      </c>
      <c r="I4" s="9" t="s">
        <v>437</v>
      </c>
    </row>
    <row r="5" spans="1:35" x14ac:dyDescent="0.3">
      <c r="A5" s="20">
        <v>8300005</v>
      </c>
      <c r="B5" s="10" t="s">
        <v>1322</v>
      </c>
      <c r="C5" s="29"/>
      <c r="D5" s="29"/>
      <c r="E5" s="10" t="s">
        <v>25</v>
      </c>
      <c r="F5" s="10"/>
      <c r="G5" s="10">
        <f t="shared" si="0"/>
        <v>0</v>
      </c>
      <c r="H5" s="10">
        <v>15</v>
      </c>
      <c r="I5" s="10" t="s">
        <v>437</v>
      </c>
    </row>
    <row r="6" spans="1:35" x14ac:dyDescent="0.3">
      <c r="A6" s="21">
        <v>8300006</v>
      </c>
      <c r="B6" s="9" t="s">
        <v>1323</v>
      </c>
      <c r="C6" s="29"/>
      <c r="D6" s="29"/>
      <c r="E6" s="9" t="s">
        <v>25</v>
      </c>
      <c r="F6" s="9"/>
      <c r="G6" s="9">
        <f t="shared" si="0"/>
        <v>0</v>
      </c>
      <c r="H6" s="9">
        <v>15</v>
      </c>
      <c r="I6" s="9" t="s">
        <v>437</v>
      </c>
    </row>
    <row r="7" spans="1:35" x14ac:dyDescent="0.3">
      <c r="A7" s="20">
        <v>8300007</v>
      </c>
      <c r="B7" s="10" t="s">
        <v>1324</v>
      </c>
      <c r="C7" s="29"/>
      <c r="D7" s="29"/>
      <c r="E7" s="10" t="s">
        <v>25</v>
      </c>
      <c r="F7" s="10"/>
      <c r="G7" s="10">
        <f t="shared" si="0"/>
        <v>0</v>
      </c>
      <c r="H7" s="10">
        <v>15</v>
      </c>
      <c r="I7" s="10" t="s">
        <v>437</v>
      </c>
    </row>
    <row r="8" spans="1:35" x14ac:dyDescent="0.3">
      <c r="A8" s="21">
        <v>8300008</v>
      </c>
      <c r="B8" s="9" t="s">
        <v>1325</v>
      </c>
      <c r="C8" s="29"/>
      <c r="D8" s="29"/>
      <c r="E8" s="9" t="s">
        <v>25</v>
      </c>
      <c r="F8" s="9"/>
      <c r="G8" s="9">
        <f t="shared" si="0"/>
        <v>0</v>
      </c>
      <c r="H8" s="9">
        <v>15</v>
      </c>
      <c r="I8" s="9" t="s">
        <v>437</v>
      </c>
    </row>
    <row r="9" spans="1:35" x14ac:dyDescent="0.3">
      <c r="A9" s="20">
        <v>8300009</v>
      </c>
      <c r="B9" s="10" t="s">
        <v>445</v>
      </c>
      <c r="C9" s="18" t="s">
        <v>1298</v>
      </c>
      <c r="D9" s="18" t="s">
        <v>1329</v>
      </c>
      <c r="E9" s="10" t="s">
        <v>25</v>
      </c>
      <c r="F9" s="10"/>
      <c r="G9" s="10">
        <f t="shared" si="0"/>
        <v>0</v>
      </c>
      <c r="H9" s="10">
        <v>20</v>
      </c>
      <c r="I9" s="10" t="s">
        <v>437</v>
      </c>
    </row>
    <row r="10" spans="1:35" x14ac:dyDescent="0.3">
      <c r="A10" s="21">
        <v>8300010</v>
      </c>
      <c r="B10" s="9" t="s">
        <v>446</v>
      </c>
      <c r="C10" s="29"/>
      <c r="D10" s="29"/>
      <c r="E10" s="9" t="s">
        <v>25</v>
      </c>
      <c r="F10" s="9"/>
      <c r="G10" s="9">
        <f t="shared" si="0"/>
        <v>0</v>
      </c>
      <c r="H10" s="9">
        <v>20</v>
      </c>
      <c r="I10" s="9" t="s">
        <v>437</v>
      </c>
    </row>
    <row r="11" spans="1:35" x14ac:dyDescent="0.3">
      <c r="A11" s="20">
        <v>8300011</v>
      </c>
      <c r="B11" s="10" t="s">
        <v>447</v>
      </c>
      <c r="C11" s="18" t="s">
        <v>447</v>
      </c>
      <c r="D11" s="18" t="s">
        <v>1198</v>
      </c>
      <c r="E11" s="10" t="s">
        <v>25</v>
      </c>
      <c r="F11" s="10"/>
      <c r="G11" s="10">
        <f t="shared" si="0"/>
        <v>0</v>
      </c>
      <c r="H11" s="10">
        <v>10</v>
      </c>
      <c r="I11" s="10" t="s">
        <v>437</v>
      </c>
    </row>
    <row r="12" spans="1:35" x14ac:dyDescent="0.3">
      <c r="A12" s="21">
        <v>8300012</v>
      </c>
      <c r="B12" s="9" t="s">
        <v>448</v>
      </c>
      <c r="C12" s="17" t="s">
        <v>1300</v>
      </c>
      <c r="D12" s="17" t="s">
        <v>1198</v>
      </c>
      <c r="E12" s="9" t="s">
        <v>25</v>
      </c>
      <c r="F12" s="9"/>
      <c r="G12" s="9">
        <f t="shared" si="0"/>
        <v>0</v>
      </c>
      <c r="H12" s="9">
        <v>10</v>
      </c>
      <c r="I12" s="9" t="s">
        <v>437</v>
      </c>
    </row>
    <row r="13" spans="1:35" x14ac:dyDescent="0.3">
      <c r="A13" s="20">
        <v>8300013</v>
      </c>
      <c r="B13" s="10" t="s">
        <v>449</v>
      </c>
      <c r="C13" s="29"/>
      <c r="D13" s="29"/>
      <c r="E13" s="10" t="s">
        <v>25</v>
      </c>
      <c r="F13" s="10"/>
      <c r="G13" s="10">
        <f t="shared" si="0"/>
        <v>0</v>
      </c>
      <c r="H13" s="10">
        <v>10</v>
      </c>
      <c r="I13" s="10" t="s">
        <v>437</v>
      </c>
    </row>
    <row r="14" spans="1:35" x14ac:dyDescent="0.3">
      <c r="A14" s="21">
        <v>8300014</v>
      </c>
      <c r="B14" s="9" t="s">
        <v>450</v>
      </c>
      <c r="C14" s="17" t="s">
        <v>1301</v>
      </c>
      <c r="D14" s="31" t="s">
        <v>1198</v>
      </c>
      <c r="E14" s="9" t="s">
        <v>25</v>
      </c>
      <c r="F14" s="9"/>
      <c r="G14" s="9">
        <f t="shared" si="0"/>
        <v>0</v>
      </c>
      <c r="H14" s="9">
        <v>5</v>
      </c>
      <c r="I14" s="9" t="s">
        <v>437</v>
      </c>
    </row>
    <row r="15" spans="1:35" x14ac:dyDescent="0.3">
      <c r="A15" s="20">
        <v>8300015</v>
      </c>
      <c r="B15" s="10" t="s">
        <v>451</v>
      </c>
      <c r="C15" s="18" t="s">
        <v>1304</v>
      </c>
      <c r="D15" s="18" t="s">
        <v>1197</v>
      </c>
      <c r="E15" s="10" t="s">
        <v>25</v>
      </c>
      <c r="F15" s="10"/>
      <c r="G15" s="10">
        <f t="shared" si="0"/>
        <v>0</v>
      </c>
      <c r="H15" s="10">
        <v>5</v>
      </c>
      <c r="I15" s="10" t="s">
        <v>437</v>
      </c>
    </row>
    <row r="16" spans="1:35" x14ac:dyDescent="0.3">
      <c r="A16" s="21">
        <v>8300016</v>
      </c>
      <c r="B16" s="9" t="s">
        <v>452</v>
      </c>
      <c r="C16" s="17" t="s">
        <v>1305</v>
      </c>
      <c r="D16" s="17" t="s">
        <v>35</v>
      </c>
      <c r="E16" s="9" t="s">
        <v>25</v>
      </c>
      <c r="F16" s="9"/>
      <c r="G16" s="9">
        <f t="shared" si="0"/>
        <v>0</v>
      </c>
      <c r="H16" s="9">
        <v>5</v>
      </c>
      <c r="I16" s="9" t="s">
        <v>437</v>
      </c>
    </row>
    <row r="17" spans="1:9" x14ac:dyDescent="0.3">
      <c r="A17" s="20">
        <v>8300017</v>
      </c>
      <c r="B17" s="10" t="s">
        <v>453</v>
      </c>
      <c r="C17" s="18" t="s">
        <v>1302</v>
      </c>
      <c r="D17" s="18" t="s">
        <v>1197</v>
      </c>
      <c r="E17" s="10" t="s">
        <v>25</v>
      </c>
      <c r="F17" s="10"/>
      <c r="G17" s="10">
        <f t="shared" si="0"/>
        <v>0</v>
      </c>
      <c r="H17" s="10">
        <v>5</v>
      </c>
      <c r="I17" s="10" t="s">
        <v>437</v>
      </c>
    </row>
    <row r="18" spans="1:9" x14ac:dyDescent="0.3">
      <c r="A18" s="21">
        <v>8300018</v>
      </c>
      <c r="B18" s="9" t="s">
        <v>454</v>
      </c>
      <c r="C18" s="17" t="s">
        <v>1303</v>
      </c>
      <c r="D18" s="31" t="s">
        <v>1197</v>
      </c>
      <c r="E18" s="9" t="s">
        <v>25</v>
      </c>
      <c r="F18" s="9"/>
      <c r="G18" s="9">
        <f t="shared" si="0"/>
        <v>0</v>
      </c>
      <c r="H18" s="9">
        <v>5</v>
      </c>
      <c r="I18" s="9" t="s">
        <v>437</v>
      </c>
    </row>
    <row r="19" spans="1:9" x14ac:dyDescent="0.3">
      <c r="A19" s="20">
        <v>8300019</v>
      </c>
      <c r="B19" s="10" t="s">
        <v>455</v>
      </c>
      <c r="C19" s="29"/>
      <c r="D19" s="29"/>
      <c r="E19" s="10" t="s">
        <v>25</v>
      </c>
      <c r="F19" s="10"/>
      <c r="G19" s="10">
        <f t="shared" si="0"/>
        <v>0</v>
      </c>
      <c r="H19" s="10">
        <v>5</v>
      </c>
      <c r="I19" s="10" t="s">
        <v>437</v>
      </c>
    </row>
    <row r="20" spans="1:9" x14ac:dyDescent="0.3">
      <c r="A20" s="21">
        <v>8300020</v>
      </c>
      <c r="B20" s="9" t="s">
        <v>456</v>
      </c>
      <c r="C20" s="17" t="s">
        <v>456</v>
      </c>
      <c r="D20" s="17" t="s">
        <v>1197</v>
      </c>
      <c r="E20" s="9" t="s">
        <v>25</v>
      </c>
      <c r="F20" s="9"/>
      <c r="G20" s="9">
        <f t="shared" si="0"/>
        <v>0</v>
      </c>
      <c r="H20" s="9">
        <v>5</v>
      </c>
      <c r="I20" s="9" t="s">
        <v>437</v>
      </c>
    </row>
    <row r="21" spans="1:9" x14ac:dyDescent="0.3">
      <c r="A21" s="20">
        <v>8300021</v>
      </c>
      <c r="B21" s="10" t="s">
        <v>457</v>
      </c>
      <c r="C21" s="18" t="s">
        <v>457</v>
      </c>
      <c r="D21" s="18" t="s">
        <v>35</v>
      </c>
      <c r="E21" s="10" t="s">
        <v>25</v>
      </c>
      <c r="F21" s="10"/>
      <c r="G21" s="10">
        <f t="shared" si="0"/>
        <v>0</v>
      </c>
      <c r="H21" s="10">
        <v>10</v>
      </c>
      <c r="I21" s="10" t="s">
        <v>437</v>
      </c>
    </row>
    <row r="22" spans="1:9" x14ac:dyDescent="0.3">
      <c r="A22" s="21">
        <v>8300022</v>
      </c>
      <c r="B22" s="9" t="s">
        <v>458</v>
      </c>
      <c r="C22" s="17" t="s">
        <v>458</v>
      </c>
      <c r="D22" s="17" t="s">
        <v>1330</v>
      </c>
      <c r="E22" s="9" t="s">
        <v>25</v>
      </c>
      <c r="F22" s="9"/>
      <c r="G22" s="9">
        <f t="shared" si="0"/>
        <v>0</v>
      </c>
      <c r="H22" s="9">
        <v>1</v>
      </c>
      <c r="I22" s="9" t="s">
        <v>437</v>
      </c>
    </row>
    <row r="23" spans="1:9" x14ac:dyDescent="0.3">
      <c r="A23" s="20">
        <v>8300023</v>
      </c>
      <c r="B23" s="10" t="s">
        <v>459</v>
      </c>
      <c r="C23" s="18" t="s">
        <v>1307</v>
      </c>
      <c r="D23" s="32" t="s">
        <v>1330</v>
      </c>
      <c r="E23" s="10" t="s">
        <v>25</v>
      </c>
      <c r="F23" s="10"/>
      <c r="G23" s="10">
        <f t="shared" si="0"/>
        <v>0</v>
      </c>
      <c r="H23" s="10">
        <v>15</v>
      </c>
      <c r="I23" s="10" t="s">
        <v>437</v>
      </c>
    </row>
    <row r="24" spans="1:9" x14ac:dyDescent="0.3">
      <c r="A24" s="21">
        <v>8300024</v>
      </c>
      <c r="B24" s="9" t="s">
        <v>460</v>
      </c>
      <c r="C24" s="17" t="s">
        <v>1308</v>
      </c>
      <c r="D24" s="17" t="s">
        <v>1197</v>
      </c>
      <c r="E24" s="9" t="s">
        <v>25</v>
      </c>
      <c r="F24" s="9"/>
      <c r="G24" s="9">
        <f t="shared" si="0"/>
        <v>0</v>
      </c>
      <c r="H24" s="9">
        <v>5</v>
      </c>
      <c r="I24" s="9" t="s">
        <v>437</v>
      </c>
    </row>
    <row r="25" spans="1:9" x14ac:dyDescent="0.3">
      <c r="A25" s="20">
        <v>8300025</v>
      </c>
      <c r="B25" s="10" t="s">
        <v>461</v>
      </c>
      <c r="C25" s="29"/>
      <c r="D25" s="29"/>
      <c r="E25" s="10" t="s">
        <v>25</v>
      </c>
      <c r="F25" s="10"/>
      <c r="G25" s="10">
        <f t="shared" si="0"/>
        <v>0</v>
      </c>
      <c r="H25" s="10">
        <v>5</v>
      </c>
      <c r="I25" s="10" t="s">
        <v>437</v>
      </c>
    </row>
    <row r="26" spans="1:9" x14ac:dyDescent="0.3">
      <c r="A26" s="21">
        <v>8300026</v>
      </c>
      <c r="B26" s="9" t="s">
        <v>462</v>
      </c>
      <c r="C26" s="17" t="s">
        <v>1309</v>
      </c>
      <c r="D26" s="17" t="s">
        <v>1197</v>
      </c>
      <c r="E26" s="9" t="s">
        <v>25</v>
      </c>
      <c r="F26" s="9"/>
      <c r="G26" s="9">
        <f t="shared" si="0"/>
        <v>0</v>
      </c>
      <c r="H26" s="9">
        <v>5</v>
      </c>
      <c r="I26" s="9" t="s">
        <v>437</v>
      </c>
    </row>
    <row r="27" spans="1:9" x14ac:dyDescent="0.3">
      <c r="A27" s="20">
        <v>8300027</v>
      </c>
      <c r="B27" s="47" t="s">
        <v>1310</v>
      </c>
      <c r="C27" s="29"/>
      <c r="D27" s="29"/>
      <c r="E27" s="10" t="s">
        <v>25</v>
      </c>
      <c r="F27" s="10"/>
      <c r="G27" s="10">
        <f t="shared" si="0"/>
        <v>0</v>
      </c>
      <c r="H27" s="10">
        <v>5</v>
      </c>
      <c r="I27" s="10" t="s">
        <v>437</v>
      </c>
    </row>
    <row r="28" spans="1:9" x14ac:dyDescent="0.3">
      <c r="A28" s="21">
        <v>8300028</v>
      </c>
      <c r="B28" s="9" t="s">
        <v>464</v>
      </c>
      <c r="C28" s="17" t="s">
        <v>1306</v>
      </c>
      <c r="D28" s="17" t="s">
        <v>1197</v>
      </c>
      <c r="E28" s="9" t="s">
        <v>25</v>
      </c>
      <c r="F28" s="9"/>
      <c r="G28" s="9">
        <f t="shared" si="0"/>
        <v>0</v>
      </c>
      <c r="H28" s="9">
        <v>5</v>
      </c>
      <c r="I28" s="9" t="s">
        <v>437</v>
      </c>
    </row>
    <row r="29" spans="1:9" x14ac:dyDescent="0.3">
      <c r="A29" s="20">
        <v>8300029</v>
      </c>
      <c r="B29" s="10" t="s">
        <v>465</v>
      </c>
      <c r="C29" s="18" t="s">
        <v>1311</v>
      </c>
      <c r="D29" s="32" t="s">
        <v>1197</v>
      </c>
      <c r="E29" s="10" t="s">
        <v>25</v>
      </c>
      <c r="F29" s="10"/>
      <c r="G29" s="10">
        <f t="shared" si="0"/>
        <v>0</v>
      </c>
      <c r="H29" s="10">
        <v>5</v>
      </c>
      <c r="I29" s="10" t="s">
        <v>437</v>
      </c>
    </row>
    <row r="30" spans="1:9" x14ac:dyDescent="0.3">
      <c r="A30" s="21">
        <v>8300030</v>
      </c>
      <c r="B30" s="9" t="s">
        <v>466</v>
      </c>
      <c r="C30" s="29"/>
      <c r="D30" s="29"/>
      <c r="E30" s="9" t="s">
        <v>25</v>
      </c>
      <c r="F30" s="9"/>
      <c r="G30" s="9">
        <f t="shared" si="0"/>
        <v>0</v>
      </c>
      <c r="H30" s="9">
        <v>5</v>
      </c>
      <c r="I30" s="9" t="s">
        <v>437</v>
      </c>
    </row>
    <row r="31" spans="1:9" x14ac:dyDescent="0.3">
      <c r="A31" s="20">
        <v>8300031</v>
      </c>
      <c r="B31" s="10" t="s">
        <v>467</v>
      </c>
      <c r="C31" s="29"/>
      <c r="D31" s="29"/>
      <c r="E31" s="10" t="s">
        <v>25</v>
      </c>
      <c r="F31" s="10"/>
      <c r="G31" s="10">
        <f t="shared" si="0"/>
        <v>0</v>
      </c>
      <c r="H31" s="10">
        <v>5</v>
      </c>
      <c r="I31" s="10" t="s">
        <v>437</v>
      </c>
    </row>
    <row r="32" spans="1:9" x14ac:dyDescent="0.3">
      <c r="A32" s="20">
        <v>8300001</v>
      </c>
      <c r="B32" s="47" t="s">
        <v>1312</v>
      </c>
      <c r="C32" s="18" t="s">
        <v>1313</v>
      </c>
      <c r="D32" s="18" t="s">
        <v>1197</v>
      </c>
      <c r="E32" s="10" t="s">
        <v>25</v>
      </c>
      <c r="F32" s="10"/>
      <c r="G32" s="10">
        <f>F32-F32*17%</f>
        <v>0</v>
      </c>
      <c r="H32" s="10">
        <v>2</v>
      </c>
      <c r="I32" s="10" t="s">
        <v>437</v>
      </c>
    </row>
    <row r="33" spans="1:9" x14ac:dyDescent="0.3">
      <c r="A33" s="21">
        <v>8300032</v>
      </c>
      <c r="B33" s="9" t="s">
        <v>468</v>
      </c>
      <c r="C33" s="17" t="s">
        <v>1314</v>
      </c>
      <c r="D33" s="17" t="s">
        <v>1197</v>
      </c>
      <c r="E33" s="9" t="s">
        <v>25</v>
      </c>
      <c r="F33" s="9"/>
      <c r="G33" s="9">
        <f t="shared" ref="G33:G43" si="1">F33-F33*11%</f>
        <v>0</v>
      </c>
      <c r="H33" s="9">
        <v>5</v>
      </c>
      <c r="I33" s="9" t="s">
        <v>437</v>
      </c>
    </row>
    <row r="34" spans="1:9" x14ac:dyDescent="0.3">
      <c r="A34" s="20">
        <v>8300033</v>
      </c>
      <c r="B34" s="10" t="s">
        <v>469</v>
      </c>
      <c r="C34" s="18" t="s">
        <v>469</v>
      </c>
      <c r="D34" s="18" t="s">
        <v>1197</v>
      </c>
      <c r="E34" s="10" t="s">
        <v>25</v>
      </c>
      <c r="F34" s="10"/>
      <c r="G34" s="10">
        <f t="shared" si="1"/>
        <v>0</v>
      </c>
      <c r="H34" s="10">
        <v>5</v>
      </c>
      <c r="I34" s="10" t="s">
        <v>437</v>
      </c>
    </row>
    <row r="35" spans="1:9" x14ac:dyDescent="0.3">
      <c r="A35" s="21">
        <v>8300034</v>
      </c>
      <c r="B35" s="9" t="s">
        <v>470</v>
      </c>
      <c r="C35" s="17" t="s">
        <v>1315</v>
      </c>
      <c r="D35" s="17" t="s">
        <v>1198</v>
      </c>
      <c r="E35" s="9" t="s">
        <v>25</v>
      </c>
      <c r="F35" s="9"/>
      <c r="G35" s="9">
        <f t="shared" si="1"/>
        <v>0</v>
      </c>
      <c r="H35" s="9">
        <v>5</v>
      </c>
      <c r="I35" s="9" t="s">
        <v>437</v>
      </c>
    </row>
    <row r="36" spans="1:9" x14ac:dyDescent="0.3">
      <c r="A36" s="20">
        <v>8300035</v>
      </c>
      <c r="B36" s="10" t="s">
        <v>471</v>
      </c>
      <c r="C36" s="18" t="s">
        <v>471</v>
      </c>
      <c r="D36" s="18" t="s">
        <v>1198</v>
      </c>
      <c r="E36" s="10" t="s">
        <v>25</v>
      </c>
      <c r="F36" s="10"/>
      <c r="G36" s="10">
        <f t="shared" si="1"/>
        <v>0</v>
      </c>
      <c r="H36" s="10">
        <v>5</v>
      </c>
      <c r="I36" s="10" t="s">
        <v>437</v>
      </c>
    </row>
    <row r="37" spans="1:9" x14ac:dyDescent="0.3">
      <c r="A37" s="21">
        <v>8300036</v>
      </c>
      <c r="B37" s="9" t="s">
        <v>472</v>
      </c>
      <c r="C37" s="17" t="s">
        <v>1316</v>
      </c>
      <c r="D37" s="17" t="s">
        <v>35</v>
      </c>
      <c r="E37" s="9" t="s">
        <v>25</v>
      </c>
      <c r="F37" s="9"/>
      <c r="G37" s="9">
        <f t="shared" si="1"/>
        <v>0</v>
      </c>
      <c r="H37" s="9">
        <v>5</v>
      </c>
      <c r="I37" s="9" t="s">
        <v>437</v>
      </c>
    </row>
    <row r="38" spans="1:9" x14ac:dyDescent="0.3">
      <c r="A38" s="21">
        <v>8300038</v>
      </c>
      <c r="B38" s="9" t="s">
        <v>474</v>
      </c>
      <c r="C38" s="29"/>
      <c r="D38" s="29"/>
      <c r="E38" s="9" t="s">
        <v>25</v>
      </c>
      <c r="F38" s="9"/>
      <c r="G38" s="9">
        <f t="shared" si="1"/>
        <v>0</v>
      </c>
      <c r="H38" s="9">
        <v>5</v>
      </c>
      <c r="I38" s="9" t="s">
        <v>437</v>
      </c>
    </row>
    <row r="39" spans="1:9" x14ac:dyDescent="0.3">
      <c r="A39" s="20">
        <v>8300037</v>
      </c>
      <c r="B39" s="10" t="s">
        <v>473</v>
      </c>
      <c r="C39" s="18" t="s">
        <v>1317</v>
      </c>
      <c r="D39" s="18" t="s">
        <v>35</v>
      </c>
      <c r="E39" s="10" t="s">
        <v>25</v>
      </c>
      <c r="F39" s="10"/>
      <c r="G39" s="10">
        <f t="shared" si="1"/>
        <v>0</v>
      </c>
      <c r="H39" s="10">
        <v>5</v>
      </c>
      <c r="I39" s="10" t="s">
        <v>437</v>
      </c>
    </row>
    <row r="40" spans="1:9" x14ac:dyDescent="0.3">
      <c r="A40" s="20">
        <v>8300039</v>
      </c>
      <c r="B40" s="10" t="s">
        <v>475</v>
      </c>
      <c r="C40" s="18" t="s">
        <v>475</v>
      </c>
      <c r="D40" s="18" t="s">
        <v>35</v>
      </c>
      <c r="E40" s="10" t="s">
        <v>25</v>
      </c>
      <c r="F40" s="10"/>
      <c r="G40" s="10">
        <f t="shared" si="1"/>
        <v>0</v>
      </c>
      <c r="H40" s="10">
        <v>5</v>
      </c>
      <c r="I40" s="10" t="s">
        <v>437</v>
      </c>
    </row>
    <row r="41" spans="1:9" x14ac:dyDescent="0.3">
      <c r="A41" s="21">
        <v>8300044</v>
      </c>
      <c r="B41" s="9" t="s">
        <v>480</v>
      </c>
      <c r="C41" s="17" t="s">
        <v>1326</v>
      </c>
      <c r="D41" s="17" t="s">
        <v>35</v>
      </c>
      <c r="E41" s="9" t="s">
        <v>25</v>
      </c>
      <c r="F41" s="9"/>
      <c r="G41" s="9">
        <f t="shared" si="1"/>
        <v>0</v>
      </c>
      <c r="H41" s="9">
        <v>5</v>
      </c>
      <c r="I41" s="9" t="s">
        <v>437</v>
      </c>
    </row>
    <row r="42" spans="1:9" x14ac:dyDescent="0.3">
      <c r="A42" s="20">
        <v>8300045</v>
      </c>
      <c r="B42" s="10" t="s">
        <v>481</v>
      </c>
      <c r="C42" s="18" t="s">
        <v>1299</v>
      </c>
      <c r="D42" s="18" t="s">
        <v>35</v>
      </c>
      <c r="E42" s="10" t="s">
        <v>25</v>
      </c>
      <c r="F42" s="10"/>
      <c r="G42" s="10">
        <f t="shared" si="1"/>
        <v>0</v>
      </c>
      <c r="H42" s="10">
        <v>5</v>
      </c>
      <c r="I42" s="10" t="s">
        <v>437</v>
      </c>
    </row>
    <row r="43" spans="1:9" x14ac:dyDescent="0.3">
      <c r="A43" s="21">
        <v>8300046</v>
      </c>
      <c r="B43" s="9" t="s">
        <v>482</v>
      </c>
      <c r="C43" s="17" t="s">
        <v>1327</v>
      </c>
      <c r="D43" s="17" t="s">
        <v>35</v>
      </c>
      <c r="E43" s="9" t="s">
        <v>25</v>
      </c>
      <c r="F43" s="9"/>
      <c r="G43" s="9">
        <f t="shared" si="1"/>
        <v>0</v>
      </c>
      <c r="H43" s="9">
        <v>5</v>
      </c>
      <c r="I43" s="9" t="s">
        <v>437</v>
      </c>
    </row>
  </sheetData>
  <pageMargins left="0.7" right="0.7" top="0.75" bottom="0.75" header="0.3" footer="0.3"/>
  <pageSetup scale="34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17F89-F8E4-4B63-BECC-9E0AC7B76A47}">
  <sheetPr>
    <pageSetUpPr fitToPage="1"/>
  </sheetPr>
  <dimension ref="A1:I147"/>
  <sheetViews>
    <sheetView topLeftCell="C132" workbookViewId="0">
      <selection activeCell="C145" sqref="C145"/>
    </sheetView>
  </sheetViews>
  <sheetFormatPr defaultRowHeight="21" x14ac:dyDescent="0.3"/>
  <cols>
    <col min="1" max="1" width="18.77734375" style="16" customWidth="1"/>
    <col min="2" max="2" width="84.21875" style="16" customWidth="1"/>
    <col min="3" max="3" width="73.6640625" style="19" customWidth="1"/>
    <col min="4" max="4" width="25.88671875" style="19" customWidth="1"/>
    <col min="5" max="5" width="20" style="16" customWidth="1"/>
    <col min="6" max="6" width="11.6640625" style="16" customWidth="1"/>
    <col min="7" max="7" width="12.44140625" style="16" customWidth="1"/>
    <col min="8" max="8" width="14.33203125" style="16" customWidth="1"/>
    <col min="9" max="9" width="12.77734375" style="16" customWidth="1"/>
  </cols>
  <sheetData>
    <row r="1" spans="1:9" x14ac:dyDescent="0.3">
      <c r="A1" s="9" t="s">
        <v>1</v>
      </c>
      <c r="B1" s="9" t="s">
        <v>2</v>
      </c>
      <c r="C1" s="17" t="s">
        <v>1193</v>
      </c>
      <c r="D1" s="17" t="s">
        <v>1194</v>
      </c>
      <c r="E1" s="9" t="s">
        <v>3</v>
      </c>
      <c r="F1" s="9" t="s">
        <v>5</v>
      </c>
      <c r="G1" s="9" t="s">
        <v>6</v>
      </c>
      <c r="H1" s="9" t="s">
        <v>8</v>
      </c>
      <c r="I1" s="9" t="s">
        <v>12</v>
      </c>
    </row>
    <row r="2" spans="1:9" x14ac:dyDescent="0.3">
      <c r="A2" s="20">
        <v>8100001</v>
      </c>
      <c r="B2" s="10" t="s">
        <v>115</v>
      </c>
      <c r="C2" s="18" t="s">
        <v>1200</v>
      </c>
      <c r="D2" s="18" t="s">
        <v>1331</v>
      </c>
      <c r="E2" s="10" t="s">
        <v>25</v>
      </c>
      <c r="F2" s="10">
        <v>57.75</v>
      </c>
      <c r="G2" s="10">
        <v>5</v>
      </c>
      <c r="H2" s="10" t="s">
        <v>116</v>
      </c>
      <c r="I2" s="10">
        <f t="shared" ref="I2:I49" si="0">F2-F2*17%</f>
        <v>47.932499999999997</v>
      </c>
    </row>
    <row r="3" spans="1:9" x14ac:dyDescent="0.3">
      <c r="A3" s="21">
        <v>8100002</v>
      </c>
      <c r="B3" s="9" t="s">
        <v>117</v>
      </c>
      <c r="C3" s="33"/>
      <c r="D3" s="33"/>
      <c r="E3" s="9" t="s">
        <v>25</v>
      </c>
      <c r="F3" s="9">
        <v>73.5</v>
      </c>
      <c r="G3" s="9">
        <v>5</v>
      </c>
      <c r="H3" s="9" t="s">
        <v>116</v>
      </c>
      <c r="I3" s="9">
        <f t="shared" si="0"/>
        <v>61.004999999999995</v>
      </c>
    </row>
    <row r="4" spans="1:9" x14ac:dyDescent="0.3">
      <c r="A4" s="20">
        <v>8100003</v>
      </c>
      <c r="B4" s="10" t="s">
        <v>118</v>
      </c>
      <c r="C4" s="33"/>
      <c r="D4" s="33"/>
      <c r="E4" s="10" t="s">
        <v>25</v>
      </c>
      <c r="F4" s="10">
        <v>88.5</v>
      </c>
      <c r="G4" s="10">
        <v>5</v>
      </c>
      <c r="H4" s="10" t="s">
        <v>116</v>
      </c>
      <c r="I4" s="10">
        <f t="shared" si="0"/>
        <v>73.454999999999998</v>
      </c>
    </row>
    <row r="5" spans="1:9" x14ac:dyDescent="0.3">
      <c r="A5" s="21">
        <v>8100004</v>
      </c>
      <c r="B5" s="9" t="s">
        <v>119</v>
      </c>
      <c r="C5" s="33"/>
      <c r="D5" s="33"/>
      <c r="E5" s="9" t="s">
        <v>25</v>
      </c>
      <c r="F5" s="9">
        <v>103.75</v>
      </c>
      <c r="G5" s="9">
        <v>5</v>
      </c>
      <c r="H5" s="9" t="s">
        <v>116</v>
      </c>
      <c r="I5" s="9">
        <f t="shared" si="0"/>
        <v>86.112499999999997</v>
      </c>
    </row>
    <row r="6" spans="1:9" x14ac:dyDescent="0.3">
      <c r="A6" s="20">
        <v>8100005</v>
      </c>
      <c r="B6" s="10" t="s">
        <v>120</v>
      </c>
      <c r="C6" s="33"/>
      <c r="D6" s="33"/>
      <c r="E6" s="10" t="s">
        <v>25</v>
      </c>
      <c r="F6" s="10">
        <v>201.75</v>
      </c>
      <c r="G6" s="10">
        <v>3</v>
      </c>
      <c r="H6" s="10" t="s">
        <v>116</v>
      </c>
      <c r="I6" s="10">
        <f t="shared" si="0"/>
        <v>167.45249999999999</v>
      </c>
    </row>
    <row r="7" spans="1:9" x14ac:dyDescent="0.3">
      <c r="A7" s="21">
        <v>8100006</v>
      </c>
      <c r="B7" s="9" t="s">
        <v>121</v>
      </c>
      <c r="C7" s="33"/>
      <c r="D7" s="33"/>
      <c r="E7" s="9" t="s">
        <v>25</v>
      </c>
      <c r="F7" s="9">
        <v>413.5</v>
      </c>
      <c r="G7" s="9">
        <v>2</v>
      </c>
      <c r="H7" s="9" t="s">
        <v>116</v>
      </c>
      <c r="I7" s="9">
        <f t="shared" si="0"/>
        <v>343.20499999999998</v>
      </c>
    </row>
    <row r="8" spans="1:9" x14ac:dyDescent="0.3">
      <c r="A8" s="20">
        <v>8100007</v>
      </c>
      <c r="B8" s="10" t="s">
        <v>122</v>
      </c>
      <c r="C8" s="34" t="s">
        <v>1202</v>
      </c>
      <c r="D8" s="34" t="s">
        <v>1332</v>
      </c>
      <c r="E8" s="10" t="s">
        <v>25</v>
      </c>
      <c r="F8" s="10">
        <v>94.25</v>
      </c>
      <c r="G8" s="10">
        <v>2</v>
      </c>
      <c r="H8" s="10" t="s">
        <v>116</v>
      </c>
      <c r="I8" s="10">
        <f t="shared" si="0"/>
        <v>78.227499999999992</v>
      </c>
    </row>
    <row r="9" spans="1:9" x14ac:dyDescent="0.3">
      <c r="A9" s="21">
        <v>8100008</v>
      </c>
      <c r="B9" s="9" t="s">
        <v>123</v>
      </c>
      <c r="C9" s="29"/>
      <c r="D9" s="29"/>
      <c r="E9" s="9" t="s">
        <v>25</v>
      </c>
      <c r="F9" s="9">
        <v>107.75</v>
      </c>
      <c r="G9" s="9">
        <v>2</v>
      </c>
      <c r="H9" s="9" t="s">
        <v>116</v>
      </c>
      <c r="I9" s="9">
        <f t="shared" si="0"/>
        <v>89.432500000000005</v>
      </c>
    </row>
    <row r="10" spans="1:9" x14ac:dyDescent="0.3">
      <c r="A10" s="20">
        <v>8100009</v>
      </c>
      <c r="B10" s="10" t="s">
        <v>124</v>
      </c>
      <c r="C10" s="29"/>
      <c r="D10" s="29"/>
      <c r="E10" s="10" t="s">
        <v>25</v>
      </c>
      <c r="F10" s="10">
        <v>219.5</v>
      </c>
      <c r="G10" s="10">
        <v>2</v>
      </c>
      <c r="H10" s="10" t="s">
        <v>116</v>
      </c>
      <c r="I10" s="10">
        <f t="shared" si="0"/>
        <v>182.185</v>
      </c>
    </row>
    <row r="11" spans="1:9" x14ac:dyDescent="0.3">
      <c r="A11" s="21">
        <v>8100010</v>
      </c>
      <c r="B11" s="9" t="s">
        <v>125</v>
      </c>
      <c r="C11" s="35" t="s">
        <v>1201</v>
      </c>
      <c r="D11" s="35" t="s">
        <v>1197</v>
      </c>
      <c r="E11" s="9" t="s">
        <v>25</v>
      </c>
      <c r="F11" s="9">
        <v>33.25</v>
      </c>
      <c r="G11" s="9">
        <v>20</v>
      </c>
      <c r="H11" s="9" t="s">
        <v>116</v>
      </c>
      <c r="I11" s="9">
        <f t="shared" si="0"/>
        <v>27.5975</v>
      </c>
    </row>
    <row r="12" spans="1:9" x14ac:dyDescent="0.3">
      <c r="A12" s="20">
        <v>8100011</v>
      </c>
      <c r="B12" s="10" t="s">
        <v>126</v>
      </c>
      <c r="C12" s="29"/>
      <c r="D12" s="29"/>
      <c r="E12" s="10" t="s">
        <v>25</v>
      </c>
      <c r="F12" s="10">
        <v>33.25</v>
      </c>
      <c r="G12" s="10">
        <v>20</v>
      </c>
      <c r="H12" s="10" t="s">
        <v>116</v>
      </c>
      <c r="I12" s="10">
        <f t="shared" si="0"/>
        <v>27.5975</v>
      </c>
    </row>
    <row r="13" spans="1:9" x14ac:dyDescent="0.3">
      <c r="A13" s="21">
        <v>8100012</v>
      </c>
      <c r="B13" s="9" t="s">
        <v>127</v>
      </c>
      <c r="C13" s="29"/>
      <c r="D13" s="29"/>
      <c r="E13" s="9" t="s">
        <v>25</v>
      </c>
      <c r="F13" s="9">
        <v>67.75</v>
      </c>
      <c r="G13" s="9">
        <v>10</v>
      </c>
      <c r="H13" s="9" t="s">
        <v>116</v>
      </c>
      <c r="I13" s="9">
        <f t="shared" si="0"/>
        <v>56.232500000000002</v>
      </c>
    </row>
    <row r="14" spans="1:9" x14ac:dyDescent="0.3">
      <c r="A14" s="20">
        <v>8100013</v>
      </c>
      <c r="B14" s="10" t="s">
        <v>128</v>
      </c>
      <c r="C14" s="29"/>
      <c r="D14" s="29"/>
      <c r="E14" s="10" t="s">
        <v>25</v>
      </c>
      <c r="F14" s="10">
        <v>67.75</v>
      </c>
      <c r="G14" s="10">
        <v>10</v>
      </c>
      <c r="H14" s="10" t="s">
        <v>116</v>
      </c>
      <c r="I14" s="10">
        <f t="shared" si="0"/>
        <v>56.232500000000002</v>
      </c>
    </row>
    <row r="15" spans="1:9" x14ac:dyDescent="0.3">
      <c r="A15" s="21">
        <v>8100014</v>
      </c>
      <c r="B15" s="9" t="s">
        <v>129</v>
      </c>
      <c r="C15" s="29"/>
      <c r="D15" s="29"/>
      <c r="E15" s="9" t="s">
        <v>25</v>
      </c>
      <c r="F15" s="9">
        <v>83</v>
      </c>
      <c r="G15" s="9">
        <v>10</v>
      </c>
      <c r="H15" s="9" t="s">
        <v>116</v>
      </c>
      <c r="I15" s="9">
        <f t="shared" si="0"/>
        <v>68.89</v>
      </c>
    </row>
    <row r="16" spans="1:9" x14ac:dyDescent="0.3">
      <c r="A16" s="20">
        <v>8100015</v>
      </c>
      <c r="B16" s="10" t="s">
        <v>130</v>
      </c>
      <c r="C16" s="29"/>
      <c r="D16" s="29"/>
      <c r="E16" s="10" t="s">
        <v>25</v>
      </c>
      <c r="F16" s="10">
        <v>196.5</v>
      </c>
      <c r="G16" s="10">
        <v>3</v>
      </c>
      <c r="H16" s="10" t="s">
        <v>116</v>
      </c>
      <c r="I16" s="10">
        <f t="shared" si="0"/>
        <v>163.095</v>
      </c>
    </row>
    <row r="17" spans="1:9" x14ac:dyDescent="0.3">
      <c r="A17" s="21">
        <v>8100016</v>
      </c>
      <c r="B17" s="9" t="s">
        <v>131</v>
      </c>
      <c r="C17" s="35" t="s">
        <v>1203</v>
      </c>
      <c r="D17" s="35" t="s">
        <v>1197</v>
      </c>
      <c r="E17" s="9" t="s">
        <v>25</v>
      </c>
      <c r="F17" s="9">
        <v>23.5</v>
      </c>
      <c r="G17" s="9">
        <v>20</v>
      </c>
      <c r="H17" s="9" t="s">
        <v>116</v>
      </c>
      <c r="I17" s="9">
        <f t="shared" si="0"/>
        <v>19.504999999999999</v>
      </c>
    </row>
    <row r="18" spans="1:9" x14ac:dyDescent="0.3">
      <c r="A18" s="20">
        <v>8100017</v>
      </c>
      <c r="B18" s="10" t="s">
        <v>132</v>
      </c>
      <c r="C18" s="29"/>
      <c r="D18" s="29"/>
      <c r="E18" s="10" t="s">
        <v>25</v>
      </c>
      <c r="F18" s="10">
        <v>51.5</v>
      </c>
      <c r="G18" s="10">
        <v>20</v>
      </c>
      <c r="H18" s="10" t="s">
        <v>116</v>
      </c>
      <c r="I18" s="10">
        <f t="shared" si="0"/>
        <v>42.744999999999997</v>
      </c>
    </row>
    <row r="19" spans="1:9" x14ac:dyDescent="0.3">
      <c r="A19" s="21">
        <v>8100018</v>
      </c>
      <c r="B19" s="9" t="s">
        <v>133</v>
      </c>
      <c r="C19" s="35" t="s">
        <v>1204</v>
      </c>
      <c r="D19" s="35" t="s">
        <v>1197</v>
      </c>
      <c r="E19" s="9" t="s">
        <v>25</v>
      </c>
      <c r="F19" s="9">
        <v>25.5</v>
      </c>
      <c r="G19" s="9">
        <v>20</v>
      </c>
      <c r="H19" s="9" t="s">
        <v>116</v>
      </c>
      <c r="I19" s="9">
        <f t="shared" si="0"/>
        <v>21.164999999999999</v>
      </c>
    </row>
    <row r="20" spans="1:9" x14ac:dyDescent="0.3">
      <c r="A20" s="20">
        <v>8100019</v>
      </c>
      <c r="B20" s="10" t="s">
        <v>134</v>
      </c>
      <c r="C20" s="29"/>
      <c r="D20" s="29"/>
      <c r="E20" s="10" t="s">
        <v>25</v>
      </c>
      <c r="F20" s="10">
        <v>34.5</v>
      </c>
      <c r="G20" s="10">
        <v>20</v>
      </c>
      <c r="H20" s="10" t="s">
        <v>116</v>
      </c>
      <c r="I20" s="10">
        <f t="shared" si="0"/>
        <v>28.634999999999998</v>
      </c>
    </row>
    <row r="21" spans="1:9" x14ac:dyDescent="0.3">
      <c r="A21" s="21">
        <v>8100020</v>
      </c>
      <c r="B21" s="9" t="s">
        <v>135</v>
      </c>
      <c r="C21" s="29"/>
      <c r="D21" s="29"/>
      <c r="E21" s="9" t="s">
        <v>25</v>
      </c>
      <c r="F21" s="9">
        <v>48.5</v>
      </c>
      <c r="G21" s="9">
        <v>10</v>
      </c>
      <c r="H21" s="9" t="s">
        <v>116</v>
      </c>
      <c r="I21" s="9">
        <f t="shared" si="0"/>
        <v>40.254999999999995</v>
      </c>
    </row>
    <row r="22" spans="1:9" x14ac:dyDescent="0.3">
      <c r="A22" s="20">
        <v>8100021</v>
      </c>
      <c r="B22" s="10" t="s">
        <v>136</v>
      </c>
      <c r="C22" s="29"/>
      <c r="D22" s="29"/>
      <c r="E22" s="10" t="s">
        <v>25</v>
      </c>
      <c r="F22" s="10">
        <v>53.25</v>
      </c>
      <c r="G22" s="10">
        <v>10</v>
      </c>
      <c r="H22" s="10" t="s">
        <v>116</v>
      </c>
      <c r="I22" s="10">
        <f t="shared" si="0"/>
        <v>44.197499999999998</v>
      </c>
    </row>
    <row r="23" spans="1:9" x14ac:dyDescent="0.3">
      <c r="A23" s="21">
        <v>8100022</v>
      </c>
      <c r="B23" s="9" t="s">
        <v>137</v>
      </c>
      <c r="C23" s="29"/>
      <c r="D23" s="29"/>
      <c r="E23" s="9" t="s">
        <v>25</v>
      </c>
      <c r="F23" s="9">
        <v>83.5</v>
      </c>
      <c r="G23" s="9">
        <v>10</v>
      </c>
      <c r="H23" s="9" t="s">
        <v>116</v>
      </c>
      <c r="I23" s="9">
        <f t="shared" si="0"/>
        <v>69.305000000000007</v>
      </c>
    </row>
    <row r="24" spans="1:9" x14ac:dyDescent="0.3">
      <c r="A24" s="20">
        <v>8100023</v>
      </c>
      <c r="B24" s="10" t="s">
        <v>138</v>
      </c>
      <c r="C24" s="29"/>
      <c r="D24" s="29"/>
      <c r="E24" s="10" t="s">
        <v>25</v>
      </c>
      <c r="F24" s="10">
        <v>184.25</v>
      </c>
      <c r="G24" s="10">
        <v>3</v>
      </c>
      <c r="H24" s="10" t="s">
        <v>116</v>
      </c>
      <c r="I24" s="10">
        <f t="shared" si="0"/>
        <v>152.92750000000001</v>
      </c>
    </row>
    <row r="25" spans="1:9" x14ac:dyDescent="0.3">
      <c r="A25" s="21">
        <v>8100024</v>
      </c>
      <c r="B25" s="9" t="s">
        <v>139</v>
      </c>
      <c r="C25" s="35" t="s">
        <v>1205</v>
      </c>
      <c r="D25" s="35" t="s">
        <v>1197</v>
      </c>
      <c r="E25" s="9" t="s">
        <v>25</v>
      </c>
      <c r="F25" s="9">
        <v>30.5</v>
      </c>
      <c r="G25" s="9">
        <v>20</v>
      </c>
      <c r="H25" s="9" t="s">
        <v>116</v>
      </c>
      <c r="I25" s="9">
        <f t="shared" si="0"/>
        <v>25.314999999999998</v>
      </c>
    </row>
    <row r="26" spans="1:9" x14ac:dyDescent="0.3">
      <c r="A26" s="20">
        <v>8100025</v>
      </c>
      <c r="B26" s="10" t="s">
        <v>140</v>
      </c>
      <c r="C26" s="29"/>
      <c r="D26" s="29"/>
      <c r="E26" s="10" t="s">
        <v>25</v>
      </c>
      <c r="F26" s="10">
        <v>40.5</v>
      </c>
      <c r="G26" s="10">
        <v>20</v>
      </c>
      <c r="H26" s="10" t="s">
        <v>116</v>
      </c>
      <c r="I26" s="10">
        <f t="shared" si="0"/>
        <v>33.615000000000002</v>
      </c>
    </row>
    <row r="27" spans="1:9" x14ac:dyDescent="0.3">
      <c r="A27" s="21">
        <v>8100026</v>
      </c>
      <c r="B27" s="9" t="s">
        <v>141</v>
      </c>
      <c r="C27" s="29"/>
      <c r="D27" s="29"/>
      <c r="E27" s="9" t="s">
        <v>25</v>
      </c>
      <c r="F27" s="9">
        <v>61</v>
      </c>
      <c r="G27" s="9">
        <v>10</v>
      </c>
      <c r="H27" s="9" t="s">
        <v>116</v>
      </c>
      <c r="I27" s="9">
        <f t="shared" si="0"/>
        <v>50.629999999999995</v>
      </c>
    </row>
    <row r="28" spans="1:9" x14ac:dyDescent="0.3">
      <c r="A28" s="20">
        <v>8100027</v>
      </c>
      <c r="B28" s="10" t="s">
        <v>142</v>
      </c>
      <c r="C28" s="29"/>
      <c r="D28" s="29"/>
      <c r="E28" s="10" t="s">
        <v>25</v>
      </c>
      <c r="F28" s="10">
        <v>67.75</v>
      </c>
      <c r="G28" s="10">
        <v>10</v>
      </c>
      <c r="H28" s="10" t="s">
        <v>116</v>
      </c>
      <c r="I28" s="10">
        <f t="shared" si="0"/>
        <v>56.232500000000002</v>
      </c>
    </row>
    <row r="29" spans="1:9" x14ac:dyDescent="0.3">
      <c r="A29" s="21">
        <v>8100028</v>
      </c>
      <c r="B29" s="9" t="s">
        <v>143</v>
      </c>
      <c r="C29" s="29"/>
      <c r="D29" s="29"/>
      <c r="E29" s="9" t="s">
        <v>25</v>
      </c>
      <c r="F29" s="9">
        <v>83.25</v>
      </c>
      <c r="G29" s="9">
        <v>10</v>
      </c>
      <c r="H29" s="9" t="s">
        <v>116</v>
      </c>
      <c r="I29" s="9">
        <f t="shared" si="0"/>
        <v>69.097499999999997</v>
      </c>
    </row>
    <row r="30" spans="1:9" x14ac:dyDescent="0.3">
      <c r="A30" s="20">
        <v>8100029</v>
      </c>
      <c r="B30" s="10" t="s">
        <v>144</v>
      </c>
      <c r="C30" s="29"/>
      <c r="D30" s="29"/>
      <c r="E30" s="10" t="s">
        <v>25</v>
      </c>
      <c r="F30" s="10">
        <v>198.25</v>
      </c>
      <c r="G30" s="10">
        <v>3</v>
      </c>
      <c r="H30" s="10" t="s">
        <v>116</v>
      </c>
      <c r="I30" s="10">
        <f t="shared" si="0"/>
        <v>164.54750000000001</v>
      </c>
    </row>
    <row r="31" spans="1:9" x14ac:dyDescent="0.3">
      <c r="A31" s="21">
        <v>8100030</v>
      </c>
      <c r="B31" s="9" t="s">
        <v>145</v>
      </c>
      <c r="C31" s="35" t="s">
        <v>1207</v>
      </c>
      <c r="D31" s="35" t="s">
        <v>1197</v>
      </c>
      <c r="E31" s="9" t="s">
        <v>25</v>
      </c>
      <c r="F31" s="9">
        <v>53</v>
      </c>
      <c r="G31" s="9">
        <v>20</v>
      </c>
      <c r="H31" s="9" t="s">
        <v>116</v>
      </c>
      <c r="I31" s="9">
        <f t="shared" si="0"/>
        <v>43.99</v>
      </c>
    </row>
    <row r="32" spans="1:9" x14ac:dyDescent="0.3">
      <c r="A32" s="21">
        <v>8100042</v>
      </c>
      <c r="B32" s="9" t="s">
        <v>157</v>
      </c>
      <c r="C32" s="29"/>
      <c r="D32" s="29"/>
      <c r="E32" s="9" t="s">
        <v>25</v>
      </c>
      <c r="F32" s="9">
        <v>71</v>
      </c>
      <c r="G32" s="9">
        <v>20</v>
      </c>
      <c r="H32" s="9" t="s">
        <v>116</v>
      </c>
      <c r="I32" s="9">
        <f t="shared" si="0"/>
        <v>58.93</v>
      </c>
    </row>
    <row r="33" spans="1:9" x14ac:dyDescent="0.3">
      <c r="A33" s="20">
        <v>8100031</v>
      </c>
      <c r="B33" s="10" t="s">
        <v>146</v>
      </c>
      <c r="C33" s="29"/>
      <c r="D33" s="29"/>
      <c r="E33" s="10" t="s">
        <v>25</v>
      </c>
      <c r="F33" s="10">
        <v>85.75</v>
      </c>
      <c r="G33" s="10">
        <v>20</v>
      </c>
      <c r="H33" s="10" t="s">
        <v>116</v>
      </c>
      <c r="I33" s="10">
        <f t="shared" si="0"/>
        <v>71.172499999999999</v>
      </c>
    </row>
    <row r="34" spans="1:9" x14ac:dyDescent="0.3">
      <c r="A34" s="21">
        <v>8100044</v>
      </c>
      <c r="B34" s="9" t="s">
        <v>159</v>
      </c>
      <c r="C34" s="29"/>
      <c r="D34" s="29"/>
      <c r="E34" s="9" t="s">
        <v>25</v>
      </c>
      <c r="F34" s="9">
        <v>95.5</v>
      </c>
      <c r="G34" s="9">
        <v>20</v>
      </c>
      <c r="H34" s="9" t="s">
        <v>116</v>
      </c>
      <c r="I34" s="9">
        <f t="shared" si="0"/>
        <v>79.265000000000001</v>
      </c>
    </row>
    <row r="35" spans="1:9" x14ac:dyDescent="0.3">
      <c r="A35" s="20">
        <v>8100047</v>
      </c>
      <c r="B35" s="10" t="s">
        <v>162</v>
      </c>
      <c r="C35" s="29"/>
      <c r="D35" s="29"/>
      <c r="E35" s="10" t="s">
        <v>25</v>
      </c>
      <c r="F35" s="10">
        <v>147.25</v>
      </c>
      <c r="G35" s="10">
        <v>20</v>
      </c>
      <c r="H35" s="10" t="s">
        <v>116</v>
      </c>
      <c r="I35" s="10">
        <f t="shared" si="0"/>
        <v>122.2175</v>
      </c>
    </row>
    <row r="36" spans="1:9" x14ac:dyDescent="0.3">
      <c r="A36" s="20">
        <v>8100049</v>
      </c>
      <c r="B36" s="10" t="s">
        <v>164</v>
      </c>
      <c r="C36" s="29"/>
      <c r="D36" s="29"/>
      <c r="E36" s="10" t="s">
        <v>25</v>
      </c>
      <c r="F36" s="10">
        <v>424.25</v>
      </c>
      <c r="G36" s="10">
        <v>3</v>
      </c>
      <c r="H36" s="10" t="s">
        <v>116</v>
      </c>
      <c r="I36" s="10">
        <f t="shared" si="0"/>
        <v>352.1275</v>
      </c>
    </row>
    <row r="37" spans="1:9" x14ac:dyDescent="0.3">
      <c r="A37" s="21">
        <v>8100032</v>
      </c>
      <c r="B37" s="9" t="s">
        <v>147</v>
      </c>
      <c r="C37" s="35" t="s">
        <v>1206</v>
      </c>
      <c r="D37" s="35" t="s">
        <v>1197</v>
      </c>
      <c r="E37" s="9" t="s">
        <v>25</v>
      </c>
      <c r="F37" s="9">
        <v>68.75</v>
      </c>
      <c r="G37" s="9">
        <v>20</v>
      </c>
      <c r="H37" s="9" t="s">
        <v>116</v>
      </c>
      <c r="I37" s="9">
        <f t="shared" si="0"/>
        <v>57.0625</v>
      </c>
    </row>
    <row r="38" spans="1:9" x14ac:dyDescent="0.3">
      <c r="A38" s="20">
        <v>8100035</v>
      </c>
      <c r="B38" s="10" t="s">
        <v>150</v>
      </c>
      <c r="C38" s="29"/>
      <c r="D38" s="29"/>
      <c r="E38" s="10" t="s">
        <v>25</v>
      </c>
      <c r="F38" s="10">
        <v>93.25</v>
      </c>
      <c r="G38" s="10">
        <v>20</v>
      </c>
      <c r="H38" s="10" t="s">
        <v>116</v>
      </c>
      <c r="I38" s="10">
        <f t="shared" si="0"/>
        <v>77.397499999999994</v>
      </c>
    </row>
    <row r="39" spans="1:9" x14ac:dyDescent="0.3">
      <c r="A39" s="20">
        <v>8100039</v>
      </c>
      <c r="B39" s="10" t="s">
        <v>154</v>
      </c>
      <c r="C39" s="29"/>
      <c r="D39" s="29"/>
      <c r="E39" s="10" t="s">
        <v>25</v>
      </c>
      <c r="F39" s="10">
        <v>146</v>
      </c>
      <c r="G39" s="10">
        <v>20</v>
      </c>
      <c r="H39" s="10" t="s">
        <v>116</v>
      </c>
      <c r="I39" s="10">
        <f t="shared" si="0"/>
        <v>121.18</v>
      </c>
    </row>
    <row r="40" spans="1:9" x14ac:dyDescent="0.3">
      <c r="A40" s="20">
        <v>8100041</v>
      </c>
      <c r="B40" s="10" t="s">
        <v>156</v>
      </c>
      <c r="C40" s="29"/>
      <c r="D40" s="29"/>
      <c r="E40" s="10" t="s">
        <v>25</v>
      </c>
      <c r="F40" s="10">
        <v>415.25</v>
      </c>
      <c r="G40" s="10">
        <v>2</v>
      </c>
      <c r="H40" s="10" t="s">
        <v>116</v>
      </c>
      <c r="I40" s="10">
        <f t="shared" si="0"/>
        <v>344.65750000000003</v>
      </c>
    </row>
    <row r="41" spans="1:9" x14ac:dyDescent="0.3">
      <c r="A41" s="20">
        <v>8100033</v>
      </c>
      <c r="B41" s="10" t="s">
        <v>148</v>
      </c>
      <c r="C41" s="39" t="s">
        <v>1208</v>
      </c>
      <c r="D41" s="39" t="s">
        <v>1197</v>
      </c>
      <c r="E41" s="10" t="s">
        <v>25</v>
      </c>
      <c r="F41" s="10">
        <v>86.5</v>
      </c>
      <c r="G41" s="10">
        <v>10</v>
      </c>
      <c r="H41" s="10" t="s">
        <v>116</v>
      </c>
      <c r="I41" s="10">
        <f t="shared" si="0"/>
        <v>71.795000000000002</v>
      </c>
    </row>
    <row r="42" spans="1:9" x14ac:dyDescent="0.3">
      <c r="A42" s="21">
        <v>8100034</v>
      </c>
      <c r="B42" s="9" t="s">
        <v>149</v>
      </c>
      <c r="C42" s="29"/>
      <c r="D42" s="29"/>
      <c r="E42" s="9" t="s">
        <v>25</v>
      </c>
      <c r="F42" s="9">
        <v>88.5</v>
      </c>
      <c r="G42" s="9">
        <v>10</v>
      </c>
      <c r="H42" s="9" t="s">
        <v>116</v>
      </c>
      <c r="I42" s="9">
        <f t="shared" si="0"/>
        <v>73.454999999999998</v>
      </c>
    </row>
    <row r="43" spans="1:9" x14ac:dyDescent="0.3">
      <c r="A43" s="21">
        <v>8100036</v>
      </c>
      <c r="B43" s="9" t="s">
        <v>151</v>
      </c>
      <c r="C43" s="29"/>
      <c r="D43" s="29"/>
      <c r="E43" s="9" t="s">
        <v>25</v>
      </c>
      <c r="F43" s="9">
        <v>125</v>
      </c>
      <c r="G43" s="9">
        <v>10</v>
      </c>
      <c r="H43" s="9" t="s">
        <v>116</v>
      </c>
      <c r="I43" s="9">
        <f t="shared" si="0"/>
        <v>103.75</v>
      </c>
    </row>
    <row r="44" spans="1:9" x14ac:dyDescent="0.3">
      <c r="A44" s="20">
        <v>8100037</v>
      </c>
      <c r="B44" s="10" t="s">
        <v>152</v>
      </c>
      <c r="C44" s="29"/>
      <c r="D44" s="29"/>
      <c r="E44" s="10" t="s">
        <v>25</v>
      </c>
      <c r="F44" s="10">
        <v>132.75</v>
      </c>
      <c r="G44" s="10">
        <v>15</v>
      </c>
      <c r="H44" s="10" t="s">
        <v>116</v>
      </c>
      <c r="I44" s="10">
        <f t="shared" si="0"/>
        <v>110.1825</v>
      </c>
    </row>
    <row r="45" spans="1:9" x14ac:dyDescent="0.3">
      <c r="A45" s="21">
        <v>8100038</v>
      </c>
      <c r="B45" s="9" t="s">
        <v>153</v>
      </c>
      <c r="C45" s="29"/>
      <c r="D45" s="29"/>
      <c r="E45" s="9" t="s">
        <v>25</v>
      </c>
      <c r="F45" s="9">
        <v>140.25</v>
      </c>
      <c r="G45" s="9">
        <v>20</v>
      </c>
      <c r="H45" s="9" t="s">
        <v>116</v>
      </c>
      <c r="I45" s="9">
        <f t="shared" si="0"/>
        <v>116.4075</v>
      </c>
    </row>
    <row r="46" spans="1:9" x14ac:dyDescent="0.3">
      <c r="A46" s="21">
        <v>8100040</v>
      </c>
      <c r="B46" s="9" t="s">
        <v>155</v>
      </c>
      <c r="C46" s="29"/>
      <c r="D46" s="29"/>
      <c r="E46" s="9" t="s">
        <v>25</v>
      </c>
      <c r="F46" s="9">
        <v>327.25</v>
      </c>
      <c r="G46" s="9">
        <v>5</v>
      </c>
      <c r="H46" s="9" t="s">
        <v>116</v>
      </c>
      <c r="I46" s="9">
        <f t="shared" si="0"/>
        <v>271.61750000000001</v>
      </c>
    </row>
    <row r="47" spans="1:9" x14ac:dyDescent="0.3">
      <c r="A47" s="20">
        <v>8100043</v>
      </c>
      <c r="B47" s="10" t="s">
        <v>158</v>
      </c>
      <c r="C47" s="34" t="s">
        <v>1209</v>
      </c>
      <c r="D47" s="34" t="s">
        <v>1197</v>
      </c>
      <c r="E47" s="10" t="s">
        <v>25</v>
      </c>
      <c r="F47" s="10">
        <v>86</v>
      </c>
      <c r="G47" s="10">
        <v>10</v>
      </c>
      <c r="H47" s="10" t="s">
        <v>116</v>
      </c>
      <c r="I47" s="10">
        <f t="shared" si="0"/>
        <v>71.38</v>
      </c>
    </row>
    <row r="48" spans="1:9" x14ac:dyDescent="0.3">
      <c r="A48" s="20">
        <v>8100045</v>
      </c>
      <c r="B48" s="10" t="s">
        <v>160</v>
      </c>
      <c r="C48" s="29"/>
      <c r="D48" s="29"/>
      <c r="E48" s="10" t="s">
        <v>25</v>
      </c>
      <c r="F48" s="10">
        <v>125</v>
      </c>
      <c r="G48" s="10">
        <v>5</v>
      </c>
      <c r="H48" s="10" t="s">
        <v>116</v>
      </c>
      <c r="I48" s="10">
        <f t="shared" si="0"/>
        <v>103.75</v>
      </c>
    </row>
    <row r="49" spans="1:9" x14ac:dyDescent="0.3">
      <c r="A49" s="21">
        <v>8100046</v>
      </c>
      <c r="B49" s="9" t="s">
        <v>161</v>
      </c>
      <c r="C49" s="29"/>
      <c r="D49" s="29"/>
      <c r="E49" s="9" t="s">
        <v>25</v>
      </c>
      <c r="F49" s="9">
        <v>140.75</v>
      </c>
      <c r="G49" s="9">
        <v>20</v>
      </c>
      <c r="H49" s="9" t="s">
        <v>116</v>
      </c>
      <c r="I49" s="9">
        <f t="shared" si="0"/>
        <v>116.82249999999999</v>
      </c>
    </row>
    <row r="50" spans="1:9" x14ac:dyDescent="0.3">
      <c r="A50" s="21">
        <v>8100048</v>
      </c>
      <c r="B50" s="9" t="s">
        <v>163</v>
      </c>
      <c r="C50" s="29"/>
      <c r="D50" s="29"/>
      <c r="E50" s="9" t="s">
        <v>25</v>
      </c>
      <c r="F50" s="9">
        <v>327.25</v>
      </c>
      <c r="G50" s="9">
        <v>5</v>
      </c>
      <c r="H50" s="9" t="s">
        <v>116</v>
      </c>
      <c r="I50" s="9">
        <f t="shared" ref="I50:I94" si="1">F50-F50*17%</f>
        <v>271.61750000000001</v>
      </c>
    </row>
    <row r="51" spans="1:9" x14ac:dyDescent="0.3">
      <c r="A51" s="21">
        <v>8100050</v>
      </c>
      <c r="B51" s="9" t="s">
        <v>165</v>
      </c>
      <c r="C51" s="35" t="s">
        <v>1210</v>
      </c>
      <c r="D51" s="35" t="s">
        <v>1197</v>
      </c>
      <c r="E51" s="9" t="s">
        <v>25</v>
      </c>
      <c r="F51" s="9">
        <v>149.5</v>
      </c>
      <c r="G51" s="9">
        <v>10</v>
      </c>
      <c r="H51" s="9" t="s">
        <v>116</v>
      </c>
      <c r="I51" s="9">
        <f>F51-F51*17%</f>
        <v>124.08499999999999</v>
      </c>
    </row>
    <row r="52" spans="1:9" x14ac:dyDescent="0.3">
      <c r="A52" s="20">
        <v>8100051</v>
      </c>
      <c r="B52" s="10" t="s">
        <v>166</v>
      </c>
      <c r="C52" s="29"/>
      <c r="D52" s="29"/>
      <c r="E52" s="10" t="s">
        <v>25</v>
      </c>
      <c r="F52" s="10">
        <v>155</v>
      </c>
      <c r="G52" s="10">
        <v>3</v>
      </c>
      <c r="H52" s="10" t="s">
        <v>116</v>
      </c>
      <c r="I52" s="10">
        <f t="shared" si="1"/>
        <v>128.65</v>
      </c>
    </row>
    <row r="53" spans="1:9" x14ac:dyDescent="0.3">
      <c r="A53" s="20">
        <v>8100053</v>
      </c>
      <c r="B53" s="10" t="s">
        <v>168</v>
      </c>
      <c r="C53" s="34" t="s">
        <v>1211</v>
      </c>
      <c r="D53" s="34" t="s">
        <v>1197</v>
      </c>
      <c r="E53" s="10" t="s">
        <v>25</v>
      </c>
      <c r="F53" s="10">
        <v>198.25</v>
      </c>
      <c r="G53" s="10">
        <v>10</v>
      </c>
      <c r="H53" s="10" t="s">
        <v>116</v>
      </c>
      <c r="I53" s="10">
        <f>F53-F53*17%</f>
        <v>164.54750000000001</v>
      </c>
    </row>
    <row r="54" spans="1:9" x14ac:dyDescent="0.3">
      <c r="A54" s="20">
        <v>8100055</v>
      </c>
      <c r="B54" s="10" t="s">
        <v>170</v>
      </c>
      <c r="C54" s="29"/>
      <c r="D54" s="29"/>
      <c r="E54" s="10" t="s">
        <v>25</v>
      </c>
      <c r="F54" s="10">
        <v>465.75</v>
      </c>
      <c r="G54" s="10">
        <v>5</v>
      </c>
      <c r="H54" s="10" t="s">
        <v>116</v>
      </c>
      <c r="I54" s="10">
        <f>F54-F54*17%</f>
        <v>386.57249999999999</v>
      </c>
    </row>
    <row r="55" spans="1:9" x14ac:dyDescent="0.3">
      <c r="A55" s="21">
        <v>8100052</v>
      </c>
      <c r="B55" s="9" t="s">
        <v>167</v>
      </c>
      <c r="C55" s="35" t="s">
        <v>1212</v>
      </c>
      <c r="D55" s="35" t="s">
        <v>1197</v>
      </c>
      <c r="E55" s="9" t="s">
        <v>25</v>
      </c>
      <c r="F55" s="9">
        <v>170</v>
      </c>
      <c r="G55" s="9">
        <v>3</v>
      </c>
      <c r="H55" s="9" t="s">
        <v>116</v>
      </c>
      <c r="I55" s="9">
        <f t="shared" si="1"/>
        <v>141.1</v>
      </c>
    </row>
    <row r="56" spans="1:9" x14ac:dyDescent="0.3">
      <c r="A56" s="21">
        <v>8100054</v>
      </c>
      <c r="B56" s="9" t="s">
        <v>169</v>
      </c>
      <c r="C56" s="29"/>
      <c r="D56" s="29"/>
      <c r="E56" s="9" t="s">
        <v>25</v>
      </c>
      <c r="F56" s="9">
        <v>360.25</v>
      </c>
      <c r="G56" s="9">
        <v>5</v>
      </c>
      <c r="H56" s="9" t="s">
        <v>116</v>
      </c>
      <c r="I56" s="9">
        <f t="shared" si="1"/>
        <v>299.00749999999999</v>
      </c>
    </row>
    <row r="57" spans="1:9" x14ac:dyDescent="0.3">
      <c r="A57" s="21">
        <v>8100056</v>
      </c>
      <c r="B57" s="9" t="s">
        <v>171</v>
      </c>
      <c r="C57" s="35" t="s">
        <v>1213</v>
      </c>
      <c r="D57" s="35" t="s">
        <v>1197</v>
      </c>
      <c r="E57" s="9" t="s">
        <v>25</v>
      </c>
      <c r="F57" s="9">
        <v>77.5</v>
      </c>
      <c r="G57" s="9">
        <v>20</v>
      </c>
      <c r="H57" s="9" t="s">
        <v>116</v>
      </c>
      <c r="I57" s="9">
        <f t="shared" si="1"/>
        <v>64.325000000000003</v>
      </c>
    </row>
    <row r="58" spans="1:9" x14ac:dyDescent="0.3">
      <c r="A58" s="20">
        <v>8100057</v>
      </c>
      <c r="B58" s="10" t="s">
        <v>172</v>
      </c>
      <c r="C58" s="34" t="s">
        <v>1214</v>
      </c>
      <c r="D58" s="34" t="s">
        <v>1197</v>
      </c>
      <c r="E58" s="10" t="s">
        <v>25</v>
      </c>
      <c r="F58" s="10">
        <v>121.25</v>
      </c>
      <c r="G58" s="10">
        <v>20</v>
      </c>
      <c r="H58" s="10" t="s">
        <v>116</v>
      </c>
      <c r="I58" s="10">
        <f t="shared" si="1"/>
        <v>100.6375</v>
      </c>
    </row>
    <row r="59" spans="1:9" x14ac:dyDescent="0.3">
      <c r="A59" s="21">
        <v>8100058</v>
      </c>
      <c r="B59" s="9" t="s">
        <v>173</v>
      </c>
      <c r="C59" s="29"/>
      <c r="D59" s="29"/>
      <c r="E59" s="9" t="s">
        <v>25</v>
      </c>
      <c r="F59" s="9">
        <v>254.75</v>
      </c>
      <c r="G59" s="9">
        <v>2</v>
      </c>
      <c r="H59" s="9" t="s">
        <v>116</v>
      </c>
      <c r="I59" s="9">
        <f t="shared" si="1"/>
        <v>211.4425</v>
      </c>
    </row>
    <row r="60" spans="1:9" x14ac:dyDescent="0.3">
      <c r="A60" s="20">
        <v>8100059</v>
      </c>
      <c r="B60" s="10" t="s">
        <v>174</v>
      </c>
      <c r="C60" s="34" t="s">
        <v>1216</v>
      </c>
      <c r="D60" s="34" t="s">
        <v>1197</v>
      </c>
      <c r="E60" s="10" t="s">
        <v>25</v>
      </c>
      <c r="F60" s="10">
        <v>336</v>
      </c>
      <c r="G60" s="10">
        <v>5</v>
      </c>
      <c r="H60" s="10" t="s">
        <v>116</v>
      </c>
      <c r="I60" s="10">
        <f t="shared" si="1"/>
        <v>278.88</v>
      </c>
    </row>
    <row r="61" spans="1:9" x14ac:dyDescent="0.3">
      <c r="A61" s="21">
        <v>8100060</v>
      </c>
      <c r="B61" s="9" t="s">
        <v>175</v>
      </c>
      <c r="C61" s="29"/>
      <c r="D61" s="29"/>
      <c r="E61" s="9" t="s">
        <v>25</v>
      </c>
      <c r="F61" s="9">
        <v>294.5</v>
      </c>
      <c r="G61" s="9">
        <v>3</v>
      </c>
      <c r="H61" s="9" t="s">
        <v>116</v>
      </c>
      <c r="I61" s="9">
        <f t="shared" si="1"/>
        <v>244.435</v>
      </c>
    </row>
    <row r="62" spans="1:9" x14ac:dyDescent="0.3">
      <c r="A62" s="20">
        <v>8100061</v>
      </c>
      <c r="B62" s="10" t="s">
        <v>176</v>
      </c>
      <c r="C62" s="34" t="s">
        <v>176</v>
      </c>
      <c r="D62" s="34" t="s">
        <v>1197</v>
      </c>
      <c r="E62" s="10" t="s">
        <v>25</v>
      </c>
      <c r="F62" s="10">
        <v>66.5</v>
      </c>
      <c r="G62" s="10">
        <v>10</v>
      </c>
      <c r="H62" s="10" t="s">
        <v>116</v>
      </c>
      <c r="I62" s="10">
        <f t="shared" si="1"/>
        <v>55.195</v>
      </c>
    </row>
    <row r="63" spans="1:9" x14ac:dyDescent="0.3">
      <c r="A63" s="21">
        <v>8100062</v>
      </c>
      <c r="B63" s="9" t="s">
        <v>177</v>
      </c>
      <c r="C63" s="35" t="s">
        <v>1215</v>
      </c>
      <c r="D63" s="35" t="s">
        <v>1197</v>
      </c>
      <c r="E63" s="9" t="s">
        <v>25</v>
      </c>
      <c r="F63" s="9">
        <v>40</v>
      </c>
      <c r="G63" s="9">
        <v>30</v>
      </c>
      <c r="H63" s="9" t="s">
        <v>116</v>
      </c>
      <c r="I63" s="9">
        <f t="shared" si="1"/>
        <v>33.200000000000003</v>
      </c>
    </row>
    <row r="64" spans="1:9" x14ac:dyDescent="0.3">
      <c r="A64" s="20">
        <v>8100063</v>
      </c>
      <c r="B64" s="10" t="s">
        <v>178</v>
      </c>
      <c r="C64" s="29"/>
      <c r="D64" s="29"/>
      <c r="E64" s="10" t="s">
        <v>25</v>
      </c>
      <c r="F64" s="10">
        <v>126.25</v>
      </c>
      <c r="G64" s="10">
        <v>2</v>
      </c>
      <c r="H64" s="10" t="s">
        <v>116</v>
      </c>
      <c r="I64" s="10">
        <f t="shared" si="1"/>
        <v>104.78749999999999</v>
      </c>
    </row>
    <row r="65" spans="1:9" x14ac:dyDescent="0.3">
      <c r="A65" s="21">
        <v>8100064</v>
      </c>
      <c r="B65" s="9" t="s">
        <v>179</v>
      </c>
      <c r="C65" s="35" t="s">
        <v>1217</v>
      </c>
      <c r="D65" s="35" t="s">
        <v>1197</v>
      </c>
      <c r="E65" s="9" t="s">
        <v>25</v>
      </c>
      <c r="F65" s="9">
        <v>12.75</v>
      </c>
      <c r="G65" s="9">
        <v>10</v>
      </c>
      <c r="H65" s="9" t="s">
        <v>116</v>
      </c>
      <c r="I65" s="9">
        <f t="shared" si="1"/>
        <v>10.5825</v>
      </c>
    </row>
    <row r="66" spans="1:9" x14ac:dyDescent="0.3">
      <c r="A66" s="20">
        <v>8100065</v>
      </c>
      <c r="B66" s="10" t="s">
        <v>180</v>
      </c>
      <c r="C66" s="29"/>
      <c r="D66" s="29"/>
      <c r="E66" s="10" t="s">
        <v>25</v>
      </c>
      <c r="F66" s="10">
        <v>35</v>
      </c>
      <c r="G66" s="10">
        <v>5</v>
      </c>
      <c r="H66" s="10" t="s">
        <v>116</v>
      </c>
      <c r="I66" s="10">
        <f t="shared" si="1"/>
        <v>29.05</v>
      </c>
    </row>
    <row r="67" spans="1:9" x14ac:dyDescent="0.3">
      <c r="A67" s="21">
        <v>8100066</v>
      </c>
      <c r="B67" s="9" t="s">
        <v>181</v>
      </c>
      <c r="C67" s="29"/>
      <c r="D67" s="29"/>
      <c r="E67" s="9" t="s">
        <v>25</v>
      </c>
      <c r="F67" s="9">
        <v>46</v>
      </c>
      <c r="G67" s="9">
        <v>20</v>
      </c>
      <c r="H67" s="9" t="s">
        <v>116</v>
      </c>
      <c r="I67" s="9">
        <f t="shared" si="1"/>
        <v>38.18</v>
      </c>
    </row>
    <row r="68" spans="1:9" x14ac:dyDescent="0.3">
      <c r="A68" s="20">
        <v>8100067</v>
      </c>
      <c r="B68" s="10" t="s">
        <v>182</v>
      </c>
      <c r="C68" s="29"/>
      <c r="D68" s="29"/>
      <c r="E68" s="10" t="s">
        <v>25</v>
      </c>
      <c r="F68" s="10">
        <v>68.25</v>
      </c>
      <c r="G68" s="10">
        <v>15</v>
      </c>
      <c r="H68" s="10" t="s">
        <v>116</v>
      </c>
      <c r="I68" s="10">
        <f t="shared" si="1"/>
        <v>56.647500000000001</v>
      </c>
    </row>
    <row r="69" spans="1:9" x14ac:dyDescent="0.3">
      <c r="A69" s="21">
        <v>8100068</v>
      </c>
      <c r="B69" s="9" t="s">
        <v>183</v>
      </c>
      <c r="C69" s="35" t="s">
        <v>1218</v>
      </c>
      <c r="D69" s="35" t="s">
        <v>1197</v>
      </c>
      <c r="E69" s="9" t="s">
        <v>25</v>
      </c>
      <c r="F69" s="9">
        <v>65.5</v>
      </c>
      <c r="G69" s="9">
        <v>20</v>
      </c>
      <c r="H69" s="9" t="s">
        <v>116</v>
      </c>
      <c r="I69" s="9">
        <f t="shared" si="1"/>
        <v>54.364999999999995</v>
      </c>
    </row>
    <row r="70" spans="1:9" x14ac:dyDescent="0.3">
      <c r="A70" s="20">
        <v>8100069</v>
      </c>
      <c r="B70" s="10" t="s">
        <v>184</v>
      </c>
      <c r="C70" s="29"/>
      <c r="D70" s="29"/>
      <c r="E70" s="10" t="s">
        <v>25</v>
      </c>
      <c r="F70" s="10">
        <v>97.25</v>
      </c>
      <c r="G70" s="10">
        <v>15</v>
      </c>
      <c r="H70" s="10" t="s">
        <v>116</v>
      </c>
      <c r="I70" s="10">
        <f t="shared" si="1"/>
        <v>80.717500000000001</v>
      </c>
    </row>
    <row r="71" spans="1:9" x14ac:dyDescent="0.3">
      <c r="A71" s="21">
        <v>8100070</v>
      </c>
      <c r="B71" s="9" t="s">
        <v>185</v>
      </c>
      <c r="C71" s="29"/>
      <c r="D71" s="29"/>
      <c r="E71" s="9" t="s">
        <v>25</v>
      </c>
      <c r="F71" s="9">
        <v>145.75</v>
      </c>
      <c r="G71" s="9">
        <v>5</v>
      </c>
      <c r="H71" s="9" t="s">
        <v>116</v>
      </c>
      <c r="I71" s="9">
        <f t="shared" si="1"/>
        <v>120.9725</v>
      </c>
    </row>
    <row r="72" spans="1:9" x14ac:dyDescent="0.3">
      <c r="A72" s="20">
        <v>8100071</v>
      </c>
      <c r="B72" s="10" t="s">
        <v>186</v>
      </c>
      <c r="C72" s="34" t="s">
        <v>1219</v>
      </c>
      <c r="D72" s="34" t="s">
        <v>1197</v>
      </c>
      <c r="E72" s="10" t="s">
        <v>25</v>
      </c>
      <c r="F72" s="10">
        <v>46.25</v>
      </c>
      <c r="G72" s="10">
        <v>3</v>
      </c>
      <c r="H72" s="10" t="s">
        <v>116</v>
      </c>
      <c r="I72" s="10">
        <f t="shared" si="1"/>
        <v>38.387500000000003</v>
      </c>
    </row>
    <row r="73" spans="1:9" x14ac:dyDescent="0.3">
      <c r="A73" s="21">
        <v>8100072</v>
      </c>
      <c r="B73" s="9" t="s">
        <v>187</v>
      </c>
      <c r="C73" s="29"/>
      <c r="D73" s="29"/>
      <c r="E73" s="9" t="s">
        <v>25</v>
      </c>
      <c r="F73" s="9">
        <v>71.5</v>
      </c>
      <c r="G73" s="9">
        <v>5</v>
      </c>
      <c r="H73" s="9" t="s">
        <v>116</v>
      </c>
      <c r="I73" s="9">
        <f t="shared" si="1"/>
        <v>59.344999999999999</v>
      </c>
    </row>
    <row r="74" spans="1:9" x14ac:dyDescent="0.3">
      <c r="A74" s="20">
        <v>8100073</v>
      </c>
      <c r="B74" s="10" t="s">
        <v>188</v>
      </c>
      <c r="C74" s="29"/>
      <c r="D74" s="29"/>
      <c r="E74" s="10" t="s">
        <v>25</v>
      </c>
      <c r="F74" s="10">
        <v>79</v>
      </c>
      <c r="G74" s="10">
        <v>15</v>
      </c>
      <c r="H74" s="10" t="s">
        <v>116</v>
      </c>
      <c r="I74" s="10">
        <f t="shared" si="1"/>
        <v>65.569999999999993</v>
      </c>
    </row>
    <row r="75" spans="1:9" x14ac:dyDescent="0.3">
      <c r="A75" s="21">
        <v>8100074</v>
      </c>
      <c r="B75" s="9" t="s">
        <v>189</v>
      </c>
      <c r="C75" s="29"/>
      <c r="D75" s="29"/>
      <c r="E75" s="9" t="s">
        <v>25</v>
      </c>
      <c r="F75" s="9">
        <v>132.25</v>
      </c>
      <c r="G75" s="9">
        <v>20</v>
      </c>
      <c r="H75" s="9" t="s">
        <v>116</v>
      </c>
      <c r="I75" s="9">
        <f t="shared" si="1"/>
        <v>109.7675</v>
      </c>
    </row>
    <row r="76" spans="1:9" x14ac:dyDescent="0.3">
      <c r="A76" s="20">
        <v>8100075</v>
      </c>
      <c r="B76" s="10" t="s">
        <v>190</v>
      </c>
      <c r="C76" s="29"/>
      <c r="D76" s="29"/>
      <c r="E76" s="10" t="s">
        <v>25</v>
      </c>
      <c r="F76" s="10">
        <v>234.5</v>
      </c>
      <c r="G76" s="10">
        <v>3</v>
      </c>
      <c r="H76" s="10" t="s">
        <v>116</v>
      </c>
      <c r="I76" s="10">
        <f t="shared" si="1"/>
        <v>194.63499999999999</v>
      </c>
    </row>
    <row r="77" spans="1:9" x14ac:dyDescent="0.3">
      <c r="A77" s="21">
        <v>8100076</v>
      </c>
      <c r="B77" s="9" t="s">
        <v>191</v>
      </c>
      <c r="C77" s="35" t="s">
        <v>1220</v>
      </c>
      <c r="D77" s="35" t="s">
        <v>1197</v>
      </c>
      <c r="E77" s="9" t="s">
        <v>25</v>
      </c>
      <c r="F77" s="9">
        <v>36.25</v>
      </c>
      <c r="G77" s="9">
        <v>3</v>
      </c>
      <c r="H77" s="9" t="s">
        <v>116</v>
      </c>
      <c r="I77" s="9">
        <f t="shared" si="1"/>
        <v>30.087499999999999</v>
      </c>
    </row>
    <row r="78" spans="1:9" x14ac:dyDescent="0.3">
      <c r="A78" s="20">
        <v>8100077</v>
      </c>
      <c r="B78" s="10" t="s">
        <v>192</v>
      </c>
      <c r="C78" s="29"/>
      <c r="D78" s="29"/>
      <c r="E78" s="10" t="s">
        <v>25</v>
      </c>
      <c r="F78" s="10">
        <v>51.5</v>
      </c>
      <c r="G78" s="10">
        <v>3</v>
      </c>
      <c r="H78" s="10" t="s">
        <v>116</v>
      </c>
      <c r="I78" s="10">
        <f t="shared" si="1"/>
        <v>42.744999999999997</v>
      </c>
    </row>
    <row r="79" spans="1:9" x14ac:dyDescent="0.3">
      <c r="A79" s="21">
        <v>8100078</v>
      </c>
      <c r="B79" s="9" t="s">
        <v>193</v>
      </c>
      <c r="C79" s="29"/>
      <c r="D79" s="29"/>
      <c r="E79" s="9" t="s">
        <v>25</v>
      </c>
      <c r="F79" s="9">
        <v>60.5</v>
      </c>
      <c r="G79" s="9">
        <v>5</v>
      </c>
      <c r="H79" s="9" t="s">
        <v>116</v>
      </c>
      <c r="I79" s="9">
        <f t="shared" si="1"/>
        <v>50.215000000000003</v>
      </c>
    </row>
    <row r="80" spans="1:9" x14ac:dyDescent="0.3">
      <c r="A80" s="20">
        <v>8100079</v>
      </c>
      <c r="B80" s="10" t="s">
        <v>194</v>
      </c>
      <c r="C80" s="29"/>
      <c r="D80" s="29"/>
      <c r="E80" s="10" t="s">
        <v>25</v>
      </c>
      <c r="F80" s="10">
        <v>55.25</v>
      </c>
      <c r="G80" s="10">
        <v>5</v>
      </c>
      <c r="H80" s="10" t="s">
        <v>116</v>
      </c>
      <c r="I80" s="10">
        <f t="shared" si="1"/>
        <v>45.857500000000002</v>
      </c>
    </row>
    <row r="81" spans="1:9" x14ac:dyDescent="0.3">
      <c r="A81" s="21">
        <v>8100080</v>
      </c>
      <c r="B81" s="9" t="s">
        <v>195</v>
      </c>
      <c r="C81" s="29"/>
      <c r="D81" s="29"/>
      <c r="E81" s="9" t="s">
        <v>25</v>
      </c>
      <c r="F81" s="9">
        <v>78.75</v>
      </c>
      <c r="G81" s="9">
        <v>3</v>
      </c>
      <c r="H81" s="9" t="s">
        <v>116</v>
      </c>
      <c r="I81" s="9">
        <f t="shared" si="1"/>
        <v>65.362499999999997</v>
      </c>
    </row>
    <row r="82" spans="1:9" x14ac:dyDescent="0.3">
      <c r="A82" s="20">
        <v>8100081</v>
      </c>
      <c r="B82" s="10" t="s">
        <v>196</v>
      </c>
      <c r="C82" s="29"/>
      <c r="D82" s="29"/>
      <c r="E82" s="10" t="s">
        <v>25</v>
      </c>
      <c r="F82" s="10">
        <v>89.75</v>
      </c>
      <c r="G82" s="10">
        <v>20</v>
      </c>
      <c r="H82" s="10" t="s">
        <v>116</v>
      </c>
      <c r="I82" s="10">
        <f t="shared" si="1"/>
        <v>74.492500000000007</v>
      </c>
    </row>
    <row r="83" spans="1:9" x14ac:dyDescent="0.3">
      <c r="A83" s="21">
        <v>8100082</v>
      </c>
      <c r="B83" s="9" t="s">
        <v>197</v>
      </c>
      <c r="C83" s="29"/>
      <c r="D83" s="29"/>
      <c r="E83" s="9" t="s">
        <v>25</v>
      </c>
      <c r="F83" s="9">
        <v>148.75</v>
      </c>
      <c r="G83" s="9">
        <v>15</v>
      </c>
      <c r="H83" s="9" t="s">
        <v>116</v>
      </c>
      <c r="I83" s="9">
        <f t="shared" si="1"/>
        <v>123.46250000000001</v>
      </c>
    </row>
    <row r="84" spans="1:9" x14ac:dyDescent="0.3">
      <c r="A84" s="20">
        <v>8100083</v>
      </c>
      <c r="B84" s="10" t="s">
        <v>198</v>
      </c>
      <c r="C84" s="34" t="s">
        <v>1221</v>
      </c>
      <c r="D84" s="34" t="s">
        <v>1197</v>
      </c>
      <c r="E84" s="10" t="s">
        <v>25</v>
      </c>
      <c r="F84" s="10">
        <v>33.75</v>
      </c>
      <c r="G84" s="10">
        <v>5</v>
      </c>
      <c r="H84" s="10" t="s">
        <v>116</v>
      </c>
      <c r="I84" s="10">
        <f t="shared" si="1"/>
        <v>28.012499999999999</v>
      </c>
    </row>
    <row r="85" spans="1:9" x14ac:dyDescent="0.3">
      <c r="A85" s="21">
        <v>8100084</v>
      </c>
      <c r="B85" s="9" t="s">
        <v>199</v>
      </c>
      <c r="C85" s="29"/>
      <c r="D85" s="29"/>
      <c r="E85" s="9" t="s">
        <v>25</v>
      </c>
      <c r="F85" s="9">
        <v>33.75</v>
      </c>
      <c r="G85" s="9">
        <v>5</v>
      </c>
      <c r="H85" s="9" t="s">
        <v>116</v>
      </c>
      <c r="I85" s="9">
        <f t="shared" si="1"/>
        <v>28.012499999999999</v>
      </c>
    </row>
    <row r="86" spans="1:9" x14ac:dyDescent="0.3">
      <c r="A86" s="20">
        <v>8100085</v>
      </c>
      <c r="B86" s="10" t="s">
        <v>200</v>
      </c>
      <c r="C86" s="34" t="s">
        <v>1222</v>
      </c>
      <c r="D86" s="34" t="s">
        <v>1197</v>
      </c>
      <c r="E86" s="10" t="s">
        <v>25</v>
      </c>
      <c r="F86" s="10">
        <v>15.25</v>
      </c>
      <c r="G86" s="10">
        <v>10</v>
      </c>
      <c r="H86" s="10" t="s">
        <v>116</v>
      </c>
      <c r="I86" s="10">
        <f t="shared" si="1"/>
        <v>12.657499999999999</v>
      </c>
    </row>
    <row r="87" spans="1:9" x14ac:dyDescent="0.3">
      <c r="A87" s="21">
        <v>8100086</v>
      </c>
      <c r="B87" s="9" t="s">
        <v>201</v>
      </c>
      <c r="C87" s="29"/>
      <c r="D87" s="29"/>
      <c r="E87" s="9" t="s">
        <v>25</v>
      </c>
      <c r="F87" s="9">
        <v>30.75</v>
      </c>
      <c r="G87" s="9">
        <v>5</v>
      </c>
      <c r="H87" s="9" t="s">
        <v>116</v>
      </c>
      <c r="I87" s="9">
        <f t="shared" si="1"/>
        <v>25.522500000000001</v>
      </c>
    </row>
    <row r="88" spans="1:9" x14ac:dyDescent="0.3">
      <c r="A88" s="20">
        <v>8100087</v>
      </c>
      <c r="B88" s="10" t="s">
        <v>202</v>
      </c>
      <c r="C88" s="29"/>
      <c r="D88" s="29"/>
      <c r="E88" s="10" t="s">
        <v>25</v>
      </c>
      <c r="F88" s="10">
        <v>36</v>
      </c>
      <c r="G88" s="10">
        <v>5</v>
      </c>
      <c r="H88" s="10" t="s">
        <v>116</v>
      </c>
      <c r="I88" s="10">
        <f t="shared" si="1"/>
        <v>29.88</v>
      </c>
    </row>
    <row r="89" spans="1:9" x14ac:dyDescent="0.3">
      <c r="A89" s="21">
        <v>8100088</v>
      </c>
      <c r="B89" s="9" t="s">
        <v>203</v>
      </c>
      <c r="C89" s="29"/>
      <c r="D89" s="29"/>
      <c r="E89" s="9" t="s">
        <v>25</v>
      </c>
      <c r="F89" s="9">
        <v>42</v>
      </c>
      <c r="G89" s="9">
        <v>10</v>
      </c>
      <c r="H89" s="9" t="s">
        <v>116</v>
      </c>
      <c r="I89" s="9">
        <f t="shared" si="1"/>
        <v>34.86</v>
      </c>
    </row>
    <row r="90" spans="1:9" x14ac:dyDescent="0.3">
      <c r="A90" s="20">
        <v>8100089</v>
      </c>
      <c r="B90" s="10" t="s">
        <v>204</v>
      </c>
      <c r="C90" s="29"/>
      <c r="D90" s="29"/>
      <c r="E90" s="10" t="s">
        <v>25</v>
      </c>
      <c r="F90" s="10">
        <v>60.25</v>
      </c>
      <c r="G90" s="10">
        <v>20</v>
      </c>
      <c r="H90" s="10" t="s">
        <v>116</v>
      </c>
      <c r="I90" s="10">
        <f t="shared" si="1"/>
        <v>50.0075</v>
      </c>
    </row>
    <row r="91" spans="1:9" x14ac:dyDescent="0.3">
      <c r="A91" s="21">
        <v>8100090</v>
      </c>
      <c r="B91" s="9" t="s">
        <v>205</v>
      </c>
      <c r="C91" s="29"/>
      <c r="D91" s="29"/>
      <c r="E91" s="9" t="s">
        <v>25</v>
      </c>
      <c r="F91" s="9">
        <v>113.5</v>
      </c>
      <c r="G91" s="9">
        <v>5</v>
      </c>
      <c r="H91" s="9" t="s">
        <v>116</v>
      </c>
      <c r="I91" s="9">
        <f t="shared" si="1"/>
        <v>94.204999999999998</v>
      </c>
    </row>
    <row r="92" spans="1:9" x14ac:dyDescent="0.3">
      <c r="A92" s="20">
        <v>8100091</v>
      </c>
      <c r="B92" s="10" t="s">
        <v>206</v>
      </c>
      <c r="C92" s="34" t="s">
        <v>1223</v>
      </c>
      <c r="D92" s="34" t="s">
        <v>1197</v>
      </c>
      <c r="E92" s="10" t="s">
        <v>25</v>
      </c>
      <c r="F92" s="10">
        <v>35</v>
      </c>
      <c r="G92" s="10">
        <v>5</v>
      </c>
      <c r="H92" s="10" t="s">
        <v>116</v>
      </c>
      <c r="I92" s="10">
        <f t="shared" si="1"/>
        <v>29.05</v>
      </c>
    </row>
    <row r="93" spans="1:9" x14ac:dyDescent="0.3">
      <c r="A93" s="21">
        <v>8100092</v>
      </c>
      <c r="B93" s="9" t="s">
        <v>207</v>
      </c>
      <c r="C93" s="29"/>
      <c r="D93" s="29"/>
      <c r="E93" s="9" t="s">
        <v>25</v>
      </c>
      <c r="F93" s="9">
        <v>43.25</v>
      </c>
      <c r="G93" s="9">
        <v>5</v>
      </c>
      <c r="H93" s="9" t="s">
        <v>116</v>
      </c>
      <c r="I93" s="9">
        <f t="shared" si="1"/>
        <v>35.897500000000001</v>
      </c>
    </row>
    <row r="94" spans="1:9" x14ac:dyDescent="0.3">
      <c r="A94" s="20">
        <v>8100093</v>
      </c>
      <c r="B94" s="10" t="s">
        <v>208</v>
      </c>
      <c r="C94" s="29"/>
      <c r="D94" s="29"/>
      <c r="E94" s="10" t="s">
        <v>25</v>
      </c>
      <c r="F94" s="10">
        <v>63.25</v>
      </c>
      <c r="G94" s="10">
        <v>10</v>
      </c>
      <c r="H94" s="10" t="s">
        <v>116</v>
      </c>
      <c r="I94" s="10">
        <f t="shared" si="1"/>
        <v>52.497500000000002</v>
      </c>
    </row>
    <row r="95" spans="1:9" x14ac:dyDescent="0.3">
      <c r="A95" s="21">
        <v>8100094</v>
      </c>
      <c r="B95" s="9" t="s">
        <v>209</v>
      </c>
      <c r="C95" s="35" t="s">
        <v>1224</v>
      </c>
      <c r="D95" s="35" t="s">
        <v>1197</v>
      </c>
      <c r="E95" s="9" t="s">
        <v>25</v>
      </c>
      <c r="F95" s="9">
        <v>1882.25</v>
      </c>
      <c r="G95" s="9">
        <v>3</v>
      </c>
      <c r="H95" s="9" t="s">
        <v>116</v>
      </c>
      <c r="I95" s="9"/>
    </row>
    <row r="96" spans="1:9" x14ac:dyDescent="0.3">
      <c r="A96" s="20">
        <v>8100095</v>
      </c>
      <c r="B96" s="10" t="s">
        <v>210</v>
      </c>
      <c r="C96" s="29"/>
      <c r="D96" s="29"/>
      <c r="E96" s="10" t="s">
        <v>25</v>
      </c>
      <c r="F96" s="10">
        <v>2295.25</v>
      </c>
      <c r="G96" s="10">
        <v>3</v>
      </c>
      <c r="H96" s="10" t="s">
        <v>116</v>
      </c>
      <c r="I96" s="10"/>
    </row>
    <row r="97" spans="1:9" x14ac:dyDescent="0.3">
      <c r="A97" s="21">
        <v>8100096</v>
      </c>
      <c r="B97" s="9" t="s">
        <v>211</v>
      </c>
      <c r="C97" s="35" t="s">
        <v>1226</v>
      </c>
      <c r="D97" s="35" t="s">
        <v>35</v>
      </c>
      <c r="E97" s="9" t="s">
        <v>25</v>
      </c>
      <c r="F97" s="9">
        <v>1156</v>
      </c>
      <c r="G97" s="9">
        <v>3</v>
      </c>
      <c r="H97" s="9" t="s">
        <v>116</v>
      </c>
      <c r="I97" s="9">
        <v>959.48</v>
      </c>
    </row>
    <row r="98" spans="1:9" x14ac:dyDescent="0.3">
      <c r="A98" s="20">
        <v>8100097</v>
      </c>
      <c r="B98" s="10" t="s">
        <v>212</v>
      </c>
      <c r="C98" s="34" t="s">
        <v>1225</v>
      </c>
      <c r="D98" s="34" t="s">
        <v>35</v>
      </c>
      <c r="E98" s="10" t="s">
        <v>25</v>
      </c>
      <c r="F98" s="10">
        <v>245.75</v>
      </c>
      <c r="G98" s="10">
        <v>5</v>
      </c>
      <c r="H98" s="10" t="s">
        <v>116</v>
      </c>
      <c r="I98" s="10">
        <v>203.9725</v>
      </c>
    </row>
    <row r="99" spans="1:9" x14ac:dyDescent="0.3">
      <c r="A99" s="21">
        <v>8100098</v>
      </c>
      <c r="B99" s="9" t="s">
        <v>213</v>
      </c>
      <c r="C99" s="35" t="s">
        <v>1227</v>
      </c>
      <c r="D99" s="35" t="s">
        <v>35</v>
      </c>
      <c r="E99" s="9" t="s">
        <v>25</v>
      </c>
      <c r="F99" s="9">
        <v>549.75</v>
      </c>
      <c r="G99" s="9">
        <v>3</v>
      </c>
      <c r="H99" s="9" t="s">
        <v>116</v>
      </c>
      <c r="I99" s="9">
        <v>456.29250000000002</v>
      </c>
    </row>
    <row r="100" spans="1:9" x14ac:dyDescent="0.3">
      <c r="A100" s="20">
        <v>8100099</v>
      </c>
      <c r="B100" s="10" t="s">
        <v>214</v>
      </c>
      <c r="C100" s="29"/>
      <c r="D100" s="29"/>
      <c r="E100" s="10" t="s">
        <v>25</v>
      </c>
      <c r="F100" s="10">
        <v>659.5</v>
      </c>
      <c r="G100" s="10">
        <v>3</v>
      </c>
      <c r="H100" s="10" t="s">
        <v>116</v>
      </c>
      <c r="I100" s="10">
        <f t="shared" ref="I100:I147" si="2">F100-F100*17%</f>
        <v>547.38499999999999</v>
      </c>
    </row>
    <row r="101" spans="1:9" x14ac:dyDescent="0.3">
      <c r="A101" s="21">
        <v>8100100</v>
      </c>
      <c r="B101" s="9" t="s">
        <v>215</v>
      </c>
      <c r="C101" s="35" t="s">
        <v>1228</v>
      </c>
      <c r="D101" s="35" t="s">
        <v>35</v>
      </c>
      <c r="E101" s="9" t="s">
        <v>25</v>
      </c>
      <c r="F101" s="9">
        <v>549.75</v>
      </c>
      <c r="G101" s="9">
        <v>3</v>
      </c>
      <c r="H101" s="9" t="s">
        <v>116</v>
      </c>
      <c r="I101" s="9">
        <f t="shared" si="2"/>
        <v>456.29250000000002</v>
      </c>
    </row>
    <row r="102" spans="1:9" x14ac:dyDescent="0.3">
      <c r="A102" s="20">
        <v>8100101</v>
      </c>
      <c r="B102" s="10" t="s">
        <v>216</v>
      </c>
      <c r="C102" s="29"/>
      <c r="D102" s="29"/>
      <c r="E102" s="10" t="s">
        <v>25</v>
      </c>
      <c r="F102" s="10">
        <v>659.5</v>
      </c>
      <c r="G102" s="10">
        <v>3</v>
      </c>
      <c r="H102" s="10" t="s">
        <v>116</v>
      </c>
      <c r="I102" s="10">
        <f t="shared" si="2"/>
        <v>547.38499999999999</v>
      </c>
    </row>
    <row r="103" spans="1:9" x14ac:dyDescent="0.3">
      <c r="A103" s="21">
        <v>8100102</v>
      </c>
      <c r="B103" s="9" t="s">
        <v>217</v>
      </c>
      <c r="C103" s="35" t="s">
        <v>1229</v>
      </c>
      <c r="D103" s="35" t="s">
        <v>35</v>
      </c>
      <c r="E103" s="9" t="s">
        <v>25</v>
      </c>
      <c r="F103" s="9">
        <v>549.75</v>
      </c>
      <c r="G103" s="9">
        <v>3</v>
      </c>
      <c r="H103" s="9" t="s">
        <v>116</v>
      </c>
      <c r="I103" s="9">
        <f t="shared" si="2"/>
        <v>456.29250000000002</v>
      </c>
    </row>
    <row r="104" spans="1:9" x14ac:dyDescent="0.3">
      <c r="A104" s="20">
        <v>8100103</v>
      </c>
      <c r="B104" s="10" t="s">
        <v>218</v>
      </c>
      <c r="C104" s="29"/>
      <c r="D104" s="29"/>
      <c r="E104" s="10" t="s">
        <v>25</v>
      </c>
      <c r="F104" s="10">
        <v>659.5</v>
      </c>
      <c r="G104" s="10">
        <v>3</v>
      </c>
      <c r="H104" s="10" t="s">
        <v>116</v>
      </c>
      <c r="I104" s="10">
        <f t="shared" si="2"/>
        <v>547.38499999999999</v>
      </c>
    </row>
    <row r="105" spans="1:9" x14ac:dyDescent="0.3">
      <c r="A105" s="21">
        <v>8100104</v>
      </c>
      <c r="B105" s="9" t="s">
        <v>219</v>
      </c>
      <c r="C105" s="35" t="s">
        <v>1230</v>
      </c>
      <c r="D105" s="35" t="s">
        <v>35</v>
      </c>
      <c r="E105" s="9" t="s">
        <v>25</v>
      </c>
      <c r="F105" s="9">
        <v>549.75</v>
      </c>
      <c r="G105" s="9">
        <v>3</v>
      </c>
      <c r="H105" s="9" t="s">
        <v>116</v>
      </c>
      <c r="I105" s="9">
        <f t="shared" si="2"/>
        <v>456.29250000000002</v>
      </c>
    </row>
    <row r="106" spans="1:9" x14ac:dyDescent="0.3">
      <c r="A106" s="20">
        <v>8100105</v>
      </c>
      <c r="B106" s="10" t="s">
        <v>220</v>
      </c>
      <c r="C106" s="29"/>
      <c r="D106" s="29"/>
      <c r="E106" s="10" t="s">
        <v>25</v>
      </c>
      <c r="F106" s="10">
        <v>659.5</v>
      </c>
      <c r="G106" s="10">
        <v>3</v>
      </c>
      <c r="H106" s="10" t="s">
        <v>116</v>
      </c>
      <c r="I106" s="10">
        <f t="shared" si="2"/>
        <v>547.38499999999999</v>
      </c>
    </row>
    <row r="107" spans="1:9" x14ac:dyDescent="0.3">
      <c r="A107" s="21">
        <v>8100106</v>
      </c>
      <c r="B107" s="9" t="s">
        <v>221</v>
      </c>
      <c r="C107" s="35" t="s">
        <v>1231</v>
      </c>
      <c r="D107" s="35" t="s">
        <v>35</v>
      </c>
      <c r="E107" s="9" t="s">
        <v>25</v>
      </c>
      <c r="F107" s="9">
        <v>549.75</v>
      </c>
      <c r="G107" s="9">
        <v>3</v>
      </c>
      <c r="H107" s="9" t="s">
        <v>116</v>
      </c>
      <c r="I107" s="9">
        <f t="shared" si="2"/>
        <v>456.29250000000002</v>
      </c>
    </row>
    <row r="108" spans="1:9" x14ac:dyDescent="0.3">
      <c r="A108" s="20">
        <v>8100107</v>
      </c>
      <c r="B108" s="10" t="s">
        <v>222</v>
      </c>
      <c r="C108" s="29"/>
      <c r="D108" s="29"/>
      <c r="E108" s="10" t="s">
        <v>25</v>
      </c>
      <c r="F108" s="10">
        <v>659.5</v>
      </c>
      <c r="G108" s="10">
        <v>3</v>
      </c>
      <c r="H108" s="10" t="s">
        <v>116</v>
      </c>
      <c r="I108" s="10">
        <f t="shared" si="2"/>
        <v>547.38499999999999</v>
      </c>
    </row>
    <row r="109" spans="1:9" x14ac:dyDescent="0.3">
      <c r="A109" s="21">
        <v>8100108</v>
      </c>
      <c r="B109" s="9" t="s">
        <v>223</v>
      </c>
      <c r="C109" s="35" t="s">
        <v>1232</v>
      </c>
      <c r="D109" s="35" t="s">
        <v>35</v>
      </c>
      <c r="E109" s="9" t="s">
        <v>25</v>
      </c>
      <c r="F109" s="9">
        <v>549.75</v>
      </c>
      <c r="G109" s="9">
        <v>3</v>
      </c>
      <c r="H109" s="9" t="s">
        <v>116</v>
      </c>
      <c r="I109" s="9">
        <f t="shared" si="2"/>
        <v>456.29250000000002</v>
      </c>
    </row>
    <row r="110" spans="1:9" x14ac:dyDescent="0.3">
      <c r="A110" s="20">
        <v>8100109</v>
      </c>
      <c r="B110" s="10" t="s">
        <v>224</v>
      </c>
      <c r="C110" s="29"/>
      <c r="D110" s="29"/>
      <c r="E110" s="10" t="s">
        <v>25</v>
      </c>
      <c r="F110" s="10">
        <v>659.5</v>
      </c>
      <c r="G110" s="10">
        <v>3</v>
      </c>
      <c r="H110" s="10" t="s">
        <v>116</v>
      </c>
      <c r="I110" s="10">
        <f t="shared" si="2"/>
        <v>547.38499999999999</v>
      </c>
    </row>
    <row r="111" spans="1:9" x14ac:dyDescent="0.3">
      <c r="A111" s="21">
        <v>8100110</v>
      </c>
      <c r="B111" s="9" t="s">
        <v>225</v>
      </c>
      <c r="C111" s="35" t="s">
        <v>1233</v>
      </c>
      <c r="D111" s="35" t="s">
        <v>35</v>
      </c>
      <c r="E111" s="9" t="s">
        <v>25</v>
      </c>
      <c r="F111" s="9">
        <v>549.75</v>
      </c>
      <c r="G111" s="9">
        <v>3</v>
      </c>
      <c r="H111" s="9" t="s">
        <v>116</v>
      </c>
      <c r="I111" s="9">
        <f t="shared" si="2"/>
        <v>456.29250000000002</v>
      </c>
    </row>
    <row r="112" spans="1:9" x14ac:dyDescent="0.3">
      <c r="A112" s="20">
        <v>8100111</v>
      </c>
      <c r="B112" s="10" t="s">
        <v>226</v>
      </c>
      <c r="C112" s="29"/>
      <c r="D112" s="29"/>
      <c r="E112" s="10" t="s">
        <v>25</v>
      </c>
      <c r="F112" s="10">
        <v>659.5</v>
      </c>
      <c r="G112" s="10">
        <v>3</v>
      </c>
      <c r="H112" s="10" t="s">
        <v>116</v>
      </c>
      <c r="I112" s="10">
        <f t="shared" si="2"/>
        <v>547.38499999999999</v>
      </c>
    </row>
    <row r="113" spans="1:9" x14ac:dyDescent="0.3">
      <c r="A113" s="21">
        <v>8100112</v>
      </c>
      <c r="B113" s="9" t="s">
        <v>227</v>
      </c>
      <c r="C113" s="35" t="s">
        <v>1234</v>
      </c>
      <c r="D113" s="35" t="s">
        <v>35</v>
      </c>
      <c r="E113" s="9" t="s">
        <v>25</v>
      </c>
      <c r="F113" s="9">
        <v>1122.25</v>
      </c>
      <c r="G113" s="9">
        <v>3</v>
      </c>
      <c r="H113" s="9" t="s">
        <v>116</v>
      </c>
      <c r="I113" s="9">
        <f t="shared" si="2"/>
        <v>931.46749999999997</v>
      </c>
    </row>
    <row r="114" spans="1:9" x14ac:dyDescent="0.3">
      <c r="A114" s="21">
        <v>8100114</v>
      </c>
      <c r="B114" s="9" t="s">
        <v>228</v>
      </c>
      <c r="C114" s="35" t="s">
        <v>1235</v>
      </c>
      <c r="D114" s="35" t="s">
        <v>35</v>
      </c>
      <c r="E114" s="9" t="s">
        <v>25</v>
      </c>
      <c r="F114" s="9">
        <v>1163.25</v>
      </c>
      <c r="G114" s="9">
        <v>3</v>
      </c>
      <c r="H114" s="9" t="s">
        <v>116</v>
      </c>
      <c r="I114" s="9">
        <f t="shared" si="2"/>
        <v>965.49749999999995</v>
      </c>
    </row>
    <row r="115" spans="1:9" x14ac:dyDescent="0.3">
      <c r="A115" s="20">
        <v>8100115</v>
      </c>
      <c r="B115" s="10" t="s">
        <v>229</v>
      </c>
      <c r="C115" s="29"/>
      <c r="D115" s="29"/>
      <c r="E115" s="10" t="s">
        <v>25</v>
      </c>
      <c r="F115" s="10">
        <v>1348</v>
      </c>
      <c r="G115" s="10">
        <v>3</v>
      </c>
      <c r="H115" s="10" t="s">
        <v>116</v>
      </c>
      <c r="I115" s="10">
        <f t="shared" si="2"/>
        <v>1118.8399999999999</v>
      </c>
    </row>
    <row r="116" spans="1:9" x14ac:dyDescent="0.3">
      <c r="A116" s="21">
        <v>8100116</v>
      </c>
      <c r="B116" s="9" t="s">
        <v>230</v>
      </c>
      <c r="C116" s="35" t="s">
        <v>1236</v>
      </c>
      <c r="D116" s="35" t="s">
        <v>35</v>
      </c>
      <c r="E116" s="9" t="s">
        <v>25</v>
      </c>
      <c r="F116" s="9">
        <v>1216</v>
      </c>
      <c r="G116" s="9">
        <v>3</v>
      </c>
      <c r="H116" s="9" t="s">
        <v>116</v>
      </c>
      <c r="I116" s="9">
        <f t="shared" si="2"/>
        <v>1009.28</v>
      </c>
    </row>
    <row r="117" spans="1:9" x14ac:dyDescent="0.3">
      <c r="A117" s="20">
        <v>8100117</v>
      </c>
      <c r="B117" s="10" t="s">
        <v>231</v>
      </c>
      <c r="C117" s="29"/>
      <c r="D117" s="29"/>
      <c r="E117" s="10" t="s">
        <v>25</v>
      </c>
      <c r="F117" s="10">
        <v>1454</v>
      </c>
      <c r="G117" s="10">
        <v>3</v>
      </c>
      <c r="H117" s="10" t="s">
        <v>116</v>
      </c>
      <c r="I117" s="10">
        <f t="shared" si="2"/>
        <v>1206.82</v>
      </c>
    </row>
    <row r="118" spans="1:9" x14ac:dyDescent="0.3">
      <c r="A118" s="21">
        <v>8100118</v>
      </c>
      <c r="B118" s="9" t="s">
        <v>232</v>
      </c>
      <c r="C118" s="35" t="s">
        <v>1237</v>
      </c>
      <c r="D118" s="35" t="s">
        <v>35</v>
      </c>
      <c r="E118" s="9" t="s">
        <v>25</v>
      </c>
      <c r="F118" s="9">
        <v>1122.75</v>
      </c>
      <c r="G118" s="9">
        <v>3</v>
      </c>
      <c r="H118" s="9" t="s">
        <v>116</v>
      </c>
      <c r="I118" s="9">
        <f t="shared" si="2"/>
        <v>931.88249999999994</v>
      </c>
    </row>
    <row r="119" spans="1:9" x14ac:dyDescent="0.3">
      <c r="A119" s="20">
        <v>8100119</v>
      </c>
      <c r="B119" s="10" t="s">
        <v>233</v>
      </c>
      <c r="C119" s="29"/>
      <c r="D119" s="29"/>
      <c r="E119" s="10" t="s">
        <v>25</v>
      </c>
      <c r="F119" s="10">
        <v>1374.5</v>
      </c>
      <c r="G119" s="10">
        <v>3</v>
      </c>
      <c r="H119" s="10" t="s">
        <v>116</v>
      </c>
      <c r="I119" s="10">
        <f t="shared" si="2"/>
        <v>1140.835</v>
      </c>
    </row>
    <row r="120" spans="1:9" x14ac:dyDescent="0.3">
      <c r="A120" s="21">
        <v>8100120</v>
      </c>
      <c r="B120" s="9" t="s">
        <v>234</v>
      </c>
      <c r="C120" s="35" t="s">
        <v>1238</v>
      </c>
      <c r="D120" s="35" t="s">
        <v>35</v>
      </c>
      <c r="E120" s="9" t="s">
        <v>25</v>
      </c>
      <c r="F120" s="9">
        <v>1242.25</v>
      </c>
      <c r="G120" s="9">
        <v>3</v>
      </c>
      <c r="H120" s="9" t="s">
        <v>116</v>
      </c>
      <c r="I120" s="9">
        <f t="shared" si="2"/>
        <v>1031.0675000000001</v>
      </c>
    </row>
    <row r="121" spans="1:9" x14ac:dyDescent="0.3">
      <c r="A121" s="20">
        <v>8100121</v>
      </c>
      <c r="B121" s="10" t="s">
        <v>235</v>
      </c>
      <c r="C121" s="29"/>
      <c r="D121" s="29"/>
      <c r="E121" s="10" t="s">
        <v>25</v>
      </c>
      <c r="F121" s="10">
        <v>1493.25</v>
      </c>
      <c r="G121" s="10">
        <v>3</v>
      </c>
      <c r="H121" s="10" t="s">
        <v>116</v>
      </c>
      <c r="I121" s="10">
        <f t="shared" si="2"/>
        <v>1239.3975</v>
      </c>
    </row>
    <row r="122" spans="1:9" x14ac:dyDescent="0.3">
      <c r="A122" s="21">
        <v>8100122</v>
      </c>
      <c r="B122" s="9" t="s">
        <v>236</v>
      </c>
      <c r="C122" s="35" t="s">
        <v>1239</v>
      </c>
      <c r="D122" s="35" t="s">
        <v>35</v>
      </c>
      <c r="E122" s="9" t="s">
        <v>25</v>
      </c>
      <c r="F122" s="9">
        <v>1794</v>
      </c>
      <c r="G122" s="9">
        <v>3</v>
      </c>
      <c r="H122" s="9" t="s">
        <v>116</v>
      </c>
      <c r="I122" s="9">
        <f t="shared" si="2"/>
        <v>1489.02</v>
      </c>
    </row>
    <row r="123" spans="1:9" x14ac:dyDescent="0.3">
      <c r="A123" s="20">
        <v>8100123</v>
      </c>
      <c r="B123" s="10" t="s">
        <v>237</v>
      </c>
      <c r="C123" s="34" t="s">
        <v>237</v>
      </c>
      <c r="D123" s="34" t="s">
        <v>35</v>
      </c>
      <c r="E123" s="10" t="s">
        <v>25</v>
      </c>
      <c r="F123" s="10">
        <v>606</v>
      </c>
      <c r="G123" s="10">
        <v>3</v>
      </c>
      <c r="H123" s="10" t="s">
        <v>116</v>
      </c>
      <c r="I123" s="10">
        <f t="shared" si="2"/>
        <v>502.98</v>
      </c>
    </row>
    <row r="124" spans="1:9" x14ac:dyDescent="0.3">
      <c r="A124" s="21">
        <v>8100124</v>
      </c>
      <c r="B124" s="9" t="s">
        <v>238</v>
      </c>
      <c r="C124" s="35" t="s">
        <v>1240</v>
      </c>
      <c r="D124" s="35" t="s">
        <v>35</v>
      </c>
      <c r="E124" s="9" t="s">
        <v>25</v>
      </c>
      <c r="F124" s="9">
        <v>2126.5</v>
      </c>
      <c r="G124" s="9">
        <v>3</v>
      </c>
      <c r="H124" s="9" t="s">
        <v>116</v>
      </c>
      <c r="I124" s="9">
        <f t="shared" si="2"/>
        <v>1764.9949999999999</v>
      </c>
    </row>
    <row r="125" spans="1:9" x14ac:dyDescent="0.3">
      <c r="A125" s="20">
        <v>8100125</v>
      </c>
      <c r="B125" s="10" t="s">
        <v>239</v>
      </c>
      <c r="C125" s="34" t="s">
        <v>1241</v>
      </c>
      <c r="D125" s="34" t="s">
        <v>35</v>
      </c>
      <c r="E125" s="10" t="s">
        <v>25</v>
      </c>
      <c r="F125" s="10">
        <v>529</v>
      </c>
      <c r="G125" s="10">
        <v>3</v>
      </c>
      <c r="H125" s="10" t="s">
        <v>116</v>
      </c>
      <c r="I125" s="10">
        <f t="shared" si="2"/>
        <v>439.07</v>
      </c>
    </row>
    <row r="126" spans="1:9" x14ac:dyDescent="0.3">
      <c r="A126" s="21">
        <v>8100126</v>
      </c>
      <c r="B126" s="9" t="s">
        <v>240</v>
      </c>
      <c r="C126" s="35" t="s">
        <v>1243</v>
      </c>
      <c r="D126" s="35" t="s">
        <v>35</v>
      </c>
      <c r="E126" s="9" t="s">
        <v>25</v>
      </c>
      <c r="F126" s="9">
        <v>459.75</v>
      </c>
      <c r="G126" s="9">
        <v>5</v>
      </c>
      <c r="H126" s="9" t="s">
        <v>116</v>
      </c>
      <c r="I126" s="9">
        <f t="shared" si="2"/>
        <v>381.59249999999997</v>
      </c>
    </row>
    <row r="127" spans="1:9" x14ac:dyDescent="0.3">
      <c r="A127" s="20">
        <v>8100127</v>
      </c>
      <c r="B127" s="10" t="s">
        <v>241</v>
      </c>
      <c r="C127" s="29"/>
      <c r="D127" s="29"/>
      <c r="E127" s="10" t="s">
        <v>25</v>
      </c>
      <c r="F127" s="10">
        <v>804.25</v>
      </c>
      <c r="G127" s="10">
        <v>3</v>
      </c>
      <c r="H127" s="10" t="s">
        <v>116</v>
      </c>
      <c r="I127" s="10">
        <f t="shared" si="2"/>
        <v>667.52750000000003</v>
      </c>
    </row>
    <row r="128" spans="1:9" x14ac:dyDescent="0.3">
      <c r="A128" s="21">
        <v>8100128</v>
      </c>
      <c r="B128" s="9" t="s">
        <v>242</v>
      </c>
      <c r="C128" s="35" t="s">
        <v>1245</v>
      </c>
      <c r="D128" s="35" t="s">
        <v>35</v>
      </c>
      <c r="E128" s="9" t="s">
        <v>25</v>
      </c>
      <c r="F128" s="9">
        <v>1156</v>
      </c>
      <c r="G128" s="9">
        <v>3</v>
      </c>
      <c r="H128" s="9" t="s">
        <v>116</v>
      </c>
      <c r="I128" s="9">
        <f t="shared" si="2"/>
        <v>959.48</v>
      </c>
    </row>
    <row r="129" spans="1:9" x14ac:dyDescent="0.3">
      <c r="A129" s="20">
        <v>8100129</v>
      </c>
      <c r="B129" s="10" t="s">
        <v>243</v>
      </c>
      <c r="C129" s="29"/>
      <c r="D129" s="29"/>
      <c r="E129" s="10" t="s">
        <v>25</v>
      </c>
      <c r="F129" s="10">
        <v>1353.75</v>
      </c>
      <c r="G129" s="10">
        <v>3</v>
      </c>
      <c r="H129" s="10" t="s">
        <v>116</v>
      </c>
      <c r="I129" s="10">
        <f t="shared" si="2"/>
        <v>1123.6125</v>
      </c>
    </row>
    <row r="130" spans="1:9" x14ac:dyDescent="0.3">
      <c r="A130" s="21">
        <v>8100130</v>
      </c>
      <c r="B130" s="9" t="s">
        <v>244</v>
      </c>
      <c r="C130" s="35" t="s">
        <v>1244</v>
      </c>
      <c r="D130" s="35" t="s">
        <v>35</v>
      </c>
      <c r="E130" s="9" t="s">
        <v>25</v>
      </c>
      <c r="F130" s="9">
        <v>1156</v>
      </c>
      <c r="G130" s="9">
        <v>3</v>
      </c>
      <c r="H130" s="9" t="s">
        <v>116</v>
      </c>
      <c r="I130" s="9">
        <f t="shared" si="2"/>
        <v>959.48</v>
      </c>
    </row>
    <row r="131" spans="1:9" x14ac:dyDescent="0.3">
      <c r="A131" s="20">
        <v>8100131</v>
      </c>
      <c r="B131" s="10" t="s">
        <v>245</v>
      </c>
      <c r="C131" s="29"/>
      <c r="D131" s="29"/>
      <c r="E131" s="10" t="s">
        <v>25</v>
      </c>
      <c r="F131" s="10">
        <v>1353.75</v>
      </c>
      <c r="G131" s="10">
        <v>3</v>
      </c>
      <c r="H131" s="10" t="s">
        <v>116</v>
      </c>
      <c r="I131" s="10">
        <f t="shared" si="2"/>
        <v>1123.6125</v>
      </c>
    </row>
    <row r="132" spans="1:9" x14ac:dyDescent="0.3">
      <c r="A132" s="21">
        <v>8100132</v>
      </c>
      <c r="B132" s="9" t="s">
        <v>246</v>
      </c>
      <c r="C132" s="35" t="s">
        <v>1246</v>
      </c>
      <c r="D132" s="35" t="s">
        <v>35</v>
      </c>
      <c r="E132" s="9" t="s">
        <v>25</v>
      </c>
      <c r="F132" s="9">
        <v>1188.75</v>
      </c>
      <c r="G132" s="9">
        <v>3</v>
      </c>
      <c r="H132" s="9" t="s">
        <v>116</v>
      </c>
      <c r="I132" s="9">
        <f t="shared" si="2"/>
        <v>986.66250000000002</v>
      </c>
    </row>
    <row r="133" spans="1:9" x14ac:dyDescent="0.3">
      <c r="A133" s="20">
        <v>8100133</v>
      </c>
      <c r="B133" s="10" t="s">
        <v>247</v>
      </c>
      <c r="C133" s="34" t="s">
        <v>1247</v>
      </c>
      <c r="D133" s="34" t="s">
        <v>35</v>
      </c>
      <c r="E133" s="10" t="s">
        <v>25</v>
      </c>
      <c r="F133" s="10">
        <v>66.5</v>
      </c>
      <c r="G133" s="10">
        <v>5</v>
      </c>
      <c r="H133" s="10" t="s">
        <v>116</v>
      </c>
      <c r="I133" s="10">
        <f t="shared" si="2"/>
        <v>55.195</v>
      </c>
    </row>
    <row r="134" spans="1:9" x14ac:dyDescent="0.3">
      <c r="A134" s="21">
        <v>8100134</v>
      </c>
      <c r="B134" s="9" t="s">
        <v>248</v>
      </c>
      <c r="C134" s="35" t="s">
        <v>248</v>
      </c>
      <c r="D134" s="35" t="s">
        <v>35</v>
      </c>
      <c r="E134" s="9" t="s">
        <v>25</v>
      </c>
      <c r="F134" s="9">
        <v>227</v>
      </c>
      <c r="G134" s="9">
        <v>5</v>
      </c>
      <c r="H134" s="9" t="s">
        <v>116</v>
      </c>
      <c r="I134" s="9">
        <f t="shared" si="2"/>
        <v>188.41</v>
      </c>
    </row>
    <row r="135" spans="1:9" x14ac:dyDescent="0.3">
      <c r="A135" s="20">
        <v>8100135</v>
      </c>
      <c r="B135" s="10" t="s">
        <v>249</v>
      </c>
      <c r="C135" s="34" t="s">
        <v>249</v>
      </c>
      <c r="D135" s="34" t="s">
        <v>35</v>
      </c>
      <c r="E135" s="10" t="s">
        <v>25</v>
      </c>
      <c r="F135" s="10">
        <v>225</v>
      </c>
      <c r="G135" s="10">
        <v>5</v>
      </c>
      <c r="H135" s="10" t="s">
        <v>116</v>
      </c>
      <c r="I135" s="10">
        <f t="shared" si="2"/>
        <v>186.75</v>
      </c>
    </row>
    <row r="136" spans="1:9" x14ac:dyDescent="0.3">
      <c r="A136" s="21">
        <v>8100136</v>
      </c>
      <c r="B136" s="9" t="s">
        <v>250</v>
      </c>
      <c r="C136" s="35" t="s">
        <v>1248</v>
      </c>
      <c r="D136" s="35" t="s">
        <v>35</v>
      </c>
      <c r="E136" s="9" t="s">
        <v>25</v>
      </c>
      <c r="F136" s="9">
        <v>292.5</v>
      </c>
      <c r="G136" s="9">
        <v>5</v>
      </c>
      <c r="H136" s="9" t="s">
        <v>116</v>
      </c>
      <c r="I136" s="9">
        <f t="shared" si="2"/>
        <v>242.77500000000001</v>
      </c>
    </row>
    <row r="137" spans="1:9" x14ac:dyDescent="0.3">
      <c r="A137" s="20">
        <v>8100137</v>
      </c>
      <c r="B137" s="10" t="s">
        <v>251</v>
      </c>
      <c r="C137" s="34" t="s">
        <v>1249</v>
      </c>
      <c r="D137" s="34" t="s">
        <v>35</v>
      </c>
      <c r="E137" s="10" t="s">
        <v>25</v>
      </c>
      <c r="F137" s="10">
        <v>290</v>
      </c>
      <c r="G137" s="10">
        <v>5</v>
      </c>
      <c r="H137" s="10" t="s">
        <v>116</v>
      </c>
      <c r="I137" s="10">
        <f t="shared" si="2"/>
        <v>240.7</v>
      </c>
    </row>
    <row r="138" spans="1:9" x14ac:dyDescent="0.3">
      <c r="A138" s="21">
        <v>8100138</v>
      </c>
      <c r="B138" s="9" t="s">
        <v>252</v>
      </c>
      <c r="C138" s="35" t="s">
        <v>1250</v>
      </c>
      <c r="D138" s="35" t="s">
        <v>35</v>
      </c>
      <c r="E138" s="9" t="s">
        <v>25</v>
      </c>
      <c r="F138" s="9">
        <v>1156</v>
      </c>
      <c r="G138" s="9">
        <v>3</v>
      </c>
      <c r="H138" s="9" t="s">
        <v>116</v>
      </c>
      <c r="I138" s="9">
        <f t="shared" si="2"/>
        <v>959.48</v>
      </c>
    </row>
    <row r="139" spans="1:9" x14ac:dyDescent="0.3">
      <c r="A139" s="20">
        <v>8100139</v>
      </c>
      <c r="B139" s="10" t="s">
        <v>253</v>
      </c>
      <c r="C139" s="29"/>
      <c r="D139" s="29"/>
      <c r="E139" s="10" t="s">
        <v>25</v>
      </c>
      <c r="F139" s="10">
        <v>1156</v>
      </c>
      <c r="G139" s="10">
        <v>3</v>
      </c>
      <c r="H139" s="10" t="s">
        <v>116</v>
      </c>
      <c r="I139" s="10">
        <f t="shared" si="2"/>
        <v>959.48</v>
      </c>
    </row>
    <row r="140" spans="1:9" x14ac:dyDescent="0.3">
      <c r="A140" s="21">
        <v>8100140</v>
      </c>
      <c r="B140" s="9" t="s">
        <v>254</v>
      </c>
      <c r="C140" s="29"/>
      <c r="D140" s="29"/>
      <c r="E140" s="9" t="s">
        <v>25</v>
      </c>
      <c r="F140" s="9">
        <v>1156</v>
      </c>
      <c r="G140" s="9">
        <v>3</v>
      </c>
      <c r="H140" s="9" t="s">
        <v>116</v>
      </c>
      <c r="I140" s="9">
        <f t="shared" si="2"/>
        <v>959.48</v>
      </c>
    </row>
    <row r="141" spans="1:9" x14ac:dyDescent="0.3">
      <c r="A141" s="20">
        <v>8100141</v>
      </c>
      <c r="B141" s="10" t="s">
        <v>255</v>
      </c>
      <c r="C141" s="29"/>
      <c r="D141" s="29"/>
      <c r="E141" s="10" t="s">
        <v>25</v>
      </c>
      <c r="F141" s="10">
        <v>1156</v>
      </c>
      <c r="G141" s="10">
        <v>3</v>
      </c>
      <c r="H141" s="10" t="s">
        <v>116</v>
      </c>
      <c r="I141" s="10">
        <f t="shared" si="2"/>
        <v>959.48</v>
      </c>
    </row>
    <row r="142" spans="1:9" x14ac:dyDescent="0.3">
      <c r="A142" s="21">
        <v>8100142</v>
      </c>
      <c r="B142" s="9" t="s">
        <v>256</v>
      </c>
      <c r="C142" s="29"/>
      <c r="D142" s="29"/>
      <c r="E142" s="9" t="s">
        <v>25</v>
      </c>
      <c r="F142" s="9">
        <v>1156</v>
      </c>
      <c r="G142" s="9">
        <v>3</v>
      </c>
      <c r="H142" s="9" t="s">
        <v>116</v>
      </c>
      <c r="I142" s="9">
        <f t="shared" si="2"/>
        <v>959.48</v>
      </c>
    </row>
    <row r="143" spans="1:9" x14ac:dyDescent="0.3">
      <c r="A143" s="20">
        <v>8100143</v>
      </c>
      <c r="B143" s="10" t="s">
        <v>257</v>
      </c>
      <c r="C143" s="34" t="s">
        <v>1251</v>
      </c>
      <c r="D143" s="34" t="s">
        <v>35</v>
      </c>
      <c r="E143" s="10" t="s">
        <v>25</v>
      </c>
      <c r="F143" s="10">
        <v>1353.75</v>
      </c>
      <c r="G143" s="10">
        <v>3</v>
      </c>
      <c r="H143" s="10" t="s">
        <v>116</v>
      </c>
      <c r="I143" s="10">
        <f t="shared" si="2"/>
        <v>1123.6125</v>
      </c>
    </row>
    <row r="144" spans="1:9" x14ac:dyDescent="0.3">
      <c r="A144" s="21">
        <v>8100144</v>
      </c>
      <c r="B144" s="9" t="s">
        <v>258</v>
      </c>
      <c r="C144" s="29"/>
      <c r="D144" s="29"/>
      <c r="E144" s="9" t="s">
        <v>25</v>
      </c>
      <c r="F144" s="9">
        <v>1353.75</v>
      </c>
      <c r="G144" s="9">
        <v>3</v>
      </c>
      <c r="H144" s="9" t="s">
        <v>116</v>
      </c>
      <c r="I144" s="9">
        <f t="shared" si="2"/>
        <v>1123.6125</v>
      </c>
    </row>
    <row r="145" spans="1:9" x14ac:dyDescent="0.3">
      <c r="A145" s="20">
        <v>8100145</v>
      </c>
      <c r="B145" s="10" t="s">
        <v>259</v>
      </c>
      <c r="C145" s="29"/>
      <c r="D145" s="29"/>
      <c r="E145" s="10" t="s">
        <v>25</v>
      </c>
      <c r="F145" s="10">
        <v>1353.75</v>
      </c>
      <c r="G145" s="10">
        <v>3</v>
      </c>
      <c r="H145" s="10" t="s">
        <v>116</v>
      </c>
      <c r="I145" s="10">
        <f t="shared" si="2"/>
        <v>1123.6125</v>
      </c>
    </row>
    <row r="146" spans="1:9" x14ac:dyDescent="0.3">
      <c r="A146" s="21">
        <v>8100146</v>
      </c>
      <c r="B146" s="9" t="s">
        <v>260</v>
      </c>
      <c r="C146" s="29"/>
      <c r="D146" s="29"/>
      <c r="E146" s="9" t="s">
        <v>25</v>
      </c>
      <c r="F146" s="9">
        <v>1353.75</v>
      </c>
      <c r="G146" s="9">
        <v>3</v>
      </c>
      <c r="H146" s="9" t="s">
        <v>116</v>
      </c>
      <c r="I146" s="9">
        <f t="shared" si="2"/>
        <v>1123.6125</v>
      </c>
    </row>
    <row r="147" spans="1:9" x14ac:dyDescent="0.3">
      <c r="A147" s="20">
        <v>8100147</v>
      </c>
      <c r="B147" s="10" t="s">
        <v>261</v>
      </c>
      <c r="C147" s="29"/>
      <c r="D147" s="29"/>
      <c r="E147" s="10" t="s">
        <v>25</v>
      </c>
      <c r="F147" s="10">
        <v>1353.75</v>
      </c>
      <c r="G147" s="10">
        <v>3</v>
      </c>
      <c r="H147" s="10" t="s">
        <v>116</v>
      </c>
      <c r="I147" s="10">
        <f t="shared" si="2"/>
        <v>1123.6125</v>
      </c>
    </row>
  </sheetData>
  <pageMargins left="0.7" right="0.7" top="0.75" bottom="0.75" header="0.3" footer="0.3"/>
  <pageSetup scale="33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AE6B8-3663-47F9-B6D9-F0926B733B69}">
  <sheetPr>
    <pageSetUpPr fitToPage="1"/>
  </sheetPr>
  <dimension ref="A1:GF140"/>
  <sheetViews>
    <sheetView topLeftCell="B1" workbookViewId="0">
      <selection activeCell="B10" sqref="B10"/>
    </sheetView>
  </sheetViews>
  <sheetFormatPr defaultRowHeight="21" x14ac:dyDescent="0.3"/>
  <cols>
    <col min="1" max="1" width="18.77734375" style="16" customWidth="1"/>
    <col min="2" max="2" width="73.6640625" style="16" customWidth="1"/>
    <col min="3" max="3" width="62.44140625" style="19" customWidth="1"/>
    <col min="4" max="4" width="25.109375" style="19" customWidth="1"/>
    <col min="5" max="5" width="11.6640625" style="16" customWidth="1"/>
    <col min="6" max="6" width="12.77734375" style="16" customWidth="1"/>
    <col min="7" max="7" width="12.44140625" style="16" customWidth="1"/>
    <col min="8" max="8" width="14.33203125" style="16" customWidth="1"/>
  </cols>
  <sheetData>
    <row r="1" spans="1:188" s="3" customFormat="1" ht="17.7" customHeight="1" x14ac:dyDescent="0.3">
      <c r="A1" s="31" t="s">
        <v>1</v>
      </c>
      <c r="B1" s="31" t="s">
        <v>2</v>
      </c>
      <c r="C1" s="35" t="s">
        <v>1193</v>
      </c>
      <c r="D1" s="35" t="s">
        <v>1194</v>
      </c>
      <c r="E1" s="31" t="s">
        <v>5</v>
      </c>
      <c r="F1" s="31" t="s">
        <v>12</v>
      </c>
      <c r="G1" s="31" t="s">
        <v>6</v>
      </c>
      <c r="H1" s="31" t="s">
        <v>8</v>
      </c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  <c r="CG1"/>
      <c r="CH1"/>
      <c r="CI1"/>
      <c r="CJ1"/>
      <c r="CK1"/>
      <c r="CL1"/>
      <c r="CM1"/>
      <c r="CN1"/>
      <c r="CO1"/>
      <c r="CP1"/>
      <c r="CQ1"/>
      <c r="CR1"/>
      <c r="CS1"/>
      <c r="CT1"/>
      <c r="CU1"/>
      <c r="CV1"/>
      <c r="CW1"/>
      <c r="CX1"/>
      <c r="CY1"/>
      <c r="CZ1"/>
      <c r="DA1"/>
      <c r="DB1"/>
      <c r="DC1"/>
      <c r="DD1"/>
      <c r="DE1"/>
      <c r="DF1"/>
      <c r="DG1"/>
      <c r="DH1"/>
      <c r="DI1"/>
      <c r="DJ1"/>
      <c r="DK1"/>
      <c r="DL1"/>
      <c r="DM1"/>
      <c r="DN1"/>
      <c r="DO1"/>
      <c r="DP1"/>
      <c r="DQ1"/>
      <c r="DR1"/>
      <c r="DS1"/>
      <c r="DT1"/>
      <c r="DU1"/>
      <c r="DV1"/>
      <c r="DW1"/>
      <c r="DX1"/>
      <c r="DY1"/>
      <c r="DZ1"/>
      <c r="EA1"/>
      <c r="EB1"/>
      <c r="EC1"/>
      <c r="ED1"/>
      <c r="EE1"/>
      <c r="EF1"/>
      <c r="EG1"/>
      <c r="EH1"/>
      <c r="EI1"/>
      <c r="EJ1"/>
      <c r="EK1"/>
      <c r="EL1"/>
      <c r="EM1"/>
      <c r="EN1"/>
      <c r="EO1"/>
      <c r="EP1"/>
      <c r="EQ1"/>
      <c r="ER1"/>
      <c r="ES1"/>
      <c r="ET1"/>
      <c r="EU1"/>
      <c r="EV1"/>
      <c r="EW1"/>
      <c r="EX1"/>
      <c r="EY1"/>
      <c r="EZ1"/>
      <c r="FA1"/>
      <c r="FB1"/>
      <c r="FC1"/>
      <c r="FD1"/>
      <c r="FE1"/>
      <c r="FF1"/>
      <c r="FG1"/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  <c r="GC1"/>
      <c r="GD1"/>
      <c r="GE1"/>
      <c r="GF1"/>
    </row>
    <row r="2" spans="1:188" s="42" customFormat="1" x14ac:dyDescent="0.3">
      <c r="A2" s="45">
        <v>8200001</v>
      </c>
      <c r="B2" s="38" t="s">
        <v>296</v>
      </c>
      <c r="C2" s="38" t="s">
        <v>1252</v>
      </c>
      <c r="D2" s="46" t="s">
        <v>1331</v>
      </c>
      <c r="E2" s="38">
        <v>56.5</v>
      </c>
      <c r="F2" s="38">
        <f t="shared" ref="F2:F36" si="0">E2-E2*17%</f>
        <v>46.894999999999996</v>
      </c>
      <c r="G2" s="38">
        <v>10</v>
      </c>
      <c r="H2" s="38" t="s">
        <v>297</v>
      </c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/>
      <c r="DS2"/>
      <c r="DT2"/>
      <c r="DU2"/>
      <c r="DV2"/>
      <c r="DW2"/>
      <c r="DX2"/>
      <c r="DY2"/>
      <c r="DZ2"/>
      <c r="EA2"/>
      <c r="EB2"/>
      <c r="EC2"/>
      <c r="ED2"/>
      <c r="EE2"/>
      <c r="EF2"/>
      <c r="EG2"/>
      <c r="EH2"/>
      <c r="EI2"/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  <c r="GC2"/>
      <c r="GD2"/>
      <c r="GE2"/>
      <c r="GF2"/>
    </row>
    <row r="3" spans="1:188" x14ac:dyDescent="0.3">
      <c r="A3" s="37">
        <v>8200002</v>
      </c>
      <c r="B3" s="32" t="s">
        <v>298</v>
      </c>
      <c r="C3" s="29"/>
      <c r="D3" s="29"/>
      <c r="E3" s="32">
        <v>35.75</v>
      </c>
      <c r="F3" s="32">
        <f t="shared" si="0"/>
        <v>29.672499999999999</v>
      </c>
      <c r="G3" s="32">
        <v>10</v>
      </c>
      <c r="H3" s="32" t="s">
        <v>297</v>
      </c>
    </row>
    <row r="4" spans="1:188" ht="21" customHeight="1" x14ac:dyDescent="0.3">
      <c r="A4" s="36">
        <v>8200003</v>
      </c>
      <c r="B4" s="31" t="s">
        <v>299</v>
      </c>
      <c r="C4" s="29"/>
      <c r="D4" s="29"/>
      <c r="E4" s="31">
        <v>39.25</v>
      </c>
      <c r="F4" s="31">
        <f t="shared" si="0"/>
        <v>32.577500000000001</v>
      </c>
      <c r="G4" s="31">
        <v>10</v>
      </c>
      <c r="H4" s="31" t="s">
        <v>297</v>
      </c>
    </row>
    <row r="5" spans="1:188" x14ac:dyDescent="0.3">
      <c r="A5" s="37">
        <v>8200004</v>
      </c>
      <c r="B5" s="32" t="s">
        <v>300</v>
      </c>
      <c r="C5" s="29"/>
      <c r="D5" s="29"/>
      <c r="E5" s="32">
        <v>96.5</v>
      </c>
      <c r="F5" s="32">
        <f t="shared" si="0"/>
        <v>80.094999999999999</v>
      </c>
      <c r="G5" s="32">
        <v>10</v>
      </c>
      <c r="H5" s="32" t="s">
        <v>297</v>
      </c>
    </row>
    <row r="6" spans="1:188" x14ac:dyDescent="0.3">
      <c r="A6" s="36">
        <v>8200005</v>
      </c>
      <c r="B6" s="31" t="s">
        <v>301</v>
      </c>
      <c r="C6" s="29"/>
      <c r="D6" s="29"/>
      <c r="E6" s="31">
        <v>131.5</v>
      </c>
      <c r="F6" s="31">
        <f t="shared" si="0"/>
        <v>109.145</v>
      </c>
      <c r="G6" s="31">
        <v>10</v>
      </c>
      <c r="H6" s="31" t="s">
        <v>297</v>
      </c>
    </row>
    <row r="7" spans="1:188" x14ac:dyDescent="0.3">
      <c r="A7" s="37">
        <v>8200006</v>
      </c>
      <c r="B7" s="32" t="s">
        <v>302</v>
      </c>
      <c r="C7" s="29"/>
      <c r="D7" s="29"/>
      <c r="E7" s="32">
        <v>268.25</v>
      </c>
      <c r="F7" s="32">
        <f t="shared" si="0"/>
        <v>222.64749999999998</v>
      </c>
      <c r="G7" s="32">
        <v>5</v>
      </c>
      <c r="H7" s="32" t="s">
        <v>297</v>
      </c>
    </row>
    <row r="8" spans="1:188" x14ac:dyDescent="0.3">
      <c r="A8" s="36">
        <v>8200007</v>
      </c>
      <c r="B8" s="31" t="s">
        <v>303</v>
      </c>
      <c r="C8" s="35" t="s">
        <v>1253</v>
      </c>
      <c r="D8" s="35" t="s">
        <v>1197</v>
      </c>
      <c r="E8" s="31">
        <v>15.25</v>
      </c>
      <c r="F8" s="31">
        <f t="shared" si="0"/>
        <v>12.657499999999999</v>
      </c>
      <c r="G8" s="31">
        <v>10</v>
      </c>
      <c r="H8" s="31" t="s">
        <v>297</v>
      </c>
    </row>
    <row r="9" spans="1:188" x14ac:dyDescent="0.3">
      <c r="A9" s="37">
        <v>8200008</v>
      </c>
      <c r="B9" s="32" t="s">
        <v>304</v>
      </c>
      <c r="C9" s="34" t="s">
        <v>1254</v>
      </c>
      <c r="D9" s="34" t="s">
        <v>1197</v>
      </c>
      <c r="E9" s="32">
        <v>18.25</v>
      </c>
      <c r="F9" s="32">
        <f t="shared" si="0"/>
        <v>15.147500000000001</v>
      </c>
      <c r="G9" s="32">
        <v>10</v>
      </c>
      <c r="H9" s="32" t="s">
        <v>297</v>
      </c>
    </row>
    <row r="10" spans="1:188" x14ac:dyDescent="0.3">
      <c r="A10" s="36">
        <v>8200009</v>
      </c>
      <c r="B10" s="31" t="s">
        <v>305</v>
      </c>
      <c r="C10" s="29"/>
      <c r="D10" s="29"/>
      <c r="E10" s="31">
        <v>18.75</v>
      </c>
      <c r="F10" s="31">
        <f t="shared" si="0"/>
        <v>15.5625</v>
      </c>
      <c r="G10" s="31">
        <v>10</v>
      </c>
      <c r="H10" s="31" t="s">
        <v>297</v>
      </c>
    </row>
    <row r="11" spans="1:188" x14ac:dyDescent="0.3">
      <c r="A11" s="37">
        <v>8200010</v>
      </c>
      <c r="B11" s="32" t="s">
        <v>306</v>
      </c>
      <c r="C11" s="29"/>
      <c r="D11" s="29"/>
      <c r="E11" s="32">
        <v>28.5</v>
      </c>
      <c r="F11" s="32">
        <f t="shared" si="0"/>
        <v>23.655000000000001</v>
      </c>
      <c r="G11" s="32">
        <v>10</v>
      </c>
      <c r="H11" s="32" t="s">
        <v>297</v>
      </c>
    </row>
    <row r="12" spans="1:188" x14ac:dyDescent="0.3">
      <c r="A12" s="36">
        <v>8200011</v>
      </c>
      <c r="B12" s="31" t="s">
        <v>307</v>
      </c>
      <c r="C12" s="29"/>
      <c r="D12" s="29"/>
      <c r="E12" s="31">
        <v>45.75</v>
      </c>
      <c r="F12" s="31">
        <f t="shared" si="0"/>
        <v>37.972499999999997</v>
      </c>
      <c r="G12" s="31">
        <v>10</v>
      </c>
      <c r="H12" s="31" t="s">
        <v>297</v>
      </c>
    </row>
    <row r="13" spans="1:188" x14ac:dyDescent="0.3">
      <c r="A13" s="37">
        <v>8200012</v>
      </c>
      <c r="B13" s="32" t="s">
        <v>308</v>
      </c>
      <c r="C13" s="29"/>
      <c r="D13" s="29"/>
      <c r="E13" s="32">
        <v>79.75</v>
      </c>
      <c r="F13" s="32">
        <f t="shared" si="0"/>
        <v>66.192499999999995</v>
      </c>
      <c r="G13" s="32">
        <v>10</v>
      </c>
      <c r="H13" s="32" t="s">
        <v>297</v>
      </c>
    </row>
    <row r="14" spans="1:188" x14ac:dyDescent="0.3">
      <c r="A14" s="36">
        <v>8200013</v>
      </c>
      <c r="B14" s="31" t="s">
        <v>309</v>
      </c>
      <c r="C14" s="29"/>
      <c r="D14" s="29"/>
      <c r="E14" s="31">
        <v>150.5</v>
      </c>
      <c r="F14" s="31">
        <f t="shared" si="0"/>
        <v>124.91499999999999</v>
      </c>
      <c r="G14" s="31">
        <v>8</v>
      </c>
      <c r="H14" s="31" t="s">
        <v>297</v>
      </c>
    </row>
    <row r="15" spans="1:188" x14ac:dyDescent="0.3">
      <c r="A15" s="37">
        <v>8200014</v>
      </c>
      <c r="B15" s="32" t="s">
        <v>310</v>
      </c>
      <c r="C15" s="29"/>
      <c r="D15" s="29"/>
      <c r="E15" s="32">
        <v>377.75</v>
      </c>
      <c r="F15" s="32">
        <f t="shared" si="0"/>
        <v>313.53250000000003</v>
      </c>
      <c r="G15" s="32">
        <v>3</v>
      </c>
      <c r="H15" s="32" t="s">
        <v>297</v>
      </c>
    </row>
    <row r="16" spans="1:188" x14ac:dyDescent="0.3">
      <c r="A16" s="36">
        <v>8200015</v>
      </c>
      <c r="B16" s="31" t="s">
        <v>311</v>
      </c>
      <c r="C16" s="35" t="s">
        <v>1255</v>
      </c>
      <c r="D16" s="35" t="s">
        <v>1197</v>
      </c>
      <c r="E16" s="31">
        <v>15.75</v>
      </c>
      <c r="F16" s="31">
        <f t="shared" si="0"/>
        <v>13.0725</v>
      </c>
      <c r="G16" s="31">
        <v>10</v>
      </c>
      <c r="H16" s="31" t="s">
        <v>297</v>
      </c>
    </row>
    <row r="17" spans="1:8" x14ac:dyDescent="0.3">
      <c r="A17" s="37">
        <v>8200016</v>
      </c>
      <c r="B17" s="32" t="s">
        <v>312</v>
      </c>
      <c r="C17" s="29"/>
      <c r="D17" s="29"/>
      <c r="E17" s="32">
        <v>18.25</v>
      </c>
      <c r="F17" s="32">
        <f t="shared" si="0"/>
        <v>15.147500000000001</v>
      </c>
      <c r="G17" s="32">
        <v>10</v>
      </c>
      <c r="H17" s="32" t="s">
        <v>297</v>
      </c>
    </row>
    <row r="18" spans="1:8" x14ac:dyDescent="0.3">
      <c r="A18" s="36">
        <v>8200017</v>
      </c>
      <c r="B18" s="31" t="s">
        <v>313</v>
      </c>
      <c r="C18" s="29"/>
      <c r="D18" s="29"/>
      <c r="E18" s="31">
        <v>18.75</v>
      </c>
      <c r="F18" s="31">
        <f t="shared" si="0"/>
        <v>15.5625</v>
      </c>
      <c r="G18" s="31">
        <v>10</v>
      </c>
      <c r="H18" s="31" t="s">
        <v>297</v>
      </c>
    </row>
    <row r="19" spans="1:8" x14ac:dyDescent="0.3">
      <c r="A19" s="37">
        <v>8200018</v>
      </c>
      <c r="B19" s="32" t="s">
        <v>314</v>
      </c>
      <c r="C19" s="29"/>
      <c r="D19" s="29"/>
      <c r="E19" s="32">
        <v>34.25</v>
      </c>
      <c r="F19" s="32">
        <f t="shared" si="0"/>
        <v>28.427499999999998</v>
      </c>
      <c r="G19" s="32">
        <v>10</v>
      </c>
      <c r="H19" s="32" t="s">
        <v>297</v>
      </c>
    </row>
    <row r="20" spans="1:8" x14ac:dyDescent="0.3">
      <c r="A20" s="36">
        <v>8200019</v>
      </c>
      <c r="B20" s="31" t="s">
        <v>315</v>
      </c>
      <c r="C20" s="29"/>
      <c r="D20" s="29"/>
      <c r="E20" s="31">
        <v>51.25</v>
      </c>
      <c r="F20" s="31">
        <f t="shared" si="0"/>
        <v>42.537500000000001</v>
      </c>
      <c r="G20" s="31">
        <v>10</v>
      </c>
      <c r="H20" s="31" t="s">
        <v>297</v>
      </c>
    </row>
    <row r="21" spans="1:8" x14ac:dyDescent="0.3">
      <c r="A21" s="37">
        <v>8200020</v>
      </c>
      <c r="B21" s="32" t="s">
        <v>316</v>
      </c>
      <c r="C21" s="29"/>
      <c r="D21" s="29"/>
      <c r="E21" s="32">
        <v>52.5</v>
      </c>
      <c r="F21" s="32">
        <f t="shared" si="0"/>
        <v>43.575000000000003</v>
      </c>
      <c r="G21" s="32">
        <v>10</v>
      </c>
      <c r="H21" s="32" t="s">
        <v>297</v>
      </c>
    </row>
    <row r="22" spans="1:8" x14ac:dyDescent="0.3">
      <c r="A22" s="36">
        <v>8200021</v>
      </c>
      <c r="B22" s="31" t="s">
        <v>317</v>
      </c>
      <c r="C22" s="29"/>
      <c r="D22" s="29"/>
      <c r="E22" s="31">
        <v>75.5</v>
      </c>
      <c r="F22" s="31">
        <f t="shared" si="0"/>
        <v>62.664999999999999</v>
      </c>
      <c r="G22" s="31">
        <v>10</v>
      </c>
      <c r="H22" s="31" t="s">
        <v>297</v>
      </c>
    </row>
    <row r="23" spans="1:8" x14ac:dyDescent="0.3">
      <c r="A23" s="37">
        <v>8200022</v>
      </c>
      <c r="B23" s="32" t="s">
        <v>318</v>
      </c>
      <c r="C23" s="29"/>
      <c r="D23" s="29"/>
      <c r="E23" s="32">
        <v>104</v>
      </c>
      <c r="F23" s="32">
        <f t="shared" si="0"/>
        <v>86.32</v>
      </c>
      <c r="G23" s="32">
        <v>10</v>
      </c>
      <c r="H23" s="32" t="s">
        <v>297</v>
      </c>
    </row>
    <row r="24" spans="1:8" x14ac:dyDescent="0.3">
      <c r="A24" s="36">
        <v>8200023</v>
      </c>
      <c r="B24" s="31" t="s">
        <v>319</v>
      </c>
      <c r="C24" s="29"/>
      <c r="D24" s="29"/>
      <c r="E24" s="31">
        <v>129</v>
      </c>
      <c r="F24" s="31">
        <f t="shared" si="0"/>
        <v>107.07</v>
      </c>
      <c r="G24" s="31">
        <v>8</v>
      </c>
      <c r="H24" s="31" t="s">
        <v>297</v>
      </c>
    </row>
    <row r="25" spans="1:8" x14ac:dyDescent="0.3">
      <c r="A25" s="37">
        <v>8200024</v>
      </c>
      <c r="B25" s="32" t="s">
        <v>320</v>
      </c>
      <c r="C25" s="29"/>
      <c r="D25" s="29"/>
      <c r="E25" s="32">
        <v>310.75</v>
      </c>
      <c r="F25" s="32">
        <f t="shared" si="0"/>
        <v>257.92250000000001</v>
      </c>
      <c r="G25" s="32">
        <v>3</v>
      </c>
      <c r="H25" s="32" t="s">
        <v>297</v>
      </c>
    </row>
    <row r="26" spans="1:8" x14ac:dyDescent="0.3">
      <c r="A26" s="36">
        <v>8200025</v>
      </c>
      <c r="B26" s="31" t="s">
        <v>321</v>
      </c>
      <c r="C26" s="35" t="s">
        <v>1259</v>
      </c>
      <c r="D26" s="35" t="s">
        <v>1197</v>
      </c>
      <c r="E26" s="31">
        <v>21</v>
      </c>
      <c r="F26" s="31">
        <f t="shared" si="0"/>
        <v>17.43</v>
      </c>
      <c r="G26" s="31">
        <v>10</v>
      </c>
      <c r="H26" s="31" t="s">
        <v>297</v>
      </c>
    </row>
    <row r="27" spans="1:8" x14ac:dyDescent="0.3">
      <c r="A27" s="37">
        <v>8200026</v>
      </c>
      <c r="B27" s="32" t="s">
        <v>322</v>
      </c>
      <c r="C27" s="29"/>
      <c r="D27" s="29"/>
      <c r="E27" s="32">
        <v>66</v>
      </c>
      <c r="F27" s="32">
        <f t="shared" si="0"/>
        <v>54.78</v>
      </c>
      <c r="G27" s="32">
        <v>10</v>
      </c>
      <c r="H27" s="32" t="s">
        <v>297</v>
      </c>
    </row>
    <row r="28" spans="1:8" x14ac:dyDescent="0.3">
      <c r="A28" s="36">
        <v>8200027</v>
      </c>
      <c r="B28" s="31" t="s">
        <v>323</v>
      </c>
      <c r="C28" s="35" t="s">
        <v>1260</v>
      </c>
      <c r="D28" s="35" t="s">
        <v>1197</v>
      </c>
      <c r="E28" s="31">
        <v>26</v>
      </c>
      <c r="F28" s="31">
        <f t="shared" si="0"/>
        <v>21.58</v>
      </c>
      <c r="G28" s="31">
        <v>10</v>
      </c>
      <c r="H28" s="31" t="s">
        <v>297</v>
      </c>
    </row>
    <row r="29" spans="1:8" x14ac:dyDescent="0.3">
      <c r="A29" s="37">
        <v>8200028</v>
      </c>
      <c r="B29" s="32" t="s">
        <v>324</v>
      </c>
      <c r="C29" s="29"/>
      <c r="D29" s="29"/>
      <c r="E29" s="32">
        <v>27.75</v>
      </c>
      <c r="F29" s="32">
        <f t="shared" si="0"/>
        <v>23.032499999999999</v>
      </c>
      <c r="G29" s="32">
        <v>10</v>
      </c>
      <c r="H29" s="32" t="s">
        <v>297</v>
      </c>
    </row>
    <row r="30" spans="1:8" x14ac:dyDescent="0.3">
      <c r="A30" s="36">
        <v>8200029</v>
      </c>
      <c r="B30" s="31" t="s">
        <v>325</v>
      </c>
      <c r="C30" s="29"/>
      <c r="D30" s="29"/>
      <c r="E30" s="31">
        <v>46</v>
      </c>
      <c r="F30" s="31">
        <f t="shared" si="0"/>
        <v>38.18</v>
      </c>
      <c r="G30" s="31">
        <v>10</v>
      </c>
      <c r="H30" s="31" t="s">
        <v>297</v>
      </c>
    </row>
    <row r="31" spans="1:8" x14ac:dyDescent="0.3">
      <c r="A31" s="37">
        <v>8200030</v>
      </c>
      <c r="B31" s="32" t="s">
        <v>326</v>
      </c>
      <c r="C31" s="29"/>
      <c r="D31" s="29"/>
      <c r="E31" s="32">
        <v>58.5</v>
      </c>
      <c r="F31" s="32">
        <f t="shared" si="0"/>
        <v>48.555</v>
      </c>
      <c r="G31" s="32">
        <v>10</v>
      </c>
      <c r="H31" s="32" t="s">
        <v>297</v>
      </c>
    </row>
    <row r="32" spans="1:8" x14ac:dyDescent="0.3">
      <c r="A32" s="36">
        <v>8200031</v>
      </c>
      <c r="B32" s="31" t="s">
        <v>327</v>
      </c>
      <c r="C32" s="29"/>
      <c r="D32" s="29"/>
      <c r="E32" s="31">
        <v>134.25</v>
      </c>
      <c r="F32" s="31">
        <f t="shared" si="0"/>
        <v>111.42749999999999</v>
      </c>
      <c r="G32" s="31">
        <v>10</v>
      </c>
      <c r="H32" s="31" t="s">
        <v>297</v>
      </c>
    </row>
    <row r="33" spans="1:8" x14ac:dyDescent="0.3">
      <c r="A33" s="37">
        <v>8200032</v>
      </c>
      <c r="B33" s="32" t="s">
        <v>328</v>
      </c>
      <c r="C33" s="29"/>
      <c r="D33" s="29"/>
      <c r="E33" s="32">
        <v>219.25</v>
      </c>
      <c r="F33" s="32">
        <f t="shared" si="0"/>
        <v>181.97749999999999</v>
      </c>
      <c r="G33" s="32">
        <v>8</v>
      </c>
      <c r="H33" s="32" t="s">
        <v>297</v>
      </c>
    </row>
    <row r="34" spans="1:8" x14ac:dyDescent="0.3">
      <c r="A34" s="36">
        <v>8200033</v>
      </c>
      <c r="B34" s="31" t="s">
        <v>329</v>
      </c>
      <c r="C34" s="29"/>
      <c r="D34" s="29"/>
      <c r="E34" s="31">
        <v>560.75</v>
      </c>
      <c r="F34" s="31">
        <f t="shared" si="0"/>
        <v>465.42250000000001</v>
      </c>
      <c r="G34" s="31">
        <v>3</v>
      </c>
      <c r="H34" s="31" t="s">
        <v>297</v>
      </c>
    </row>
    <row r="35" spans="1:8" x14ac:dyDescent="0.3">
      <c r="A35" s="37">
        <v>8200034</v>
      </c>
      <c r="B35" s="32" t="s">
        <v>330</v>
      </c>
      <c r="C35" s="34" t="s">
        <v>1261</v>
      </c>
      <c r="D35" s="34" t="s">
        <v>1197</v>
      </c>
      <c r="E35" s="32">
        <v>24.75</v>
      </c>
      <c r="F35" s="32">
        <f t="shared" si="0"/>
        <v>20.5425</v>
      </c>
      <c r="G35" s="32">
        <v>10</v>
      </c>
      <c r="H35" s="32" t="s">
        <v>297</v>
      </c>
    </row>
    <row r="36" spans="1:8" x14ac:dyDescent="0.3">
      <c r="A36" s="36">
        <v>8200035</v>
      </c>
      <c r="B36" s="31" t="s">
        <v>331</v>
      </c>
      <c r="C36" s="29"/>
      <c r="D36" s="29"/>
      <c r="E36" s="31">
        <v>30.25</v>
      </c>
      <c r="F36" s="31">
        <f t="shared" si="0"/>
        <v>25.107500000000002</v>
      </c>
      <c r="G36" s="31">
        <v>10</v>
      </c>
      <c r="H36" s="31" t="s">
        <v>297</v>
      </c>
    </row>
    <row r="37" spans="1:8" x14ac:dyDescent="0.3">
      <c r="A37" s="37">
        <v>8200036</v>
      </c>
      <c r="B37" s="32" t="s">
        <v>332</v>
      </c>
      <c r="C37" s="29"/>
      <c r="D37" s="29"/>
      <c r="E37" s="32">
        <v>31</v>
      </c>
      <c r="F37" s="32">
        <v>25.73</v>
      </c>
      <c r="G37" s="32">
        <v>10</v>
      </c>
      <c r="H37" s="32" t="s">
        <v>297</v>
      </c>
    </row>
    <row r="38" spans="1:8" x14ac:dyDescent="0.3">
      <c r="A38" s="36">
        <v>8200037</v>
      </c>
      <c r="B38" s="31" t="s">
        <v>333</v>
      </c>
      <c r="C38" s="29"/>
      <c r="D38" s="29"/>
      <c r="E38" s="31">
        <v>69</v>
      </c>
      <c r="F38" s="31">
        <f t="shared" ref="F38:F49" si="1">E38-E38*17%</f>
        <v>57.269999999999996</v>
      </c>
      <c r="G38" s="31">
        <v>10</v>
      </c>
      <c r="H38" s="31" t="s">
        <v>297</v>
      </c>
    </row>
    <row r="39" spans="1:8" x14ac:dyDescent="0.3">
      <c r="A39" s="37">
        <v>8200038</v>
      </c>
      <c r="B39" s="32" t="s">
        <v>334</v>
      </c>
      <c r="C39" s="29"/>
      <c r="D39" s="29"/>
      <c r="E39" s="32">
        <v>86.75</v>
      </c>
      <c r="F39" s="32">
        <f t="shared" si="1"/>
        <v>72.002499999999998</v>
      </c>
      <c r="G39" s="32">
        <v>10</v>
      </c>
      <c r="H39" s="32" t="s">
        <v>297</v>
      </c>
    </row>
    <row r="40" spans="1:8" x14ac:dyDescent="0.3">
      <c r="A40" s="36">
        <v>8200039</v>
      </c>
      <c r="B40" s="31" t="s">
        <v>335</v>
      </c>
      <c r="C40" s="29"/>
      <c r="D40" s="29"/>
      <c r="E40" s="31">
        <v>93.5</v>
      </c>
      <c r="F40" s="31">
        <f t="shared" si="1"/>
        <v>77.605000000000004</v>
      </c>
      <c r="G40" s="31">
        <v>10</v>
      </c>
      <c r="H40" s="31" t="s">
        <v>297</v>
      </c>
    </row>
    <row r="41" spans="1:8" x14ac:dyDescent="0.3">
      <c r="A41" s="37">
        <v>8200040</v>
      </c>
      <c r="B41" s="32" t="s">
        <v>336</v>
      </c>
      <c r="C41" s="29"/>
      <c r="D41" s="29"/>
      <c r="E41" s="32">
        <v>154.5</v>
      </c>
      <c r="F41" s="32">
        <f t="shared" si="1"/>
        <v>128.23500000000001</v>
      </c>
      <c r="G41" s="32">
        <v>10</v>
      </c>
      <c r="H41" s="32" t="s">
        <v>297</v>
      </c>
    </row>
    <row r="42" spans="1:8" x14ac:dyDescent="0.3">
      <c r="A42" s="36">
        <v>8200041</v>
      </c>
      <c r="B42" s="31" t="s">
        <v>337</v>
      </c>
      <c r="C42" s="29"/>
      <c r="D42" s="29"/>
      <c r="E42" s="31">
        <v>268.5</v>
      </c>
      <c r="F42" s="31">
        <f t="shared" si="1"/>
        <v>222.85499999999999</v>
      </c>
      <c r="G42" s="31">
        <v>8</v>
      </c>
      <c r="H42" s="31" t="s">
        <v>297</v>
      </c>
    </row>
    <row r="43" spans="1:8" x14ac:dyDescent="0.3">
      <c r="A43" s="37">
        <v>8200042</v>
      </c>
      <c r="B43" s="32" t="s">
        <v>338</v>
      </c>
      <c r="C43" s="29"/>
      <c r="D43" s="29"/>
      <c r="E43" s="32">
        <v>812.75</v>
      </c>
      <c r="F43" s="32">
        <f t="shared" si="1"/>
        <v>674.58249999999998</v>
      </c>
      <c r="G43" s="32">
        <v>3</v>
      </c>
      <c r="H43" s="32" t="s">
        <v>297</v>
      </c>
    </row>
    <row r="44" spans="1:8" x14ac:dyDescent="0.3">
      <c r="A44" s="36">
        <v>8200043</v>
      </c>
      <c r="B44" s="31" t="s">
        <v>339</v>
      </c>
      <c r="C44" s="35" t="s">
        <v>1262</v>
      </c>
      <c r="D44" s="35" t="s">
        <v>1197</v>
      </c>
      <c r="E44" s="31">
        <v>12</v>
      </c>
      <c r="F44" s="31">
        <f t="shared" si="1"/>
        <v>9.9600000000000009</v>
      </c>
      <c r="G44" s="31">
        <v>10</v>
      </c>
      <c r="H44" s="31" t="s">
        <v>297</v>
      </c>
    </row>
    <row r="45" spans="1:8" x14ac:dyDescent="0.3">
      <c r="A45" s="37">
        <v>8200044</v>
      </c>
      <c r="B45" s="32" t="s">
        <v>340</v>
      </c>
      <c r="C45" s="29"/>
      <c r="D45" s="29"/>
      <c r="E45" s="32">
        <v>16</v>
      </c>
      <c r="F45" s="32">
        <f t="shared" si="1"/>
        <v>13.28</v>
      </c>
      <c r="G45" s="32">
        <v>20</v>
      </c>
      <c r="H45" s="32" t="s">
        <v>297</v>
      </c>
    </row>
    <row r="46" spans="1:8" x14ac:dyDescent="0.3">
      <c r="A46" s="36">
        <v>8200045</v>
      </c>
      <c r="B46" s="31" t="s">
        <v>341</v>
      </c>
      <c r="C46" s="29"/>
      <c r="D46" s="29"/>
      <c r="E46" s="31">
        <v>17.25</v>
      </c>
      <c r="F46" s="31">
        <f t="shared" si="1"/>
        <v>14.317499999999999</v>
      </c>
      <c r="G46" s="31">
        <v>20</v>
      </c>
      <c r="H46" s="31" t="s">
        <v>297</v>
      </c>
    </row>
    <row r="47" spans="1:8" x14ac:dyDescent="0.3">
      <c r="A47" s="37">
        <v>8200046</v>
      </c>
      <c r="B47" s="32" t="s">
        <v>342</v>
      </c>
      <c r="C47" s="29"/>
      <c r="D47" s="29"/>
      <c r="E47" s="32">
        <v>28.5</v>
      </c>
      <c r="F47" s="32">
        <f t="shared" si="1"/>
        <v>23.655000000000001</v>
      </c>
      <c r="G47" s="32">
        <v>10</v>
      </c>
      <c r="H47" s="32" t="s">
        <v>297</v>
      </c>
    </row>
    <row r="48" spans="1:8" x14ac:dyDescent="0.3">
      <c r="A48" s="36">
        <v>8200047</v>
      </c>
      <c r="B48" s="31" t="s">
        <v>343</v>
      </c>
      <c r="C48" s="29"/>
      <c r="D48" s="29"/>
      <c r="E48" s="31">
        <v>36</v>
      </c>
      <c r="F48" s="31">
        <f t="shared" si="1"/>
        <v>29.88</v>
      </c>
      <c r="G48" s="31">
        <v>10</v>
      </c>
      <c r="H48" s="31" t="s">
        <v>297</v>
      </c>
    </row>
    <row r="49" spans="1:8" x14ac:dyDescent="0.3">
      <c r="A49" s="37">
        <v>8200048</v>
      </c>
      <c r="B49" s="32" t="s">
        <v>344</v>
      </c>
      <c r="C49" s="29"/>
      <c r="D49" s="29"/>
      <c r="E49" s="32">
        <v>37.25</v>
      </c>
      <c r="F49" s="32">
        <f t="shared" si="1"/>
        <v>30.9175</v>
      </c>
      <c r="G49" s="32">
        <v>10</v>
      </c>
      <c r="H49" s="32" t="s">
        <v>297</v>
      </c>
    </row>
    <row r="50" spans="1:8" x14ac:dyDescent="0.3">
      <c r="A50" s="36">
        <v>8200049</v>
      </c>
      <c r="B50" s="31" t="s">
        <v>345</v>
      </c>
      <c r="C50" s="29"/>
      <c r="D50" s="29"/>
      <c r="E50" s="31">
        <v>63.75</v>
      </c>
      <c r="F50" s="31">
        <v>52.912500000000001</v>
      </c>
      <c r="G50" s="31">
        <v>20</v>
      </c>
      <c r="H50" s="31" t="s">
        <v>297</v>
      </c>
    </row>
    <row r="51" spans="1:8" x14ac:dyDescent="0.3">
      <c r="A51" s="37">
        <v>8200050</v>
      </c>
      <c r="B51" s="32" t="s">
        <v>346</v>
      </c>
      <c r="C51" s="29"/>
      <c r="D51" s="29"/>
      <c r="E51" s="32">
        <v>78</v>
      </c>
      <c r="F51" s="32">
        <v>64.739999999999995</v>
      </c>
      <c r="G51" s="32">
        <v>10</v>
      </c>
      <c r="H51" s="32" t="s">
        <v>297</v>
      </c>
    </row>
    <row r="52" spans="1:8" x14ac:dyDescent="0.3">
      <c r="A52" s="36">
        <v>8200051</v>
      </c>
      <c r="B52" s="31" t="s">
        <v>347</v>
      </c>
      <c r="C52" s="29"/>
      <c r="D52" s="29"/>
      <c r="E52" s="31">
        <v>100</v>
      </c>
      <c r="F52" s="31">
        <v>83</v>
      </c>
      <c r="G52" s="31">
        <v>15</v>
      </c>
      <c r="H52" s="31" t="s">
        <v>297</v>
      </c>
    </row>
    <row r="53" spans="1:8" x14ac:dyDescent="0.3">
      <c r="A53" s="37">
        <v>8200052</v>
      </c>
      <c r="B53" s="32" t="s">
        <v>348</v>
      </c>
      <c r="C53" s="29"/>
      <c r="D53" s="29"/>
      <c r="E53" s="32">
        <v>252</v>
      </c>
      <c r="F53" s="32">
        <v>209.16</v>
      </c>
      <c r="G53" s="32">
        <v>3</v>
      </c>
      <c r="H53" s="32" t="s">
        <v>297</v>
      </c>
    </row>
    <row r="54" spans="1:8" x14ac:dyDescent="0.3">
      <c r="A54" s="36">
        <v>8200053</v>
      </c>
      <c r="B54" s="31" t="s">
        <v>349</v>
      </c>
      <c r="C54" s="35" t="s">
        <v>1263</v>
      </c>
      <c r="D54" s="35" t="s">
        <v>1197</v>
      </c>
      <c r="E54" s="31">
        <v>33</v>
      </c>
      <c r="F54" s="31">
        <v>27.39</v>
      </c>
      <c r="G54" s="31">
        <v>10</v>
      </c>
      <c r="H54" s="31" t="s">
        <v>297</v>
      </c>
    </row>
    <row r="55" spans="1:8" x14ac:dyDescent="0.3">
      <c r="A55" s="37">
        <v>8200054</v>
      </c>
      <c r="B55" s="32" t="s">
        <v>350</v>
      </c>
      <c r="C55" s="29"/>
      <c r="D55" s="29"/>
      <c r="E55" s="32">
        <v>60.5</v>
      </c>
      <c r="F55" s="32">
        <v>50.215000000000003</v>
      </c>
      <c r="G55" s="32">
        <v>10</v>
      </c>
      <c r="H55" s="32" t="s">
        <v>297</v>
      </c>
    </row>
    <row r="56" spans="1:8" x14ac:dyDescent="0.3">
      <c r="A56" s="36">
        <v>8200055</v>
      </c>
      <c r="B56" s="31" t="s">
        <v>351</v>
      </c>
      <c r="C56" s="35" t="s">
        <v>1264</v>
      </c>
      <c r="D56" s="35" t="s">
        <v>1197</v>
      </c>
      <c r="E56" s="31">
        <v>159.25</v>
      </c>
      <c r="F56" s="31">
        <v>132.17750000000001</v>
      </c>
      <c r="G56" s="31">
        <v>5</v>
      </c>
      <c r="H56" s="31" t="s">
        <v>297</v>
      </c>
    </row>
    <row r="57" spans="1:8" x14ac:dyDescent="0.3">
      <c r="A57" s="37">
        <v>8200056</v>
      </c>
      <c r="B57" s="32" t="s">
        <v>352</v>
      </c>
      <c r="C57" s="29"/>
      <c r="D57" s="29"/>
      <c r="E57" s="32">
        <v>159.25</v>
      </c>
      <c r="F57" s="32">
        <v>132.17750000000001</v>
      </c>
      <c r="G57" s="32">
        <v>5</v>
      </c>
      <c r="H57" s="32" t="s">
        <v>297</v>
      </c>
    </row>
    <row r="58" spans="1:8" x14ac:dyDescent="0.3">
      <c r="A58" s="36">
        <v>8200057</v>
      </c>
      <c r="B58" s="31" t="s">
        <v>353</v>
      </c>
      <c r="C58" s="35" t="s">
        <v>1265</v>
      </c>
      <c r="D58" s="35" t="s">
        <v>1197</v>
      </c>
      <c r="E58" s="31">
        <v>213.5</v>
      </c>
      <c r="F58" s="31">
        <v>177.20499999999998</v>
      </c>
      <c r="G58" s="31">
        <v>5</v>
      </c>
      <c r="H58" s="31" t="s">
        <v>297</v>
      </c>
    </row>
    <row r="59" spans="1:8" x14ac:dyDescent="0.3">
      <c r="A59" s="37">
        <v>8200058</v>
      </c>
      <c r="B59" s="32" t="s">
        <v>354</v>
      </c>
      <c r="C59" s="34" t="s">
        <v>1267</v>
      </c>
      <c r="D59" s="34" t="s">
        <v>1197</v>
      </c>
      <c r="E59" s="32">
        <v>226</v>
      </c>
      <c r="F59" s="32">
        <v>187.57999999999998</v>
      </c>
      <c r="G59" s="32">
        <v>5</v>
      </c>
      <c r="H59" s="32" t="s">
        <v>297</v>
      </c>
    </row>
    <row r="60" spans="1:8" x14ac:dyDescent="0.3">
      <c r="A60" s="36">
        <v>8200059</v>
      </c>
      <c r="B60" s="31" t="s">
        <v>355</v>
      </c>
      <c r="C60" s="29"/>
      <c r="D60" s="29"/>
      <c r="E60" s="31">
        <v>226</v>
      </c>
      <c r="F60" s="31">
        <v>187.57999999999998</v>
      </c>
      <c r="G60" s="31">
        <v>5</v>
      </c>
      <c r="H60" s="31" t="s">
        <v>297</v>
      </c>
    </row>
    <row r="61" spans="1:8" x14ac:dyDescent="0.3">
      <c r="A61" s="37">
        <v>8200060</v>
      </c>
      <c r="B61" s="32" t="s">
        <v>356</v>
      </c>
      <c r="C61" s="29"/>
      <c r="D61" s="29"/>
      <c r="E61" s="32">
        <v>226</v>
      </c>
      <c r="F61" s="32">
        <v>187.57999999999998</v>
      </c>
      <c r="G61" s="32">
        <v>5</v>
      </c>
      <c r="H61" s="32" t="s">
        <v>297</v>
      </c>
    </row>
    <row r="62" spans="1:8" x14ac:dyDescent="0.3">
      <c r="A62" s="36">
        <v>8200061</v>
      </c>
      <c r="B62" s="31" t="s">
        <v>357</v>
      </c>
      <c r="C62" s="29"/>
      <c r="D62" s="29"/>
      <c r="E62" s="31">
        <v>226</v>
      </c>
      <c r="F62" s="31">
        <v>187.57999999999998</v>
      </c>
      <c r="G62" s="31">
        <v>5</v>
      </c>
      <c r="H62" s="31" t="s">
        <v>297</v>
      </c>
    </row>
    <row r="63" spans="1:8" x14ac:dyDescent="0.3">
      <c r="A63" s="37">
        <v>8200062</v>
      </c>
      <c r="B63" s="32" t="s">
        <v>358</v>
      </c>
      <c r="C63" s="39" t="s">
        <v>1266</v>
      </c>
      <c r="D63" s="39" t="s">
        <v>1197</v>
      </c>
      <c r="E63" s="32">
        <v>177.5</v>
      </c>
      <c r="F63" s="32">
        <v>147.32499999999999</v>
      </c>
      <c r="G63" s="32">
        <v>5</v>
      </c>
      <c r="H63" s="32" t="s">
        <v>297</v>
      </c>
    </row>
    <row r="64" spans="1:8" x14ac:dyDescent="0.3">
      <c r="A64" s="36">
        <v>8200063</v>
      </c>
      <c r="B64" s="31" t="s">
        <v>359</v>
      </c>
      <c r="C64" s="35" t="s">
        <v>1268</v>
      </c>
      <c r="D64" s="35" t="s">
        <v>1197</v>
      </c>
      <c r="E64" s="31">
        <v>106.5</v>
      </c>
      <c r="F64" s="31">
        <v>88.394999999999996</v>
      </c>
      <c r="G64" s="31">
        <v>10</v>
      </c>
      <c r="H64" s="31" t="s">
        <v>297</v>
      </c>
    </row>
    <row r="65" spans="1:8" x14ac:dyDescent="0.3">
      <c r="A65" s="37">
        <v>8200064</v>
      </c>
      <c r="B65" s="32" t="s">
        <v>360</v>
      </c>
      <c r="C65" s="29"/>
      <c r="D65" s="29"/>
      <c r="E65" s="32">
        <v>176.75</v>
      </c>
      <c r="F65" s="32">
        <v>146.70249999999999</v>
      </c>
      <c r="G65" s="32">
        <v>10</v>
      </c>
      <c r="H65" s="32" t="s">
        <v>297</v>
      </c>
    </row>
    <row r="66" spans="1:8" x14ac:dyDescent="0.3">
      <c r="A66" s="36">
        <v>8200065</v>
      </c>
      <c r="B66" s="31" t="s">
        <v>361</v>
      </c>
      <c r="C66" s="29"/>
      <c r="D66" s="29"/>
      <c r="E66" s="31">
        <v>278.5</v>
      </c>
      <c r="F66" s="31">
        <v>231.155</v>
      </c>
      <c r="G66" s="31">
        <v>10</v>
      </c>
      <c r="H66" s="31" t="s">
        <v>297</v>
      </c>
    </row>
    <row r="67" spans="1:8" x14ac:dyDescent="0.3">
      <c r="A67" s="37">
        <v>8200066</v>
      </c>
      <c r="B67" s="32" t="s">
        <v>362</v>
      </c>
      <c r="C67" s="34" t="s">
        <v>1269</v>
      </c>
      <c r="D67" s="34" t="s">
        <v>1197</v>
      </c>
      <c r="E67" s="32">
        <v>13.25</v>
      </c>
      <c r="F67" s="32">
        <v>10.9975</v>
      </c>
      <c r="G67" s="32">
        <v>10</v>
      </c>
      <c r="H67" s="32" t="s">
        <v>297</v>
      </c>
    </row>
    <row r="68" spans="1:8" x14ac:dyDescent="0.3">
      <c r="A68" s="36">
        <v>8200067</v>
      </c>
      <c r="B68" s="31" t="s">
        <v>363</v>
      </c>
      <c r="C68" s="29"/>
      <c r="D68" s="29"/>
      <c r="E68" s="31">
        <v>17</v>
      </c>
      <c r="F68" s="31">
        <v>14.11</v>
      </c>
      <c r="G68" s="31">
        <v>10</v>
      </c>
      <c r="H68" s="31" t="s">
        <v>297</v>
      </c>
    </row>
    <row r="69" spans="1:8" x14ac:dyDescent="0.3">
      <c r="A69" s="37">
        <v>8200068</v>
      </c>
      <c r="B69" s="32" t="s">
        <v>364</v>
      </c>
      <c r="C69" s="29"/>
      <c r="D69" s="29"/>
      <c r="E69" s="32">
        <v>17</v>
      </c>
      <c r="F69" s="32">
        <v>14.11</v>
      </c>
      <c r="G69" s="32">
        <v>10</v>
      </c>
      <c r="H69" s="32" t="s">
        <v>297</v>
      </c>
    </row>
    <row r="70" spans="1:8" x14ac:dyDescent="0.3">
      <c r="A70" s="36">
        <v>8200069</v>
      </c>
      <c r="B70" s="31" t="s">
        <v>365</v>
      </c>
      <c r="C70" s="29"/>
      <c r="D70" s="29"/>
      <c r="E70" s="31">
        <v>51</v>
      </c>
      <c r="F70" s="31">
        <v>42.33</v>
      </c>
      <c r="G70" s="31">
        <v>10</v>
      </c>
      <c r="H70" s="31" t="s">
        <v>297</v>
      </c>
    </row>
    <row r="71" spans="1:8" x14ac:dyDescent="0.3">
      <c r="A71" s="37">
        <v>8200070</v>
      </c>
      <c r="B71" s="32" t="s">
        <v>366</v>
      </c>
      <c r="C71" s="29"/>
      <c r="D71" s="29"/>
      <c r="E71" s="32">
        <v>61.25</v>
      </c>
      <c r="F71" s="32">
        <v>50.837499999999999</v>
      </c>
      <c r="G71" s="32">
        <v>10</v>
      </c>
      <c r="H71" s="32" t="s">
        <v>297</v>
      </c>
    </row>
    <row r="72" spans="1:8" x14ac:dyDescent="0.3">
      <c r="A72" s="36">
        <v>8200071</v>
      </c>
      <c r="B72" s="31" t="s">
        <v>367</v>
      </c>
      <c r="C72" s="29"/>
      <c r="D72" s="29"/>
      <c r="E72" s="31">
        <v>75.75</v>
      </c>
      <c r="F72" s="31">
        <v>62.872500000000002</v>
      </c>
      <c r="G72" s="31">
        <v>10</v>
      </c>
      <c r="H72" s="31" t="s">
        <v>297</v>
      </c>
    </row>
    <row r="73" spans="1:8" x14ac:dyDescent="0.3">
      <c r="A73" s="37">
        <v>8200072</v>
      </c>
      <c r="B73" s="32" t="s">
        <v>368</v>
      </c>
      <c r="C73" s="29"/>
      <c r="D73" s="29"/>
      <c r="E73" s="32">
        <v>134.25</v>
      </c>
      <c r="F73" s="32">
        <v>111.42749999999999</v>
      </c>
      <c r="G73" s="32">
        <v>5</v>
      </c>
      <c r="H73" s="32" t="s">
        <v>297</v>
      </c>
    </row>
    <row r="74" spans="1:8" x14ac:dyDescent="0.3">
      <c r="A74" s="36">
        <v>8200073</v>
      </c>
      <c r="B74" s="31" t="s">
        <v>369</v>
      </c>
      <c r="C74" s="29"/>
      <c r="D74" s="29"/>
      <c r="E74" s="31">
        <v>188.75</v>
      </c>
      <c r="F74" s="31">
        <v>156.66249999999999</v>
      </c>
      <c r="G74" s="31">
        <v>3</v>
      </c>
      <c r="H74" s="31" t="s">
        <v>297</v>
      </c>
    </row>
    <row r="75" spans="1:8" x14ac:dyDescent="0.3">
      <c r="A75" s="37">
        <v>8200074</v>
      </c>
      <c r="B75" s="32" t="s">
        <v>370</v>
      </c>
      <c r="C75" s="34" t="s">
        <v>1270</v>
      </c>
      <c r="D75" s="34" t="s">
        <v>1197</v>
      </c>
      <c r="E75" s="32">
        <v>71.25</v>
      </c>
      <c r="F75" s="32">
        <v>59.137500000000003</v>
      </c>
      <c r="G75" s="32">
        <v>10</v>
      </c>
      <c r="H75" s="32" t="s">
        <v>297</v>
      </c>
    </row>
    <row r="76" spans="1:8" x14ac:dyDescent="0.3">
      <c r="A76" s="36">
        <v>8200075</v>
      </c>
      <c r="B76" s="31" t="s">
        <v>371</v>
      </c>
      <c r="C76" s="29"/>
      <c r="D76" s="29"/>
      <c r="E76" s="31">
        <v>78</v>
      </c>
      <c r="F76" s="31">
        <v>64.739999999999995</v>
      </c>
      <c r="G76" s="31">
        <v>10</v>
      </c>
      <c r="H76" s="31" t="s">
        <v>297</v>
      </c>
    </row>
    <row r="77" spans="1:8" x14ac:dyDescent="0.3">
      <c r="A77" s="37">
        <v>8200076</v>
      </c>
      <c r="B77" s="32" t="s">
        <v>372</v>
      </c>
      <c r="C77" s="29"/>
      <c r="D77" s="29"/>
      <c r="E77" s="32">
        <v>132.75</v>
      </c>
      <c r="F77" s="32">
        <v>110.1825</v>
      </c>
      <c r="G77" s="32">
        <v>10</v>
      </c>
      <c r="H77" s="32" t="s">
        <v>297</v>
      </c>
    </row>
    <row r="78" spans="1:8" x14ac:dyDescent="0.3">
      <c r="A78" s="36">
        <v>8200077</v>
      </c>
      <c r="B78" s="31" t="s">
        <v>373</v>
      </c>
      <c r="C78" s="29"/>
      <c r="D78" s="29"/>
      <c r="E78" s="31">
        <v>127</v>
      </c>
      <c r="F78" s="31">
        <v>105.41</v>
      </c>
      <c r="G78" s="31">
        <v>15</v>
      </c>
      <c r="H78" s="31" t="s">
        <v>297</v>
      </c>
    </row>
    <row r="79" spans="1:8" x14ac:dyDescent="0.3">
      <c r="A79" s="37">
        <v>8200078</v>
      </c>
      <c r="B79" s="32" t="s">
        <v>374</v>
      </c>
      <c r="C79" s="34" t="s">
        <v>1242</v>
      </c>
      <c r="D79" s="34" t="s">
        <v>1197</v>
      </c>
      <c r="E79" s="32">
        <v>27</v>
      </c>
      <c r="F79" s="32">
        <v>22.41</v>
      </c>
      <c r="G79" s="32">
        <v>10</v>
      </c>
      <c r="H79" s="32" t="s">
        <v>297</v>
      </c>
    </row>
    <row r="80" spans="1:8" x14ac:dyDescent="0.3">
      <c r="A80" s="36">
        <v>8200079</v>
      </c>
      <c r="B80" s="31" t="s">
        <v>375</v>
      </c>
      <c r="C80" s="29"/>
      <c r="D80" s="29"/>
      <c r="E80" s="31">
        <v>27</v>
      </c>
      <c r="F80" s="31">
        <v>22.41</v>
      </c>
      <c r="G80" s="31">
        <v>10</v>
      </c>
      <c r="H80" s="31" t="s">
        <v>297</v>
      </c>
    </row>
    <row r="81" spans="1:8" x14ac:dyDescent="0.3">
      <c r="A81" s="37">
        <v>8200080</v>
      </c>
      <c r="B81" s="32" t="s">
        <v>376</v>
      </c>
      <c r="C81" s="29"/>
      <c r="D81" s="29"/>
      <c r="E81" s="32">
        <v>32.5</v>
      </c>
      <c r="F81" s="32">
        <v>26.975000000000001</v>
      </c>
      <c r="G81" s="32">
        <v>10</v>
      </c>
      <c r="H81" s="32" t="s">
        <v>297</v>
      </c>
    </row>
    <row r="82" spans="1:8" x14ac:dyDescent="0.3">
      <c r="A82" s="36">
        <v>8200081</v>
      </c>
      <c r="B82" s="31" t="s">
        <v>377</v>
      </c>
      <c r="C82" s="29"/>
      <c r="D82" s="29"/>
      <c r="E82" s="31">
        <v>32.5</v>
      </c>
      <c r="F82" s="31">
        <v>26.975000000000001</v>
      </c>
      <c r="G82" s="31">
        <v>10</v>
      </c>
      <c r="H82" s="31" t="s">
        <v>297</v>
      </c>
    </row>
    <row r="83" spans="1:8" x14ac:dyDescent="0.3">
      <c r="A83" s="37">
        <v>8200082</v>
      </c>
      <c r="B83" s="32" t="s">
        <v>378</v>
      </c>
      <c r="C83" s="29"/>
      <c r="D83" s="29"/>
      <c r="E83" s="32">
        <v>37.75</v>
      </c>
      <c r="F83" s="32">
        <v>31.3325</v>
      </c>
      <c r="G83" s="32">
        <v>10</v>
      </c>
      <c r="H83" s="32" t="s">
        <v>297</v>
      </c>
    </row>
    <row r="84" spans="1:8" x14ac:dyDescent="0.3">
      <c r="A84" s="36">
        <v>8200083</v>
      </c>
      <c r="B84" s="35" t="s">
        <v>1271</v>
      </c>
      <c r="C84" s="29"/>
      <c r="D84" s="29"/>
      <c r="E84" s="31">
        <v>73.5</v>
      </c>
      <c r="F84" s="31">
        <v>61.004999999999995</v>
      </c>
      <c r="G84" s="31">
        <v>10</v>
      </c>
      <c r="H84" s="31" t="s">
        <v>297</v>
      </c>
    </row>
    <row r="85" spans="1:8" x14ac:dyDescent="0.3">
      <c r="A85" s="37">
        <v>8200084</v>
      </c>
      <c r="B85" s="32" t="s">
        <v>380</v>
      </c>
      <c r="C85" s="29"/>
      <c r="D85" s="29"/>
      <c r="E85" s="32">
        <v>25.25</v>
      </c>
      <c r="F85" s="32">
        <v>20.9575</v>
      </c>
      <c r="G85" s="32">
        <v>10</v>
      </c>
      <c r="H85" s="32" t="s">
        <v>297</v>
      </c>
    </row>
    <row r="86" spans="1:8" x14ac:dyDescent="0.3">
      <c r="A86" s="36">
        <v>8200085</v>
      </c>
      <c r="B86" s="31" t="s">
        <v>381</v>
      </c>
      <c r="C86" s="29"/>
      <c r="D86" s="29"/>
      <c r="E86" s="31">
        <v>83</v>
      </c>
      <c r="F86" s="31">
        <v>68.89</v>
      </c>
      <c r="G86" s="31">
        <v>10</v>
      </c>
      <c r="H86" s="31" t="s">
        <v>297</v>
      </c>
    </row>
    <row r="87" spans="1:8" x14ac:dyDescent="0.3">
      <c r="A87" s="37">
        <v>8200086</v>
      </c>
      <c r="B87" s="32" t="s">
        <v>382</v>
      </c>
      <c r="C87" s="29"/>
      <c r="D87" s="29"/>
      <c r="E87" s="32">
        <v>64</v>
      </c>
      <c r="F87" s="32">
        <v>53.12</v>
      </c>
      <c r="G87" s="32">
        <v>10</v>
      </c>
      <c r="H87" s="32" t="s">
        <v>297</v>
      </c>
    </row>
    <row r="88" spans="1:8" x14ac:dyDescent="0.3">
      <c r="A88" s="36">
        <v>8200089</v>
      </c>
      <c r="B88" s="31" t="s">
        <v>385</v>
      </c>
      <c r="C88" s="29"/>
      <c r="D88" s="29"/>
      <c r="E88" s="31">
        <v>62.75</v>
      </c>
      <c r="F88" s="31">
        <v>52.082499999999996</v>
      </c>
      <c r="G88" s="31">
        <v>10</v>
      </c>
      <c r="H88" s="31" t="s">
        <v>297</v>
      </c>
    </row>
    <row r="89" spans="1:8" x14ac:dyDescent="0.3">
      <c r="A89" s="37">
        <v>8200090</v>
      </c>
      <c r="B89" s="32" t="s">
        <v>386</v>
      </c>
      <c r="C89" s="29"/>
      <c r="D89" s="29"/>
      <c r="E89" s="32">
        <v>119</v>
      </c>
      <c r="F89" s="32">
        <v>98.77</v>
      </c>
      <c r="G89" s="32">
        <v>8</v>
      </c>
      <c r="H89" s="32" t="s">
        <v>297</v>
      </c>
    </row>
    <row r="90" spans="1:8" x14ac:dyDescent="0.3">
      <c r="A90" s="36">
        <v>8200091</v>
      </c>
      <c r="B90" s="31" t="s">
        <v>387</v>
      </c>
      <c r="C90" s="29"/>
      <c r="D90" s="29"/>
      <c r="E90" s="31">
        <v>119</v>
      </c>
      <c r="F90" s="31">
        <v>98.77</v>
      </c>
      <c r="G90" s="31">
        <v>8</v>
      </c>
      <c r="H90" s="31" t="s">
        <v>297</v>
      </c>
    </row>
    <row r="91" spans="1:8" x14ac:dyDescent="0.3">
      <c r="A91" s="36">
        <v>8200087</v>
      </c>
      <c r="B91" s="31" t="s">
        <v>383</v>
      </c>
      <c r="C91" s="35" t="s">
        <v>1272</v>
      </c>
      <c r="D91" s="35" t="s">
        <v>1197</v>
      </c>
      <c r="E91" s="31">
        <v>110</v>
      </c>
      <c r="F91" s="31">
        <v>91.3</v>
      </c>
      <c r="G91" s="31">
        <v>8</v>
      </c>
      <c r="H91" s="31" t="s">
        <v>297</v>
      </c>
    </row>
    <row r="92" spans="1:8" x14ac:dyDescent="0.3">
      <c r="A92" s="37">
        <v>8200088</v>
      </c>
      <c r="B92" s="32" t="s">
        <v>384</v>
      </c>
      <c r="C92" s="29"/>
      <c r="D92" s="29"/>
      <c r="E92" s="32">
        <v>104.5</v>
      </c>
      <c r="F92" s="32">
        <v>86.734999999999999</v>
      </c>
      <c r="G92" s="32">
        <v>10</v>
      </c>
      <c r="H92" s="32" t="s">
        <v>297</v>
      </c>
    </row>
    <row r="93" spans="1:8" x14ac:dyDescent="0.3">
      <c r="A93" s="37">
        <v>8200092</v>
      </c>
      <c r="B93" s="32" t="s">
        <v>388</v>
      </c>
      <c r="C93" s="34" t="s">
        <v>1273</v>
      </c>
      <c r="D93" s="34" t="s">
        <v>1197</v>
      </c>
      <c r="E93" s="32">
        <v>101.5</v>
      </c>
      <c r="F93" s="32">
        <v>84.245000000000005</v>
      </c>
      <c r="G93" s="32">
        <v>10</v>
      </c>
      <c r="H93" s="32" t="s">
        <v>297</v>
      </c>
    </row>
    <row r="94" spans="1:8" x14ac:dyDescent="0.3">
      <c r="A94" s="36">
        <v>8200093</v>
      </c>
      <c r="B94" s="31" t="s">
        <v>389</v>
      </c>
      <c r="C94" s="29"/>
      <c r="D94" s="29"/>
      <c r="E94" s="31">
        <v>149.75</v>
      </c>
      <c r="F94" s="31">
        <v>124.29249999999999</v>
      </c>
      <c r="G94" s="31">
        <v>10</v>
      </c>
      <c r="H94" s="31" t="s">
        <v>297</v>
      </c>
    </row>
    <row r="95" spans="1:8" x14ac:dyDescent="0.3">
      <c r="A95" s="37">
        <v>8200094</v>
      </c>
      <c r="B95" s="32" t="s">
        <v>390</v>
      </c>
      <c r="C95" s="29"/>
      <c r="D95" s="29"/>
      <c r="E95" s="32">
        <v>253.25</v>
      </c>
      <c r="F95" s="32">
        <v>210.19749999999999</v>
      </c>
      <c r="G95" s="32">
        <v>8</v>
      </c>
      <c r="H95" s="32" t="s">
        <v>297</v>
      </c>
    </row>
    <row r="96" spans="1:8" x14ac:dyDescent="0.3">
      <c r="A96" s="36">
        <v>8200095</v>
      </c>
      <c r="B96" s="31" t="s">
        <v>391</v>
      </c>
      <c r="C96" s="35" t="s">
        <v>1274</v>
      </c>
      <c r="D96" s="35" t="s">
        <v>1197</v>
      </c>
      <c r="E96" s="31">
        <v>46</v>
      </c>
      <c r="F96" s="31">
        <v>38.18</v>
      </c>
      <c r="G96" s="31">
        <v>10</v>
      </c>
      <c r="H96" s="31" t="s">
        <v>297</v>
      </c>
    </row>
    <row r="97" spans="1:8" x14ac:dyDescent="0.3">
      <c r="A97" s="37">
        <v>8200096</v>
      </c>
      <c r="B97" s="32" t="s">
        <v>392</v>
      </c>
      <c r="C97" s="29"/>
      <c r="D97" s="29"/>
      <c r="E97" s="32">
        <v>58.75</v>
      </c>
      <c r="F97" s="32">
        <v>48.762500000000003</v>
      </c>
      <c r="G97" s="32">
        <v>10</v>
      </c>
      <c r="H97" s="32" t="s">
        <v>297</v>
      </c>
    </row>
    <row r="98" spans="1:8" x14ac:dyDescent="0.3">
      <c r="A98" s="36">
        <v>8200097</v>
      </c>
      <c r="B98" s="31" t="s">
        <v>393</v>
      </c>
      <c r="C98" s="29"/>
      <c r="D98" s="29"/>
      <c r="E98" s="31">
        <v>78.75</v>
      </c>
      <c r="F98" s="31">
        <v>65.362499999999997</v>
      </c>
      <c r="G98" s="31">
        <v>10</v>
      </c>
      <c r="H98" s="31" t="s">
        <v>297</v>
      </c>
    </row>
    <row r="99" spans="1:8" x14ac:dyDescent="0.3">
      <c r="A99" s="37">
        <v>8200098</v>
      </c>
      <c r="B99" s="34" t="s">
        <v>394</v>
      </c>
      <c r="C99" s="34" t="s">
        <v>1276</v>
      </c>
      <c r="D99" s="34" t="s">
        <v>35</v>
      </c>
      <c r="E99" s="32">
        <v>1478.75</v>
      </c>
      <c r="F99" s="32">
        <v>1227.3625</v>
      </c>
      <c r="G99" s="32">
        <v>5</v>
      </c>
      <c r="H99" s="32" t="s">
        <v>297</v>
      </c>
    </row>
    <row r="100" spans="1:8" x14ac:dyDescent="0.3">
      <c r="A100" s="36">
        <v>8200099</v>
      </c>
      <c r="B100" s="31" t="s">
        <v>395</v>
      </c>
      <c r="C100" s="35" t="s">
        <v>395</v>
      </c>
      <c r="D100" s="35" t="s">
        <v>35</v>
      </c>
      <c r="E100" s="31">
        <v>1478.75</v>
      </c>
      <c r="F100" s="31">
        <v>1227.3625</v>
      </c>
      <c r="G100" s="31">
        <v>5</v>
      </c>
      <c r="H100" s="31" t="s">
        <v>297</v>
      </c>
    </row>
    <row r="101" spans="1:8" x14ac:dyDescent="0.3">
      <c r="A101" s="37">
        <v>8200100</v>
      </c>
      <c r="B101" s="32" t="s">
        <v>396</v>
      </c>
      <c r="C101" s="34" t="s">
        <v>1275</v>
      </c>
      <c r="D101" s="34" t="s">
        <v>35</v>
      </c>
      <c r="E101" s="32">
        <v>185.75</v>
      </c>
      <c r="F101" s="32">
        <v>154.17250000000001</v>
      </c>
      <c r="G101" s="32">
        <v>5</v>
      </c>
      <c r="H101" s="32" t="s">
        <v>297</v>
      </c>
    </row>
    <row r="102" spans="1:8" x14ac:dyDescent="0.3">
      <c r="A102" s="36">
        <v>8200101</v>
      </c>
      <c r="B102" s="31" t="s">
        <v>397</v>
      </c>
      <c r="C102" s="35" t="s">
        <v>1277</v>
      </c>
      <c r="D102" s="35" t="s">
        <v>1334</v>
      </c>
      <c r="E102" s="31">
        <v>178.25</v>
      </c>
      <c r="F102" s="31">
        <v>147.94749999999999</v>
      </c>
      <c r="G102" s="31">
        <v>20</v>
      </c>
      <c r="H102" s="31" t="s">
        <v>297</v>
      </c>
    </row>
    <row r="103" spans="1:8" x14ac:dyDescent="0.3">
      <c r="A103" s="37">
        <v>8200102</v>
      </c>
      <c r="B103" s="32" t="s">
        <v>398</v>
      </c>
      <c r="C103" s="29"/>
      <c r="D103" s="29"/>
      <c r="E103" s="32">
        <v>492.5</v>
      </c>
      <c r="F103" s="32">
        <v>408.77499999999998</v>
      </c>
      <c r="G103" s="32">
        <v>10</v>
      </c>
      <c r="H103" s="32" t="s">
        <v>297</v>
      </c>
    </row>
    <row r="104" spans="1:8" x14ac:dyDescent="0.3">
      <c r="A104" s="36">
        <v>8200103</v>
      </c>
      <c r="B104" s="31" t="s">
        <v>399</v>
      </c>
      <c r="C104" s="35" t="s">
        <v>399</v>
      </c>
      <c r="D104" s="35" t="s">
        <v>1334</v>
      </c>
      <c r="E104" s="31">
        <v>751</v>
      </c>
      <c r="F104" s="31">
        <v>623.32999999999993</v>
      </c>
      <c r="G104" s="31">
        <v>10</v>
      </c>
      <c r="H104" s="31" t="s">
        <v>297</v>
      </c>
    </row>
    <row r="105" spans="1:8" x14ac:dyDescent="0.3">
      <c r="A105" s="37">
        <v>8200104</v>
      </c>
      <c r="B105" s="32" t="s">
        <v>400</v>
      </c>
      <c r="C105" s="34" t="s">
        <v>1278</v>
      </c>
      <c r="D105" s="34" t="s">
        <v>1197</v>
      </c>
      <c r="E105" s="32">
        <v>84.75</v>
      </c>
      <c r="F105" s="32">
        <v>70.342500000000001</v>
      </c>
      <c r="G105" s="32">
        <v>10</v>
      </c>
      <c r="H105" s="32" t="s">
        <v>297</v>
      </c>
    </row>
    <row r="106" spans="1:8" x14ac:dyDescent="0.3">
      <c r="A106" s="36">
        <v>8200105</v>
      </c>
      <c r="B106" s="31" t="s">
        <v>401</v>
      </c>
      <c r="C106" s="29"/>
      <c r="D106" s="29"/>
      <c r="E106" s="31">
        <v>120.25</v>
      </c>
      <c r="F106" s="31">
        <v>99.807500000000005</v>
      </c>
      <c r="G106" s="31">
        <v>10</v>
      </c>
      <c r="H106" s="31" t="s">
        <v>297</v>
      </c>
    </row>
    <row r="107" spans="1:8" x14ac:dyDescent="0.3">
      <c r="A107" s="37">
        <v>8200106</v>
      </c>
      <c r="B107" s="32" t="s">
        <v>402</v>
      </c>
      <c r="C107" s="29"/>
      <c r="D107" s="29"/>
      <c r="E107" s="32">
        <v>222.75</v>
      </c>
      <c r="F107" s="32">
        <v>184.88249999999999</v>
      </c>
      <c r="G107" s="32">
        <v>8</v>
      </c>
      <c r="H107" s="32" t="s">
        <v>297</v>
      </c>
    </row>
    <row r="108" spans="1:8" x14ac:dyDescent="0.3">
      <c r="A108" s="36">
        <v>8200107</v>
      </c>
      <c r="B108" s="31" t="s">
        <v>403</v>
      </c>
      <c r="C108" s="35" t="s">
        <v>403</v>
      </c>
      <c r="D108" s="35" t="s">
        <v>35</v>
      </c>
      <c r="E108" s="31">
        <v>632.5</v>
      </c>
      <c r="F108" s="31">
        <v>524.97500000000002</v>
      </c>
      <c r="G108" s="31">
        <v>10</v>
      </c>
      <c r="H108" s="31" t="s">
        <v>297</v>
      </c>
    </row>
    <row r="109" spans="1:8" x14ac:dyDescent="0.3">
      <c r="A109" s="37">
        <v>8200108</v>
      </c>
      <c r="B109" s="32" t="s">
        <v>404</v>
      </c>
      <c r="C109" s="34" t="s">
        <v>1279</v>
      </c>
      <c r="D109" s="34" t="s">
        <v>1197</v>
      </c>
      <c r="E109" s="32">
        <v>73.25</v>
      </c>
      <c r="F109" s="32">
        <v>60.797499999999999</v>
      </c>
      <c r="G109" s="32">
        <v>10</v>
      </c>
      <c r="H109" s="32" t="s">
        <v>297</v>
      </c>
    </row>
    <row r="110" spans="1:8" x14ac:dyDescent="0.3">
      <c r="A110" s="36">
        <v>8200109</v>
      </c>
      <c r="B110" s="31" t="s">
        <v>405</v>
      </c>
      <c r="C110" s="29"/>
      <c r="D110" s="29"/>
      <c r="E110" s="31">
        <v>64.5</v>
      </c>
      <c r="F110" s="31">
        <v>53.534999999999997</v>
      </c>
      <c r="G110" s="31">
        <v>10</v>
      </c>
      <c r="H110" s="31" t="s">
        <v>297</v>
      </c>
    </row>
    <row r="111" spans="1:8" x14ac:dyDescent="0.3">
      <c r="A111" s="37">
        <v>8200110</v>
      </c>
      <c r="B111" s="32" t="s">
        <v>406</v>
      </c>
      <c r="C111" s="34" t="s">
        <v>1280</v>
      </c>
      <c r="D111" s="34" t="s">
        <v>35</v>
      </c>
      <c r="E111" s="32">
        <v>94.25</v>
      </c>
      <c r="F111" s="32">
        <v>78.227499999999992</v>
      </c>
      <c r="G111" s="32">
        <v>10</v>
      </c>
      <c r="H111" s="32" t="s">
        <v>297</v>
      </c>
    </row>
    <row r="112" spans="1:8" x14ac:dyDescent="0.3">
      <c r="A112" s="36">
        <v>8200111</v>
      </c>
      <c r="B112" s="31" t="s">
        <v>407</v>
      </c>
      <c r="C112" s="35" t="s">
        <v>1281</v>
      </c>
      <c r="D112" s="35" t="s">
        <v>1335</v>
      </c>
      <c r="E112" s="31">
        <v>341</v>
      </c>
      <c r="F112" s="31">
        <v>283.02999999999997</v>
      </c>
      <c r="G112" s="31">
        <v>10</v>
      </c>
      <c r="H112" s="31" t="s">
        <v>297</v>
      </c>
    </row>
    <row r="113" spans="1:8" x14ac:dyDescent="0.3">
      <c r="A113" s="37">
        <v>8200112</v>
      </c>
      <c r="B113" s="32" t="s">
        <v>408</v>
      </c>
      <c r="C113" s="34" t="s">
        <v>408</v>
      </c>
      <c r="D113" s="34" t="s">
        <v>35</v>
      </c>
      <c r="E113" s="32">
        <v>2952.5</v>
      </c>
      <c r="F113" s="32">
        <v>2450.5749999999998</v>
      </c>
      <c r="G113" s="32">
        <v>3</v>
      </c>
      <c r="H113" s="32" t="s">
        <v>297</v>
      </c>
    </row>
    <row r="114" spans="1:8" x14ac:dyDescent="0.3">
      <c r="A114" s="36">
        <v>8200113</v>
      </c>
      <c r="B114" s="31" t="s">
        <v>409</v>
      </c>
      <c r="C114" s="35" t="s">
        <v>1282</v>
      </c>
      <c r="D114" s="35" t="s">
        <v>35</v>
      </c>
      <c r="E114" s="31">
        <v>158.5</v>
      </c>
      <c r="F114" s="31">
        <v>131.55500000000001</v>
      </c>
      <c r="G114" s="31">
        <v>2</v>
      </c>
      <c r="H114" s="31" t="s">
        <v>297</v>
      </c>
    </row>
    <row r="115" spans="1:8" x14ac:dyDescent="0.3">
      <c r="A115" s="37">
        <v>8200114</v>
      </c>
      <c r="B115" s="32" t="s">
        <v>410</v>
      </c>
      <c r="C115" s="29"/>
      <c r="D115" s="29"/>
      <c r="E115" s="32">
        <v>180.75</v>
      </c>
      <c r="F115" s="32">
        <v>150.02250000000001</v>
      </c>
      <c r="G115" s="32">
        <v>2</v>
      </c>
      <c r="H115" s="32" t="s">
        <v>297</v>
      </c>
    </row>
    <row r="116" spans="1:8" x14ac:dyDescent="0.3">
      <c r="A116" s="36">
        <v>8200115</v>
      </c>
      <c r="B116" s="31" t="s">
        <v>411</v>
      </c>
      <c r="C116" s="29"/>
      <c r="D116" s="29"/>
      <c r="E116" s="31">
        <v>289</v>
      </c>
      <c r="F116" s="31">
        <v>239.87</v>
      </c>
      <c r="G116" s="31">
        <v>2</v>
      </c>
      <c r="H116" s="31" t="s">
        <v>297</v>
      </c>
    </row>
    <row r="117" spans="1:8" x14ac:dyDescent="0.3">
      <c r="A117" s="37">
        <v>8200116</v>
      </c>
      <c r="B117" s="32" t="s">
        <v>412</v>
      </c>
      <c r="C117" s="34" t="s">
        <v>412</v>
      </c>
      <c r="D117" s="34" t="s">
        <v>1198</v>
      </c>
      <c r="E117" s="32">
        <v>158</v>
      </c>
      <c r="F117" s="32">
        <v>131.13999999999999</v>
      </c>
      <c r="G117" s="32">
        <v>5</v>
      </c>
      <c r="H117" s="32" t="s">
        <v>297</v>
      </c>
    </row>
    <row r="118" spans="1:8" x14ac:dyDescent="0.3">
      <c r="A118" s="36">
        <v>8200117</v>
      </c>
      <c r="B118" s="31" t="s">
        <v>413</v>
      </c>
      <c r="C118" s="35" t="s">
        <v>413</v>
      </c>
      <c r="D118" s="35" t="s">
        <v>1197</v>
      </c>
      <c r="E118" s="31">
        <v>143.5</v>
      </c>
      <c r="F118" s="31">
        <v>119.10499999999999</v>
      </c>
      <c r="G118" s="31">
        <v>5</v>
      </c>
      <c r="H118" s="31" t="s">
        <v>297</v>
      </c>
    </row>
    <row r="119" spans="1:8" x14ac:dyDescent="0.3">
      <c r="A119" s="37">
        <v>8200118</v>
      </c>
      <c r="B119" s="32" t="s">
        <v>414</v>
      </c>
      <c r="C119" s="34" t="s">
        <v>414</v>
      </c>
      <c r="D119" s="34" t="s">
        <v>35</v>
      </c>
      <c r="E119" s="32"/>
      <c r="F119" s="32"/>
      <c r="G119" s="32">
        <v>5</v>
      </c>
      <c r="H119" s="32" t="s">
        <v>297</v>
      </c>
    </row>
    <row r="120" spans="1:8" x14ac:dyDescent="0.3">
      <c r="A120" s="36">
        <v>8200119</v>
      </c>
      <c r="B120" s="31" t="s">
        <v>415</v>
      </c>
      <c r="C120" s="35" t="s">
        <v>1283</v>
      </c>
      <c r="D120" s="35" t="s">
        <v>1336</v>
      </c>
      <c r="E120" s="31">
        <v>58</v>
      </c>
      <c r="F120" s="31">
        <v>48.14</v>
      </c>
      <c r="G120" s="31">
        <v>10</v>
      </c>
      <c r="H120" s="31" t="s">
        <v>297</v>
      </c>
    </row>
    <row r="121" spans="1:8" x14ac:dyDescent="0.3">
      <c r="A121" s="37">
        <v>8200120</v>
      </c>
      <c r="B121" s="32" t="s">
        <v>416</v>
      </c>
      <c r="C121" s="29"/>
      <c r="D121" s="29"/>
      <c r="E121" s="32">
        <v>63.25</v>
      </c>
      <c r="F121" s="32">
        <v>52.497500000000002</v>
      </c>
      <c r="G121" s="32">
        <v>10</v>
      </c>
      <c r="H121" s="32" t="s">
        <v>297</v>
      </c>
    </row>
    <row r="122" spans="1:8" x14ac:dyDescent="0.3">
      <c r="A122" s="36">
        <v>8200121</v>
      </c>
      <c r="B122" s="31" t="s">
        <v>417</v>
      </c>
      <c r="C122" s="29"/>
      <c r="D122" s="29"/>
      <c r="E122" s="31">
        <v>70.5</v>
      </c>
      <c r="F122" s="31">
        <v>58.515000000000001</v>
      </c>
      <c r="G122" s="31">
        <v>10</v>
      </c>
      <c r="H122" s="31" t="s">
        <v>297</v>
      </c>
    </row>
    <row r="123" spans="1:8" x14ac:dyDescent="0.3">
      <c r="A123" s="37">
        <v>8200122</v>
      </c>
      <c r="B123" s="32" t="s">
        <v>418</v>
      </c>
      <c r="C123" s="29"/>
      <c r="D123" s="29"/>
      <c r="E123" s="32">
        <v>78</v>
      </c>
      <c r="F123" s="32">
        <v>64.739999999999995</v>
      </c>
      <c r="G123" s="32">
        <v>10</v>
      </c>
      <c r="H123" s="32" t="s">
        <v>297</v>
      </c>
    </row>
    <row r="124" spans="1:8" x14ac:dyDescent="0.3">
      <c r="A124" s="36">
        <v>8200123</v>
      </c>
      <c r="B124" s="31" t="s">
        <v>419</v>
      </c>
      <c r="C124" s="29"/>
      <c r="D124" s="29"/>
      <c r="E124" s="31">
        <v>90.75</v>
      </c>
      <c r="F124" s="31">
        <v>75.322499999999991</v>
      </c>
      <c r="G124" s="31">
        <v>10</v>
      </c>
      <c r="H124" s="31" t="s">
        <v>297</v>
      </c>
    </row>
    <row r="125" spans="1:8" x14ac:dyDescent="0.3">
      <c r="A125" s="37">
        <v>8200124</v>
      </c>
      <c r="B125" s="32" t="s">
        <v>420</v>
      </c>
      <c r="C125" s="29"/>
      <c r="D125" s="29"/>
      <c r="E125" s="32">
        <v>99.25</v>
      </c>
      <c r="F125" s="32">
        <v>82.377499999999998</v>
      </c>
      <c r="G125" s="32">
        <v>10</v>
      </c>
      <c r="H125" s="32" t="s">
        <v>297</v>
      </c>
    </row>
    <row r="126" spans="1:8" x14ac:dyDescent="0.3">
      <c r="A126" s="36">
        <v>8200125</v>
      </c>
      <c r="B126" s="31" t="s">
        <v>421</v>
      </c>
      <c r="C126" s="35" t="s">
        <v>1284</v>
      </c>
      <c r="D126" s="35" t="s">
        <v>1336</v>
      </c>
      <c r="E126" s="31">
        <v>132</v>
      </c>
      <c r="F126" s="31">
        <v>109.56</v>
      </c>
      <c r="G126" s="31">
        <v>10</v>
      </c>
      <c r="H126" s="31" t="s">
        <v>297</v>
      </c>
    </row>
    <row r="127" spans="1:8" x14ac:dyDescent="0.3">
      <c r="A127" s="37">
        <v>8200126</v>
      </c>
      <c r="B127" s="32" t="s">
        <v>422</v>
      </c>
      <c r="C127" s="29"/>
      <c r="D127" s="29"/>
      <c r="E127" s="32">
        <v>143.5</v>
      </c>
      <c r="F127" s="32">
        <v>119.10499999999999</v>
      </c>
      <c r="G127" s="32">
        <v>10</v>
      </c>
      <c r="H127" s="32" t="s">
        <v>297</v>
      </c>
    </row>
    <row r="128" spans="1:8" x14ac:dyDescent="0.3">
      <c r="A128" s="36">
        <v>8200127</v>
      </c>
      <c r="B128" s="31" t="s">
        <v>423</v>
      </c>
      <c r="C128" s="29"/>
      <c r="D128" s="29"/>
      <c r="E128" s="31">
        <v>150.75</v>
      </c>
      <c r="F128" s="31">
        <v>125.1225</v>
      </c>
      <c r="G128" s="31">
        <v>10</v>
      </c>
      <c r="H128" s="31" t="s">
        <v>297</v>
      </c>
    </row>
    <row r="129" spans="1:8" x14ac:dyDescent="0.3">
      <c r="A129" s="37">
        <v>8200128</v>
      </c>
      <c r="B129" s="32" t="s">
        <v>424</v>
      </c>
      <c r="C129" s="34" t="s">
        <v>1285</v>
      </c>
      <c r="D129" s="34" t="s">
        <v>35</v>
      </c>
      <c r="E129" s="32">
        <v>9176.5</v>
      </c>
      <c r="F129" s="32">
        <v>7616.4949999999999</v>
      </c>
      <c r="G129" s="32">
        <v>1</v>
      </c>
      <c r="H129" s="32" t="s">
        <v>297</v>
      </c>
    </row>
    <row r="130" spans="1:8" x14ac:dyDescent="0.3">
      <c r="A130" s="36">
        <v>8200129</v>
      </c>
      <c r="B130" s="31" t="s">
        <v>425</v>
      </c>
      <c r="C130" s="29"/>
      <c r="D130" s="29"/>
      <c r="E130" s="31">
        <v>17062.75</v>
      </c>
      <c r="F130" s="31">
        <v>14162.0825</v>
      </c>
      <c r="G130" s="31">
        <v>1</v>
      </c>
      <c r="H130" s="31" t="s">
        <v>297</v>
      </c>
    </row>
    <row r="131" spans="1:8" x14ac:dyDescent="0.3">
      <c r="A131" s="37">
        <v>8200130</v>
      </c>
      <c r="B131" s="32" t="s">
        <v>426</v>
      </c>
      <c r="C131" s="29"/>
      <c r="D131" s="29"/>
      <c r="E131" s="32">
        <v>26480.25</v>
      </c>
      <c r="F131" s="32">
        <v>21978.607499999998</v>
      </c>
      <c r="G131" s="32">
        <v>1</v>
      </c>
      <c r="H131" s="32" t="s">
        <v>297</v>
      </c>
    </row>
    <row r="132" spans="1:8" x14ac:dyDescent="0.3">
      <c r="A132" s="36">
        <v>8200131</v>
      </c>
      <c r="B132" s="35" t="s">
        <v>1289</v>
      </c>
      <c r="C132" s="35" t="s">
        <v>1286</v>
      </c>
      <c r="D132" s="35" t="s">
        <v>1197</v>
      </c>
      <c r="E132" s="31">
        <v>168.75</v>
      </c>
      <c r="F132" s="31">
        <v>140.0625</v>
      </c>
      <c r="G132" s="31">
        <v>20</v>
      </c>
      <c r="H132" s="31" t="s">
        <v>297</v>
      </c>
    </row>
    <row r="133" spans="1:8" x14ac:dyDescent="0.3">
      <c r="A133" s="37">
        <v>8200132</v>
      </c>
      <c r="B133" s="34" t="s">
        <v>1290</v>
      </c>
      <c r="C133" s="29"/>
      <c r="D133" s="29"/>
      <c r="E133" s="32">
        <v>267.75</v>
      </c>
      <c r="F133" s="32">
        <v>222.23249999999999</v>
      </c>
      <c r="G133" s="32">
        <v>10</v>
      </c>
      <c r="H133" s="32" t="s">
        <v>297</v>
      </c>
    </row>
    <row r="134" spans="1:8" x14ac:dyDescent="0.3">
      <c r="A134" s="36">
        <v>8200133</v>
      </c>
      <c r="B134" s="35" t="s">
        <v>1291</v>
      </c>
      <c r="C134" s="29"/>
      <c r="D134" s="29"/>
      <c r="E134" s="31">
        <v>465</v>
      </c>
      <c r="F134" s="31">
        <f t="shared" ref="F134:F140" si="2">E134-E134*17%</f>
        <v>385.95</v>
      </c>
      <c r="G134" s="31">
        <v>10</v>
      </c>
      <c r="H134" s="31" t="s">
        <v>297</v>
      </c>
    </row>
    <row r="135" spans="1:8" x14ac:dyDescent="0.3">
      <c r="A135" s="37">
        <v>8200134</v>
      </c>
      <c r="B135" s="34" t="s">
        <v>1292</v>
      </c>
      <c r="C135" s="34" t="s">
        <v>1287</v>
      </c>
      <c r="D135" s="34" t="s">
        <v>1197</v>
      </c>
      <c r="E135" s="32">
        <v>143</v>
      </c>
      <c r="F135" s="32">
        <f t="shared" si="2"/>
        <v>118.69</v>
      </c>
      <c r="G135" s="32">
        <v>20</v>
      </c>
      <c r="H135" s="32" t="s">
        <v>297</v>
      </c>
    </row>
    <row r="136" spans="1:8" x14ac:dyDescent="0.3">
      <c r="A136" s="36">
        <v>8200135</v>
      </c>
      <c r="B136" s="35" t="s">
        <v>1293</v>
      </c>
      <c r="C136" s="29"/>
      <c r="D136" s="29"/>
      <c r="E136" s="31">
        <v>222.5</v>
      </c>
      <c r="F136" s="31">
        <f t="shared" si="2"/>
        <v>184.67500000000001</v>
      </c>
      <c r="G136" s="31">
        <v>20</v>
      </c>
      <c r="H136" s="31" t="s">
        <v>297</v>
      </c>
    </row>
    <row r="137" spans="1:8" x14ac:dyDescent="0.3">
      <c r="A137" s="37">
        <v>8200136</v>
      </c>
      <c r="B137" s="34" t="s">
        <v>1294</v>
      </c>
      <c r="C137" s="29"/>
      <c r="D137" s="29"/>
      <c r="E137" s="32">
        <v>397.25</v>
      </c>
      <c r="F137" s="32">
        <f t="shared" si="2"/>
        <v>329.71749999999997</v>
      </c>
      <c r="G137" s="32">
        <v>10</v>
      </c>
      <c r="H137" s="32" t="s">
        <v>297</v>
      </c>
    </row>
    <row r="138" spans="1:8" x14ac:dyDescent="0.3">
      <c r="A138" s="36">
        <v>8200137</v>
      </c>
      <c r="B138" s="35" t="s">
        <v>1295</v>
      </c>
      <c r="C138" s="35" t="s">
        <v>1288</v>
      </c>
      <c r="D138" s="35" t="s">
        <v>1197</v>
      </c>
      <c r="E138" s="31">
        <v>146.75</v>
      </c>
      <c r="F138" s="31">
        <f t="shared" si="2"/>
        <v>121.80249999999999</v>
      </c>
      <c r="G138" s="31">
        <v>20</v>
      </c>
      <c r="H138" s="31" t="s">
        <v>297</v>
      </c>
    </row>
    <row r="139" spans="1:8" x14ac:dyDescent="0.3">
      <c r="A139" s="37">
        <v>8200138</v>
      </c>
      <c r="B139" s="34" t="s">
        <v>1296</v>
      </c>
      <c r="C139" s="29"/>
      <c r="D139" s="29"/>
      <c r="E139" s="32">
        <v>202.75</v>
      </c>
      <c r="F139" s="32">
        <f t="shared" si="2"/>
        <v>168.2825</v>
      </c>
      <c r="G139" s="32">
        <v>20</v>
      </c>
      <c r="H139" s="32" t="s">
        <v>297</v>
      </c>
    </row>
    <row r="140" spans="1:8" x14ac:dyDescent="0.3">
      <c r="A140" s="36">
        <v>8200139</v>
      </c>
      <c r="B140" s="35" t="s">
        <v>1297</v>
      </c>
      <c r="C140" s="29"/>
      <c r="D140" s="29"/>
      <c r="E140" s="31">
        <v>360.25</v>
      </c>
      <c r="F140" s="31">
        <f t="shared" si="2"/>
        <v>299.00749999999999</v>
      </c>
      <c r="G140" s="31">
        <v>10</v>
      </c>
      <c r="H140" s="31" t="s">
        <v>297</v>
      </c>
    </row>
  </sheetData>
  <pageMargins left="0.7" right="0.7" top="0.75" bottom="0.75" header="0.3" footer="0.3"/>
  <pageSetup scale="39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F396A-ED8A-4192-BD83-6004CC897E93}">
  <sheetPr>
    <pageSetUpPr fitToPage="1"/>
  </sheetPr>
  <dimension ref="A1:G752"/>
  <sheetViews>
    <sheetView workbookViewId="0">
      <selection activeCell="G752" sqref="A1:G752"/>
    </sheetView>
  </sheetViews>
  <sheetFormatPr defaultRowHeight="21" x14ac:dyDescent="0.3"/>
  <cols>
    <col min="1" max="1" width="18.77734375" style="16" customWidth="1"/>
    <col min="2" max="2" width="73.6640625" style="16" customWidth="1"/>
    <col min="3" max="3" width="8.88671875" style="16"/>
    <col min="4" max="4" width="11.6640625" style="16" customWidth="1"/>
    <col min="5" max="5" width="12.77734375" style="16" customWidth="1"/>
    <col min="6" max="6" width="12.44140625" style="16" customWidth="1"/>
    <col min="7" max="7" width="14.33203125" style="16" customWidth="1"/>
  </cols>
  <sheetData>
    <row r="1" spans="1:7" x14ac:dyDescent="0.3">
      <c r="A1" s="22" t="s">
        <v>1</v>
      </c>
      <c r="B1" s="22" t="s">
        <v>2</v>
      </c>
      <c r="C1" s="22" t="s">
        <v>4</v>
      </c>
      <c r="D1" s="22" t="s">
        <v>5</v>
      </c>
      <c r="E1" s="22" t="s">
        <v>12</v>
      </c>
      <c r="F1" s="22" t="s">
        <v>6</v>
      </c>
      <c r="G1" s="22" t="s">
        <v>8</v>
      </c>
    </row>
    <row r="2" spans="1:7" x14ac:dyDescent="0.3">
      <c r="A2" s="23">
        <v>8000001</v>
      </c>
      <c r="B2" s="22" t="s">
        <v>24</v>
      </c>
      <c r="C2" s="22" t="s">
        <v>26</v>
      </c>
      <c r="D2" s="22">
        <v>39.5</v>
      </c>
      <c r="E2" s="22">
        <f t="shared" ref="E2:E33" si="0">D2-D2*17%</f>
        <v>32.784999999999997</v>
      </c>
      <c r="F2" s="22">
        <v>50</v>
      </c>
      <c r="G2" s="22" t="s">
        <v>27</v>
      </c>
    </row>
    <row r="3" spans="1:7" x14ac:dyDescent="0.3">
      <c r="A3" s="22">
        <v>8000002</v>
      </c>
      <c r="B3" s="22" t="s">
        <v>31</v>
      </c>
      <c r="C3" s="22" t="s">
        <v>26</v>
      </c>
      <c r="D3" s="22">
        <v>66</v>
      </c>
      <c r="E3" s="22">
        <f t="shared" si="0"/>
        <v>54.78</v>
      </c>
      <c r="F3" s="22">
        <v>200</v>
      </c>
      <c r="G3" s="22" t="s">
        <v>27</v>
      </c>
    </row>
    <row r="4" spans="1:7" x14ac:dyDescent="0.3">
      <c r="A4" s="23">
        <v>8000003</v>
      </c>
      <c r="B4" s="22" t="s">
        <v>32</v>
      </c>
      <c r="C4" s="22" t="s">
        <v>26</v>
      </c>
      <c r="D4" s="22">
        <v>94.75</v>
      </c>
      <c r="E4" s="22">
        <f t="shared" si="0"/>
        <v>78.642499999999998</v>
      </c>
      <c r="F4" s="22">
        <v>100</v>
      </c>
      <c r="G4" s="22" t="s">
        <v>27</v>
      </c>
    </row>
    <row r="5" spans="1:7" x14ac:dyDescent="0.3">
      <c r="A5" s="22">
        <v>8000004</v>
      </c>
      <c r="B5" s="22" t="s">
        <v>33</v>
      </c>
      <c r="C5" s="22" t="s">
        <v>26</v>
      </c>
      <c r="D5" s="22">
        <v>227</v>
      </c>
      <c r="E5" s="22">
        <f t="shared" si="0"/>
        <v>188.41</v>
      </c>
      <c r="F5" s="22">
        <v>3</v>
      </c>
      <c r="G5" s="22" t="s">
        <v>27</v>
      </c>
    </row>
    <row r="6" spans="1:7" x14ac:dyDescent="0.3">
      <c r="A6" s="23">
        <v>8000005</v>
      </c>
      <c r="B6" s="22" t="s">
        <v>34</v>
      </c>
      <c r="C6" s="22" t="s">
        <v>35</v>
      </c>
      <c r="D6" s="22">
        <v>23</v>
      </c>
      <c r="E6" s="22">
        <f t="shared" si="0"/>
        <v>19.09</v>
      </c>
      <c r="F6" s="22">
        <v>30</v>
      </c>
      <c r="G6" s="22" t="s">
        <v>27</v>
      </c>
    </row>
    <row r="7" spans="1:7" x14ac:dyDescent="0.3">
      <c r="A7" s="22">
        <v>8000006</v>
      </c>
      <c r="B7" s="22" t="s">
        <v>36</v>
      </c>
      <c r="C7" s="22" t="s">
        <v>35</v>
      </c>
      <c r="D7" s="22">
        <v>29.75</v>
      </c>
      <c r="E7" s="22">
        <f t="shared" si="0"/>
        <v>24.692499999999999</v>
      </c>
      <c r="F7" s="22">
        <v>160</v>
      </c>
      <c r="G7" s="22" t="s">
        <v>27</v>
      </c>
    </row>
    <row r="8" spans="1:7" x14ac:dyDescent="0.3">
      <c r="A8" s="23">
        <v>8000007</v>
      </c>
      <c r="B8" s="22" t="s">
        <v>37</v>
      </c>
      <c r="C8" s="22" t="s">
        <v>35</v>
      </c>
      <c r="D8" s="22">
        <v>53.75</v>
      </c>
      <c r="E8" s="22">
        <f t="shared" si="0"/>
        <v>44.612499999999997</v>
      </c>
      <c r="F8" s="22">
        <v>50</v>
      </c>
      <c r="G8" s="22" t="s">
        <v>27</v>
      </c>
    </row>
    <row r="9" spans="1:7" x14ac:dyDescent="0.3">
      <c r="A9" s="22">
        <v>8000008</v>
      </c>
      <c r="B9" s="22" t="s">
        <v>38</v>
      </c>
      <c r="C9" s="22" t="s">
        <v>35</v>
      </c>
      <c r="D9" s="22">
        <v>169.75</v>
      </c>
      <c r="E9" s="22">
        <f t="shared" si="0"/>
        <v>140.89249999999998</v>
      </c>
      <c r="F9" s="22">
        <v>5</v>
      </c>
      <c r="G9" s="22" t="s">
        <v>27</v>
      </c>
    </row>
    <row r="10" spans="1:7" x14ac:dyDescent="0.3">
      <c r="A10" s="23">
        <v>8000009</v>
      </c>
      <c r="B10" s="22" t="s">
        <v>39</v>
      </c>
      <c r="C10" s="22" t="s">
        <v>35</v>
      </c>
      <c r="D10" s="22">
        <v>15.75</v>
      </c>
      <c r="E10" s="22">
        <f t="shared" si="0"/>
        <v>13.0725</v>
      </c>
      <c r="F10" s="22">
        <v>30</v>
      </c>
      <c r="G10" s="22" t="s">
        <v>27</v>
      </c>
    </row>
    <row r="11" spans="1:7" x14ac:dyDescent="0.3">
      <c r="A11" s="22">
        <v>8000010</v>
      </c>
      <c r="B11" s="22" t="s">
        <v>40</v>
      </c>
      <c r="C11" s="22" t="s">
        <v>35</v>
      </c>
      <c r="D11" s="22">
        <v>22</v>
      </c>
      <c r="E11" s="22">
        <f t="shared" si="0"/>
        <v>18.259999999999998</v>
      </c>
      <c r="F11" s="22">
        <v>160</v>
      </c>
      <c r="G11" s="22" t="s">
        <v>27</v>
      </c>
    </row>
    <row r="12" spans="1:7" x14ac:dyDescent="0.3">
      <c r="A12" s="23">
        <v>8000011</v>
      </c>
      <c r="B12" s="22" t="s">
        <v>41</v>
      </c>
      <c r="C12" s="22" t="s">
        <v>35</v>
      </c>
      <c r="D12" s="22">
        <v>42</v>
      </c>
      <c r="E12" s="22">
        <f t="shared" si="0"/>
        <v>34.86</v>
      </c>
      <c r="F12" s="22">
        <v>30</v>
      </c>
      <c r="G12" s="22" t="s">
        <v>27</v>
      </c>
    </row>
    <row r="13" spans="1:7" x14ac:dyDescent="0.3">
      <c r="A13" s="22">
        <v>8000012</v>
      </c>
      <c r="B13" s="22" t="s">
        <v>42</v>
      </c>
      <c r="C13" s="22" t="s">
        <v>35</v>
      </c>
      <c r="D13" s="22">
        <v>154.5</v>
      </c>
      <c r="E13" s="22">
        <f t="shared" si="0"/>
        <v>128.23500000000001</v>
      </c>
      <c r="F13" s="22">
        <v>5</v>
      </c>
      <c r="G13" s="22" t="s">
        <v>27</v>
      </c>
    </row>
    <row r="14" spans="1:7" x14ac:dyDescent="0.3">
      <c r="A14" s="23">
        <v>8000013</v>
      </c>
      <c r="B14" s="22" t="s">
        <v>43</v>
      </c>
      <c r="C14" s="22" t="s">
        <v>35</v>
      </c>
      <c r="D14" s="22">
        <v>27</v>
      </c>
      <c r="E14" s="22">
        <f t="shared" si="0"/>
        <v>22.41</v>
      </c>
      <c r="F14" s="22">
        <v>30</v>
      </c>
      <c r="G14" s="22" t="s">
        <v>27</v>
      </c>
    </row>
    <row r="15" spans="1:7" x14ac:dyDescent="0.3">
      <c r="A15" s="22">
        <v>8000014</v>
      </c>
      <c r="B15" s="22" t="s">
        <v>44</v>
      </c>
      <c r="C15" s="22" t="s">
        <v>35</v>
      </c>
      <c r="D15" s="22">
        <v>30.5</v>
      </c>
      <c r="E15" s="22">
        <f t="shared" si="0"/>
        <v>25.314999999999998</v>
      </c>
      <c r="F15" s="22">
        <v>160</v>
      </c>
      <c r="G15" s="22" t="s">
        <v>27</v>
      </c>
    </row>
    <row r="16" spans="1:7" x14ac:dyDescent="0.3">
      <c r="A16" s="23">
        <v>8000015</v>
      </c>
      <c r="B16" s="22" t="s">
        <v>45</v>
      </c>
      <c r="C16" s="22" t="s">
        <v>35</v>
      </c>
      <c r="D16" s="22">
        <v>45.5</v>
      </c>
      <c r="E16" s="22">
        <f t="shared" si="0"/>
        <v>37.765000000000001</v>
      </c>
      <c r="F16" s="22">
        <v>30</v>
      </c>
      <c r="G16" s="22" t="s">
        <v>27</v>
      </c>
    </row>
    <row r="17" spans="1:7" x14ac:dyDescent="0.3">
      <c r="A17" s="22">
        <v>8000016</v>
      </c>
      <c r="B17" s="22" t="s">
        <v>46</v>
      </c>
      <c r="C17" s="22" t="s">
        <v>35</v>
      </c>
      <c r="D17" s="22">
        <v>160.5</v>
      </c>
      <c r="E17" s="22">
        <f t="shared" si="0"/>
        <v>133.215</v>
      </c>
      <c r="F17" s="22">
        <v>5</v>
      </c>
      <c r="G17" s="22" t="s">
        <v>27</v>
      </c>
    </row>
    <row r="18" spans="1:7" x14ac:dyDescent="0.3">
      <c r="A18" s="23">
        <v>8000017</v>
      </c>
      <c r="B18" s="22" t="s">
        <v>47</v>
      </c>
      <c r="C18" s="22" t="s">
        <v>35</v>
      </c>
      <c r="D18" s="22">
        <v>16</v>
      </c>
      <c r="E18" s="22">
        <f t="shared" si="0"/>
        <v>13.28</v>
      </c>
      <c r="F18" s="22">
        <v>10</v>
      </c>
      <c r="G18" s="22" t="s">
        <v>27</v>
      </c>
    </row>
    <row r="19" spans="1:7" x14ac:dyDescent="0.3">
      <c r="A19" s="22">
        <v>8000018</v>
      </c>
      <c r="B19" s="22" t="s">
        <v>48</v>
      </c>
      <c r="C19" s="22" t="s">
        <v>35</v>
      </c>
      <c r="D19" s="22">
        <v>17.75</v>
      </c>
      <c r="E19" s="22">
        <f t="shared" si="0"/>
        <v>14.7325</v>
      </c>
      <c r="F19" s="22">
        <v>100</v>
      </c>
      <c r="G19" s="22" t="s">
        <v>27</v>
      </c>
    </row>
    <row r="20" spans="1:7" x14ac:dyDescent="0.3">
      <c r="A20" s="23">
        <v>8000019</v>
      </c>
      <c r="B20" s="22" t="s">
        <v>49</v>
      </c>
      <c r="C20" s="22" t="s">
        <v>35</v>
      </c>
      <c r="D20" s="22">
        <v>30.25</v>
      </c>
      <c r="E20" s="22">
        <f t="shared" si="0"/>
        <v>25.107500000000002</v>
      </c>
      <c r="F20" s="22">
        <v>30</v>
      </c>
      <c r="G20" s="22" t="s">
        <v>27</v>
      </c>
    </row>
    <row r="21" spans="1:7" x14ac:dyDescent="0.3">
      <c r="A21" s="22">
        <v>8000020</v>
      </c>
      <c r="B21" s="22" t="s">
        <v>50</v>
      </c>
      <c r="C21" s="22" t="s">
        <v>35</v>
      </c>
      <c r="D21" s="22">
        <v>93.25</v>
      </c>
      <c r="E21" s="22">
        <f t="shared" si="0"/>
        <v>77.397499999999994</v>
      </c>
      <c r="F21" s="22">
        <v>5</v>
      </c>
      <c r="G21" s="22" t="s">
        <v>27</v>
      </c>
    </row>
    <row r="22" spans="1:7" x14ac:dyDescent="0.3">
      <c r="A22" s="23">
        <v>8000021</v>
      </c>
      <c r="B22" s="22" t="s">
        <v>51</v>
      </c>
      <c r="C22" s="22" t="s">
        <v>35</v>
      </c>
      <c r="D22" s="22">
        <v>125.75</v>
      </c>
      <c r="E22" s="22">
        <f t="shared" si="0"/>
        <v>104.3725</v>
      </c>
      <c r="F22" s="22">
        <v>160</v>
      </c>
      <c r="G22" s="22" t="s">
        <v>27</v>
      </c>
    </row>
    <row r="23" spans="1:7" x14ac:dyDescent="0.3">
      <c r="A23" s="22">
        <v>8000022</v>
      </c>
      <c r="B23" s="22" t="s">
        <v>52</v>
      </c>
      <c r="C23" s="22" t="s">
        <v>35</v>
      </c>
      <c r="D23" s="22">
        <v>227.25</v>
      </c>
      <c r="E23" s="22">
        <f t="shared" si="0"/>
        <v>188.61750000000001</v>
      </c>
      <c r="F23" s="22">
        <v>30</v>
      </c>
      <c r="G23" s="22" t="s">
        <v>27</v>
      </c>
    </row>
    <row r="24" spans="1:7" x14ac:dyDescent="0.3">
      <c r="A24" s="23">
        <v>8000023</v>
      </c>
      <c r="B24" s="22" t="s">
        <v>53</v>
      </c>
      <c r="C24" s="22" t="s">
        <v>35</v>
      </c>
      <c r="D24" s="22">
        <v>387.5</v>
      </c>
      <c r="E24" s="22">
        <f t="shared" si="0"/>
        <v>321.625</v>
      </c>
      <c r="F24" s="22">
        <v>10</v>
      </c>
      <c r="G24" s="22" t="s">
        <v>27</v>
      </c>
    </row>
    <row r="25" spans="1:7" x14ac:dyDescent="0.3">
      <c r="A25" s="22">
        <v>8000024</v>
      </c>
      <c r="B25" s="22" t="s">
        <v>54</v>
      </c>
      <c r="C25" s="22" t="s">
        <v>35</v>
      </c>
      <c r="D25" s="22">
        <v>185</v>
      </c>
      <c r="E25" s="22">
        <f t="shared" si="0"/>
        <v>153.55000000000001</v>
      </c>
      <c r="F25" s="22">
        <v>10</v>
      </c>
      <c r="G25" s="22" t="s">
        <v>27</v>
      </c>
    </row>
    <row r="26" spans="1:7" x14ac:dyDescent="0.3">
      <c r="A26" s="23">
        <v>8000025</v>
      </c>
      <c r="B26" s="22" t="s">
        <v>55</v>
      </c>
      <c r="C26" s="22" t="s">
        <v>35</v>
      </c>
      <c r="D26" s="22">
        <v>167</v>
      </c>
      <c r="E26" s="22">
        <f t="shared" si="0"/>
        <v>138.61000000000001</v>
      </c>
      <c r="F26" s="22">
        <v>160</v>
      </c>
      <c r="G26" s="22" t="s">
        <v>27</v>
      </c>
    </row>
    <row r="27" spans="1:7" x14ac:dyDescent="0.3">
      <c r="A27" s="22">
        <v>8000026</v>
      </c>
      <c r="B27" s="22" t="s">
        <v>56</v>
      </c>
      <c r="C27" s="22" t="s">
        <v>35</v>
      </c>
      <c r="D27" s="22">
        <v>315.25</v>
      </c>
      <c r="E27" s="22">
        <f t="shared" si="0"/>
        <v>261.65750000000003</v>
      </c>
      <c r="F27" s="22">
        <v>50</v>
      </c>
      <c r="G27" s="22" t="s">
        <v>27</v>
      </c>
    </row>
    <row r="28" spans="1:7" x14ac:dyDescent="0.3">
      <c r="A28" s="23">
        <v>8000027</v>
      </c>
      <c r="B28" s="22" t="s">
        <v>57</v>
      </c>
      <c r="C28" s="22" t="s">
        <v>35</v>
      </c>
      <c r="D28" s="22">
        <v>446.25</v>
      </c>
      <c r="E28" s="22">
        <f t="shared" si="0"/>
        <v>370.38749999999999</v>
      </c>
      <c r="F28" s="22">
        <v>10</v>
      </c>
      <c r="G28" s="22" t="s">
        <v>27</v>
      </c>
    </row>
    <row r="29" spans="1:7" x14ac:dyDescent="0.3">
      <c r="A29" s="22">
        <v>8000028</v>
      </c>
      <c r="B29" s="22" t="s">
        <v>58</v>
      </c>
      <c r="C29" s="22" t="s">
        <v>35</v>
      </c>
      <c r="D29" s="22">
        <v>240.25</v>
      </c>
      <c r="E29" s="22">
        <f t="shared" si="0"/>
        <v>199.4075</v>
      </c>
      <c r="F29" s="22">
        <v>10</v>
      </c>
      <c r="G29" s="22" t="s">
        <v>27</v>
      </c>
    </row>
    <row r="30" spans="1:7" x14ac:dyDescent="0.3">
      <c r="A30" s="23">
        <v>8000029</v>
      </c>
      <c r="B30" s="22" t="s">
        <v>59</v>
      </c>
      <c r="C30" s="22" t="s">
        <v>35</v>
      </c>
      <c r="D30" s="22">
        <v>8</v>
      </c>
      <c r="E30" s="22">
        <f t="shared" si="0"/>
        <v>6.64</v>
      </c>
      <c r="F30" s="22">
        <v>200</v>
      </c>
      <c r="G30" s="22" t="s">
        <v>27</v>
      </c>
    </row>
    <row r="31" spans="1:7" x14ac:dyDescent="0.3">
      <c r="A31" s="22">
        <v>8000030</v>
      </c>
      <c r="B31" s="22" t="s">
        <v>60</v>
      </c>
      <c r="C31" s="22" t="s">
        <v>35</v>
      </c>
      <c r="D31" s="22">
        <v>640.25</v>
      </c>
      <c r="E31" s="22">
        <f t="shared" si="0"/>
        <v>531.40750000000003</v>
      </c>
      <c r="F31" s="22">
        <v>10</v>
      </c>
      <c r="G31" s="22" t="s">
        <v>27</v>
      </c>
    </row>
    <row r="32" spans="1:7" x14ac:dyDescent="0.3">
      <c r="A32" s="23">
        <v>8000031</v>
      </c>
      <c r="B32" s="22" t="s">
        <v>61</v>
      </c>
      <c r="C32" s="22" t="s">
        <v>35</v>
      </c>
      <c r="D32" s="22">
        <v>590</v>
      </c>
      <c r="E32" s="22">
        <f t="shared" si="0"/>
        <v>489.7</v>
      </c>
      <c r="F32" s="22">
        <v>10</v>
      </c>
      <c r="G32" s="22" t="s">
        <v>27</v>
      </c>
    </row>
    <row r="33" spans="1:7" x14ac:dyDescent="0.3">
      <c r="A33" s="22">
        <v>8000032</v>
      </c>
      <c r="B33" s="22" t="s">
        <v>63</v>
      </c>
      <c r="C33" s="22" t="s">
        <v>35</v>
      </c>
      <c r="D33" s="22">
        <v>174.5</v>
      </c>
      <c r="E33" s="22">
        <f t="shared" si="0"/>
        <v>144.83500000000001</v>
      </c>
      <c r="F33" s="22">
        <v>10</v>
      </c>
      <c r="G33" s="22" t="s">
        <v>27</v>
      </c>
    </row>
    <row r="34" spans="1:7" x14ac:dyDescent="0.3">
      <c r="A34" s="23">
        <v>8000033</v>
      </c>
      <c r="B34" s="22" t="s">
        <v>65</v>
      </c>
      <c r="C34" s="22" t="s">
        <v>35</v>
      </c>
      <c r="D34" s="22">
        <v>138.25</v>
      </c>
      <c r="E34" s="22">
        <f t="shared" ref="E34:E65" si="1">D34-D34*17%</f>
        <v>114.7475</v>
      </c>
      <c r="F34" s="22">
        <v>5</v>
      </c>
      <c r="G34" s="22" t="s">
        <v>27</v>
      </c>
    </row>
    <row r="35" spans="1:7" x14ac:dyDescent="0.3">
      <c r="A35" s="22">
        <v>8000034</v>
      </c>
      <c r="B35" s="22" t="s">
        <v>66</v>
      </c>
      <c r="C35" s="22" t="s">
        <v>35</v>
      </c>
      <c r="D35" s="22">
        <v>23.75</v>
      </c>
      <c r="E35" s="22">
        <f t="shared" si="1"/>
        <v>19.712499999999999</v>
      </c>
      <c r="F35" s="22">
        <v>10</v>
      </c>
      <c r="G35" s="22" t="s">
        <v>27</v>
      </c>
    </row>
    <row r="36" spans="1:7" x14ac:dyDescent="0.3">
      <c r="A36" s="23">
        <v>8000035</v>
      </c>
      <c r="B36" s="22" t="s">
        <v>67</v>
      </c>
      <c r="C36" s="22" t="s">
        <v>35</v>
      </c>
      <c r="D36" s="22">
        <v>32.25</v>
      </c>
      <c r="E36" s="22">
        <f t="shared" si="1"/>
        <v>26.767499999999998</v>
      </c>
      <c r="F36" s="22">
        <v>50</v>
      </c>
      <c r="G36" s="22" t="s">
        <v>27</v>
      </c>
    </row>
    <row r="37" spans="1:7" x14ac:dyDescent="0.3">
      <c r="A37" s="22">
        <v>8000036</v>
      </c>
      <c r="B37" s="22" t="s">
        <v>68</v>
      </c>
      <c r="C37" s="22" t="s">
        <v>35</v>
      </c>
      <c r="D37" s="22">
        <v>31.25</v>
      </c>
      <c r="E37" s="22">
        <f t="shared" si="1"/>
        <v>25.9375</v>
      </c>
      <c r="F37" s="22">
        <v>50</v>
      </c>
      <c r="G37" s="22" t="s">
        <v>27</v>
      </c>
    </row>
    <row r="38" spans="1:7" x14ac:dyDescent="0.3">
      <c r="A38" s="23">
        <v>8000037</v>
      </c>
      <c r="B38" s="22" t="s">
        <v>69</v>
      </c>
      <c r="C38" s="22" t="s">
        <v>35</v>
      </c>
      <c r="D38" s="22">
        <v>50.25</v>
      </c>
      <c r="E38" s="22">
        <f t="shared" si="1"/>
        <v>41.707499999999996</v>
      </c>
      <c r="F38" s="22">
        <v>30</v>
      </c>
      <c r="G38" s="22" t="s">
        <v>27</v>
      </c>
    </row>
    <row r="39" spans="1:7" x14ac:dyDescent="0.3">
      <c r="A39" s="22">
        <v>8000038</v>
      </c>
      <c r="B39" s="22" t="s">
        <v>70</v>
      </c>
      <c r="C39" s="22" t="s">
        <v>35</v>
      </c>
      <c r="D39" s="22">
        <v>44</v>
      </c>
      <c r="E39" s="22">
        <f t="shared" si="1"/>
        <v>36.519999999999996</v>
      </c>
      <c r="F39" s="22">
        <v>0</v>
      </c>
      <c r="G39" s="22" t="s">
        <v>27</v>
      </c>
    </row>
    <row r="40" spans="1:7" x14ac:dyDescent="0.3">
      <c r="A40" s="23">
        <v>8000039</v>
      </c>
      <c r="B40" s="22" t="s">
        <v>71</v>
      </c>
      <c r="C40" s="22" t="s">
        <v>35</v>
      </c>
      <c r="D40" s="22">
        <v>18.5</v>
      </c>
      <c r="E40" s="22">
        <f t="shared" si="1"/>
        <v>15.355</v>
      </c>
      <c r="F40" s="22">
        <v>10</v>
      </c>
      <c r="G40" s="22" t="s">
        <v>27</v>
      </c>
    </row>
    <row r="41" spans="1:7" x14ac:dyDescent="0.3">
      <c r="A41" s="22">
        <v>8000040</v>
      </c>
      <c r="B41" s="22" t="s">
        <v>72</v>
      </c>
      <c r="C41" s="22" t="s">
        <v>35</v>
      </c>
      <c r="D41" s="22">
        <v>22.25</v>
      </c>
      <c r="E41" s="22">
        <f t="shared" si="1"/>
        <v>18.467500000000001</v>
      </c>
      <c r="F41" s="22">
        <v>100</v>
      </c>
      <c r="G41" s="22" t="s">
        <v>27</v>
      </c>
    </row>
    <row r="42" spans="1:7" x14ac:dyDescent="0.3">
      <c r="A42" s="23">
        <v>8000041</v>
      </c>
      <c r="B42" s="22" t="s">
        <v>73</v>
      </c>
      <c r="C42" s="22" t="s">
        <v>35</v>
      </c>
      <c r="D42" s="22">
        <v>35.75</v>
      </c>
      <c r="E42" s="22">
        <f t="shared" si="1"/>
        <v>29.672499999999999</v>
      </c>
      <c r="F42" s="22">
        <v>50</v>
      </c>
      <c r="G42" s="22" t="s">
        <v>27</v>
      </c>
    </row>
    <row r="43" spans="1:7" x14ac:dyDescent="0.3">
      <c r="A43" s="22">
        <v>8000042</v>
      </c>
      <c r="B43" s="22" t="s">
        <v>74</v>
      </c>
      <c r="C43" s="22" t="s">
        <v>35</v>
      </c>
      <c r="D43" s="22">
        <v>68.75</v>
      </c>
      <c r="E43" s="22">
        <f t="shared" si="1"/>
        <v>57.0625</v>
      </c>
      <c r="F43" s="22">
        <v>30</v>
      </c>
      <c r="G43" s="22" t="s">
        <v>27</v>
      </c>
    </row>
    <row r="44" spans="1:7" x14ac:dyDescent="0.3">
      <c r="A44" s="23">
        <v>8000043</v>
      </c>
      <c r="B44" s="22" t="s">
        <v>75</v>
      </c>
      <c r="C44" s="22" t="s">
        <v>35</v>
      </c>
      <c r="D44" s="22">
        <v>46.25</v>
      </c>
      <c r="E44" s="22">
        <f t="shared" si="1"/>
        <v>38.387500000000003</v>
      </c>
      <c r="F44" s="22">
        <v>10</v>
      </c>
      <c r="G44" s="22" t="s">
        <v>27</v>
      </c>
    </row>
    <row r="45" spans="1:7" x14ac:dyDescent="0.3">
      <c r="A45" s="22">
        <v>8000044</v>
      </c>
      <c r="B45" s="22" t="s">
        <v>76</v>
      </c>
      <c r="C45" s="22" t="s">
        <v>35</v>
      </c>
      <c r="D45" s="22">
        <v>152</v>
      </c>
      <c r="E45" s="22">
        <f t="shared" si="1"/>
        <v>126.16</v>
      </c>
      <c r="F45" s="22">
        <v>100</v>
      </c>
      <c r="G45" s="22" t="s">
        <v>27</v>
      </c>
    </row>
    <row r="46" spans="1:7" x14ac:dyDescent="0.3">
      <c r="A46" s="23">
        <v>8000045</v>
      </c>
      <c r="B46" s="22" t="s">
        <v>77</v>
      </c>
      <c r="C46" s="22" t="s">
        <v>35</v>
      </c>
      <c r="D46" s="22">
        <v>252</v>
      </c>
      <c r="E46" s="22">
        <f t="shared" si="1"/>
        <v>209.16</v>
      </c>
      <c r="F46" s="22">
        <v>50</v>
      </c>
      <c r="G46" s="22" t="s">
        <v>27</v>
      </c>
    </row>
    <row r="47" spans="1:7" x14ac:dyDescent="0.3">
      <c r="A47" s="22">
        <v>8000046</v>
      </c>
      <c r="B47" s="22" t="s">
        <v>78</v>
      </c>
      <c r="C47" s="22" t="s">
        <v>35</v>
      </c>
      <c r="D47" s="22">
        <v>346.25</v>
      </c>
      <c r="E47" s="22">
        <f t="shared" si="1"/>
        <v>287.38749999999999</v>
      </c>
      <c r="F47" s="22">
        <v>10</v>
      </c>
      <c r="G47" s="22" t="s">
        <v>27</v>
      </c>
    </row>
    <row r="48" spans="1:7" x14ac:dyDescent="0.3">
      <c r="A48" s="23">
        <v>8000047</v>
      </c>
      <c r="B48" s="22" t="s">
        <v>79</v>
      </c>
      <c r="C48" s="22" t="s">
        <v>35</v>
      </c>
      <c r="D48" s="22">
        <v>163.75</v>
      </c>
      <c r="E48" s="22">
        <f t="shared" si="1"/>
        <v>135.91249999999999</v>
      </c>
      <c r="F48" s="22">
        <v>10</v>
      </c>
      <c r="G48" s="22" t="s">
        <v>27</v>
      </c>
    </row>
    <row r="49" spans="1:7" x14ac:dyDescent="0.3">
      <c r="A49" s="22">
        <v>8000048</v>
      </c>
      <c r="B49" s="22" t="s">
        <v>80</v>
      </c>
      <c r="C49" s="22" t="s">
        <v>35</v>
      </c>
      <c r="D49" s="22">
        <v>168.75</v>
      </c>
      <c r="E49" s="22">
        <f t="shared" si="1"/>
        <v>140.0625</v>
      </c>
      <c r="F49" s="22">
        <v>30</v>
      </c>
      <c r="G49" s="22" t="s">
        <v>27</v>
      </c>
    </row>
    <row r="50" spans="1:7" x14ac:dyDescent="0.3">
      <c r="A50" s="23">
        <v>8000049</v>
      </c>
      <c r="B50" s="22" t="s">
        <v>81</v>
      </c>
      <c r="C50" s="22" t="s">
        <v>35</v>
      </c>
      <c r="D50" s="22">
        <v>265.75</v>
      </c>
      <c r="E50" s="22">
        <f t="shared" si="1"/>
        <v>220.57249999999999</v>
      </c>
      <c r="F50" s="22">
        <v>10</v>
      </c>
      <c r="G50" s="22" t="s">
        <v>27</v>
      </c>
    </row>
    <row r="51" spans="1:7" x14ac:dyDescent="0.3">
      <c r="A51" s="22">
        <v>8000050</v>
      </c>
      <c r="B51" s="22" t="s">
        <v>82</v>
      </c>
      <c r="C51" s="22" t="s">
        <v>35</v>
      </c>
      <c r="D51" s="22">
        <v>206</v>
      </c>
      <c r="E51" s="22">
        <f t="shared" si="1"/>
        <v>170.98</v>
      </c>
      <c r="F51" s="22">
        <v>10</v>
      </c>
      <c r="G51" s="22" t="s">
        <v>27</v>
      </c>
    </row>
    <row r="52" spans="1:7" x14ac:dyDescent="0.3">
      <c r="A52" s="23">
        <v>8000051</v>
      </c>
      <c r="B52" s="22" t="s">
        <v>83</v>
      </c>
      <c r="C52" s="22" t="s">
        <v>35</v>
      </c>
      <c r="D52" s="22">
        <v>388.5</v>
      </c>
      <c r="E52" s="22">
        <f t="shared" si="1"/>
        <v>322.45499999999998</v>
      </c>
      <c r="F52" s="22">
        <v>5</v>
      </c>
      <c r="G52" s="22" t="s">
        <v>27</v>
      </c>
    </row>
    <row r="53" spans="1:7" x14ac:dyDescent="0.3">
      <c r="A53" s="22">
        <v>8000052</v>
      </c>
      <c r="B53" s="22" t="s">
        <v>84</v>
      </c>
      <c r="C53" s="22" t="s">
        <v>35</v>
      </c>
      <c r="D53" s="22">
        <v>188.25</v>
      </c>
      <c r="E53" s="22">
        <f t="shared" si="1"/>
        <v>156.2475</v>
      </c>
      <c r="F53" s="22">
        <v>50</v>
      </c>
      <c r="G53" s="22" t="s">
        <v>27</v>
      </c>
    </row>
    <row r="54" spans="1:7" x14ac:dyDescent="0.3">
      <c r="A54" s="23">
        <v>8000053</v>
      </c>
      <c r="B54" s="22" t="s">
        <v>85</v>
      </c>
      <c r="C54" s="22" t="s">
        <v>35</v>
      </c>
      <c r="D54" s="22">
        <v>444.75</v>
      </c>
      <c r="E54" s="22">
        <f t="shared" si="1"/>
        <v>369.14249999999998</v>
      </c>
      <c r="F54" s="22">
        <v>5</v>
      </c>
      <c r="G54" s="22" t="s">
        <v>27</v>
      </c>
    </row>
    <row r="55" spans="1:7" x14ac:dyDescent="0.3">
      <c r="A55" s="22">
        <v>8000054</v>
      </c>
      <c r="B55" s="22" t="s">
        <v>86</v>
      </c>
      <c r="C55" s="22" t="s">
        <v>35</v>
      </c>
      <c r="D55" s="22">
        <v>202.5</v>
      </c>
      <c r="E55" s="22">
        <f t="shared" si="1"/>
        <v>168.07499999999999</v>
      </c>
      <c r="F55" s="22">
        <v>3</v>
      </c>
      <c r="G55" s="22" t="s">
        <v>27</v>
      </c>
    </row>
    <row r="56" spans="1:7" x14ac:dyDescent="0.3">
      <c r="A56" s="23">
        <v>8000055</v>
      </c>
      <c r="B56" s="22" t="s">
        <v>87</v>
      </c>
      <c r="C56" s="22" t="s">
        <v>35</v>
      </c>
      <c r="D56" s="22">
        <v>280</v>
      </c>
      <c r="E56" s="22">
        <f t="shared" si="1"/>
        <v>232.4</v>
      </c>
      <c r="F56" s="22">
        <v>10</v>
      </c>
      <c r="G56" s="22" t="s">
        <v>27</v>
      </c>
    </row>
    <row r="57" spans="1:7" x14ac:dyDescent="0.3">
      <c r="A57" s="22">
        <v>8000056</v>
      </c>
      <c r="B57" s="22" t="s">
        <v>88</v>
      </c>
      <c r="C57" s="22" t="s">
        <v>35</v>
      </c>
      <c r="D57" s="22">
        <v>320.5</v>
      </c>
      <c r="E57" s="22">
        <f t="shared" si="1"/>
        <v>266.01499999999999</v>
      </c>
      <c r="F57" s="22">
        <v>10</v>
      </c>
      <c r="G57" s="22" t="s">
        <v>27</v>
      </c>
    </row>
    <row r="58" spans="1:7" x14ac:dyDescent="0.3">
      <c r="A58" s="23">
        <v>8000057</v>
      </c>
      <c r="B58" s="22" t="s">
        <v>89</v>
      </c>
      <c r="C58" s="22" t="s">
        <v>35</v>
      </c>
      <c r="D58" s="22">
        <v>212.5</v>
      </c>
      <c r="E58" s="22">
        <f t="shared" si="1"/>
        <v>176.375</v>
      </c>
      <c r="F58" s="22">
        <v>5</v>
      </c>
      <c r="G58" s="22" t="s">
        <v>27</v>
      </c>
    </row>
    <row r="59" spans="1:7" x14ac:dyDescent="0.3">
      <c r="A59" s="22">
        <v>8000058</v>
      </c>
      <c r="B59" s="22" t="s">
        <v>90</v>
      </c>
      <c r="C59" s="22" t="s">
        <v>35</v>
      </c>
      <c r="D59" s="22">
        <v>181.25</v>
      </c>
      <c r="E59" s="22">
        <f t="shared" si="1"/>
        <v>150.4375</v>
      </c>
      <c r="F59" s="22">
        <v>2</v>
      </c>
      <c r="G59" s="22" t="s">
        <v>27</v>
      </c>
    </row>
    <row r="60" spans="1:7" x14ac:dyDescent="0.3">
      <c r="A60" s="23">
        <v>8000059</v>
      </c>
      <c r="B60" s="22" t="s">
        <v>91</v>
      </c>
      <c r="C60" s="22" t="s">
        <v>35</v>
      </c>
      <c r="D60" s="22">
        <v>236</v>
      </c>
      <c r="E60" s="22">
        <f t="shared" si="1"/>
        <v>195.88</v>
      </c>
      <c r="F60" s="22">
        <v>2</v>
      </c>
      <c r="G60" s="22" t="s">
        <v>27</v>
      </c>
    </row>
    <row r="61" spans="1:7" x14ac:dyDescent="0.3">
      <c r="A61" s="22">
        <v>8000060</v>
      </c>
      <c r="B61" s="22" t="s">
        <v>92</v>
      </c>
      <c r="C61" s="22" t="s">
        <v>35</v>
      </c>
      <c r="D61" s="22">
        <v>438.5</v>
      </c>
      <c r="E61" s="22">
        <f t="shared" si="1"/>
        <v>363.95499999999998</v>
      </c>
      <c r="F61" s="22">
        <v>1</v>
      </c>
      <c r="G61" s="22" t="s">
        <v>27</v>
      </c>
    </row>
    <row r="62" spans="1:7" x14ac:dyDescent="0.3">
      <c r="A62" s="23">
        <v>8000061</v>
      </c>
      <c r="B62" s="22" t="s">
        <v>93</v>
      </c>
      <c r="C62" s="22" t="s">
        <v>35</v>
      </c>
      <c r="D62" s="22">
        <v>601.5</v>
      </c>
      <c r="E62" s="22">
        <f t="shared" si="1"/>
        <v>499.245</v>
      </c>
      <c r="F62" s="22">
        <v>5</v>
      </c>
      <c r="G62" s="22" t="s">
        <v>27</v>
      </c>
    </row>
    <row r="63" spans="1:7" x14ac:dyDescent="0.3">
      <c r="A63" s="22">
        <v>8000062</v>
      </c>
      <c r="B63" s="22" t="s">
        <v>94</v>
      </c>
      <c r="C63" s="22" t="s">
        <v>35</v>
      </c>
      <c r="D63" s="22">
        <v>818.75</v>
      </c>
      <c r="E63" s="22">
        <f t="shared" si="1"/>
        <v>679.5625</v>
      </c>
      <c r="F63" s="22">
        <v>7</v>
      </c>
      <c r="G63" s="22" t="s">
        <v>27</v>
      </c>
    </row>
    <row r="64" spans="1:7" x14ac:dyDescent="0.3">
      <c r="A64" s="23">
        <v>8000063</v>
      </c>
      <c r="B64" s="22" t="s">
        <v>95</v>
      </c>
      <c r="C64" s="22" t="s">
        <v>35</v>
      </c>
      <c r="D64" s="22">
        <v>1369.25</v>
      </c>
      <c r="E64" s="22">
        <f t="shared" si="1"/>
        <v>1136.4775</v>
      </c>
      <c r="F64" s="22">
        <v>1</v>
      </c>
      <c r="G64" s="22" t="s">
        <v>27</v>
      </c>
    </row>
    <row r="65" spans="1:7" x14ac:dyDescent="0.3">
      <c r="A65" s="22">
        <v>8000064</v>
      </c>
      <c r="B65" s="22" t="s">
        <v>96</v>
      </c>
      <c r="C65" s="22" t="s">
        <v>35</v>
      </c>
      <c r="D65" s="22">
        <v>2033.5</v>
      </c>
      <c r="E65" s="22">
        <f t="shared" si="1"/>
        <v>1687.8049999999998</v>
      </c>
      <c r="F65" s="22">
        <v>1</v>
      </c>
      <c r="G65" s="22" t="s">
        <v>27</v>
      </c>
    </row>
    <row r="66" spans="1:7" x14ac:dyDescent="0.3">
      <c r="A66" s="23">
        <v>8000065</v>
      </c>
      <c r="B66" s="22" t="s">
        <v>97</v>
      </c>
      <c r="C66" s="22" t="s">
        <v>35</v>
      </c>
      <c r="D66" s="22">
        <v>3394.5</v>
      </c>
      <c r="E66" s="22">
        <f t="shared" ref="E66:E97" si="2">D66-D66*17%</f>
        <v>2817.4349999999999</v>
      </c>
      <c r="F66" s="22">
        <v>1</v>
      </c>
      <c r="G66" s="22" t="s">
        <v>27</v>
      </c>
    </row>
    <row r="67" spans="1:7" x14ac:dyDescent="0.3">
      <c r="A67" s="22">
        <v>8000066</v>
      </c>
      <c r="B67" s="22" t="s">
        <v>98</v>
      </c>
      <c r="C67" s="22" t="s">
        <v>35</v>
      </c>
      <c r="D67" s="22">
        <v>544.25</v>
      </c>
      <c r="E67" s="22">
        <f t="shared" si="2"/>
        <v>451.72749999999996</v>
      </c>
      <c r="F67" s="22">
        <v>5</v>
      </c>
      <c r="G67" s="22" t="s">
        <v>27</v>
      </c>
    </row>
    <row r="68" spans="1:7" x14ac:dyDescent="0.3">
      <c r="A68" s="23">
        <v>8000067</v>
      </c>
      <c r="B68" s="22" t="s">
        <v>99</v>
      </c>
      <c r="C68" s="22" t="s">
        <v>35</v>
      </c>
      <c r="D68" s="22">
        <v>645.5</v>
      </c>
      <c r="E68" s="22">
        <f t="shared" si="2"/>
        <v>535.76499999999999</v>
      </c>
      <c r="F68" s="22">
        <v>3</v>
      </c>
      <c r="G68" s="22" t="s">
        <v>27</v>
      </c>
    </row>
    <row r="69" spans="1:7" x14ac:dyDescent="0.3">
      <c r="A69" s="22">
        <v>8000068</v>
      </c>
      <c r="B69" s="22" t="s">
        <v>100</v>
      </c>
      <c r="C69" s="22" t="s">
        <v>35</v>
      </c>
      <c r="D69" s="22">
        <v>1317.5</v>
      </c>
      <c r="E69" s="22">
        <f t="shared" si="2"/>
        <v>1093.5250000000001</v>
      </c>
      <c r="F69" s="22">
        <v>2</v>
      </c>
      <c r="G69" s="22" t="s">
        <v>27</v>
      </c>
    </row>
    <row r="70" spans="1:7" x14ac:dyDescent="0.3">
      <c r="A70" s="23">
        <v>8000069</v>
      </c>
      <c r="B70" s="22" t="s">
        <v>101</v>
      </c>
      <c r="C70" s="22" t="s">
        <v>35</v>
      </c>
      <c r="D70" s="22">
        <v>8.25</v>
      </c>
      <c r="E70" s="22">
        <f t="shared" si="2"/>
        <v>6.8475000000000001</v>
      </c>
      <c r="F70" s="22">
        <v>4</v>
      </c>
      <c r="G70" s="22" t="s">
        <v>27</v>
      </c>
    </row>
    <row r="71" spans="1:7" x14ac:dyDescent="0.3">
      <c r="A71" s="22">
        <v>8000070</v>
      </c>
      <c r="B71" s="22" t="s">
        <v>102</v>
      </c>
      <c r="C71" s="22" t="s">
        <v>35</v>
      </c>
      <c r="D71" s="22">
        <v>12</v>
      </c>
      <c r="E71" s="22">
        <f t="shared" si="2"/>
        <v>9.9600000000000009</v>
      </c>
      <c r="F71" s="22">
        <v>10</v>
      </c>
      <c r="G71" s="22" t="s">
        <v>27</v>
      </c>
    </row>
    <row r="72" spans="1:7" x14ac:dyDescent="0.3">
      <c r="A72" s="23">
        <v>8000071</v>
      </c>
      <c r="B72" s="22" t="s">
        <v>103</v>
      </c>
      <c r="C72" s="22" t="s">
        <v>35</v>
      </c>
      <c r="D72" s="22">
        <v>5.75</v>
      </c>
      <c r="E72" s="22">
        <f t="shared" si="2"/>
        <v>4.7725</v>
      </c>
      <c r="F72" s="22">
        <v>10</v>
      </c>
      <c r="G72" s="22" t="s">
        <v>27</v>
      </c>
    </row>
    <row r="73" spans="1:7" x14ac:dyDescent="0.3">
      <c r="A73" s="22">
        <v>8000072</v>
      </c>
      <c r="B73" s="22" t="s">
        <v>104</v>
      </c>
      <c r="C73" s="22" t="s">
        <v>35</v>
      </c>
      <c r="D73" s="22">
        <v>7.5</v>
      </c>
      <c r="E73" s="22">
        <f t="shared" si="2"/>
        <v>6.2249999999999996</v>
      </c>
      <c r="F73" s="22">
        <v>20</v>
      </c>
      <c r="G73" s="22" t="s">
        <v>27</v>
      </c>
    </row>
    <row r="74" spans="1:7" x14ac:dyDescent="0.3">
      <c r="A74" s="23">
        <v>8000073</v>
      </c>
      <c r="B74" s="22" t="s">
        <v>105</v>
      </c>
      <c r="C74" s="22" t="s">
        <v>35</v>
      </c>
      <c r="D74" s="22">
        <v>9.5</v>
      </c>
      <c r="E74" s="22">
        <f t="shared" si="2"/>
        <v>7.8849999999999998</v>
      </c>
      <c r="F74" s="22">
        <v>20</v>
      </c>
      <c r="G74" s="22" t="s">
        <v>27</v>
      </c>
    </row>
    <row r="75" spans="1:7" x14ac:dyDescent="0.3">
      <c r="A75" s="22">
        <v>8000074</v>
      </c>
      <c r="B75" s="22" t="s">
        <v>106</v>
      </c>
      <c r="C75" s="22" t="s">
        <v>35</v>
      </c>
      <c r="D75" s="22"/>
      <c r="E75" s="22">
        <f t="shared" si="2"/>
        <v>0</v>
      </c>
      <c r="F75" s="22">
        <v>50</v>
      </c>
      <c r="G75" s="22" t="s">
        <v>27</v>
      </c>
    </row>
    <row r="76" spans="1:7" x14ac:dyDescent="0.3">
      <c r="A76" s="23">
        <v>8000075</v>
      </c>
      <c r="B76" s="22" t="s">
        <v>107</v>
      </c>
      <c r="C76" s="22" t="s">
        <v>26</v>
      </c>
      <c r="D76" s="22">
        <v>100.25</v>
      </c>
      <c r="E76" s="22">
        <f t="shared" si="2"/>
        <v>83.207499999999996</v>
      </c>
      <c r="F76" s="22">
        <v>100</v>
      </c>
      <c r="G76" s="22" t="s">
        <v>27</v>
      </c>
    </row>
    <row r="77" spans="1:7" x14ac:dyDescent="0.3">
      <c r="A77" s="22">
        <v>8000076</v>
      </c>
      <c r="B77" s="22" t="s">
        <v>108</v>
      </c>
      <c r="C77" s="22" t="s">
        <v>26</v>
      </c>
      <c r="D77" s="22">
        <v>146.25</v>
      </c>
      <c r="E77" s="22">
        <f t="shared" si="2"/>
        <v>121.3875</v>
      </c>
      <c r="F77" s="22">
        <v>36</v>
      </c>
      <c r="G77" s="22" t="s">
        <v>27</v>
      </c>
    </row>
    <row r="78" spans="1:7" x14ac:dyDescent="0.3">
      <c r="A78" s="23">
        <v>8000077</v>
      </c>
      <c r="B78" s="22" t="s">
        <v>109</v>
      </c>
      <c r="C78" s="22" t="s">
        <v>35</v>
      </c>
      <c r="D78" s="22">
        <v>36.25</v>
      </c>
      <c r="E78" s="22">
        <f t="shared" si="2"/>
        <v>30.087499999999999</v>
      </c>
      <c r="F78" s="22">
        <v>100</v>
      </c>
      <c r="G78" s="22" t="s">
        <v>27</v>
      </c>
    </row>
    <row r="79" spans="1:7" x14ac:dyDescent="0.3">
      <c r="A79" s="22">
        <v>8000078</v>
      </c>
      <c r="B79" s="22" t="s">
        <v>110</v>
      </c>
      <c r="C79" s="22" t="s">
        <v>35</v>
      </c>
      <c r="D79" s="22">
        <v>61</v>
      </c>
      <c r="E79" s="22">
        <f t="shared" si="2"/>
        <v>50.629999999999995</v>
      </c>
      <c r="F79" s="22">
        <v>100</v>
      </c>
      <c r="G79" s="22" t="s">
        <v>27</v>
      </c>
    </row>
    <row r="80" spans="1:7" x14ac:dyDescent="0.3">
      <c r="A80" s="23">
        <v>8000079</v>
      </c>
      <c r="B80" s="22" t="s">
        <v>111</v>
      </c>
      <c r="C80" s="22" t="s">
        <v>35</v>
      </c>
      <c r="D80" s="22">
        <v>27.25</v>
      </c>
      <c r="E80" s="22">
        <f t="shared" si="2"/>
        <v>22.6175</v>
      </c>
      <c r="F80" s="22">
        <v>50</v>
      </c>
      <c r="G80" s="22" t="s">
        <v>27</v>
      </c>
    </row>
    <row r="81" spans="1:7" x14ac:dyDescent="0.3">
      <c r="A81" s="22">
        <v>8000080</v>
      </c>
      <c r="B81" s="22" t="s">
        <v>112</v>
      </c>
      <c r="C81" s="22" t="s">
        <v>35</v>
      </c>
      <c r="D81" s="22">
        <v>35.25</v>
      </c>
      <c r="E81" s="22">
        <f t="shared" si="2"/>
        <v>29.2575</v>
      </c>
      <c r="F81" s="22">
        <v>50</v>
      </c>
      <c r="G81" s="22" t="s">
        <v>27</v>
      </c>
    </row>
    <row r="82" spans="1:7" x14ac:dyDescent="0.3">
      <c r="A82" s="23">
        <v>8000081</v>
      </c>
      <c r="B82" s="22" t="s">
        <v>113</v>
      </c>
      <c r="C82" s="22" t="s">
        <v>35</v>
      </c>
      <c r="D82" s="22">
        <v>28.75</v>
      </c>
      <c r="E82" s="22">
        <f t="shared" si="2"/>
        <v>23.862500000000001</v>
      </c>
      <c r="F82" s="22">
        <v>10</v>
      </c>
      <c r="G82" s="22" t="s">
        <v>27</v>
      </c>
    </row>
    <row r="83" spans="1:7" x14ac:dyDescent="0.3">
      <c r="A83" s="22">
        <v>8000082</v>
      </c>
      <c r="B83" s="22" t="s">
        <v>114</v>
      </c>
      <c r="C83" s="22" t="s">
        <v>35</v>
      </c>
      <c r="D83" s="22">
        <v>40</v>
      </c>
      <c r="E83" s="22">
        <f t="shared" si="2"/>
        <v>33.200000000000003</v>
      </c>
      <c r="F83" s="22">
        <v>10</v>
      </c>
      <c r="G83" s="22" t="s">
        <v>27</v>
      </c>
    </row>
    <row r="84" spans="1:7" x14ac:dyDescent="0.3">
      <c r="A84" s="23">
        <v>8100001</v>
      </c>
      <c r="B84" s="22" t="s">
        <v>115</v>
      </c>
      <c r="C84" s="22" t="s">
        <v>26</v>
      </c>
      <c r="D84" s="22">
        <v>57.75</v>
      </c>
      <c r="E84" s="22">
        <f t="shared" si="2"/>
        <v>47.932499999999997</v>
      </c>
      <c r="F84" s="22">
        <v>5</v>
      </c>
      <c r="G84" s="22" t="s">
        <v>116</v>
      </c>
    </row>
    <row r="85" spans="1:7" x14ac:dyDescent="0.3">
      <c r="A85" s="22">
        <v>8100002</v>
      </c>
      <c r="B85" s="22" t="s">
        <v>117</v>
      </c>
      <c r="C85" s="22" t="s">
        <v>26</v>
      </c>
      <c r="D85" s="22">
        <v>73.5</v>
      </c>
      <c r="E85" s="22">
        <f t="shared" si="2"/>
        <v>61.004999999999995</v>
      </c>
      <c r="F85" s="22">
        <v>5</v>
      </c>
      <c r="G85" s="22" t="s">
        <v>116</v>
      </c>
    </row>
    <row r="86" spans="1:7" x14ac:dyDescent="0.3">
      <c r="A86" s="23">
        <v>8100003</v>
      </c>
      <c r="B86" s="22" t="s">
        <v>118</v>
      </c>
      <c r="C86" s="22" t="s">
        <v>26</v>
      </c>
      <c r="D86" s="22">
        <v>88.5</v>
      </c>
      <c r="E86" s="22">
        <f t="shared" si="2"/>
        <v>73.454999999999998</v>
      </c>
      <c r="F86" s="22">
        <v>5</v>
      </c>
      <c r="G86" s="22" t="s">
        <v>116</v>
      </c>
    </row>
    <row r="87" spans="1:7" x14ac:dyDescent="0.3">
      <c r="A87" s="22">
        <v>8100004</v>
      </c>
      <c r="B87" s="22" t="s">
        <v>119</v>
      </c>
      <c r="C87" s="22" t="s">
        <v>26</v>
      </c>
      <c r="D87" s="22">
        <v>103.75</v>
      </c>
      <c r="E87" s="22">
        <f t="shared" si="2"/>
        <v>86.112499999999997</v>
      </c>
      <c r="F87" s="22">
        <v>5</v>
      </c>
      <c r="G87" s="22" t="s">
        <v>116</v>
      </c>
    </row>
    <row r="88" spans="1:7" x14ac:dyDescent="0.3">
      <c r="A88" s="23">
        <v>8100005</v>
      </c>
      <c r="B88" s="22" t="s">
        <v>120</v>
      </c>
      <c r="C88" s="22" t="s">
        <v>26</v>
      </c>
      <c r="D88" s="22">
        <v>201.75</v>
      </c>
      <c r="E88" s="22">
        <f t="shared" si="2"/>
        <v>167.45249999999999</v>
      </c>
      <c r="F88" s="22">
        <v>3</v>
      </c>
      <c r="G88" s="22" t="s">
        <v>116</v>
      </c>
    </row>
    <row r="89" spans="1:7" x14ac:dyDescent="0.3">
      <c r="A89" s="22">
        <v>8100006</v>
      </c>
      <c r="B89" s="22" t="s">
        <v>121</v>
      </c>
      <c r="C89" s="22" t="s">
        <v>26</v>
      </c>
      <c r="D89" s="22">
        <v>413.5</v>
      </c>
      <c r="E89" s="22">
        <f t="shared" si="2"/>
        <v>343.20499999999998</v>
      </c>
      <c r="F89" s="22">
        <v>2</v>
      </c>
      <c r="G89" s="22" t="s">
        <v>116</v>
      </c>
    </row>
    <row r="90" spans="1:7" x14ac:dyDescent="0.3">
      <c r="A90" s="23">
        <v>8100007</v>
      </c>
      <c r="B90" s="22" t="s">
        <v>122</v>
      </c>
      <c r="C90" s="22" t="s">
        <v>35</v>
      </c>
      <c r="D90" s="22">
        <v>94.25</v>
      </c>
      <c r="E90" s="22">
        <f t="shared" si="2"/>
        <v>78.227499999999992</v>
      </c>
      <c r="F90" s="22">
        <v>2</v>
      </c>
      <c r="G90" s="22" t="s">
        <v>116</v>
      </c>
    </row>
    <row r="91" spans="1:7" x14ac:dyDescent="0.3">
      <c r="A91" s="22">
        <v>8100008</v>
      </c>
      <c r="B91" s="22" t="s">
        <v>123</v>
      </c>
      <c r="C91" s="22" t="s">
        <v>35</v>
      </c>
      <c r="D91" s="22">
        <v>107.75</v>
      </c>
      <c r="E91" s="22">
        <f t="shared" si="2"/>
        <v>89.432500000000005</v>
      </c>
      <c r="F91" s="22">
        <v>2</v>
      </c>
      <c r="G91" s="22" t="s">
        <v>116</v>
      </c>
    </row>
    <row r="92" spans="1:7" x14ac:dyDescent="0.3">
      <c r="A92" s="23">
        <v>8100009</v>
      </c>
      <c r="B92" s="22" t="s">
        <v>124</v>
      </c>
      <c r="C92" s="22" t="s">
        <v>35</v>
      </c>
      <c r="D92" s="22">
        <v>219.5</v>
      </c>
      <c r="E92" s="22">
        <f t="shared" si="2"/>
        <v>182.185</v>
      </c>
      <c r="F92" s="22">
        <v>2</v>
      </c>
      <c r="G92" s="22" t="s">
        <v>116</v>
      </c>
    </row>
    <row r="93" spans="1:7" x14ac:dyDescent="0.3">
      <c r="A93" s="22">
        <v>8100010</v>
      </c>
      <c r="B93" s="22" t="s">
        <v>125</v>
      </c>
      <c r="C93" s="22" t="s">
        <v>35</v>
      </c>
      <c r="D93" s="22">
        <v>33.25</v>
      </c>
      <c r="E93" s="22">
        <f t="shared" si="2"/>
        <v>27.5975</v>
      </c>
      <c r="F93" s="22">
        <v>20</v>
      </c>
      <c r="G93" s="22" t="s">
        <v>116</v>
      </c>
    </row>
    <row r="94" spans="1:7" x14ac:dyDescent="0.3">
      <c r="A94" s="23">
        <v>8100011</v>
      </c>
      <c r="B94" s="22" t="s">
        <v>126</v>
      </c>
      <c r="C94" s="22" t="s">
        <v>35</v>
      </c>
      <c r="D94" s="22">
        <v>33.25</v>
      </c>
      <c r="E94" s="22">
        <f t="shared" si="2"/>
        <v>27.5975</v>
      </c>
      <c r="F94" s="22">
        <v>20</v>
      </c>
      <c r="G94" s="22" t="s">
        <v>116</v>
      </c>
    </row>
    <row r="95" spans="1:7" x14ac:dyDescent="0.3">
      <c r="A95" s="22">
        <v>8100012</v>
      </c>
      <c r="B95" s="22" t="s">
        <v>127</v>
      </c>
      <c r="C95" s="22" t="s">
        <v>35</v>
      </c>
      <c r="D95" s="22">
        <v>67.75</v>
      </c>
      <c r="E95" s="22">
        <f t="shared" si="2"/>
        <v>56.232500000000002</v>
      </c>
      <c r="F95" s="22">
        <v>10</v>
      </c>
      <c r="G95" s="22" t="s">
        <v>116</v>
      </c>
    </row>
    <row r="96" spans="1:7" x14ac:dyDescent="0.3">
      <c r="A96" s="23">
        <v>8100013</v>
      </c>
      <c r="B96" s="22" t="s">
        <v>128</v>
      </c>
      <c r="C96" s="22" t="s">
        <v>35</v>
      </c>
      <c r="D96" s="22">
        <v>67.75</v>
      </c>
      <c r="E96" s="22">
        <f t="shared" si="2"/>
        <v>56.232500000000002</v>
      </c>
      <c r="F96" s="22">
        <v>10</v>
      </c>
      <c r="G96" s="22" t="s">
        <v>116</v>
      </c>
    </row>
    <row r="97" spans="1:7" x14ac:dyDescent="0.3">
      <c r="A97" s="22">
        <v>8100014</v>
      </c>
      <c r="B97" s="22" t="s">
        <v>129</v>
      </c>
      <c r="C97" s="22" t="s">
        <v>35</v>
      </c>
      <c r="D97" s="22">
        <v>83</v>
      </c>
      <c r="E97" s="22">
        <f t="shared" si="2"/>
        <v>68.89</v>
      </c>
      <c r="F97" s="22">
        <v>10</v>
      </c>
      <c r="G97" s="22" t="s">
        <v>116</v>
      </c>
    </row>
    <row r="98" spans="1:7" x14ac:dyDescent="0.3">
      <c r="A98" s="23">
        <v>8100015</v>
      </c>
      <c r="B98" s="22" t="s">
        <v>130</v>
      </c>
      <c r="C98" s="22" t="s">
        <v>35</v>
      </c>
      <c r="D98" s="22">
        <v>196.5</v>
      </c>
      <c r="E98" s="22">
        <f t="shared" ref="E98:E129" si="3">D98-D98*17%</f>
        <v>163.095</v>
      </c>
      <c r="F98" s="22">
        <v>3</v>
      </c>
      <c r="G98" s="22" t="s">
        <v>116</v>
      </c>
    </row>
    <row r="99" spans="1:7" x14ac:dyDescent="0.3">
      <c r="A99" s="22">
        <v>8100016</v>
      </c>
      <c r="B99" s="22" t="s">
        <v>131</v>
      </c>
      <c r="C99" s="22" t="s">
        <v>35</v>
      </c>
      <c r="D99" s="22">
        <v>23.5</v>
      </c>
      <c r="E99" s="22">
        <f t="shared" si="3"/>
        <v>19.504999999999999</v>
      </c>
      <c r="F99" s="22">
        <v>20</v>
      </c>
      <c r="G99" s="22" t="s">
        <v>116</v>
      </c>
    </row>
    <row r="100" spans="1:7" x14ac:dyDescent="0.3">
      <c r="A100" s="23">
        <v>8100017</v>
      </c>
      <c r="B100" s="22" t="s">
        <v>132</v>
      </c>
      <c r="C100" s="22" t="s">
        <v>35</v>
      </c>
      <c r="D100" s="22">
        <v>51.5</v>
      </c>
      <c r="E100" s="22">
        <f t="shared" si="3"/>
        <v>42.744999999999997</v>
      </c>
      <c r="F100" s="22">
        <v>20</v>
      </c>
      <c r="G100" s="22" t="s">
        <v>116</v>
      </c>
    </row>
    <row r="101" spans="1:7" x14ac:dyDescent="0.3">
      <c r="A101" s="22">
        <v>8100018</v>
      </c>
      <c r="B101" s="22" t="s">
        <v>133</v>
      </c>
      <c r="C101" s="22" t="s">
        <v>35</v>
      </c>
      <c r="D101" s="22">
        <v>25.5</v>
      </c>
      <c r="E101" s="22">
        <f t="shared" si="3"/>
        <v>21.164999999999999</v>
      </c>
      <c r="F101" s="22">
        <v>20</v>
      </c>
      <c r="G101" s="22" t="s">
        <v>116</v>
      </c>
    </row>
    <row r="102" spans="1:7" x14ac:dyDescent="0.3">
      <c r="A102" s="23">
        <v>8100019</v>
      </c>
      <c r="B102" s="22" t="s">
        <v>134</v>
      </c>
      <c r="C102" s="22" t="s">
        <v>35</v>
      </c>
      <c r="D102" s="22">
        <v>34.5</v>
      </c>
      <c r="E102" s="22">
        <f t="shared" si="3"/>
        <v>28.634999999999998</v>
      </c>
      <c r="F102" s="22">
        <v>20</v>
      </c>
      <c r="G102" s="22" t="s">
        <v>116</v>
      </c>
    </row>
    <row r="103" spans="1:7" x14ac:dyDescent="0.3">
      <c r="A103" s="22">
        <v>8100020</v>
      </c>
      <c r="B103" s="22" t="s">
        <v>135</v>
      </c>
      <c r="C103" s="22" t="s">
        <v>35</v>
      </c>
      <c r="D103" s="22">
        <v>48.5</v>
      </c>
      <c r="E103" s="22">
        <f t="shared" si="3"/>
        <v>40.254999999999995</v>
      </c>
      <c r="F103" s="22">
        <v>10</v>
      </c>
      <c r="G103" s="22" t="s">
        <v>116</v>
      </c>
    </row>
    <row r="104" spans="1:7" x14ac:dyDescent="0.3">
      <c r="A104" s="23">
        <v>8100021</v>
      </c>
      <c r="B104" s="22" t="s">
        <v>136</v>
      </c>
      <c r="C104" s="22" t="s">
        <v>35</v>
      </c>
      <c r="D104" s="22">
        <v>53.25</v>
      </c>
      <c r="E104" s="22">
        <f t="shared" si="3"/>
        <v>44.197499999999998</v>
      </c>
      <c r="F104" s="22">
        <v>10</v>
      </c>
      <c r="G104" s="22" t="s">
        <v>116</v>
      </c>
    </row>
    <row r="105" spans="1:7" x14ac:dyDescent="0.3">
      <c r="A105" s="22">
        <v>8100022</v>
      </c>
      <c r="B105" s="22" t="s">
        <v>137</v>
      </c>
      <c r="C105" s="22" t="s">
        <v>35</v>
      </c>
      <c r="D105" s="22">
        <v>83.5</v>
      </c>
      <c r="E105" s="22">
        <f t="shared" si="3"/>
        <v>69.305000000000007</v>
      </c>
      <c r="F105" s="22">
        <v>10</v>
      </c>
      <c r="G105" s="22" t="s">
        <v>116</v>
      </c>
    </row>
    <row r="106" spans="1:7" x14ac:dyDescent="0.3">
      <c r="A106" s="23">
        <v>8100023</v>
      </c>
      <c r="B106" s="22" t="s">
        <v>138</v>
      </c>
      <c r="C106" s="22" t="s">
        <v>35</v>
      </c>
      <c r="D106" s="22">
        <v>184.25</v>
      </c>
      <c r="E106" s="22">
        <f t="shared" si="3"/>
        <v>152.92750000000001</v>
      </c>
      <c r="F106" s="22">
        <v>3</v>
      </c>
      <c r="G106" s="22" t="s">
        <v>116</v>
      </c>
    </row>
    <row r="107" spans="1:7" x14ac:dyDescent="0.3">
      <c r="A107" s="22">
        <v>8100024</v>
      </c>
      <c r="B107" s="22" t="s">
        <v>139</v>
      </c>
      <c r="C107" s="22" t="s">
        <v>35</v>
      </c>
      <c r="D107" s="22">
        <v>30.5</v>
      </c>
      <c r="E107" s="22">
        <f t="shared" si="3"/>
        <v>25.314999999999998</v>
      </c>
      <c r="F107" s="22">
        <v>20</v>
      </c>
      <c r="G107" s="22" t="s">
        <v>116</v>
      </c>
    </row>
    <row r="108" spans="1:7" x14ac:dyDescent="0.3">
      <c r="A108" s="23">
        <v>8100025</v>
      </c>
      <c r="B108" s="22" t="s">
        <v>140</v>
      </c>
      <c r="C108" s="22" t="s">
        <v>35</v>
      </c>
      <c r="D108" s="22">
        <v>40.5</v>
      </c>
      <c r="E108" s="22">
        <f t="shared" si="3"/>
        <v>33.615000000000002</v>
      </c>
      <c r="F108" s="22">
        <v>20</v>
      </c>
      <c r="G108" s="22" t="s">
        <v>116</v>
      </c>
    </row>
    <row r="109" spans="1:7" x14ac:dyDescent="0.3">
      <c r="A109" s="22">
        <v>8100026</v>
      </c>
      <c r="B109" s="22" t="s">
        <v>141</v>
      </c>
      <c r="C109" s="22" t="s">
        <v>35</v>
      </c>
      <c r="D109" s="22">
        <v>61</v>
      </c>
      <c r="E109" s="22">
        <f t="shared" si="3"/>
        <v>50.629999999999995</v>
      </c>
      <c r="F109" s="22">
        <v>10</v>
      </c>
      <c r="G109" s="22" t="s">
        <v>116</v>
      </c>
    </row>
    <row r="110" spans="1:7" x14ac:dyDescent="0.3">
      <c r="A110" s="23">
        <v>8100027</v>
      </c>
      <c r="B110" s="22" t="s">
        <v>142</v>
      </c>
      <c r="C110" s="22" t="s">
        <v>35</v>
      </c>
      <c r="D110" s="22">
        <v>67.75</v>
      </c>
      <c r="E110" s="22">
        <f t="shared" si="3"/>
        <v>56.232500000000002</v>
      </c>
      <c r="F110" s="22">
        <v>10</v>
      </c>
      <c r="G110" s="22" t="s">
        <v>116</v>
      </c>
    </row>
    <row r="111" spans="1:7" x14ac:dyDescent="0.3">
      <c r="A111" s="22">
        <v>8100028</v>
      </c>
      <c r="B111" s="22" t="s">
        <v>143</v>
      </c>
      <c r="C111" s="22" t="s">
        <v>35</v>
      </c>
      <c r="D111" s="22">
        <v>83.25</v>
      </c>
      <c r="E111" s="22">
        <f t="shared" si="3"/>
        <v>69.097499999999997</v>
      </c>
      <c r="F111" s="22">
        <v>10</v>
      </c>
      <c r="G111" s="22" t="s">
        <v>116</v>
      </c>
    </row>
    <row r="112" spans="1:7" x14ac:dyDescent="0.3">
      <c r="A112" s="23">
        <v>8100029</v>
      </c>
      <c r="B112" s="22" t="s">
        <v>144</v>
      </c>
      <c r="C112" s="22" t="s">
        <v>35</v>
      </c>
      <c r="D112" s="22">
        <v>198.25</v>
      </c>
      <c r="E112" s="22">
        <f t="shared" si="3"/>
        <v>164.54750000000001</v>
      </c>
      <c r="F112" s="22">
        <v>3</v>
      </c>
      <c r="G112" s="22" t="s">
        <v>116</v>
      </c>
    </row>
    <row r="113" spans="1:7" x14ac:dyDescent="0.3">
      <c r="A113" s="22">
        <v>8100030</v>
      </c>
      <c r="B113" s="22" t="s">
        <v>145</v>
      </c>
      <c r="C113" s="22" t="s">
        <v>35</v>
      </c>
      <c r="D113" s="22">
        <v>53</v>
      </c>
      <c r="E113" s="22">
        <f t="shared" si="3"/>
        <v>43.99</v>
      </c>
      <c r="F113" s="22">
        <v>20</v>
      </c>
      <c r="G113" s="22" t="s">
        <v>116</v>
      </c>
    </row>
    <row r="114" spans="1:7" x14ac:dyDescent="0.3">
      <c r="A114" s="23">
        <v>8100031</v>
      </c>
      <c r="B114" s="22" t="s">
        <v>146</v>
      </c>
      <c r="C114" s="22" t="s">
        <v>35</v>
      </c>
      <c r="D114" s="22">
        <v>85.75</v>
      </c>
      <c r="E114" s="22">
        <f t="shared" si="3"/>
        <v>71.172499999999999</v>
      </c>
      <c r="F114" s="22">
        <v>20</v>
      </c>
      <c r="G114" s="22" t="s">
        <v>116</v>
      </c>
    </row>
    <row r="115" spans="1:7" x14ac:dyDescent="0.3">
      <c r="A115" s="22">
        <v>8100032</v>
      </c>
      <c r="B115" s="22" t="s">
        <v>147</v>
      </c>
      <c r="C115" s="22" t="s">
        <v>35</v>
      </c>
      <c r="D115" s="22">
        <v>68.75</v>
      </c>
      <c r="E115" s="22">
        <f t="shared" si="3"/>
        <v>57.0625</v>
      </c>
      <c r="F115" s="22">
        <v>20</v>
      </c>
      <c r="G115" s="22" t="s">
        <v>116</v>
      </c>
    </row>
    <row r="116" spans="1:7" x14ac:dyDescent="0.3">
      <c r="A116" s="23">
        <v>8100033</v>
      </c>
      <c r="B116" s="22" t="s">
        <v>148</v>
      </c>
      <c r="C116" s="22" t="s">
        <v>35</v>
      </c>
      <c r="D116" s="22">
        <v>86.5</v>
      </c>
      <c r="E116" s="22">
        <f t="shared" si="3"/>
        <v>71.795000000000002</v>
      </c>
      <c r="F116" s="22">
        <v>10</v>
      </c>
      <c r="G116" s="22" t="s">
        <v>116</v>
      </c>
    </row>
    <row r="117" spans="1:7" x14ac:dyDescent="0.3">
      <c r="A117" s="22">
        <v>8100034</v>
      </c>
      <c r="B117" s="22" t="s">
        <v>149</v>
      </c>
      <c r="C117" s="22" t="s">
        <v>35</v>
      </c>
      <c r="D117" s="22">
        <v>88.5</v>
      </c>
      <c r="E117" s="22">
        <f t="shared" si="3"/>
        <v>73.454999999999998</v>
      </c>
      <c r="F117" s="22">
        <v>10</v>
      </c>
      <c r="G117" s="22" t="s">
        <v>116</v>
      </c>
    </row>
    <row r="118" spans="1:7" x14ac:dyDescent="0.3">
      <c r="A118" s="23">
        <v>8100035</v>
      </c>
      <c r="B118" s="22" t="s">
        <v>150</v>
      </c>
      <c r="C118" s="22" t="s">
        <v>35</v>
      </c>
      <c r="D118" s="22">
        <v>93.25</v>
      </c>
      <c r="E118" s="22">
        <f t="shared" si="3"/>
        <v>77.397499999999994</v>
      </c>
      <c r="F118" s="22">
        <v>20</v>
      </c>
      <c r="G118" s="22" t="s">
        <v>116</v>
      </c>
    </row>
    <row r="119" spans="1:7" x14ac:dyDescent="0.3">
      <c r="A119" s="22">
        <v>8100036</v>
      </c>
      <c r="B119" s="22" t="s">
        <v>151</v>
      </c>
      <c r="C119" s="22" t="s">
        <v>35</v>
      </c>
      <c r="D119" s="22">
        <v>125</v>
      </c>
      <c r="E119" s="22">
        <f t="shared" si="3"/>
        <v>103.75</v>
      </c>
      <c r="F119" s="22">
        <v>10</v>
      </c>
      <c r="G119" s="22" t="s">
        <v>116</v>
      </c>
    </row>
    <row r="120" spans="1:7" x14ac:dyDescent="0.3">
      <c r="A120" s="23">
        <v>8100037</v>
      </c>
      <c r="B120" s="22" t="s">
        <v>152</v>
      </c>
      <c r="C120" s="22" t="s">
        <v>35</v>
      </c>
      <c r="D120" s="22">
        <v>132.75</v>
      </c>
      <c r="E120" s="22">
        <f t="shared" si="3"/>
        <v>110.1825</v>
      </c>
      <c r="F120" s="22">
        <v>15</v>
      </c>
      <c r="G120" s="22" t="s">
        <v>116</v>
      </c>
    </row>
    <row r="121" spans="1:7" x14ac:dyDescent="0.3">
      <c r="A121" s="22">
        <v>8100038</v>
      </c>
      <c r="B121" s="22" t="s">
        <v>153</v>
      </c>
      <c r="C121" s="22" t="s">
        <v>35</v>
      </c>
      <c r="D121" s="22">
        <v>140.25</v>
      </c>
      <c r="E121" s="22">
        <f t="shared" si="3"/>
        <v>116.4075</v>
      </c>
      <c r="F121" s="22">
        <v>20</v>
      </c>
      <c r="G121" s="22" t="s">
        <v>116</v>
      </c>
    </row>
    <row r="122" spans="1:7" x14ac:dyDescent="0.3">
      <c r="A122" s="23">
        <v>8100039</v>
      </c>
      <c r="B122" s="22" t="s">
        <v>154</v>
      </c>
      <c r="C122" s="22" t="s">
        <v>35</v>
      </c>
      <c r="D122" s="22">
        <v>146</v>
      </c>
      <c r="E122" s="22">
        <f t="shared" si="3"/>
        <v>121.18</v>
      </c>
      <c r="F122" s="22">
        <v>20</v>
      </c>
      <c r="G122" s="22" t="s">
        <v>116</v>
      </c>
    </row>
    <row r="123" spans="1:7" x14ac:dyDescent="0.3">
      <c r="A123" s="22">
        <v>8100040</v>
      </c>
      <c r="B123" s="22" t="s">
        <v>155</v>
      </c>
      <c r="C123" s="22" t="s">
        <v>35</v>
      </c>
      <c r="D123" s="22">
        <v>327.25</v>
      </c>
      <c r="E123" s="22">
        <f t="shared" si="3"/>
        <v>271.61750000000001</v>
      </c>
      <c r="F123" s="22">
        <v>5</v>
      </c>
      <c r="G123" s="22" t="s">
        <v>116</v>
      </c>
    </row>
    <row r="124" spans="1:7" x14ac:dyDescent="0.3">
      <c r="A124" s="23">
        <v>8100041</v>
      </c>
      <c r="B124" s="22" t="s">
        <v>156</v>
      </c>
      <c r="C124" s="22" t="s">
        <v>35</v>
      </c>
      <c r="D124" s="22">
        <v>415.25</v>
      </c>
      <c r="E124" s="22">
        <f t="shared" si="3"/>
        <v>344.65750000000003</v>
      </c>
      <c r="F124" s="22">
        <v>2</v>
      </c>
      <c r="G124" s="22" t="s">
        <v>116</v>
      </c>
    </row>
    <row r="125" spans="1:7" x14ac:dyDescent="0.3">
      <c r="A125" s="22">
        <v>8100042</v>
      </c>
      <c r="B125" s="22" t="s">
        <v>157</v>
      </c>
      <c r="C125" s="22" t="s">
        <v>35</v>
      </c>
      <c r="D125" s="22">
        <v>71</v>
      </c>
      <c r="E125" s="22">
        <f t="shared" si="3"/>
        <v>58.93</v>
      </c>
      <c r="F125" s="22">
        <v>20</v>
      </c>
      <c r="G125" s="22" t="s">
        <v>116</v>
      </c>
    </row>
    <row r="126" spans="1:7" x14ac:dyDescent="0.3">
      <c r="A126" s="23">
        <v>8100043</v>
      </c>
      <c r="B126" s="22" t="s">
        <v>158</v>
      </c>
      <c r="C126" s="22" t="s">
        <v>35</v>
      </c>
      <c r="D126" s="22">
        <v>86</v>
      </c>
      <c r="E126" s="22">
        <f t="shared" si="3"/>
        <v>71.38</v>
      </c>
      <c r="F126" s="22">
        <v>10</v>
      </c>
      <c r="G126" s="22" t="s">
        <v>116</v>
      </c>
    </row>
    <row r="127" spans="1:7" x14ac:dyDescent="0.3">
      <c r="A127" s="22">
        <v>8100044</v>
      </c>
      <c r="B127" s="22" t="s">
        <v>159</v>
      </c>
      <c r="C127" s="22" t="s">
        <v>35</v>
      </c>
      <c r="D127" s="22">
        <v>95.5</v>
      </c>
      <c r="E127" s="22">
        <f t="shared" si="3"/>
        <v>79.265000000000001</v>
      </c>
      <c r="F127" s="22">
        <v>20</v>
      </c>
      <c r="G127" s="22" t="s">
        <v>116</v>
      </c>
    </row>
    <row r="128" spans="1:7" x14ac:dyDescent="0.3">
      <c r="A128" s="23">
        <v>8100045</v>
      </c>
      <c r="B128" s="22" t="s">
        <v>160</v>
      </c>
      <c r="C128" s="22" t="s">
        <v>35</v>
      </c>
      <c r="D128" s="22">
        <v>125</v>
      </c>
      <c r="E128" s="22">
        <f t="shared" si="3"/>
        <v>103.75</v>
      </c>
      <c r="F128" s="22">
        <v>5</v>
      </c>
      <c r="G128" s="22" t="s">
        <v>116</v>
      </c>
    </row>
    <row r="129" spans="1:7" x14ac:dyDescent="0.3">
      <c r="A129" s="22">
        <v>8100046</v>
      </c>
      <c r="B129" s="22" t="s">
        <v>161</v>
      </c>
      <c r="C129" s="22" t="s">
        <v>35</v>
      </c>
      <c r="D129" s="22">
        <v>140.75</v>
      </c>
      <c r="E129" s="22">
        <f t="shared" si="3"/>
        <v>116.82249999999999</v>
      </c>
      <c r="F129" s="22">
        <v>20</v>
      </c>
      <c r="G129" s="22" t="s">
        <v>116</v>
      </c>
    </row>
    <row r="130" spans="1:7" x14ac:dyDescent="0.3">
      <c r="A130" s="23">
        <v>8100047</v>
      </c>
      <c r="B130" s="22" t="s">
        <v>162</v>
      </c>
      <c r="C130" s="22" t="s">
        <v>35</v>
      </c>
      <c r="D130" s="22">
        <v>147.25</v>
      </c>
      <c r="E130" s="22">
        <f t="shared" ref="E130:E161" si="4">D130-D130*17%</f>
        <v>122.2175</v>
      </c>
      <c r="F130" s="22">
        <v>20</v>
      </c>
      <c r="G130" s="22" t="s">
        <v>116</v>
      </c>
    </row>
    <row r="131" spans="1:7" x14ac:dyDescent="0.3">
      <c r="A131" s="22">
        <v>8100048</v>
      </c>
      <c r="B131" s="22" t="s">
        <v>163</v>
      </c>
      <c r="C131" s="22" t="s">
        <v>35</v>
      </c>
      <c r="D131" s="22">
        <v>327.25</v>
      </c>
      <c r="E131" s="22">
        <f t="shared" si="4"/>
        <v>271.61750000000001</v>
      </c>
      <c r="F131" s="22">
        <v>5</v>
      </c>
      <c r="G131" s="22" t="s">
        <v>116</v>
      </c>
    </row>
    <row r="132" spans="1:7" x14ac:dyDescent="0.3">
      <c r="A132" s="23">
        <v>8100049</v>
      </c>
      <c r="B132" s="22" t="s">
        <v>164</v>
      </c>
      <c r="C132" s="22" t="s">
        <v>35</v>
      </c>
      <c r="D132" s="22">
        <v>424.25</v>
      </c>
      <c r="E132" s="22">
        <f t="shared" si="4"/>
        <v>352.1275</v>
      </c>
      <c r="F132" s="22">
        <v>3</v>
      </c>
      <c r="G132" s="22" t="s">
        <v>116</v>
      </c>
    </row>
    <row r="133" spans="1:7" x14ac:dyDescent="0.3">
      <c r="A133" s="22">
        <v>8100050</v>
      </c>
      <c r="B133" s="22" t="s">
        <v>165</v>
      </c>
      <c r="C133" s="22" t="s">
        <v>35</v>
      </c>
      <c r="D133" s="22">
        <v>149.5</v>
      </c>
      <c r="E133" s="22">
        <f t="shared" si="4"/>
        <v>124.08499999999999</v>
      </c>
      <c r="F133" s="22">
        <v>10</v>
      </c>
      <c r="G133" s="22" t="s">
        <v>116</v>
      </c>
    </row>
    <row r="134" spans="1:7" x14ac:dyDescent="0.3">
      <c r="A134" s="23">
        <v>8100051</v>
      </c>
      <c r="B134" s="22" t="s">
        <v>166</v>
      </c>
      <c r="C134" s="22" t="s">
        <v>35</v>
      </c>
      <c r="D134" s="22">
        <v>155</v>
      </c>
      <c r="E134" s="22">
        <f t="shared" si="4"/>
        <v>128.65</v>
      </c>
      <c r="F134" s="22">
        <v>3</v>
      </c>
      <c r="G134" s="22" t="s">
        <v>116</v>
      </c>
    </row>
    <row r="135" spans="1:7" x14ac:dyDescent="0.3">
      <c r="A135" s="22">
        <v>8100052</v>
      </c>
      <c r="B135" s="22" t="s">
        <v>167</v>
      </c>
      <c r="C135" s="22" t="s">
        <v>35</v>
      </c>
      <c r="D135" s="22">
        <v>170</v>
      </c>
      <c r="E135" s="22">
        <f t="shared" si="4"/>
        <v>141.1</v>
      </c>
      <c r="F135" s="22">
        <v>3</v>
      </c>
      <c r="G135" s="22" t="s">
        <v>116</v>
      </c>
    </row>
    <row r="136" spans="1:7" x14ac:dyDescent="0.3">
      <c r="A136" s="23">
        <v>8100053</v>
      </c>
      <c r="B136" s="22" t="s">
        <v>168</v>
      </c>
      <c r="C136" s="22" t="s">
        <v>35</v>
      </c>
      <c r="D136" s="22">
        <v>198.25</v>
      </c>
      <c r="E136" s="22">
        <f t="shared" si="4"/>
        <v>164.54750000000001</v>
      </c>
      <c r="F136" s="22">
        <v>10</v>
      </c>
      <c r="G136" s="22" t="s">
        <v>116</v>
      </c>
    </row>
    <row r="137" spans="1:7" x14ac:dyDescent="0.3">
      <c r="A137" s="22">
        <v>8100054</v>
      </c>
      <c r="B137" s="22" t="s">
        <v>169</v>
      </c>
      <c r="C137" s="22" t="s">
        <v>35</v>
      </c>
      <c r="D137" s="22">
        <v>360.25</v>
      </c>
      <c r="E137" s="22">
        <f t="shared" si="4"/>
        <v>299.00749999999999</v>
      </c>
      <c r="F137" s="22">
        <v>5</v>
      </c>
      <c r="G137" s="22" t="s">
        <v>116</v>
      </c>
    </row>
    <row r="138" spans="1:7" x14ac:dyDescent="0.3">
      <c r="A138" s="23">
        <v>8100055</v>
      </c>
      <c r="B138" s="22" t="s">
        <v>170</v>
      </c>
      <c r="C138" s="22" t="s">
        <v>35</v>
      </c>
      <c r="D138" s="22">
        <v>465.75</v>
      </c>
      <c r="E138" s="22">
        <f t="shared" si="4"/>
        <v>386.57249999999999</v>
      </c>
      <c r="F138" s="22">
        <v>5</v>
      </c>
      <c r="G138" s="22" t="s">
        <v>116</v>
      </c>
    </row>
    <row r="139" spans="1:7" x14ac:dyDescent="0.3">
      <c r="A139" s="22">
        <v>8100056</v>
      </c>
      <c r="B139" s="22" t="s">
        <v>171</v>
      </c>
      <c r="C139" s="22" t="s">
        <v>35</v>
      </c>
      <c r="D139" s="22">
        <v>77.5</v>
      </c>
      <c r="E139" s="22">
        <f t="shared" si="4"/>
        <v>64.325000000000003</v>
      </c>
      <c r="F139" s="22">
        <v>20</v>
      </c>
      <c r="G139" s="22" t="s">
        <v>116</v>
      </c>
    </row>
    <row r="140" spans="1:7" x14ac:dyDescent="0.3">
      <c r="A140" s="23">
        <v>8100057</v>
      </c>
      <c r="B140" s="22" t="s">
        <v>172</v>
      </c>
      <c r="C140" s="22" t="s">
        <v>35</v>
      </c>
      <c r="D140" s="22">
        <v>121.25</v>
      </c>
      <c r="E140" s="22">
        <f t="shared" si="4"/>
        <v>100.6375</v>
      </c>
      <c r="F140" s="22">
        <v>20</v>
      </c>
      <c r="G140" s="22" t="s">
        <v>116</v>
      </c>
    </row>
    <row r="141" spans="1:7" x14ac:dyDescent="0.3">
      <c r="A141" s="22">
        <v>8100058</v>
      </c>
      <c r="B141" s="22" t="s">
        <v>173</v>
      </c>
      <c r="C141" s="22" t="s">
        <v>35</v>
      </c>
      <c r="D141" s="22">
        <v>254.75</v>
      </c>
      <c r="E141" s="22">
        <f t="shared" si="4"/>
        <v>211.4425</v>
      </c>
      <c r="F141" s="22">
        <v>2</v>
      </c>
      <c r="G141" s="22" t="s">
        <v>116</v>
      </c>
    </row>
    <row r="142" spans="1:7" x14ac:dyDescent="0.3">
      <c r="A142" s="23">
        <v>8100059</v>
      </c>
      <c r="B142" s="22" t="s">
        <v>174</v>
      </c>
      <c r="C142" s="22" t="s">
        <v>35</v>
      </c>
      <c r="D142" s="22">
        <v>336</v>
      </c>
      <c r="E142" s="22">
        <f t="shared" si="4"/>
        <v>278.88</v>
      </c>
      <c r="F142" s="22">
        <v>5</v>
      </c>
      <c r="G142" s="22" t="s">
        <v>116</v>
      </c>
    </row>
    <row r="143" spans="1:7" x14ac:dyDescent="0.3">
      <c r="A143" s="22">
        <v>8100060</v>
      </c>
      <c r="B143" s="22" t="s">
        <v>175</v>
      </c>
      <c r="C143" s="22" t="s">
        <v>35</v>
      </c>
      <c r="D143" s="22">
        <v>294.5</v>
      </c>
      <c r="E143" s="22">
        <f t="shared" si="4"/>
        <v>244.435</v>
      </c>
      <c r="F143" s="22">
        <v>3</v>
      </c>
      <c r="G143" s="22" t="s">
        <v>116</v>
      </c>
    </row>
    <row r="144" spans="1:7" x14ac:dyDescent="0.3">
      <c r="A144" s="23">
        <v>8100061</v>
      </c>
      <c r="B144" s="22" t="s">
        <v>176</v>
      </c>
      <c r="C144" s="22" t="s">
        <v>35</v>
      </c>
      <c r="D144" s="22">
        <v>66.5</v>
      </c>
      <c r="E144" s="22">
        <f t="shared" si="4"/>
        <v>55.195</v>
      </c>
      <c r="F144" s="22">
        <v>10</v>
      </c>
      <c r="G144" s="22" t="s">
        <v>116</v>
      </c>
    </row>
    <row r="145" spans="1:7" x14ac:dyDescent="0.3">
      <c r="A145" s="22">
        <v>8100062</v>
      </c>
      <c r="B145" s="22" t="s">
        <v>177</v>
      </c>
      <c r="C145" s="22" t="s">
        <v>35</v>
      </c>
      <c r="D145" s="22">
        <v>40</v>
      </c>
      <c r="E145" s="22">
        <f t="shared" si="4"/>
        <v>33.200000000000003</v>
      </c>
      <c r="F145" s="22">
        <v>30</v>
      </c>
      <c r="G145" s="22" t="s">
        <v>116</v>
      </c>
    </row>
    <row r="146" spans="1:7" x14ac:dyDescent="0.3">
      <c r="A146" s="23">
        <v>8100063</v>
      </c>
      <c r="B146" s="22" t="s">
        <v>178</v>
      </c>
      <c r="C146" s="22" t="s">
        <v>35</v>
      </c>
      <c r="D146" s="22">
        <v>126.25</v>
      </c>
      <c r="E146" s="22">
        <f t="shared" si="4"/>
        <v>104.78749999999999</v>
      </c>
      <c r="F146" s="22">
        <v>2</v>
      </c>
      <c r="G146" s="22" t="s">
        <v>116</v>
      </c>
    </row>
    <row r="147" spans="1:7" x14ac:dyDescent="0.3">
      <c r="A147" s="22">
        <v>8100064</v>
      </c>
      <c r="B147" s="22" t="s">
        <v>179</v>
      </c>
      <c r="C147" s="22" t="s">
        <v>35</v>
      </c>
      <c r="D147" s="22">
        <v>12.75</v>
      </c>
      <c r="E147" s="22">
        <f t="shared" si="4"/>
        <v>10.5825</v>
      </c>
      <c r="F147" s="22">
        <v>10</v>
      </c>
      <c r="G147" s="22" t="s">
        <v>116</v>
      </c>
    </row>
    <row r="148" spans="1:7" x14ac:dyDescent="0.3">
      <c r="A148" s="23">
        <v>8100065</v>
      </c>
      <c r="B148" s="22" t="s">
        <v>180</v>
      </c>
      <c r="C148" s="22" t="s">
        <v>35</v>
      </c>
      <c r="D148" s="22">
        <v>35</v>
      </c>
      <c r="E148" s="22">
        <f t="shared" si="4"/>
        <v>29.05</v>
      </c>
      <c r="F148" s="22">
        <v>5</v>
      </c>
      <c r="G148" s="22" t="s">
        <v>116</v>
      </c>
    </row>
    <row r="149" spans="1:7" x14ac:dyDescent="0.3">
      <c r="A149" s="22">
        <v>8100066</v>
      </c>
      <c r="B149" s="22" t="s">
        <v>181</v>
      </c>
      <c r="C149" s="22" t="s">
        <v>35</v>
      </c>
      <c r="D149" s="22">
        <v>46</v>
      </c>
      <c r="E149" s="22">
        <f t="shared" si="4"/>
        <v>38.18</v>
      </c>
      <c r="F149" s="22">
        <v>20</v>
      </c>
      <c r="G149" s="22" t="s">
        <v>116</v>
      </c>
    </row>
    <row r="150" spans="1:7" x14ac:dyDescent="0.3">
      <c r="A150" s="23">
        <v>8100067</v>
      </c>
      <c r="B150" s="22" t="s">
        <v>182</v>
      </c>
      <c r="C150" s="22" t="s">
        <v>35</v>
      </c>
      <c r="D150" s="22">
        <v>68.25</v>
      </c>
      <c r="E150" s="22">
        <f t="shared" si="4"/>
        <v>56.647500000000001</v>
      </c>
      <c r="F150" s="22">
        <v>15</v>
      </c>
      <c r="G150" s="22" t="s">
        <v>116</v>
      </c>
    </row>
    <row r="151" spans="1:7" x14ac:dyDescent="0.3">
      <c r="A151" s="22">
        <v>8100068</v>
      </c>
      <c r="B151" s="22" t="s">
        <v>183</v>
      </c>
      <c r="C151" s="22" t="s">
        <v>35</v>
      </c>
      <c r="D151" s="22">
        <v>65.5</v>
      </c>
      <c r="E151" s="22">
        <f t="shared" si="4"/>
        <v>54.364999999999995</v>
      </c>
      <c r="F151" s="22">
        <v>20</v>
      </c>
      <c r="G151" s="22" t="s">
        <v>116</v>
      </c>
    </row>
    <row r="152" spans="1:7" x14ac:dyDescent="0.3">
      <c r="A152" s="23">
        <v>8100069</v>
      </c>
      <c r="B152" s="22" t="s">
        <v>184</v>
      </c>
      <c r="C152" s="22" t="s">
        <v>35</v>
      </c>
      <c r="D152" s="22">
        <v>97.25</v>
      </c>
      <c r="E152" s="22">
        <f t="shared" si="4"/>
        <v>80.717500000000001</v>
      </c>
      <c r="F152" s="22">
        <v>15</v>
      </c>
      <c r="G152" s="22" t="s">
        <v>116</v>
      </c>
    </row>
    <row r="153" spans="1:7" x14ac:dyDescent="0.3">
      <c r="A153" s="22">
        <v>8100070</v>
      </c>
      <c r="B153" s="22" t="s">
        <v>185</v>
      </c>
      <c r="C153" s="22" t="s">
        <v>35</v>
      </c>
      <c r="D153" s="22">
        <v>145.75</v>
      </c>
      <c r="E153" s="22">
        <f t="shared" si="4"/>
        <v>120.9725</v>
      </c>
      <c r="F153" s="22">
        <v>5</v>
      </c>
      <c r="G153" s="22" t="s">
        <v>116</v>
      </c>
    </row>
    <row r="154" spans="1:7" x14ac:dyDescent="0.3">
      <c r="A154" s="23">
        <v>8100071</v>
      </c>
      <c r="B154" s="22" t="s">
        <v>186</v>
      </c>
      <c r="C154" s="22" t="s">
        <v>35</v>
      </c>
      <c r="D154" s="22">
        <v>46.25</v>
      </c>
      <c r="E154" s="22">
        <f t="shared" si="4"/>
        <v>38.387500000000003</v>
      </c>
      <c r="F154" s="22">
        <v>3</v>
      </c>
      <c r="G154" s="22" t="s">
        <v>116</v>
      </c>
    </row>
    <row r="155" spans="1:7" x14ac:dyDescent="0.3">
      <c r="A155" s="22">
        <v>8100072</v>
      </c>
      <c r="B155" s="22" t="s">
        <v>187</v>
      </c>
      <c r="C155" s="22" t="s">
        <v>35</v>
      </c>
      <c r="D155" s="22">
        <v>71.5</v>
      </c>
      <c r="E155" s="22">
        <f t="shared" si="4"/>
        <v>59.344999999999999</v>
      </c>
      <c r="F155" s="22">
        <v>5</v>
      </c>
      <c r="G155" s="22" t="s">
        <v>116</v>
      </c>
    </row>
    <row r="156" spans="1:7" x14ac:dyDescent="0.3">
      <c r="A156" s="23">
        <v>8100073</v>
      </c>
      <c r="B156" s="22" t="s">
        <v>188</v>
      </c>
      <c r="C156" s="22" t="s">
        <v>35</v>
      </c>
      <c r="D156" s="22">
        <v>79</v>
      </c>
      <c r="E156" s="22">
        <f t="shared" si="4"/>
        <v>65.569999999999993</v>
      </c>
      <c r="F156" s="22">
        <v>15</v>
      </c>
      <c r="G156" s="22" t="s">
        <v>116</v>
      </c>
    </row>
    <row r="157" spans="1:7" x14ac:dyDescent="0.3">
      <c r="A157" s="22">
        <v>8100074</v>
      </c>
      <c r="B157" s="22" t="s">
        <v>189</v>
      </c>
      <c r="C157" s="22" t="s">
        <v>35</v>
      </c>
      <c r="D157" s="22">
        <v>132.25</v>
      </c>
      <c r="E157" s="22">
        <f t="shared" si="4"/>
        <v>109.7675</v>
      </c>
      <c r="F157" s="22">
        <v>20</v>
      </c>
      <c r="G157" s="22" t="s">
        <v>116</v>
      </c>
    </row>
    <row r="158" spans="1:7" x14ac:dyDescent="0.3">
      <c r="A158" s="23">
        <v>8100075</v>
      </c>
      <c r="B158" s="22" t="s">
        <v>190</v>
      </c>
      <c r="C158" s="22" t="s">
        <v>35</v>
      </c>
      <c r="D158" s="22">
        <v>234.5</v>
      </c>
      <c r="E158" s="22">
        <f t="shared" si="4"/>
        <v>194.63499999999999</v>
      </c>
      <c r="F158" s="22">
        <v>3</v>
      </c>
      <c r="G158" s="22" t="s">
        <v>116</v>
      </c>
    </row>
    <row r="159" spans="1:7" x14ac:dyDescent="0.3">
      <c r="A159" s="22">
        <v>8100076</v>
      </c>
      <c r="B159" s="22" t="s">
        <v>191</v>
      </c>
      <c r="C159" s="22" t="s">
        <v>35</v>
      </c>
      <c r="D159" s="22">
        <v>36.25</v>
      </c>
      <c r="E159" s="22">
        <f t="shared" si="4"/>
        <v>30.087499999999999</v>
      </c>
      <c r="F159" s="22">
        <v>3</v>
      </c>
      <c r="G159" s="22" t="s">
        <v>116</v>
      </c>
    </row>
    <row r="160" spans="1:7" x14ac:dyDescent="0.3">
      <c r="A160" s="23">
        <v>8100077</v>
      </c>
      <c r="B160" s="22" t="s">
        <v>192</v>
      </c>
      <c r="C160" s="22" t="s">
        <v>35</v>
      </c>
      <c r="D160" s="22">
        <v>51.5</v>
      </c>
      <c r="E160" s="22">
        <f t="shared" si="4"/>
        <v>42.744999999999997</v>
      </c>
      <c r="F160" s="22">
        <v>3</v>
      </c>
      <c r="G160" s="22" t="s">
        <v>116</v>
      </c>
    </row>
    <row r="161" spans="1:7" x14ac:dyDescent="0.3">
      <c r="A161" s="22">
        <v>8100078</v>
      </c>
      <c r="B161" s="22" t="s">
        <v>193</v>
      </c>
      <c r="C161" s="22" t="s">
        <v>35</v>
      </c>
      <c r="D161" s="22">
        <v>60.5</v>
      </c>
      <c r="E161" s="22">
        <f t="shared" si="4"/>
        <v>50.215000000000003</v>
      </c>
      <c r="F161" s="22">
        <v>5</v>
      </c>
      <c r="G161" s="22" t="s">
        <v>116</v>
      </c>
    </row>
    <row r="162" spans="1:7" x14ac:dyDescent="0.3">
      <c r="A162" s="23">
        <v>8100079</v>
      </c>
      <c r="B162" s="22" t="s">
        <v>194</v>
      </c>
      <c r="C162" s="22" t="s">
        <v>35</v>
      </c>
      <c r="D162" s="22">
        <v>55.25</v>
      </c>
      <c r="E162" s="22">
        <f t="shared" ref="E162:E176" si="5">D162-D162*17%</f>
        <v>45.857500000000002</v>
      </c>
      <c r="F162" s="22">
        <v>5</v>
      </c>
      <c r="G162" s="22" t="s">
        <v>116</v>
      </c>
    </row>
    <row r="163" spans="1:7" x14ac:dyDescent="0.3">
      <c r="A163" s="22">
        <v>8100080</v>
      </c>
      <c r="B163" s="22" t="s">
        <v>195</v>
      </c>
      <c r="C163" s="22" t="s">
        <v>35</v>
      </c>
      <c r="D163" s="22">
        <v>78.75</v>
      </c>
      <c r="E163" s="22">
        <f t="shared" si="5"/>
        <v>65.362499999999997</v>
      </c>
      <c r="F163" s="22">
        <v>3</v>
      </c>
      <c r="G163" s="22" t="s">
        <v>116</v>
      </c>
    </row>
    <row r="164" spans="1:7" x14ac:dyDescent="0.3">
      <c r="A164" s="23">
        <v>8100081</v>
      </c>
      <c r="B164" s="22" t="s">
        <v>196</v>
      </c>
      <c r="C164" s="22" t="s">
        <v>35</v>
      </c>
      <c r="D164" s="22">
        <v>89.75</v>
      </c>
      <c r="E164" s="22">
        <f t="shared" si="5"/>
        <v>74.492500000000007</v>
      </c>
      <c r="F164" s="22">
        <v>20</v>
      </c>
      <c r="G164" s="22" t="s">
        <v>116</v>
      </c>
    </row>
    <row r="165" spans="1:7" x14ac:dyDescent="0.3">
      <c r="A165" s="22">
        <v>8100082</v>
      </c>
      <c r="B165" s="22" t="s">
        <v>197</v>
      </c>
      <c r="C165" s="22" t="s">
        <v>35</v>
      </c>
      <c r="D165" s="22">
        <v>148.75</v>
      </c>
      <c r="E165" s="22">
        <f t="shared" si="5"/>
        <v>123.46250000000001</v>
      </c>
      <c r="F165" s="22">
        <v>15</v>
      </c>
      <c r="G165" s="22" t="s">
        <v>116</v>
      </c>
    </row>
    <row r="166" spans="1:7" x14ac:dyDescent="0.3">
      <c r="A166" s="23">
        <v>8100083</v>
      </c>
      <c r="B166" s="22" t="s">
        <v>198</v>
      </c>
      <c r="C166" s="22" t="s">
        <v>35</v>
      </c>
      <c r="D166" s="22">
        <v>33.75</v>
      </c>
      <c r="E166" s="22">
        <f t="shared" si="5"/>
        <v>28.012499999999999</v>
      </c>
      <c r="F166" s="22">
        <v>5</v>
      </c>
      <c r="G166" s="22" t="s">
        <v>116</v>
      </c>
    </row>
    <row r="167" spans="1:7" x14ac:dyDescent="0.3">
      <c r="A167" s="22">
        <v>8100084</v>
      </c>
      <c r="B167" s="22" t="s">
        <v>199</v>
      </c>
      <c r="C167" s="22" t="s">
        <v>35</v>
      </c>
      <c r="D167" s="22">
        <v>33.75</v>
      </c>
      <c r="E167" s="22">
        <f t="shared" si="5"/>
        <v>28.012499999999999</v>
      </c>
      <c r="F167" s="22">
        <v>5</v>
      </c>
      <c r="G167" s="22" t="s">
        <v>116</v>
      </c>
    </row>
    <row r="168" spans="1:7" x14ac:dyDescent="0.3">
      <c r="A168" s="23">
        <v>8100085</v>
      </c>
      <c r="B168" s="22" t="s">
        <v>200</v>
      </c>
      <c r="C168" s="22" t="s">
        <v>35</v>
      </c>
      <c r="D168" s="22">
        <v>15.25</v>
      </c>
      <c r="E168" s="22">
        <f t="shared" si="5"/>
        <v>12.657499999999999</v>
      </c>
      <c r="F168" s="22">
        <v>10</v>
      </c>
      <c r="G168" s="22" t="s">
        <v>116</v>
      </c>
    </row>
    <row r="169" spans="1:7" x14ac:dyDescent="0.3">
      <c r="A169" s="22">
        <v>8100086</v>
      </c>
      <c r="B169" s="22" t="s">
        <v>201</v>
      </c>
      <c r="C169" s="22" t="s">
        <v>35</v>
      </c>
      <c r="D169" s="22">
        <v>30.75</v>
      </c>
      <c r="E169" s="22">
        <f t="shared" si="5"/>
        <v>25.522500000000001</v>
      </c>
      <c r="F169" s="22">
        <v>5</v>
      </c>
      <c r="G169" s="22" t="s">
        <v>116</v>
      </c>
    </row>
    <row r="170" spans="1:7" x14ac:dyDescent="0.3">
      <c r="A170" s="23">
        <v>8100087</v>
      </c>
      <c r="B170" s="22" t="s">
        <v>202</v>
      </c>
      <c r="C170" s="22" t="s">
        <v>35</v>
      </c>
      <c r="D170" s="22">
        <v>36</v>
      </c>
      <c r="E170" s="22">
        <f t="shared" si="5"/>
        <v>29.88</v>
      </c>
      <c r="F170" s="22">
        <v>5</v>
      </c>
      <c r="G170" s="22" t="s">
        <v>116</v>
      </c>
    </row>
    <row r="171" spans="1:7" x14ac:dyDescent="0.3">
      <c r="A171" s="22">
        <v>8100088</v>
      </c>
      <c r="B171" s="22" t="s">
        <v>203</v>
      </c>
      <c r="C171" s="22" t="s">
        <v>35</v>
      </c>
      <c r="D171" s="22">
        <v>42</v>
      </c>
      <c r="E171" s="22">
        <f t="shared" si="5"/>
        <v>34.86</v>
      </c>
      <c r="F171" s="22">
        <v>10</v>
      </c>
      <c r="G171" s="22" t="s">
        <v>116</v>
      </c>
    </row>
    <row r="172" spans="1:7" x14ac:dyDescent="0.3">
      <c r="A172" s="23">
        <v>8100089</v>
      </c>
      <c r="B172" s="22" t="s">
        <v>204</v>
      </c>
      <c r="C172" s="22" t="s">
        <v>35</v>
      </c>
      <c r="D172" s="22">
        <v>60.25</v>
      </c>
      <c r="E172" s="22">
        <f t="shared" si="5"/>
        <v>50.0075</v>
      </c>
      <c r="F172" s="22">
        <v>20</v>
      </c>
      <c r="G172" s="22" t="s">
        <v>116</v>
      </c>
    </row>
    <row r="173" spans="1:7" x14ac:dyDescent="0.3">
      <c r="A173" s="22">
        <v>8100090</v>
      </c>
      <c r="B173" s="22" t="s">
        <v>205</v>
      </c>
      <c r="C173" s="22" t="s">
        <v>35</v>
      </c>
      <c r="D173" s="22">
        <v>113.5</v>
      </c>
      <c r="E173" s="22">
        <f t="shared" si="5"/>
        <v>94.204999999999998</v>
      </c>
      <c r="F173" s="22">
        <v>5</v>
      </c>
      <c r="G173" s="22" t="s">
        <v>116</v>
      </c>
    </row>
    <row r="174" spans="1:7" x14ac:dyDescent="0.3">
      <c r="A174" s="23">
        <v>8100091</v>
      </c>
      <c r="B174" s="22" t="s">
        <v>206</v>
      </c>
      <c r="C174" s="22" t="s">
        <v>35</v>
      </c>
      <c r="D174" s="22">
        <v>35</v>
      </c>
      <c r="E174" s="22">
        <f t="shared" si="5"/>
        <v>29.05</v>
      </c>
      <c r="F174" s="22">
        <v>5</v>
      </c>
      <c r="G174" s="22" t="s">
        <v>116</v>
      </c>
    </row>
    <row r="175" spans="1:7" x14ac:dyDescent="0.3">
      <c r="A175" s="22">
        <v>8100092</v>
      </c>
      <c r="B175" s="22" t="s">
        <v>207</v>
      </c>
      <c r="C175" s="22" t="s">
        <v>35</v>
      </c>
      <c r="D175" s="22">
        <v>43.25</v>
      </c>
      <c r="E175" s="22">
        <f t="shared" si="5"/>
        <v>35.897500000000001</v>
      </c>
      <c r="F175" s="22">
        <v>5</v>
      </c>
      <c r="G175" s="22" t="s">
        <v>116</v>
      </c>
    </row>
    <row r="176" spans="1:7" x14ac:dyDescent="0.3">
      <c r="A176" s="23">
        <v>8100093</v>
      </c>
      <c r="B176" s="22" t="s">
        <v>208</v>
      </c>
      <c r="C176" s="22" t="s">
        <v>35</v>
      </c>
      <c r="D176" s="22">
        <v>63.25</v>
      </c>
      <c r="E176" s="22">
        <f t="shared" si="5"/>
        <v>52.497500000000002</v>
      </c>
      <c r="F176" s="22">
        <v>10</v>
      </c>
      <c r="G176" s="22" t="s">
        <v>116</v>
      </c>
    </row>
    <row r="177" spans="1:7" x14ac:dyDescent="0.3">
      <c r="A177" s="22">
        <v>8100094</v>
      </c>
      <c r="B177" s="22" t="s">
        <v>209</v>
      </c>
      <c r="C177" s="22" t="s">
        <v>35</v>
      </c>
      <c r="D177" s="22">
        <v>1882.25</v>
      </c>
      <c r="E177" s="22"/>
      <c r="F177" s="22">
        <v>3</v>
      </c>
      <c r="G177" s="22" t="s">
        <v>116</v>
      </c>
    </row>
    <row r="178" spans="1:7" x14ac:dyDescent="0.3">
      <c r="A178" s="23">
        <v>8100095</v>
      </c>
      <c r="B178" s="22" t="s">
        <v>210</v>
      </c>
      <c r="C178" s="22" t="s">
        <v>35</v>
      </c>
      <c r="D178" s="22">
        <v>2295.25</v>
      </c>
      <c r="E178" s="22"/>
      <c r="F178" s="22">
        <v>3</v>
      </c>
      <c r="G178" s="22" t="s">
        <v>116</v>
      </c>
    </row>
    <row r="179" spans="1:7" x14ac:dyDescent="0.3">
      <c r="A179" s="22">
        <v>8100096</v>
      </c>
      <c r="B179" s="22" t="s">
        <v>211</v>
      </c>
      <c r="C179" s="22" t="s">
        <v>35</v>
      </c>
      <c r="D179" s="22">
        <v>1156</v>
      </c>
      <c r="E179" s="22">
        <v>959.48</v>
      </c>
      <c r="F179" s="22">
        <v>3</v>
      </c>
      <c r="G179" s="22" t="s">
        <v>116</v>
      </c>
    </row>
    <row r="180" spans="1:7" x14ac:dyDescent="0.3">
      <c r="A180" s="23">
        <v>8100097</v>
      </c>
      <c r="B180" s="22" t="s">
        <v>212</v>
      </c>
      <c r="C180" s="22" t="s">
        <v>35</v>
      </c>
      <c r="D180" s="22">
        <v>245.75</v>
      </c>
      <c r="E180" s="22">
        <v>203.9725</v>
      </c>
      <c r="F180" s="22">
        <v>5</v>
      </c>
      <c r="G180" s="22" t="s">
        <v>116</v>
      </c>
    </row>
    <row r="181" spans="1:7" x14ac:dyDescent="0.3">
      <c r="A181" s="22">
        <v>8100098</v>
      </c>
      <c r="B181" s="22" t="s">
        <v>213</v>
      </c>
      <c r="C181" s="22" t="s">
        <v>35</v>
      </c>
      <c r="D181" s="22">
        <v>549.75</v>
      </c>
      <c r="E181" s="22">
        <v>456.29250000000002</v>
      </c>
      <c r="F181" s="22">
        <v>3</v>
      </c>
      <c r="G181" s="22" t="s">
        <v>116</v>
      </c>
    </row>
    <row r="182" spans="1:7" x14ac:dyDescent="0.3">
      <c r="A182" s="23">
        <v>8100099</v>
      </c>
      <c r="B182" s="22" t="s">
        <v>214</v>
      </c>
      <c r="C182" s="22" t="s">
        <v>35</v>
      </c>
      <c r="D182" s="22">
        <v>659.5</v>
      </c>
      <c r="E182" s="22">
        <f t="shared" ref="E182:E213" si="6">D182-D182*17%</f>
        <v>547.38499999999999</v>
      </c>
      <c r="F182" s="22">
        <v>3</v>
      </c>
      <c r="G182" s="22" t="s">
        <v>116</v>
      </c>
    </row>
    <row r="183" spans="1:7" x14ac:dyDescent="0.3">
      <c r="A183" s="22">
        <v>8100100</v>
      </c>
      <c r="B183" s="22" t="s">
        <v>215</v>
      </c>
      <c r="C183" s="22" t="s">
        <v>35</v>
      </c>
      <c r="D183" s="22">
        <v>549.75</v>
      </c>
      <c r="E183" s="22">
        <f t="shared" si="6"/>
        <v>456.29250000000002</v>
      </c>
      <c r="F183" s="22">
        <v>3</v>
      </c>
      <c r="G183" s="22" t="s">
        <v>116</v>
      </c>
    </row>
    <row r="184" spans="1:7" x14ac:dyDescent="0.3">
      <c r="A184" s="23">
        <v>8100101</v>
      </c>
      <c r="B184" s="22" t="s">
        <v>216</v>
      </c>
      <c r="C184" s="22" t="s">
        <v>35</v>
      </c>
      <c r="D184" s="22">
        <v>659.5</v>
      </c>
      <c r="E184" s="22">
        <f t="shared" si="6"/>
        <v>547.38499999999999</v>
      </c>
      <c r="F184" s="22">
        <v>3</v>
      </c>
      <c r="G184" s="22" t="s">
        <v>116</v>
      </c>
    </row>
    <row r="185" spans="1:7" x14ac:dyDescent="0.3">
      <c r="A185" s="22">
        <v>8100102</v>
      </c>
      <c r="B185" s="22" t="s">
        <v>217</v>
      </c>
      <c r="C185" s="22" t="s">
        <v>35</v>
      </c>
      <c r="D185" s="22">
        <v>549.75</v>
      </c>
      <c r="E185" s="22">
        <f t="shared" si="6"/>
        <v>456.29250000000002</v>
      </c>
      <c r="F185" s="22">
        <v>3</v>
      </c>
      <c r="G185" s="22" t="s">
        <v>116</v>
      </c>
    </row>
    <row r="186" spans="1:7" x14ac:dyDescent="0.3">
      <c r="A186" s="23">
        <v>8100103</v>
      </c>
      <c r="B186" s="22" t="s">
        <v>218</v>
      </c>
      <c r="C186" s="22" t="s">
        <v>35</v>
      </c>
      <c r="D186" s="22">
        <v>659.5</v>
      </c>
      <c r="E186" s="22">
        <f t="shared" si="6"/>
        <v>547.38499999999999</v>
      </c>
      <c r="F186" s="22">
        <v>3</v>
      </c>
      <c r="G186" s="22" t="s">
        <v>116</v>
      </c>
    </row>
    <row r="187" spans="1:7" x14ac:dyDescent="0.3">
      <c r="A187" s="22">
        <v>8100104</v>
      </c>
      <c r="B187" s="22" t="s">
        <v>219</v>
      </c>
      <c r="C187" s="22" t="s">
        <v>35</v>
      </c>
      <c r="D187" s="22">
        <v>549.75</v>
      </c>
      <c r="E187" s="22">
        <f t="shared" si="6"/>
        <v>456.29250000000002</v>
      </c>
      <c r="F187" s="22">
        <v>3</v>
      </c>
      <c r="G187" s="22" t="s">
        <v>116</v>
      </c>
    </row>
    <row r="188" spans="1:7" x14ac:dyDescent="0.3">
      <c r="A188" s="23">
        <v>8100105</v>
      </c>
      <c r="B188" s="22" t="s">
        <v>220</v>
      </c>
      <c r="C188" s="22" t="s">
        <v>35</v>
      </c>
      <c r="D188" s="22">
        <v>659.5</v>
      </c>
      <c r="E188" s="22">
        <f t="shared" si="6"/>
        <v>547.38499999999999</v>
      </c>
      <c r="F188" s="22">
        <v>3</v>
      </c>
      <c r="G188" s="22" t="s">
        <v>116</v>
      </c>
    </row>
    <row r="189" spans="1:7" x14ac:dyDescent="0.3">
      <c r="A189" s="22">
        <v>8100106</v>
      </c>
      <c r="B189" s="22" t="s">
        <v>221</v>
      </c>
      <c r="C189" s="22" t="s">
        <v>35</v>
      </c>
      <c r="D189" s="22">
        <v>549.75</v>
      </c>
      <c r="E189" s="22">
        <f t="shared" si="6"/>
        <v>456.29250000000002</v>
      </c>
      <c r="F189" s="22">
        <v>3</v>
      </c>
      <c r="G189" s="22" t="s">
        <v>116</v>
      </c>
    </row>
    <row r="190" spans="1:7" x14ac:dyDescent="0.3">
      <c r="A190" s="23">
        <v>8100107</v>
      </c>
      <c r="B190" s="22" t="s">
        <v>222</v>
      </c>
      <c r="C190" s="22" t="s">
        <v>35</v>
      </c>
      <c r="D190" s="22">
        <v>659.5</v>
      </c>
      <c r="E190" s="22">
        <f t="shared" si="6"/>
        <v>547.38499999999999</v>
      </c>
      <c r="F190" s="22">
        <v>3</v>
      </c>
      <c r="G190" s="22" t="s">
        <v>116</v>
      </c>
    </row>
    <row r="191" spans="1:7" x14ac:dyDescent="0.3">
      <c r="A191" s="22">
        <v>8100108</v>
      </c>
      <c r="B191" s="22" t="s">
        <v>223</v>
      </c>
      <c r="C191" s="22" t="s">
        <v>35</v>
      </c>
      <c r="D191" s="22">
        <v>549.75</v>
      </c>
      <c r="E191" s="22">
        <f t="shared" si="6"/>
        <v>456.29250000000002</v>
      </c>
      <c r="F191" s="22">
        <v>3</v>
      </c>
      <c r="G191" s="22" t="s">
        <v>116</v>
      </c>
    </row>
    <row r="192" spans="1:7" x14ac:dyDescent="0.3">
      <c r="A192" s="23">
        <v>8100109</v>
      </c>
      <c r="B192" s="22" t="s">
        <v>224</v>
      </c>
      <c r="C192" s="22" t="s">
        <v>35</v>
      </c>
      <c r="D192" s="22">
        <v>659.5</v>
      </c>
      <c r="E192" s="22">
        <f t="shared" si="6"/>
        <v>547.38499999999999</v>
      </c>
      <c r="F192" s="22">
        <v>3</v>
      </c>
      <c r="G192" s="22" t="s">
        <v>116</v>
      </c>
    </row>
    <row r="193" spans="1:7" x14ac:dyDescent="0.3">
      <c r="A193" s="22">
        <v>8100110</v>
      </c>
      <c r="B193" s="22" t="s">
        <v>225</v>
      </c>
      <c r="C193" s="22" t="s">
        <v>35</v>
      </c>
      <c r="D193" s="22">
        <v>549.75</v>
      </c>
      <c r="E193" s="22">
        <f t="shared" si="6"/>
        <v>456.29250000000002</v>
      </c>
      <c r="F193" s="22">
        <v>3</v>
      </c>
      <c r="G193" s="22" t="s">
        <v>116</v>
      </c>
    </row>
    <row r="194" spans="1:7" x14ac:dyDescent="0.3">
      <c r="A194" s="23">
        <v>8100111</v>
      </c>
      <c r="B194" s="22" t="s">
        <v>226</v>
      </c>
      <c r="C194" s="22" t="s">
        <v>35</v>
      </c>
      <c r="D194" s="22">
        <v>659.5</v>
      </c>
      <c r="E194" s="22">
        <f t="shared" si="6"/>
        <v>547.38499999999999</v>
      </c>
      <c r="F194" s="22">
        <v>3</v>
      </c>
      <c r="G194" s="22" t="s">
        <v>116</v>
      </c>
    </row>
    <row r="195" spans="1:7" x14ac:dyDescent="0.3">
      <c r="A195" s="22">
        <v>8100112</v>
      </c>
      <c r="B195" s="22" t="s">
        <v>227</v>
      </c>
      <c r="C195" s="22" t="s">
        <v>35</v>
      </c>
      <c r="D195" s="22">
        <v>1122.25</v>
      </c>
      <c r="E195" s="22">
        <f t="shared" si="6"/>
        <v>931.46749999999997</v>
      </c>
      <c r="F195" s="22">
        <v>3</v>
      </c>
      <c r="G195" s="22" t="s">
        <v>116</v>
      </c>
    </row>
    <row r="196" spans="1:7" x14ac:dyDescent="0.3">
      <c r="A196" s="23">
        <v>8100113</v>
      </c>
      <c r="B196" s="22" t="s">
        <v>175</v>
      </c>
      <c r="C196" s="22" t="s">
        <v>35</v>
      </c>
      <c r="D196" s="22">
        <v>294.5</v>
      </c>
      <c r="E196" s="22">
        <f t="shared" si="6"/>
        <v>244.435</v>
      </c>
      <c r="F196" s="22">
        <v>5</v>
      </c>
      <c r="G196" s="22" t="s">
        <v>116</v>
      </c>
    </row>
    <row r="197" spans="1:7" x14ac:dyDescent="0.3">
      <c r="A197" s="22">
        <v>8100114</v>
      </c>
      <c r="B197" s="22" t="s">
        <v>228</v>
      </c>
      <c r="C197" s="22" t="s">
        <v>35</v>
      </c>
      <c r="D197" s="22">
        <v>1163.25</v>
      </c>
      <c r="E197" s="22">
        <f t="shared" si="6"/>
        <v>965.49749999999995</v>
      </c>
      <c r="F197" s="22">
        <v>3</v>
      </c>
      <c r="G197" s="22" t="s">
        <v>116</v>
      </c>
    </row>
    <row r="198" spans="1:7" x14ac:dyDescent="0.3">
      <c r="A198" s="23">
        <v>8100115</v>
      </c>
      <c r="B198" s="22" t="s">
        <v>229</v>
      </c>
      <c r="C198" s="22" t="s">
        <v>35</v>
      </c>
      <c r="D198" s="22">
        <v>1348</v>
      </c>
      <c r="E198" s="22">
        <f t="shared" si="6"/>
        <v>1118.8399999999999</v>
      </c>
      <c r="F198" s="22">
        <v>3</v>
      </c>
      <c r="G198" s="22" t="s">
        <v>116</v>
      </c>
    </row>
    <row r="199" spans="1:7" x14ac:dyDescent="0.3">
      <c r="A199" s="22">
        <v>8100116</v>
      </c>
      <c r="B199" s="22" t="s">
        <v>230</v>
      </c>
      <c r="C199" s="22" t="s">
        <v>35</v>
      </c>
      <c r="D199" s="22">
        <v>1216</v>
      </c>
      <c r="E199" s="22">
        <f t="shared" si="6"/>
        <v>1009.28</v>
      </c>
      <c r="F199" s="22">
        <v>3</v>
      </c>
      <c r="G199" s="22" t="s">
        <v>116</v>
      </c>
    </row>
    <row r="200" spans="1:7" x14ac:dyDescent="0.3">
      <c r="A200" s="23">
        <v>8100117</v>
      </c>
      <c r="B200" s="22" t="s">
        <v>231</v>
      </c>
      <c r="C200" s="22" t="s">
        <v>35</v>
      </c>
      <c r="D200" s="22">
        <v>1454</v>
      </c>
      <c r="E200" s="22">
        <f t="shared" si="6"/>
        <v>1206.82</v>
      </c>
      <c r="F200" s="22">
        <v>3</v>
      </c>
      <c r="G200" s="22" t="s">
        <v>116</v>
      </c>
    </row>
    <row r="201" spans="1:7" x14ac:dyDescent="0.3">
      <c r="A201" s="22">
        <v>8100118</v>
      </c>
      <c r="B201" s="22" t="s">
        <v>232</v>
      </c>
      <c r="C201" s="22" t="s">
        <v>35</v>
      </c>
      <c r="D201" s="22">
        <v>1122.75</v>
      </c>
      <c r="E201" s="22">
        <f t="shared" si="6"/>
        <v>931.88249999999994</v>
      </c>
      <c r="F201" s="22">
        <v>3</v>
      </c>
      <c r="G201" s="22" t="s">
        <v>116</v>
      </c>
    </row>
    <row r="202" spans="1:7" x14ac:dyDescent="0.3">
      <c r="A202" s="23">
        <v>8100119</v>
      </c>
      <c r="B202" s="22" t="s">
        <v>233</v>
      </c>
      <c r="C202" s="22" t="s">
        <v>35</v>
      </c>
      <c r="D202" s="22">
        <v>1374.5</v>
      </c>
      <c r="E202" s="22">
        <f t="shared" si="6"/>
        <v>1140.835</v>
      </c>
      <c r="F202" s="22">
        <v>3</v>
      </c>
      <c r="G202" s="22" t="s">
        <v>116</v>
      </c>
    </row>
    <row r="203" spans="1:7" x14ac:dyDescent="0.3">
      <c r="A203" s="22">
        <v>8100120</v>
      </c>
      <c r="B203" s="22" t="s">
        <v>234</v>
      </c>
      <c r="C203" s="22" t="s">
        <v>35</v>
      </c>
      <c r="D203" s="22">
        <v>1242.25</v>
      </c>
      <c r="E203" s="22">
        <f t="shared" si="6"/>
        <v>1031.0675000000001</v>
      </c>
      <c r="F203" s="22">
        <v>3</v>
      </c>
      <c r="G203" s="22" t="s">
        <v>116</v>
      </c>
    </row>
    <row r="204" spans="1:7" x14ac:dyDescent="0.3">
      <c r="A204" s="23">
        <v>8100121</v>
      </c>
      <c r="B204" s="22" t="s">
        <v>235</v>
      </c>
      <c r="C204" s="22" t="s">
        <v>35</v>
      </c>
      <c r="D204" s="22">
        <v>1493.25</v>
      </c>
      <c r="E204" s="22">
        <f t="shared" si="6"/>
        <v>1239.3975</v>
      </c>
      <c r="F204" s="22">
        <v>3</v>
      </c>
      <c r="G204" s="22" t="s">
        <v>116</v>
      </c>
    </row>
    <row r="205" spans="1:7" x14ac:dyDescent="0.3">
      <c r="A205" s="22">
        <v>8100122</v>
      </c>
      <c r="B205" s="22" t="s">
        <v>236</v>
      </c>
      <c r="C205" s="22" t="s">
        <v>35</v>
      </c>
      <c r="D205" s="22">
        <v>1794</v>
      </c>
      <c r="E205" s="22">
        <f t="shared" si="6"/>
        <v>1489.02</v>
      </c>
      <c r="F205" s="22">
        <v>3</v>
      </c>
      <c r="G205" s="22" t="s">
        <v>116</v>
      </c>
    </row>
    <row r="206" spans="1:7" x14ac:dyDescent="0.3">
      <c r="A206" s="23">
        <v>8100123</v>
      </c>
      <c r="B206" s="22" t="s">
        <v>237</v>
      </c>
      <c r="C206" s="22" t="s">
        <v>35</v>
      </c>
      <c r="D206" s="22">
        <v>606</v>
      </c>
      <c r="E206" s="22">
        <f t="shared" si="6"/>
        <v>502.98</v>
      </c>
      <c r="F206" s="22">
        <v>3</v>
      </c>
      <c r="G206" s="22" t="s">
        <v>116</v>
      </c>
    </row>
    <row r="207" spans="1:7" x14ac:dyDescent="0.3">
      <c r="A207" s="22">
        <v>8100124</v>
      </c>
      <c r="B207" s="22" t="s">
        <v>238</v>
      </c>
      <c r="C207" s="22" t="s">
        <v>35</v>
      </c>
      <c r="D207" s="22">
        <v>2126.5</v>
      </c>
      <c r="E207" s="22">
        <f t="shared" si="6"/>
        <v>1764.9949999999999</v>
      </c>
      <c r="F207" s="22">
        <v>3</v>
      </c>
      <c r="G207" s="22" t="s">
        <v>116</v>
      </c>
    </row>
    <row r="208" spans="1:7" x14ac:dyDescent="0.3">
      <c r="A208" s="23">
        <v>8100125</v>
      </c>
      <c r="B208" s="22" t="s">
        <v>239</v>
      </c>
      <c r="C208" s="22" t="s">
        <v>35</v>
      </c>
      <c r="D208" s="22">
        <v>529</v>
      </c>
      <c r="E208" s="22">
        <f t="shared" si="6"/>
        <v>439.07</v>
      </c>
      <c r="F208" s="22">
        <v>3</v>
      </c>
      <c r="G208" s="22" t="s">
        <v>116</v>
      </c>
    </row>
    <row r="209" spans="1:7" x14ac:dyDescent="0.3">
      <c r="A209" s="22">
        <v>8100126</v>
      </c>
      <c r="B209" s="22" t="s">
        <v>240</v>
      </c>
      <c r="C209" s="22" t="s">
        <v>35</v>
      </c>
      <c r="D209" s="22">
        <v>459.75</v>
      </c>
      <c r="E209" s="22">
        <f t="shared" si="6"/>
        <v>381.59249999999997</v>
      </c>
      <c r="F209" s="22">
        <v>5</v>
      </c>
      <c r="G209" s="22" t="s">
        <v>116</v>
      </c>
    </row>
    <row r="210" spans="1:7" x14ac:dyDescent="0.3">
      <c r="A210" s="23">
        <v>8100127</v>
      </c>
      <c r="B210" s="22" t="s">
        <v>241</v>
      </c>
      <c r="C210" s="22" t="s">
        <v>35</v>
      </c>
      <c r="D210" s="22">
        <v>804.25</v>
      </c>
      <c r="E210" s="22">
        <f t="shared" si="6"/>
        <v>667.52750000000003</v>
      </c>
      <c r="F210" s="22">
        <v>3</v>
      </c>
      <c r="G210" s="22" t="s">
        <v>116</v>
      </c>
    </row>
    <row r="211" spans="1:7" x14ac:dyDescent="0.3">
      <c r="A211" s="22">
        <v>8100128</v>
      </c>
      <c r="B211" s="22" t="s">
        <v>242</v>
      </c>
      <c r="C211" s="22" t="s">
        <v>35</v>
      </c>
      <c r="D211" s="22">
        <v>1156</v>
      </c>
      <c r="E211" s="22">
        <f t="shared" si="6"/>
        <v>959.48</v>
      </c>
      <c r="F211" s="22">
        <v>3</v>
      </c>
      <c r="G211" s="22" t="s">
        <v>116</v>
      </c>
    </row>
    <row r="212" spans="1:7" x14ac:dyDescent="0.3">
      <c r="A212" s="23">
        <v>8100129</v>
      </c>
      <c r="B212" s="22" t="s">
        <v>243</v>
      </c>
      <c r="C212" s="22" t="s">
        <v>35</v>
      </c>
      <c r="D212" s="22">
        <v>1353.75</v>
      </c>
      <c r="E212" s="22">
        <f t="shared" si="6"/>
        <v>1123.6125</v>
      </c>
      <c r="F212" s="22">
        <v>3</v>
      </c>
      <c r="G212" s="22" t="s">
        <v>116</v>
      </c>
    </row>
    <row r="213" spans="1:7" x14ac:dyDescent="0.3">
      <c r="A213" s="22">
        <v>8100130</v>
      </c>
      <c r="B213" s="22" t="s">
        <v>244</v>
      </c>
      <c r="C213" s="22" t="s">
        <v>35</v>
      </c>
      <c r="D213" s="22">
        <v>1156</v>
      </c>
      <c r="E213" s="22">
        <f t="shared" si="6"/>
        <v>959.48</v>
      </c>
      <c r="F213" s="22">
        <v>3</v>
      </c>
      <c r="G213" s="22" t="s">
        <v>116</v>
      </c>
    </row>
    <row r="214" spans="1:7" x14ac:dyDescent="0.3">
      <c r="A214" s="23">
        <v>8100131</v>
      </c>
      <c r="B214" s="22" t="s">
        <v>245</v>
      </c>
      <c r="C214" s="22" t="s">
        <v>35</v>
      </c>
      <c r="D214" s="22">
        <v>1353.75</v>
      </c>
      <c r="E214" s="22">
        <f t="shared" ref="E214:E245" si="7">D214-D214*17%</f>
        <v>1123.6125</v>
      </c>
      <c r="F214" s="22">
        <v>3</v>
      </c>
      <c r="G214" s="22" t="s">
        <v>116</v>
      </c>
    </row>
    <row r="215" spans="1:7" x14ac:dyDescent="0.3">
      <c r="A215" s="22">
        <v>8100132</v>
      </c>
      <c r="B215" s="22" t="s">
        <v>246</v>
      </c>
      <c r="C215" s="22" t="s">
        <v>35</v>
      </c>
      <c r="D215" s="22">
        <v>1188.75</v>
      </c>
      <c r="E215" s="22">
        <f t="shared" si="7"/>
        <v>986.66250000000002</v>
      </c>
      <c r="F215" s="22">
        <v>3</v>
      </c>
      <c r="G215" s="22" t="s">
        <v>116</v>
      </c>
    </row>
    <row r="216" spans="1:7" x14ac:dyDescent="0.3">
      <c r="A216" s="23">
        <v>8100133</v>
      </c>
      <c r="B216" s="22" t="s">
        <v>247</v>
      </c>
      <c r="C216" s="22" t="s">
        <v>35</v>
      </c>
      <c r="D216" s="22">
        <v>66.5</v>
      </c>
      <c r="E216" s="22">
        <f t="shared" si="7"/>
        <v>55.195</v>
      </c>
      <c r="F216" s="22">
        <v>5</v>
      </c>
      <c r="G216" s="22" t="s">
        <v>116</v>
      </c>
    </row>
    <row r="217" spans="1:7" x14ac:dyDescent="0.3">
      <c r="A217" s="22">
        <v>8100134</v>
      </c>
      <c r="B217" s="22" t="s">
        <v>248</v>
      </c>
      <c r="C217" s="22" t="s">
        <v>35</v>
      </c>
      <c r="D217" s="22">
        <v>227</v>
      </c>
      <c r="E217" s="22">
        <f t="shared" si="7"/>
        <v>188.41</v>
      </c>
      <c r="F217" s="22">
        <v>5</v>
      </c>
      <c r="G217" s="22" t="s">
        <v>116</v>
      </c>
    </row>
    <row r="218" spans="1:7" x14ac:dyDescent="0.3">
      <c r="A218" s="23">
        <v>8100135</v>
      </c>
      <c r="B218" s="22" t="s">
        <v>249</v>
      </c>
      <c r="C218" s="22" t="s">
        <v>35</v>
      </c>
      <c r="D218" s="22">
        <v>225</v>
      </c>
      <c r="E218" s="22">
        <f t="shared" si="7"/>
        <v>186.75</v>
      </c>
      <c r="F218" s="22">
        <v>5</v>
      </c>
      <c r="G218" s="22" t="s">
        <v>116</v>
      </c>
    </row>
    <row r="219" spans="1:7" x14ac:dyDescent="0.3">
      <c r="A219" s="22">
        <v>8100136</v>
      </c>
      <c r="B219" s="22" t="s">
        <v>250</v>
      </c>
      <c r="C219" s="22" t="s">
        <v>35</v>
      </c>
      <c r="D219" s="22">
        <v>292.5</v>
      </c>
      <c r="E219" s="22">
        <f t="shared" si="7"/>
        <v>242.77500000000001</v>
      </c>
      <c r="F219" s="22">
        <v>5</v>
      </c>
      <c r="G219" s="22" t="s">
        <v>116</v>
      </c>
    </row>
    <row r="220" spans="1:7" x14ac:dyDescent="0.3">
      <c r="A220" s="23">
        <v>8100137</v>
      </c>
      <c r="B220" s="22" t="s">
        <v>251</v>
      </c>
      <c r="C220" s="22" t="s">
        <v>35</v>
      </c>
      <c r="D220" s="22">
        <v>290</v>
      </c>
      <c r="E220" s="22">
        <f t="shared" si="7"/>
        <v>240.7</v>
      </c>
      <c r="F220" s="22">
        <v>5</v>
      </c>
      <c r="G220" s="22" t="s">
        <v>116</v>
      </c>
    </row>
    <row r="221" spans="1:7" x14ac:dyDescent="0.3">
      <c r="A221" s="22">
        <v>8100138</v>
      </c>
      <c r="B221" s="22" t="s">
        <v>252</v>
      </c>
      <c r="C221" s="22" t="s">
        <v>35</v>
      </c>
      <c r="D221" s="22">
        <v>1156</v>
      </c>
      <c r="E221" s="22">
        <f t="shared" si="7"/>
        <v>959.48</v>
      </c>
      <c r="F221" s="22">
        <v>3</v>
      </c>
      <c r="G221" s="22" t="s">
        <v>116</v>
      </c>
    </row>
    <row r="222" spans="1:7" x14ac:dyDescent="0.3">
      <c r="A222" s="23">
        <v>8100139</v>
      </c>
      <c r="B222" s="22" t="s">
        <v>253</v>
      </c>
      <c r="C222" s="22" t="s">
        <v>35</v>
      </c>
      <c r="D222" s="22">
        <v>1156</v>
      </c>
      <c r="E222" s="22">
        <f t="shared" si="7"/>
        <v>959.48</v>
      </c>
      <c r="F222" s="22">
        <v>3</v>
      </c>
      <c r="G222" s="22" t="s">
        <v>116</v>
      </c>
    </row>
    <row r="223" spans="1:7" x14ac:dyDescent="0.3">
      <c r="A223" s="22">
        <v>8100140</v>
      </c>
      <c r="B223" s="22" t="s">
        <v>254</v>
      </c>
      <c r="C223" s="22" t="s">
        <v>35</v>
      </c>
      <c r="D223" s="22">
        <v>1156</v>
      </c>
      <c r="E223" s="22">
        <f t="shared" si="7"/>
        <v>959.48</v>
      </c>
      <c r="F223" s="22">
        <v>3</v>
      </c>
      <c r="G223" s="22" t="s">
        <v>116</v>
      </c>
    </row>
    <row r="224" spans="1:7" x14ac:dyDescent="0.3">
      <c r="A224" s="23">
        <v>8100141</v>
      </c>
      <c r="B224" s="22" t="s">
        <v>255</v>
      </c>
      <c r="C224" s="22" t="s">
        <v>35</v>
      </c>
      <c r="D224" s="22">
        <v>1156</v>
      </c>
      <c r="E224" s="22">
        <f t="shared" si="7"/>
        <v>959.48</v>
      </c>
      <c r="F224" s="22">
        <v>3</v>
      </c>
      <c r="G224" s="22" t="s">
        <v>116</v>
      </c>
    </row>
    <row r="225" spans="1:7" x14ac:dyDescent="0.3">
      <c r="A225" s="22">
        <v>8100142</v>
      </c>
      <c r="B225" s="22" t="s">
        <v>256</v>
      </c>
      <c r="C225" s="22" t="s">
        <v>35</v>
      </c>
      <c r="D225" s="22">
        <v>1156</v>
      </c>
      <c r="E225" s="22">
        <f t="shared" si="7"/>
        <v>959.48</v>
      </c>
      <c r="F225" s="22">
        <v>3</v>
      </c>
      <c r="G225" s="22" t="s">
        <v>116</v>
      </c>
    </row>
    <row r="226" spans="1:7" x14ac:dyDescent="0.3">
      <c r="A226" s="23">
        <v>8100143</v>
      </c>
      <c r="B226" s="22" t="s">
        <v>257</v>
      </c>
      <c r="C226" s="22" t="s">
        <v>35</v>
      </c>
      <c r="D226" s="22">
        <v>1353.75</v>
      </c>
      <c r="E226" s="22">
        <f t="shared" si="7"/>
        <v>1123.6125</v>
      </c>
      <c r="F226" s="22">
        <v>3</v>
      </c>
      <c r="G226" s="22" t="s">
        <v>116</v>
      </c>
    </row>
    <row r="227" spans="1:7" x14ac:dyDescent="0.3">
      <c r="A227" s="22">
        <v>8100144</v>
      </c>
      <c r="B227" s="22" t="s">
        <v>258</v>
      </c>
      <c r="C227" s="22" t="s">
        <v>35</v>
      </c>
      <c r="D227" s="22">
        <v>1353.75</v>
      </c>
      <c r="E227" s="22">
        <f t="shared" si="7"/>
        <v>1123.6125</v>
      </c>
      <c r="F227" s="22">
        <v>3</v>
      </c>
      <c r="G227" s="22" t="s">
        <v>116</v>
      </c>
    </row>
    <row r="228" spans="1:7" x14ac:dyDescent="0.3">
      <c r="A228" s="23">
        <v>8100145</v>
      </c>
      <c r="B228" s="22" t="s">
        <v>259</v>
      </c>
      <c r="C228" s="22" t="s">
        <v>35</v>
      </c>
      <c r="D228" s="22">
        <v>1353.75</v>
      </c>
      <c r="E228" s="22">
        <f t="shared" si="7"/>
        <v>1123.6125</v>
      </c>
      <c r="F228" s="22">
        <v>3</v>
      </c>
      <c r="G228" s="22" t="s">
        <v>116</v>
      </c>
    </row>
    <row r="229" spans="1:7" x14ac:dyDescent="0.3">
      <c r="A229" s="22">
        <v>8100146</v>
      </c>
      <c r="B229" s="22" t="s">
        <v>260</v>
      </c>
      <c r="C229" s="22" t="s">
        <v>35</v>
      </c>
      <c r="D229" s="22">
        <v>1353.75</v>
      </c>
      <c r="E229" s="22">
        <f t="shared" si="7"/>
        <v>1123.6125</v>
      </c>
      <c r="F229" s="22">
        <v>3</v>
      </c>
      <c r="G229" s="22" t="s">
        <v>116</v>
      </c>
    </row>
    <row r="230" spans="1:7" x14ac:dyDescent="0.3">
      <c r="A230" s="23">
        <v>8100147</v>
      </c>
      <c r="B230" s="22" t="s">
        <v>261</v>
      </c>
      <c r="C230" s="22" t="s">
        <v>35</v>
      </c>
      <c r="D230" s="22">
        <v>1353.75</v>
      </c>
      <c r="E230" s="22">
        <f t="shared" si="7"/>
        <v>1123.6125</v>
      </c>
      <c r="F230" s="22">
        <v>3</v>
      </c>
      <c r="G230" s="22" t="s">
        <v>116</v>
      </c>
    </row>
    <row r="231" spans="1:7" x14ac:dyDescent="0.3">
      <c r="A231" s="22">
        <v>8100148</v>
      </c>
      <c r="B231" s="22" t="s">
        <v>262</v>
      </c>
      <c r="C231" s="22" t="s">
        <v>26</v>
      </c>
      <c r="D231" s="22">
        <v>278</v>
      </c>
      <c r="E231" s="22">
        <f t="shared" si="7"/>
        <v>230.74</v>
      </c>
      <c r="F231" s="22">
        <v>5</v>
      </c>
      <c r="G231" s="22" t="s">
        <v>116</v>
      </c>
    </row>
    <row r="232" spans="1:7" x14ac:dyDescent="0.3">
      <c r="A232" s="23">
        <v>8100149</v>
      </c>
      <c r="B232" s="22" t="s">
        <v>263</v>
      </c>
      <c r="C232" s="22" t="s">
        <v>26</v>
      </c>
      <c r="D232" s="22">
        <v>461.5</v>
      </c>
      <c r="E232" s="22">
        <f t="shared" si="7"/>
        <v>383.04499999999996</v>
      </c>
      <c r="F232" s="22">
        <v>3</v>
      </c>
      <c r="G232" s="22" t="s">
        <v>116</v>
      </c>
    </row>
    <row r="233" spans="1:7" x14ac:dyDescent="0.3">
      <c r="A233" s="22">
        <v>8100150</v>
      </c>
      <c r="B233" s="22" t="s">
        <v>264</v>
      </c>
      <c r="C233" s="22" t="s">
        <v>26</v>
      </c>
      <c r="D233" s="22">
        <v>570</v>
      </c>
      <c r="E233" s="22">
        <f t="shared" si="7"/>
        <v>473.1</v>
      </c>
      <c r="F233" s="22">
        <v>3</v>
      </c>
      <c r="G233" s="22" t="s">
        <v>116</v>
      </c>
    </row>
    <row r="234" spans="1:7" x14ac:dyDescent="0.3">
      <c r="A234" s="23">
        <v>8100151</v>
      </c>
      <c r="B234" s="22" t="s">
        <v>265</v>
      </c>
      <c r="C234" s="22" t="s">
        <v>35</v>
      </c>
      <c r="D234" s="22">
        <v>108.5</v>
      </c>
      <c r="E234" s="22">
        <f t="shared" si="7"/>
        <v>90.055000000000007</v>
      </c>
      <c r="F234" s="22">
        <v>8</v>
      </c>
      <c r="G234" s="22" t="s">
        <v>116</v>
      </c>
    </row>
    <row r="235" spans="1:7" x14ac:dyDescent="0.3">
      <c r="A235" s="22">
        <v>8100152</v>
      </c>
      <c r="B235" s="22" t="s">
        <v>266</v>
      </c>
      <c r="C235" s="22" t="s">
        <v>35</v>
      </c>
      <c r="D235" s="22">
        <v>211.75</v>
      </c>
      <c r="E235" s="22">
        <f t="shared" si="7"/>
        <v>175.7525</v>
      </c>
      <c r="F235" s="22">
        <v>3</v>
      </c>
      <c r="G235" s="22" t="s">
        <v>116</v>
      </c>
    </row>
    <row r="236" spans="1:7" x14ac:dyDescent="0.3">
      <c r="A236" s="23">
        <v>8100153</v>
      </c>
      <c r="B236" s="22" t="s">
        <v>267</v>
      </c>
      <c r="C236" s="22" t="s">
        <v>35</v>
      </c>
      <c r="D236" s="22">
        <v>336.25</v>
      </c>
      <c r="E236" s="22">
        <f t="shared" si="7"/>
        <v>279.08749999999998</v>
      </c>
      <c r="F236" s="22">
        <v>3</v>
      </c>
      <c r="G236" s="22" t="s">
        <v>116</v>
      </c>
    </row>
    <row r="237" spans="1:7" x14ac:dyDescent="0.3">
      <c r="A237" s="22">
        <v>8100154</v>
      </c>
      <c r="B237" s="22" t="s">
        <v>268</v>
      </c>
      <c r="C237" s="22" t="s">
        <v>35</v>
      </c>
      <c r="D237" s="22">
        <v>112.5</v>
      </c>
      <c r="E237" s="22">
        <f t="shared" si="7"/>
        <v>93.375</v>
      </c>
      <c r="F237" s="22">
        <v>8</v>
      </c>
      <c r="G237" s="22" t="s">
        <v>116</v>
      </c>
    </row>
    <row r="238" spans="1:7" x14ac:dyDescent="0.3">
      <c r="A238" s="23">
        <v>8100155</v>
      </c>
      <c r="B238" s="22" t="s">
        <v>269</v>
      </c>
      <c r="C238" s="22" t="s">
        <v>35</v>
      </c>
      <c r="D238" s="22">
        <v>233.5</v>
      </c>
      <c r="E238" s="22">
        <f t="shared" si="7"/>
        <v>193.80500000000001</v>
      </c>
      <c r="F238" s="22">
        <v>3</v>
      </c>
      <c r="G238" s="22" t="s">
        <v>116</v>
      </c>
    </row>
    <row r="239" spans="1:7" x14ac:dyDescent="0.3">
      <c r="A239" s="22">
        <v>8100156</v>
      </c>
      <c r="B239" s="22" t="s">
        <v>270</v>
      </c>
      <c r="C239" s="22" t="s">
        <v>35</v>
      </c>
      <c r="D239" s="22">
        <v>340.75</v>
      </c>
      <c r="E239" s="22">
        <f t="shared" si="7"/>
        <v>282.82249999999999</v>
      </c>
      <c r="F239" s="22">
        <v>3</v>
      </c>
      <c r="G239" s="22" t="s">
        <v>116</v>
      </c>
    </row>
    <row r="240" spans="1:7" x14ac:dyDescent="0.3">
      <c r="A240" s="23">
        <v>8100157</v>
      </c>
      <c r="B240" s="22" t="s">
        <v>271</v>
      </c>
      <c r="C240" s="22" t="s">
        <v>35</v>
      </c>
      <c r="D240" s="22">
        <v>112.5</v>
      </c>
      <c r="E240" s="22">
        <f t="shared" si="7"/>
        <v>93.375</v>
      </c>
      <c r="F240" s="22">
        <v>8</v>
      </c>
      <c r="G240" s="22" t="s">
        <v>116</v>
      </c>
    </row>
    <row r="241" spans="1:7" x14ac:dyDescent="0.3">
      <c r="A241" s="22">
        <v>8100158</v>
      </c>
      <c r="B241" s="22" t="s">
        <v>272</v>
      </c>
      <c r="C241" s="22" t="s">
        <v>35</v>
      </c>
      <c r="D241" s="22">
        <v>246.5</v>
      </c>
      <c r="E241" s="22">
        <f t="shared" si="7"/>
        <v>204.595</v>
      </c>
      <c r="F241" s="22">
        <v>3</v>
      </c>
      <c r="G241" s="22" t="s">
        <v>116</v>
      </c>
    </row>
    <row r="242" spans="1:7" x14ac:dyDescent="0.3">
      <c r="A242" s="23">
        <v>8100159</v>
      </c>
      <c r="B242" s="22" t="s">
        <v>273</v>
      </c>
      <c r="C242" s="22" t="s">
        <v>35</v>
      </c>
      <c r="D242" s="22">
        <v>289.5</v>
      </c>
      <c r="E242" s="22">
        <f t="shared" si="7"/>
        <v>240.285</v>
      </c>
      <c r="F242" s="22">
        <v>3</v>
      </c>
      <c r="G242" s="22" t="s">
        <v>116</v>
      </c>
    </row>
    <row r="243" spans="1:7" x14ac:dyDescent="0.3">
      <c r="A243" s="22">
        <v>8100160</v>
      </c>
      <c r="B243" s="22" t="s">
        <v>274</v>
      </c>
      <c r="C243" s="22" t="s">
        <v>35</v>
      </c>
      <c r="D243" s="22">
        <v>185.75</v>
      </c>
      <c r="E243" s="22">
        <f t="shared" si="7"/>
        <v>154.17250000000001</v>
      </c>
      <c r="F243" s="22">
        <v>8</v>
      </c>
      <c r="G243" s="22" t="s">
        <v>116</v>
      </c>
    </row>
    <row r="244" spans="1:7" x14ac:dyDescent="0.3">
      <c r="A244" s="23">
        <v>8100161</v>
      </c>
      <c r="B244" s="22" t="s">
        <v>275</v>
      </c>
      <c r="C244" s="22" t="s">
        <v>35</v>
      </c>
      <c r="D244" s="22">
        <v>194</v>
      </c>
      <c r="E244" s="22">
        <f t="shared" si="7"/>
        <v>161.01999999999998</v>
      </c>
      <c r="F244" s="22">
        <v>8</v>
      </c>
      <c r="G244" s="22" t="s">
        <v>116</v>
      </c>
    </row>
    <row r="245" spans="1:7" x14ac:dyDescent="0.3">
      <c r="A245" s="22">
        <v>8100162</v>
      </c>
      <c r="B245" s="22" t="s">
        <v>276</v>
      </c>
      <c r="C245" s="22" t="s">
        <v>35</v>
      </c>
      <c r="D245" s="22">
        <v>349</v>
      </c>
      <c r="E245" s="22">
        <f t="shared" si="7"/>
        <v>289.67</v>
      </c>
      <c r="F245" s="22">
        <v>3</v>
      </c>
      <c r="G245" s="22" t="s">
        <v>116</v>
      </c>
    </row>
    <row r="246" spans="1:7" x14ac:dyDescent="0.3">
      <c r="A246" s="23">
        <v>8100163</v>
      </c>
      <c r="B246" s="22" t="s">
        <v>277</v>
      </c>
      <c r="C246" s="22" t="s">
        <v>35</v>
      </c>
      <c r="D246" s="22">
        <v>432</v>
      </c>
      <c r="E246" s="22">
        <f t="shared" ref="E246:E277" si="8">D246-D246*17%</f>
        <v>358.56</v>
      </c>
      <c r="F246" s="22">
        <v>3</v>
      </c>
      <c r="G246" s="22" t="s">
        <v>116</v>
      </c>
    </row>
    <row r="247" spans="1:7" x14ac:dyDescent="0.3">
      <c r="A247" s="22">
        <v>8100164</v>
      </c>
      <c r="B247" s="22" t="s">
        <v>278</v>
      </c>
      <c r="C247" s="22" t="s">
        <v>35</v>
      </c>
      <c r="D247" s="22">
        <v>524</v>
      </c>
      <c r="E247" s="22">
        <f t="shared" si="8"/>
        <v>434.91999999999996</v>
      </c>
      <c r="F247" s="22">
        <v>3</v>
      </c>
      <c r="G247" s="22" t="s">
        <v>116</v>
      </c>
    </row>
    <row r="248" spans="1:7" x14ac:dyDescent="0.3">
      <c r="A248" s="23">
        <v>8100165</v>
      </c>
      <c r="B248" s="22" t="s">
        <v>279</v>
      </c>
      <c r="C248" s="22" t="s">
        <v>35</v>
      </c>
      <c r="D248" s="22">
        <v>617.25</v>
      </c>
      <c r="E248" s="22">
        <f t="shared" si="8"/>
        <v>512.3175</v>
      </c>
      <c r="F248" s="22">
        <v>3</v>
      </c>
      <c r="G248" s="22" t="s">
        <v>116</v>
      </c>
    </row>
    <row r="249" spans="1:7" x14ac:dyDescent="0.3">
      <c r="A249" s="22">
        <v>8100166</v>
      </c>
      <c r="B249" s="22" t="s">
        <v>280</v>
      </c>
      <c r="C249" s="22" t="s">
        <v>35</v>
      </c>
      <c r="D249" s="22">
        <v>173.25</v>
      </c>
      <c r="E249" s="22">
        <f t="shared" si="8"/>
        <v>143.79750000000001</v>
      </c>
      <c r="F249" s="22">
        <v>8</v>
      </c>
      <c r="G249" s="22" t="s">
        <v>116</v>
      </c>
    </row>
    <row r="250" spans="1:7" x14ac:dyDescent="0.3">
      <c r="A250" s="23">
        <v>8100167</v>
      </c>
      <c r="B250" s="22" t="s">
        <v>281</v>
      </c>
      <c r="C250" s="22" t="s">
        <v>35</v>
      </c>
      <c r="D250" s="22">
        <v>183.75</v>
      </c>
      <c r="E250" s="22">
        <f t="shared" si="8"/>
        <v>152.51249999999999</v>
      </c>
      <c r="F250" s="22">
        <v>8</v>
      </c>
      <c r="G250" s="22" t="s">
        <v>116</v>
      </c>
    </row>
    <row r="251" spans="1:7" x14ac:dyDescent="0.3">
      <c r="A251" s="22">
        <v>8100168</v>
      </c>
      <c r="B251" s="22" t="s">
        <v>282</v>
      </c>
      <c r="C251" s="22" t="s">
        <v>35</v>
      </c>
      <c r="D251" s="22">
        <v>361</v>
      </c>
      <c r="E251" s="22">
        <f t="shared" si="8"/>
        <v>299.63</v>
      </c>
      <c r="F251" s="22">
        <v>3</v>
      </c>
      <c r="G251" s="22" t="s">
        <v>116</v>
      </c>
    </row>
    <row r="252" spans="1:7" x14ac:dyDescent="0.3">
      <c r="A252" s="23">
        <v>8100169</v>
      </c>
      <c r="B252" s="22" t="s">
        <v>283</v>
      </c>
      <c r="C252" s="22" t="s">
        <v>35</v>
      </c>
      <c r="D252" s="22">
        <v>422</v>
      </c>
      <c r="E252" s="22">
        <f t="shared" si="8"/>
        <v>350.26</v>
      </c>
      <c r="F252" s="22">
        <v>3</v>
      </c>
      <c r="G252" s="22" t="s">
        <v>116</v>
      </c>
    </row>
    <row r="253" spans="1:7" x14ac:dyDescent="0.3">
      <c r="A253" s="22">
        <v>8100170</v>
      </c>
      <c r="B253" s="22" t="s">
        <v>284</v>
      </c>
      <c r="C253" s="22" t="s">
        <v>35</v>
      </c>
      <c r="D253" s="22">
        <v>463.25</v>
      </c>
      <c r="E253" s="22">
        <f t="shared" si="8"/>
        <v>384.4975</v>
      </c>
      <c r="F253" s="22">
        <v>3</v>
      </c>
      <c r="G253" s="22" t="s">
        <v>116</v>
      </c>
    </row>
    <row r="254" spans="1:7" x14ac:dyDescent="0.3">
      <c r="A254" s="23">
        <v>8100171</v>
      </c>
      <c r="B254" s="22" t="s">
        <v>285</v>
      </c>
      <c r="C254" s="22" t="s">
        <v>35</v>
      </c>
      <c r="D254" s="22">
        <v>545</v>
      </c>
      <c r="E254" s="22">
        <f t="shared" si="8"/>
        <v>452.35</v>
      </c>
      <c r="F254" s="22">
        <v>3</v>
      </c>
      <c r="G254" s="22" t="s">
        <v>116</v>
      </c>
    </row>
    <row r="255" spans="1:7" x14ac:dyDescent="0.3">
      <c r="A255" s="22">
        <v>8100172</v>
      </c>
      <c r="B255" s="22" t="s">
        <v>286</v>
      </c>
      <c r="C255" s="22" t="s">
        <v>35</v>
      </c>
      <c r="D255" s="22">
        <v>248</v>
      </c>
      <c r="E255" s="22">
        <f t="shared" si="8"/>
        <v>205.84</v>
      </c>
      <c r="F255" s="22">
        <v>8</v>
      </c>
      <c r="G255" s="22" t="s">
        <v>116</v>
      </c>
    </row>
    <row r="256" spans="1:7" x14ac:dyDescent="0.3">
      <c r="A256" s="23">
        <v>8100173</v>
      </c>
      <c r="B256" s="22" t="s">
        <v>287</v>
      </c>
      <c r="C256" s="22" t="s">
        <v>35</v>
      </c>
      <c r="D256" s="22">
        <v>212</v>
      </c>
      <c r="E256" s="22">
        <f t="shared" si="8"/>
        <v>175.96</v>
      </c>
      <c r="F256" s="22">
        <v>8</v>
      </c>
      <c r="G256" s="22" t="s">
        <v>116</v>
      </c>
    </row>
    <row r="257" spans="1:7" x14ac:dyDescent="0.3">
      <c r="A257" s="22">
        <v>8100174</v>
      </c>
      <c r="B257" s="22" t="s">
        <v>288</v>
      </c>
      <c r="C257" s="22" t="s">
        <v>35</v>
      </c>
      <c r="D257" s="22">
        <v>439</v>
      </c>
      <c r="E257" s="22">
        <f t="shared" si="8"/>
        <v>364.37</v>
      </c>
      <c r="F257" s="22">
        <v>8</v>
      </c>
      <c r="G257" s="22" t="s">
        <v>116</v>
      </c>
    </row>
    <row r="258" spans="1:7" x14ac:dyDescent="0.3">
      <c r="A258" s="23">
        <v>8100175</v>
      </c>
      <c r="B258" s="22" t="s">
        <v>289</v>
      </c>
      <c r="C258" s="22" t="s">
        <v>35</v>
      </c>
      <c r="D258" s="22">
        <v>439</v>
      </c>
      <c r="E258" s="22">
        <f t="shared" si="8"/>
        <v>364.37</v>
      </c>
      <c r="F258" s="22">
        <v>8</v>
      </c>
      <c r="G258" s="22" t="s">
        <v>116</v>
      </c>
    </row>
    <row r="259" spans="1:7" x14ac:dyDescent="0.3">
      <c r="A259" s="22">
        <v>8100176</v>
      </c>
      <c r="B259" s="22" t="s">
        <v>290</v>
      </c>
      <c r="C259" s="22" t="s">
        <v>35</v>
      </c>
      <c r="D259" s="22">
        <v>195</v>
      </c>
      <c r="E259" s="22">
        <f t="shared" si="8"/>
        <v>161.85</v>
      </c>
      <c r="F259" s="22">
        <v>3</v>
      </c>
      <c r="G259" s="22" t="s">
        <v>116</v>
      </c>
    </row>
    <row r="260" spans="1:7" x14ac:dyDescent="0.3">
      <c r="A260" s="23">
        <v>8100177</v>
      </c>
      <c r="B260" s="22" t="s">
        <v>291</v>
      </c>
      <c r="C260" s="22" t="s">
        <v>35</v>
      </c>
      <c r="D260" s="22">
        <v>245.75</v>
      </c>
      <c r="E260" s="22">
        <f t="shared" si="8"/>
        <v>203.9725</v>
      </c>
      <c r="F260" s="22">
        <v>3</v>
      </c>
      <c r="G260" s="22" t="s">
        <v>116</v>
      </c>
    </row>
    <row r="261" spans="1:7" x14ac:dyDescent="0.3">
      <c r="A261" s="22">
        <v>8100178</v>
      </c>
      <c r="B261" s="22" t="s">
        <v>292</v>
      </c>
      <c r="C261" s="22" t="s">
        <v>35</v>
      </c>
      <c r="D261" s="22">
        <v>255.25</v>
      </c>
      <c r="E261" s="22">
        <f t="shared" si="8"/>
        <v>211.85749999999999</v>
      </c>
      <c r="F261" s="22">
        <v>3</v>
      </c>
      <c r="G261" s="22" t="s">
        <v>116</v>
      </c>
    </row>
    <row r="262" spans="1:7" x14ac:dyDescent="0.3">
      <c r="A262" s="23">
        <v>8100179</v>
      </c>
      <c r="B262" s="22" t="s">
        <v>293</v>
      </c>
      <c r="C262" s="22" t="s">
        <v>35</v>
      </c>
      <c r="D262" s="22">
        <v>274.25</v>
      </c>
      <c r="E262" s="22">
        <f t="shared" si="8"/>
        <v>227.6275</v>
      </c>
      <c r="F262" s="22">
        <v>5</v>
      </c>
      <c r="G262" s="22" t="s">
        <v>116</v>
      </c>
    </row>
    <row r="263" spans="1:7" x14ac:dyDescent="0.3">
      <c r="A263" s="22">
        <v>8100180</v>
      </c>
      <c r="B263" s="22" t="s">
        <v>294</v>
      </c>
      <c r="C263" s="22" t="s">
        <v>35</v>
      </c>
      <c r="D263" s="22">
        <v>187</v>
      </c>
      <c r="E263" s="22">
        <f t="shared" si="8"/>
        <v>155.21</v>
      </c>
      <c r="F263" s="22">
        <v>2</v>
      </c>
      <c r="G263" s="22" t="s">
        <v>116</v>
      </c>
    </row>
    <row r="264" spans="1:7" x14ac:dyDescent="0.3">
      <c r="A264" s="23">
        <v>8100181</v>
      </c>
      <c r="B264" s="22" t="s">
        <v>295</v>
      </c>
      <c r="C264" s="22" t="s">
        <v>35</v>
      </c>
      <c r="D264" s="22">
        <v>249.5</v>
      </c>
      <c r="E264" s="22">
        <f t="shared" si="8"/>
        <v>207.08499999999998</v>
      </c>
      <c r="F264" s="22">
        <v>2</v>
      </c>
      <c r="G264" s="22" t="s">
        <v>116</v>
      </c>
    </row>
    <row r="265" spans="1:7" x14ac:dyDescent="0.3">
      <c r="A265" s="22">
        <v>8200001</v>
      </c>
      <c r="B265" s="22" t="s">
        <v>296</v>
      </c>
      <c r="C265" s="22" t="s">
        <v>35</v>
      </c>
      <c r="D265" s="22">
        <v>56.5</v>
      </c>
      <c r="E265" s="22">
        <f t="shared" si="8"/>
        <v>46.894999999999996</v>
      </c>
      <c r="F265" s="22">
        <v>10</v>
      </c>
      <c r="G265" s="22" t="s">
        <v>297</v>
      </c>
    </row>
    <row r="266" spans="1:7" x14ac:dyDescent="0.3">
      <c r="A266" s="23">
        <v>8200002</v>
      </c>
      <c r="B266" s="22" t="s">
        <v>298</v>
      </c>
      <c r="C266" s="22" t="s">
        <v>35</v>
      </c>
      <c r="D266" s="22">
        <v>35.75</v>
      </c>
      <c r="E266" s="22">
        <f t="shared" si="8"/>
        <v>29.672499999999999</v>
      </c>
      <c r="F266" s="22">
        <v>10</v>
      </c>
      <c r="G266" s="22" t="s">
        <v>297</v>
      </c>
    </row>
    <row r="267" spans="1:7" x14ac:dyDescent="0.3">
      <c r="A267" s="22">
        <v>8200003</v>
      </c>
      <c r="B267" s="22" t="s">
        <v>299</v>
      </c>
      <c r="C267" s="22" t="s">
        <v>35</v>
      </c>
      <c r="D267" s="22">
        <v>39.25</v>
      </c>
      <c r="E267" s="22">
        <f t="shared" si="8"/>
        <v>32.577500000000001</v>
      </c>
      <c r="F267" s="22">
        <v>10</v>
      </c>
      <c r="G267" s="22" t="s">
        <v>297</v>
      </c>
    </row>
    <row r="268" spans="1:7" x14ac:dyDescent="0.3">
      <c r="A268" s="23">
        <v>8200004</v>
      </c>
      <c r="B268" s="22" t="s">
        <v>300</v>
      </c>
      <c r="C268" s="22" t="s">
        <v>35</v>
      </c>
      <c r="D268" s="22">
        <v>96.5</v>
      </c>
      <c r="E268" s="22">
        <f t="shared" si="8"/>
        <v>80.094999999999999</v>
      </c>
      <c r="F268" s="22">
        <v>10</v>
      </c>
      <c r="G268" s="22" t="s">
        <v>297</v>
      </c>
    </row>
    <row r="269" spans="1:7" x14ac:dyDescent="0.3">
      <c r="A269" s="22">
        <v>8200005</v>
      </c>
      <c r="B269" s="22" t="s">
        <v>301</v>
      </c>
      <c r="C269" s="22" t="s">
        <v>35</v>
      </c>
      <c r="D269" s="22">
        <v>131.5</v>
      </c>
      <c r="E269" s="22">
        <f t="shared" si="8"/>
        <v>109.145</v>
      </c>
      <c r="F269" s="22">
        <v>10</v>
      </c>
      <c r="G269" s="22" t="s">
        <v>297</v>
      </c>
    </row>
    <row r="270" spans="1:7" x14ac:dyDescent="0.3">
      <c r="A270" s="23">
        <v>8200006</v>
      </c>
      <c r="B270" s="22" t="s">
        <v>302</v>
      </c>
      <c r="C270" s="22" t="s">
        <v>35</v>
      </c>
      <c r="D270" s="22">
        <v>268.25</v>
      </c>
      <c r="E270" s="22">
        <f t="shared" si="8"/>
        <v>222.64749999999998</v>
      </c>
      <c r="F270" s="22">
        <v>5</v>
      </c>
      <c r="G270" s="22" t="s">
        <v>297</v>
      </c>
    </row>
    <row r="271" spans="1:7" x14ac:dyDescent="0.3">
      <c r="A271" s="22">
        <v>8200007</v>
      </c>
      <c r="B271" s="22" t="s">
        <v>303</v>
      </c>
      <c r="C271" s="22" t="s">
        <v>35</v>
      </c>
      <c r="D271" s="22">
        <v>15.25</v>
      </c>
      <c r="E271" s="22">
        <f t="shared" si="8"/>
        <v>12.657499999999999</v>
      </c>
      <c r="F271" s="22">
        <v>10</v>
      </c>
      <c r="G271" s="22" t="s">
        <v>297</v>
      </c>
    </row>
    <row r="272" spans="1:7" x14ac:dyDescent="0.3">
      <c r="A272" s="23">
        <v>8200008</v>
      </c>
      <c r="B272" s="22" t="s">
        <v>304</v>
      </c>
      <c r="C272" s="22" t="s">
        <v>35</v>
      </c>
      <c r="D272" s="22">
        <v>18.25</v>
      </c>
      <c r="E272" s="22">
        <f t="shared" si="8"/>
        <v>15.147500000000001</v>
      </c>
      <c r="F272" s="22">
        <v>10</v>
      </c>
      <c r="G272" s="22" t="s">
        <v>297</v>
      </c>
    </row>
    <row r="273" spans="1:7" x14ac:dyDescent="0.3">
      <c r="A273" s="22">
        <v>8200009</v>
      </c>
      <c r="B273" s="22" t="s">
        <v>305</v>
      </c>
      <c r="C273" s="22" t="s">
        <v>35</v>
      </c>
      <c r="D273" s="22">
        <v>18.75</v>
      </c>
      <c r="E273" s="22">
        <f t="shared" si="8"/>
        <v>15.5625</v>
      </c>
      <c r="F273" s="22">
        <v>10</v>
      </c>
      <c r="G273" s="22" t="s">
        <v>297</v>
      </c>
    </row>
    <row r="274" spans="1:7" x14ac:dyDescent="0.3">
      <c r="A274" s="23">
        <v>8200010</v>
      </c>
      <c r="B274" s="22" t="s">
        <v>306</v>
      </c>
      <c r="C274" s="22" t="s">
        <v>35</v>
      </c>
      <c r="D274" s="22">
        <v>28.5</v>
      </c>
      <c r="E274" s="22">
        <f t="shared" si="8"/>
        <v>23.655000000000001</v>
      </c>
      <c r="F274" s="22">
        <v>10</v>
      </c>
      <c r="G274" s="22" t="s">
        <v>297</v>
      </c>
    </row>
    <row r="275" spans="1:7" x14ac:dyDescent="0.3">
      <c r="A275" s="22">
        <v>8200011</v>
      </c>
      <c r="B275" s="22" t="s">
        <v>307</v>
      </c>
      <c r="C275" s="22" t="s">
        <v>35</v>
      </c>
      <c r="D275" s="22">
        <v>45.75</v>
      </c>
      <c r="E275" s="22">
        <f t="shared" si="8"/>
        <v>37.972499999999997</v>
      </c>
      <c r="F275" s="22">
        <v>10</v>
      </c>
      <c r="G275" s="22" t="s">
        <v>297</v>
      </c>
    </row>
    <row r="276" spans="1:7" x14ac:dyDescent="0.3">
      <c r="A276" s="23">
        <v>8200012</v>
      </c>
      <c r="B276" s="22" t="s">
        <v>308</v>
      </c>
      <c r="C276" s="22" t="s">
        <v>35</v>
      </c>
      <c r="D276" s="22">
        <v>79.75</v>
      </c>
      <c r="E276" s="22">
        <f t="shared" si="8"/>
        <v>66.192499999999995</v>
      </c>
      <c r="F276" s="22">
        <v>10</v>
      </c>
      <c r="G276" s="22" t="s">
        <v>297</v>
      </c>
    </row>
    <row r="277" spans="1:7" x14ac:dyDescent="0.3">
      <c r="A277" s="22">
        <v>8200013</v>
      </c>
      <c r="B277" s="22" t="s">
        <v>309</v>
      </c>
      <c r="C277" s="22" t="s">
        <v>35</v>
      </c>
      <c r="D277" s="22">
        <v>150.5</v>
      </c>
      <c r="E277" s="22">
        <f t="shared" si="8"/>
        <v>124.91499999999999</v>
      </c>
      <c r="F277" s="22">
        <v>8</v>
      </c>
      <c r="G277" s="22" t="s">
        <v>297</v>
      </c>
    </row>
    <row r="278" spans="1:7" x14ac:dyDescent="0.3">
      <c r="A278" s="23">
        <v>8200014</v>
      </c>
      <c r="B278" s="22" t="s">
        <v>310</v>
      </c>
      <c r="C278" s="22" t="s">
        <v>35</v>
      </c>
      <c r="D278" s="22">
        <v>377.75</v>
      </c>
      <c r="E278" s="22">
        <f t="shared" ref="E278:E299" si="9">D278-D278*17%</f>
        <v>313.53250000000003</v>
      </c>
      <c r="F278" s="22">
        <v>3</v>
      </c>
      <c r="G278" s="22" t="s">
        <v>297</v>
      </c>
    </row>
    <row r="279" spans="1:7" x14ac:dyDescent="0.3">
      <c r="A279" s="22">
        <v>8200015</v>
      </c>
      <c r="B279" s="22" t="s">
        <v>311</v>
      </c>
      <c r="C279" s="22" t="s">
        <v>35</v>
      </c>
      <c r="D279" s="22">
        <v>15.75</v>
      </c>
      <c r="E279" s="22">
        <f t="shared" si="9"/>
        <v>13.0725</v>
      </c>
      <c r="F279" s="22">
        <v>10</v>
      </c>
      <c r="G279" s="22" t="s">
        <v>297</v>
      </c>
    </row>
    <row r="280" spans="1:7" x14ac:dyDescent="0.3">
      <c r="A280" s="23">
        <v>8200016</v>
      </c>
      <c r="B280" s="22" t="s">
        <v>312</v>
      </c>
      <c r="C280" s="22" t="s">
        <v>35</v>
      </c>
      <c r="D280" s="22">
        <v>18.25</v>
      </c>
      <c r="E280" s="22">
        <f t="shared" si="9"/>
        <v>15.147500000000001</v>
      </c>
      <c r="F280" s="22">
        <v>10</v>
      </c>
      <c r="G280" s="22" t="s">
        <v>297</v>
      </c>
    </row>
    <row r="281" spans="1:7" x14ac:dyDescent="0.3">
      <c r="A281" s="22">
        <v>8200017</v>
      </c>
      <c r="B281" s="22" t="s">
        <v>313</v>
      </c>
      <c r="C281" s="22" t="s">
        <v>35</v>
      </c>
      <c r="D281" s="22">
        <v>18.75</v>
      </c>
      <c r="E281" s="22">
        <f t="shared" si="9"/>
        <v>15.5625</v>
      </c>
      <c r="F281" s="22">
        <v>10</v>
      </c>
      <c r="G281" s="22" t="s">
        <v>297</v>
      </c>
    </row>
    <row r="282" spans="1:7" x14ac:dyDescent="0.3">
      <c r="A282" s="23">
        <v>8200018</v>
      </c>
      <c r="B282" s="22" t="s">
        <v>314</v>
      </c>
      <c r="C282" s="22" t="s">
        <v>35</v>
      </c>
      <c r="D282" s="22">
        <v>34.25</v>
      </c>
      <c r="E282" s="22">
        <f t="shared" si="9"/>
        <v>28.427499999999998</v>
      </c>
      <c r="F282" s="22">
        <v>10</v>
      </c>
      <c r="G282" s="22" t="s">
        <v>297</v>
      </c>
    </row>
    <row r="283" spans="1:7" x14ac:dyDescent="0.3">
      <c r="A283" s="22">
        <v>8200019</v>
      </c>
      <c r="B283" s="22" t="s">
        <v>315</v>
      </c>
      <c r="C283" s="22" t="s">
        <v>35</v>
      </c>
      <c r="D283" s="22">
        <v>51.25</v>
      </c>
      <c r="E283" s="22">
        <f t="shared" si="9"/>
        <v>42.537500000000001</v>
      </c>
      <c r="F283" s="22">
        <v>10</v>
      </c>
      <c r="G283" s="22" t="s">
        <v>297</v>
      </c>
    </row>
    <row r="284" spans="1:7" x14ac:dyDescent="0.3">
      <c r="A284" s="23">
        <v>8200020</v>
      </c>
      <c r="B284" s="22" t="s">
        <v>316</v>
      </c>
      <c r="C284" s="22" t="s">
        <v>35</v>
      </c>
      <c r="D284" s="22">
        <v>52.5</v>
      </c>
      <c r="E284" s="22">
        <f t="shared" si="9"/>
        <v>43.575000000000003</v>
      </c>
      <c r="F284" s="22">
        <v>10</v>
      </c>
      <c r="G284" s="22" t="s">
        <v>297</v>
      </c>
    </row>
    <row r="285" spans="1:7" x14ac:dyDescent="0.3">
      <c r="A285" s="22">
        <v>8200021</v>
      </c>
      <c r="B285" s="22" t="s">
        <v>317</v>
      </c>
      <c r="C285" s="22" t="s">
        <v>35</v>
      </c>
      <c r="D285" s="22">
        <v>75.5</v>
      </c>
      <c r="E285" s="22">
        <f t="shared" si="9"/>
        <v>62.664999999999999</v>
      </c>
      <c r="F285" s="22">
        <v>10</v>
      </c>
      <c r="G285" s="22" t="s">
        <v>297</v>
      </c>
    </row>
    <row r="286" spans="1:7" x14ac:dyDescent="0.3">
      <c r="A286" s="23">
        <v>8200022</v>
      </c>
      <c r="B286" s="22" t="s">
        <v>318</v>
      </c>
      <c r="C286" s="22" t="s">
        <v>35</v>
      </c>
      <c r="D286" s="22">
        <v>104</v>
      </c>
      <c r="E286" s="22">
        <f t="shared" si="9"/>
        <v>86.32</v>
      </c>
      <c r="F286" s="22">
        <v>10</v>
      </c>
      <c r="G286" s="22" t="s">
        <v>297</v>
      </c>
    </row>
    <row r="287" spans="1:7" x14ac:dyDescent="0.3">
      <c r="A287" s="22">
        <v>8200023</v>
      </c>
      <c r="B287" s="22" t="s">
        <v>319</v>
      </c>
      <c r="C287" s="22" t="s">
        <v>35</v>
      </c>
      <c r="D287" s="22">
        <v>129</v>
      </c>
      <c r="E287" s="22">
        <f t="shared" si="9"/>
        <v>107.07</v>
      </c>
      <c r="F287" s="22">
        <v>8</v>
      </c>
      <c r="G287" s="22" t="s">
        <v>297</v>
      </c>
    </row>
    <row r="288" spans="1:7" x14ac:dyDescent="0.3">
      <c r="A288" s="23">
        <v>8200024</v>
      </c>
      <c r="B288" s="22" t="s">
        <v>320</v>
      </c>
      <c r="C288" s="22" t="s">
        <v>35</v>
      </c>
      <c r="D288" s="22">
        <v>310.75</v>
      </c>
      <c r="E288" s="22">
        <f t="shared" si="9"/>
        <v>257.92250000000001</v>
      </c>
      <c r="F288" s="22">
        <v>3</v>
      </c>
      <c r="G288" s="22" t="s">
        <v>297</v>
      </c>
    </row>
    <row r="289" spans="1:7" x14ac:dyDescent="0.3">
      <c r="A289" s="22">
        <v>8200025</v>
      </c>
      <c r="B289" s="22" t="s">
        <v>321</v>
      </c>
      <c r="C289" s="22" t="s">
        <v>35</v>
      </c>
      <c r="D289" s="22">
        <v>21</v>
      </c>
      <c r="E289" s="22">
        <f t="shared" si="9"/>
        <v>17.43</v>
      </c>
      <c r="F289" s="22">
        <v>10</v>
      </c>
      <c r="G289" s="22" t="s">
        <v>297</v>
      </c>
    </row>
    <row r="290" spans="1:7" x14ac:dyDescent="0.3">
      <c r="A290" s="23">
        <v>8200026</v>
      </c>
      <c r="B290" s="22" t="s">
        <v>322</v>
      </c>
      <c r="C290" s="22" t="s">
        <v>35</v>
      </c>
      <c r="D290" s="22">
        <v>66</v>
      </c>
      <c r="E290" s="22">
        <f t="shared" si="9"/>
        <v>54.78</v>
      </c>
      <c r="F290" s="22">
        <v>10</v>
      </c>
      <c r="G290" s="22" t="s">
        <v>297</v>
      </c>
    </row>
    <row r="291" spans="1:7" x14ac:dyDescent="0.3">
      <c r="A291" s="22">
        <v>8200027</v>
      </c>
      <c r="B291" s="22" t="s">
        <v>323</v>
      </c>
      <c r="C291" s="22" t="s">
        <v>35</v>
      </c>
      <c r="D291" s="22">
        <v>26</v>
      </c>
      <c r="E291" s="22">
        <f t="shared" si="9"/>
        <v>21.58</v>
      </c>
      <c r="F291" s="22">
        <v>10</v>
      </c>
      <c r="G291" s="22" t="s">
        <v>297</v>
      </c>
    </row>
    <row r="292" spans="1:7" x14ac:dyDescent="0.3">
      <c r="A292" s="23">
        <v>8200028</v>
      </c>
      <c r="B292" s="22" t="s">
        <v>324</v>
      </c>
      <c r="C292" s="22" t="s">
        <v>35</v>
      </c>
      <c r="D292" s="22">
        <v>27.75</v>
      </c>
      <c r="E292" s="22">
        <f t="shared" si="9"/>
        <v>23.032499999999999</v>
      </c>
      <c r="F292" s="22">
        <v>10</v>
      </c>
      <c r="G292" s="22" t="s">
        <v>297</v>
      </c>
    </row>
    <row r="293" spans="1:7" x14ac:dyDescent="0.3">
      <c r="A293" s="22">
        <v>8200029</v>
      </c>
      <c r="B293" s="22" t="s">
        <v>325</v>
      </c>
      <c r="C293" s="22" t="s">
        <v>35</v>
      </c>
      <c r="D293" s="22">
        <v>46</v>
      </c>
      <c r="E293" s="22">
        <f t="shared" si="9"/>
        <v>38.18</v>
      </c>
      <c r="F293" s="22">
        <v>10</v>
      </c>
      <c r="G293" s="22" t="s">
        <v>297</v>
      </c>
    </row>
    <row r="294" spans="1:7" x14ac:dyDescent="0.3">
      <c r="A294" s="23">
        <v>8200030</v>
      </c>
      <c r="B294" s="22" t="s">
        <v>326</v>
      </c>
      <c r="C294" s="22" t="s">
        <v>35</v>
      </c>
      <c r="D294" s="22">
        <v>58.5</v>
      </c>
      <c r="E294" s="22">
        <f t="shared" si="9"/>
        <v>48.555</v>
      </c>
      <c r="F294" s="22">
        <v>10</v>
      </c>
      <c r="G294" s="22" t="s">
        <v>297</v>
      </c>
    </row>
    <row r="295" spans="1:7" x14ac:dyDescent="0.3">
      <c r="A295" s="22">
        <v>8200031</v>
      </c>
      <c r="B295" s="22" t="s">
        <v>327</v>
      </c>
      <c r="C295" s="22" t="s">
        <v>35</v>
      </c>
      <c r="D295" s="22">
        <v>134.25</v>
      </c>
      <c r="E295" s="22">
        <f t="shared" si="9"/>
        <v>111.42749999999999</v>
      </c>
      <c r="F295" s="22">
        <v>10</v>
      </c>
      <c r="G295" s="22" t="s">
        <v>297</v>
      </c>
    </row>
    <row r="296" spans="1:7" x14ac:dyDescent="0.3">
      <c r="A296" s="23">
        <v>8200032</v>
      </c>
      <c r="B296" s="22" t="s">
        <v>328</v>
      </c>
      <c r="C296" s="22" t="s">
        <v>35</v>
      </c>
      <c r="D296" s="22">
        <v>219.25</v>
      </c>
      <c r="E296" s="22">
        <f t="shared" si="9"/>
        <v>181.97749999999999</v>
      </c>
      <c r="F296" s="22">
        <v>8</v>
      </c>
      <c r="G296" s="22" t="s">
        <v>297</v>
      </c>
    </row>
    <row r="297" spans="1:7" x14ac:dyDescent="0.3">
      <c r="A297" s="22">
        <v>8200033</v>
      </c>
      <c r="B297" s="22" t="s">
        <v>329</v>
      </c>
      <c r="C297" s="22" t="s">
        <v>35</v>
      </c>
      <c r="D297" s="22">
        <v>560.75</v>
      </c>
      <c r="E297" s="22">
        <f t="shared" si="9"/>
        <v>465.42250000000001</v>
      </c>
      <c r="F297" s="22">
        <v>3</v>
      </c>
      <c r="G297" s="22" t="s">
        <v>297</v>
      </c>
    </row>
    <row r="298" spans="1:7" x14ac:dyDescent="0.3">
      <c r="A298" s="23">
        <v>8200034</v>
      </c>
      <c r="B298" s="22" t="s">
        <v>330</v>
      </c>
      <c r="C298" s="22" t="s">
        <v>35</v>
      </c>
      <c r="D298" s="22">
        <v>24.75</v>
      </c>
      <c r="E298" s="22">
        <f t="shared" si="9"/>
        <v>20.5425</v>
      </c>
      <c r="F298" s="22">
        <v>10</v>
      </c>
      <c r="G298" s="22" t="s">
        <v>297</v>
      </c>
    </row>
    <row r="299" spans="1:7" x14ac:dyDescent="0.3">
      <c r="A299" s="22">
        <v>8200035</v>
      </c>
      <c r="B299" s="22" t="s">
        <v>331</v>
      </c>
      <c r="C299" s="22" t="s">
        <v>35</v>
      </c>
      <c r="D299" s="22">
        <v>30.25</v>
      </c>
      <c r="E299" s="22">
        <f t="shared" si="9"/>
        <v>25.107500000000002</v>
      </c>
      <c r="F299" s="22">
        <v>10</v>
      </c>
      <c r="G299" s="22" t="s">
        <v>297</v>
      </c>
    </row>
    <row r="300" spans="1:7" x14ac:dyDescent="0.3">
      <c r="A300" s="23">
        <v>8200036</v>
      </c>
      <c r="B300" s="22" t="s">
        <v>332</v>
      </c>
      <c r="C300" s="22" t="s">
        <v>35</v>
      </c>
      <c r="D300" s="22">
        <v>31</v>
      </c>
      <c r="E300" s="22">
        <v>25.73</v>
      </c>
      <c r="F300" s="22">
        <v>10</v>
      </c>
      <c r="G300" s="22" t="s">
        <v>297</v>
      </c>
    </row>
    <row r="301" spans="1:7" x14ac:dyDescent="0.3">
      <c r="A301" s="22">
        <v>8200037</v>
      </c>
      <c r="B301" s="22" t="s">
        <v>333</v>
      </c>
      <c r="C301" s="22" t="s">
        <v>35</v>
      </c>
      <c r="D301" s="22">
        <v>69</v>
      </c>
      <c r="E301" s="22">
        <f t="shared" ref="E301:E312" si="10">D301-D301*17%</f>
        <v>57.269999999999996</v>
      </c>
      <c r="F301" s="22">
        <v>10</v>
      </c>
      <c r="G301" s="22" t="s">
        <v>297</v>
      </c>
    </row>
    <row r="302" spans="1:7" x14ac:dyDescent="0.3">
      <c r="A302" s="23">
        <v>8200038</v>
      </c>
      <c r="B302" s="22" t="s">
        <v>334</v>
      </c>
      <c r="C302" s="22" t="s">
        <v>35</v>
      </c>
      <c r="D302" s="22">
        <v>86.75</v>
      </c>
      <c r="E302" s="22">
        <f t="shared" si="10"/>
        <v>72.002499999999998</v>
      </c>
      <c r="F302" s="22">
        <v>10</v>
      </c>
      <c r="G302" s="22" t="s">
        <v>297</v>
      </c>
    </row>
    <row r="303" spans="1:7" x14ac:dyDescent="0.3">
      <c r="A303" s="22">
        <v>8200039</v>
      </c>
      <c r="B303" s="22" t="s">
        <v>335</v>
      </c>
      <c r="C303" s="22" t="s">
        <v>35</v>
      </c>
      <c r="D303" s="22">
        <v>93.5</v>
      </c>
      <c r="E303" s="22">
        <f t="shared" si="10"/>
        <v>77.605000000000004</v>
      </c>
      <c r="F303" s="22">
        <v>10</v>
      </c>
      <c r="G303" s="22" t="s">
        <v>297</v>
      </c>
    </row>
    <row r="304" spans="1:7" x14ac:dyDescent="0.3">
      <c r="A304" s="23">
        <v>8200040</v>
      </c>
      <c r="B304" s="22" t="s">
        <v>336</v>
      </c>
      <c r="C304" s="22" t="s">
        <v>35</v>
      </c>
      <c r="D304" s="22">
        <v>154.5</v>
      </c>
      <c r="E304" s="22">
        <f t="shared" si="10"/>
        <v>128.23500000000001</v>
      </c>
      <c r="F304" s="22">
        <v>10</v>
      </c>
      <c r="G304" s="22" t="s">
        <v>297</v>
      </c>
    </row>
    <row r="305" spans="1:7" x14ac:dyDescent="0.3">
      <c r="A305" s="22">
        <v>8200041</v>
      </c>
      <c r="B305" s="22" t="s">
        <v>337</v>
      </c>
      <c r="C305" s="22" t="s">
        <v>35</v>
      </c>
      <c r="D305" s="22">
        <v>268.5</v>
      </c>
      <c r="E305" s="22">
        <f t="shared" si="10"/>
        <v>222.85499999999999</v>
      </c>
      <c r="F305" s="22">
        <v>8</v>
      </c>
      <c r="G305" s="22" t="s">
        <v>297</v>
      </c>
    </row>
    <row r="306" spans="1:7" x14ac:dyDescent="0.3">
      <c r="A306" s="23">
        <v>8200042</v>
      </c>
      <c r="B306" s="22" t="s">
        <v>338</v>
      </c>
      <c r="C306" s="22" t="s">
        <v>35</v>
      </c>
      <c r="D306" s="22">
        <v>812.75</v>
      </c>
      <c r="E306" s="22">
        <f t="shared" si="10"/>
        <v>674.58249999999998</v>
      </c>
      <c r="F306" s="22">
        <v>3</v>
      </c>
      <c r="G306" s="22" t="s">
        <v>297</v>
      </c>
    </row>
    <row r="307" spans="1:7" x14ac:dyDescent="0.3">
      <c r="A307" s="22">
        <v>8200043</v>
      </c>
      <c r="B307" s="22" t="s">
        <v>339</v>
      </c>
      <c r="C307" s="22" t="s">
        <v>35</v>
      </c>
      <c r="D307" s="22">
        <v>12</v>
      </c>
      <c r="E307" s="22">
        <f t="shared" si="10"/>
        <v>9.9600000000000009</v>
      </c>
      <c r="F307" s="22">
        <v>10</v>
      </c>
      <c r="G307" s="22" t="s">
        <v>297</v>
      </c>
    </row>
    <row r="308" spans="1:7" x14ac:dyDescent="0.3">
      <c r="A308" s="23">
        <v>8200044</v>
      </c>
      <c r="B308" s="22" t="s">
        <v>340</v>
      </c>
      <c r="C308" s="22" t="s">
        <v>35</v>
      </c>
      <c r="D308" s="22">
        <v>16</v>
      </c>
      <c r="E308" s="22">
        <f t="shared" si="10"/>
        <v>13.28</v>
      </c>
      <c r="F308" s="22">
        <v>20</v>
      </c>
      <c r="G308" s="22" t="s">
        <v>297</v>
      </c>
    </row>
    <row r="309" spans="1:7" x14ac:dyDescent="0.3">
      <c r="A309" s="22">
        <v>8200045</v>
      </c>
      <c r="B309" s="22" t="s">
        <v>341</v>
      </c>
      <c r="C309" s="22" t="s">
        <v>35</v>
      </c>
      <c r="D309" s="22">
        <v>17.25</v>
      </c>
      <c r="E309" s="22">
        <f t="shared" si="10"/>
        <v>14.317499999999999</v>
      </c>
      <c r="F309" s="22">
        <v>20</v>
      </c>
      <c r="G309" s="22" t="s">
        <v>297</v>
      </c>
    </row>
    <row r="310" spans="1:7" x14ac:dyDescent="0.3">
      <c r="A310" s="23">
        <v>8200046</v>
      </c>
      <c r="B310" s="22" t="s">
        <v>342</v>
      </c>
      <c r="C310" s="22" t="s">
        <v>35</v>
      </c>
      <c r="D310" s="22">
        <v>28.5</v>
      </c>
      <c r="E310" s="22">
        <f t="shared" si="10"/>
        <v>23.655000000000001</v>
      </c>
      <c r="F310" s="22">
        <v>10</v>
      </c>
      <c r="G310" s="22" t="s">
        <v>297</v>
      </c>
    </row>
    <row r="311" spans="1:7" x14ac:dyDescent="0.3">
      <c r="A311" s="22">
        <v>8200047</v>
      </c>
      <c r="B311" s="22" t="s">
        <v>343</v>
      </c>
      <c r="C311" s="22" t="s">
        <v>35</v>
      </c>
      <c r="D311" s="22">
        <v>36</v>
      </c>
      <c r="E311" s="22">
        <f t="shared" si="10"/>
        <v>29.88</v>
      </c>
      <c r="F311" s="22">
        <v>10</v>
      </c>
      <c r="G311" s="22" t="s">
        <v>297</v>
      </c>
    </row>
    <row r="312" spans="1:7" x14ac:dyDescent="0.3">
      <c r="A312" s="23">
        <v>8200048</v>
      </c>
      <c r="B312" s="22" t="s">
        <v>344</v>
      </c>
      <c r="C312" s="22" t="s">
        <v>35</v>
      </c>
      <c r="D312" s="22">
        <v>37.25</v>
      </c>
      <c r="E312" s="22">
        <f t="shared" si="10"/>
        <v>30.9175</v>
      </c>
      <c r="F312" s="22">
        <v>10</v>
      </c>
      <c r="G312" s="22" t="s">
        <v>297</v>
      </c>
    </row>
    <row r="313" spans="1:7" x14ac:dyDescent="0.3">
      <c r="A313" s="22">
        <v>8200049</v>
      </c>
      <c r="B313" s="22" t="s">
        <v>345</v>
      </c>
      <c r="C313" s="22" t="s">
        <v>35</v>
      </c>
      <c r="D313" s="22">
        <v>63.75</v>
      </c>
      <c r="E313" s="22">
        <v>52.912500000000001</v>
      </c>
      <c r="F313" s="22">
        <v>20</v>
      </c>
      <c r="G313" s="22" t="s">
        <v>297</v>
      </c>
    </row>
    <row r="314" spans="1:7" x14ac:dyDescent="0.3">
      <c r="A314" s="23">
        <v>8200050</v>
      </c>
      <c r="B314" s="22" t="s">
        <v>346</v>
      </c>
      <c r="C314" s="22" t="s">
        <v>35</v>
      </c>
      <c r="D314" s="22">
        <v>78</v>
      </c>
      <c r="E314" s="22">
        <v>64.739999999999995</v>
      </c>
      <c r="F314" s="22">
        <v>10</v>
      </c>
      <c r="G314" s="22" t="s">
        <v>297</v>
      </c>
    </row>
    <row r="315" spans="1:7" x14ac:dyDescent="0.3">
      <c r="A315" s="22">
        <v>8200051</v>
      </c>
      <c r="B315" s="22" t="s">
        <v>347</v>
      </c>
      <c r="C315" s="22" t="s">
        <v>35</v>
      </c>
      <c r="D315" s="22">
        <v>100</v>
      </c>
      <c r="E315" s="22">
        <v>83</v>
      </c>
      <c r="F315" s="22">
        <v>15</v>
      </c>
      <c r="G315" s="22" t="s">
        <v>297</v>
      </c>
    </row>
    <row r="316" spans="1:7" x14ac:dyDescent="0.3">
      <c r="A316" s="23">
        <v>8200052</v>
      </c>
      <c r="B316" s="22" t="s">
        <v>348</v>
      </c>
      <c r="C316" s="22" t="s">
        <v>35</v>
      </c>
      <c r="D316" s="22">
        <v>252</v>
      </c>
      <c r="E316" s="22">
        <v>209.16</v>
      </c>
      <c r="F316" s="22">
        <v>3</v>
      </c>
      <c r="G316" s="22" t="s">
        <v>297</v>
      </c>
    </row>
    <row r="317" spans="1:7" x14ac:dyDescent="0.3">
      <c r="A317" s="22">
        <v>8200053</v>
      </c>
      <c r="B317" s="22" t="s">
        <v>349</v>
      </c>
      <c r="C317" s="22" t="s">
        <v>35</v>
      </c>
      <c r="D317" s="22">
        <v>33</v>
      </c>
      <c r="E317" s="22">
        <v>27.39</v>
      </c>
      <c r="F317" s="22">
        <v>10</v>
      </c>
      <c r="G317" s="22" t="s">
        <v>297</v>
      </c>
    </row>
    <row r="318" spans="1:7" x14ac:dyDescent="0.3">
      <c r="A318" s="23">
        <v>8200054</v>
      </c>
      <c r="B318" s="22" t="s">
        <v>350</v>
      </c>
      <c r="C318" s="22" t="s">
        <v>35</v>
      </c>
      <c r="D318" s="22">
        <v>60.5</v>
      </c>
      <c r="E318" s="22">
        <v>50.215000000000003</v>
      </c>
      <c r="F318" s="22">
        <v>10</v>
      </c>
      <c r="G318" s="22" t="s">
        <v>297</v>
      </c>
    </row>
    <row r="319" spans="1:7" x14ac:dyDescent="0.3">
      <c r="A319" s="22">
        <v>8200055</v>
      </c>
      <c r="B319" s="22" t="s">
        <v>351</v>
      </c>
      <c r="C319" s="22" t="s">
        <v>35</v>
      </c>
      <c r="D319" s="22">
        <v>159.25</v>
      </c>
      <c r="E319" s="22">
        <v>132.17750000000001</v>
      </c>
      <c r="F319" s="22">
        <v>5</v>
      </c>
      <c r="G319" s="22" t="s">
        <v>297</v>
      </c>
    </row>
    <row r="320" spans="1:7" x14ac:dyDescent="0.3">
      <c r="A320" s="23">
        <v>8200056</v>
      </c>
      <c r="B320" s="22" t="s">
        <v>352</v>
      </c>
      <c r="C320" s="22" t="s">
        <v>35</v>
      </c>
      <c r="D320" s="22">
        <v>159.25</v>
      </c>
      <c r="E320" s="22">
        <v>132.17750000000001</v>
      </c>
      <c r="F320" s="22">
        <v>5</v>
      </c>
      <c r="G320" s="22" t="s">
        <v>297</v>
      </c>
    </row>
    <row r="321" spans="1:7" x14ac:dyDescent="0.3">
      <c r="A321" s="22">
        <v>8200057</v>
      </c>
      <c r="B321" s="22" t="s">
        <v>353</v>
      </c>
      <c r="C321" s="22" t="s">
        <v>35</v>
      </c>
      <c r="D321" s="22">
        <v>213.5</v>
      </c>
      <c r="E321" s="22">
        <v>177.20499999999998</v>
      </c>
      <c r="F321" s="22">
        <v>5</v>
      </c>
      <c r="G321" s="22" t="s">
        <v>297</v>
      </c>
    </row>
    <row r="322" spans="1:7" x14ac:dyDescent="0.3">
      <c r="A322" s="23">
        <v>8200058</v>
      </c>
      <c r="B322" s="22" t="s">
        <v>354</v>
      </c>
      <c r="C322" s="22" t="s">
        <v>35</v>
      </c>
      <c r="D322" s="22">
        <v>226</v>
      </c>
      <c r="E322" s="22">
        <v>187.57999999999998</v>
      </c>
      <c r="F322" s="22">
        <v>5</v>
      </c>
      <c r="G322" s="22" t="s">
        <v>297</v>
      </c>
    </row>
    <row r="323" spans="1:7" x14ac:dyDescent="0.3">
      <c r="A323" s="22">
        <v>8200059</v>
      </c>
      <c r="B323" s="22" t="s">
        <v>355</v>
      </c>
      <c r="C323" s="22" t="s">
        <v>35</v>
      </c>
      <c r="D323" s="22">
        <v>226</v>
      </c>
      <c r="E323" s="22">
        <v>187.57999999999998</v>
      </c>
      <c r="F323" s="22">
        <v>5</v>
      </c>
      <c r="G323" s="22" t="s">
        <v>297</v>
      </c>
    </row>
    <row r="324" spans="1:7" x14ac:dyDescent="0.3">
      <c r="A324" s="23">
        <v>8200060</v>
      </c>
      <c r="B324" s="22" t="s">
        <v>356</v>
      </c>
      <c r="C324" s="22" t="s">
        <v>35</v>
      </c>
      <c r="D324" s="22">
        <v>226</v>
      </c>
      <c r="E324" s="22">
        <v>187.57999999999998</v>
      </c>
      <c r="F324" s="22">
        <v>5</v>
      </c>
      <c r="G324" s="22" t="s">
        <v>297</v>
      </c>
    </row>
    <row r="325" spans="1:7" x14ac:dyDescent="0.3">
      <c r="A325" s="22">
        <v>8200061</v>
      </c>
      <c r="B325" s="22" t="s">
        <v>357</v>
      </c>
      <c r="C325" s="22" t="s">
        <v>35</v>
      </c>
      <c r="D325" s="22">
        <v>226</v>
      </c>
      <c r="E325" s="22">
        <v>187.57999999999998</v>
      </c>
      <c r="F325" s="22">
        <v>5</v>
      </c>
      <c r="G325" s="22" t="s">
        <v>297</v>
      </c>
    </row>
    <row r="326" spans="1:7" x14ac:dyDescent="0.3">
      <c r="A326" s="23">
        <v>8200062</v>
      </c>
      <c r="B326" s="22" t="s">
        <v>358</v>
      </c>
      <c r="C326" s="22" t="s">
        <v>35</v>
      </c>
      <c r="D326" s="22">
        <v>177.5</v>
      </c>
      <c r="E326" s="22">
        <v>147.32499999999999</v>
      </c>
      <c r="F326" s="22">
        <v>5</v>
      </c>
      <c r="G326" s="22" t="s">
        <v>297</v>
      </c>
    </row>
    <row r="327" spans="1:7" x14ac:dyDescent="0.3">
      <c r="A327" s="22">
        <v>8200063</v>
      </c>
      <c r="B327" s="22" t="s">
        <v>359</v>
      </c>
      <c r="C327" s="22" t="s">
        <v>35</v>
      </c>
      <c r="D327" s="22">
        <v>106.5</v>
      </c>
      <c r="E327" s="22">
        <v>88.394999999999996</v>
      </c>
      <c r="F327" s="22">
        <v>10</v>
      </c>
      <c r="G327" s="22" t="s">
        <v>297</v>
      </c>
    </row>
    <row r="328" spans="1:7" x14ac:dyDescent="0.3">
      <c r="A328" s="23">
        <v>8200064</v>
      </c>
      <c r="B328" s="22" t="s">
        <v>360</v>
      </c>
      <c r="C328" s="22" t="s">
        <v>35</v>
      </c>
      <c r="D328" s="22">
        <v>176.75</v>
      </c>
      <c r="E328" s="22">
        <v>146.70249999999999</v>
      </c>
      <c r="F328" s="22">
        <v>10</v>
      </c>
      <c r="G328" s="22" t="s">
        <v>297</v>
      </c>
    </row>
    <row r="329" spans="1:7" x14ac:dyDescent="0.3">
      <c r="A329" s="22">
        <v>8200065</v>
      </c>
      <c r="B329" s="22" t="s">
        <v>361</v>
      </c>
      <c r="C329" s="22" t="s">
        <v>35</v>
      </c>
      <c r="D329" s="22">
        <v>278.5</v>
      </c>
      <c r="E329" s="22">
        <v>231.155</v>
      </c>
      <c r="F329" s="22">
        <v>10</v>
      </c>
      <c r="G329" s="22" t="s">
        <v>297</v>
      </c>
    </row>
    <row r="330" spans="1:7" x14ac:dyDescent="0.3">
      <c r="A330" s="23">
        <v>8200066</v>
      </c>
      <c r="B330" s="22" t="s">
        <v>362</v>
      </c>
      <c r="C330" s="22" t="s">
        <v>35</v>
      </c>
      <c r="D330" s="22">
        <v>13.25</v>
      </c>
      <c r="E330" s="22">
        <v>10.9975</v>
      </c>
      <c r="F330" s="22">
        <v>10</v>
      </c>
      <c r="G330" s="22" t="s">
        <v>297</v>
      </c>
    </row>
    <row r="331" spans="1:7" x14ac:dyDescent="0.3">
      <c r="A331" s="22">
        <v>8200067</v>
      </c>
      <c r="B331" s="22" t="s">
        <v>363</v>
      </c>
      <c r="C331" s="22" t="s">
        <v>35</v>
      </c>
      <c r="D331" s="22">
        <v>17</v>
      </c>
      <c r="E331" s="22">
        <v>14.11</v>
      </c>
      <c r="F331" s="22">
        <v>10</v>
      </c>
      <c r="G331" s="22" t="s">
        <v>297</v>
      </c>
    </row>
    <row r="332" spans="1:7" x14ac:dyDescent="0.3">
      <c r="A332" s="23">
        <v>8200068</v>
      </c>
      <c r="B332" s="22" t="s">
        <v>364</v>
      </c>
      <c r="C332" s="22" t="s">
        <v>35</v>
      </c>
      <c r="D332" s="22">
        <v>17</v>
      </c>
      <c r="E332" s="22">
        <v>14.11</v>
      </c>
      <c r="F332" s="22">
        <v>10</v>
      </c>
      <c r="G332" s="22" t="s">
        <v>297</v>
      </c>
    </row>
    <row r="333" spans="1:7" x14ac:dyDescent="0.3">
      <c r="A333" s="22">
        <v>8200069</v>
      </c>
      <c r="B333" s="22" t="s">
        <v>365</v>
      </c>
      <c r="C333" s="22" t="s">
        <v>35</v>
      </c>
      <c r="D333" s="22">
        <v>51</v>
      </c>
      <c r="E333" s="22">
        <v>42.33</v>
      </c>
      <c r="F333" s="22">
        <v>10</v>
      </c>
      <c r="G333" s="22" t="s">
        <v>297</v>
      </c>
    </row>
    <row r="334" spans="1:7" x14ac:dyDescent="0.3">
      <c r="A334" s="23">
        <v>8200070</v>
      </c>
      <c r="B334" s="22" t="s">
        <v>366</v>
      </c>
      <c r="C334" s="22" t="s">
        <v>35</v>
      </c>
      <c r="D334" s="22">
        <v>61.25</v>
      </c>
      <c r="E334" s="22">
        <v>50.837499999999999</v>
      </c>
      <c r="F334" s="22">
        <v>10</v>
      </c>
      <c r="G334" s="22" t="s">
        <v>297</v>
      </c>
    </row>
    <row r="335" spans="1:7" x14ac:dyDescent="0.3">
      <c r="A335" s="22">
        <v>8200071</v>
      </c>
      <c r="B335" s="22" t="s">
        <v>367</v>
      </c>
      <c r="C335" s="22" t="s">
        <v>35</v>
      </c>
      <c r="D335" s="22">
        <v>75.75</v>
      </c>
      <c r="E335" s="22">
        <v>62.872500000000002</v>
      </c>
      <c r="F335" s="22">
        <v>10</v>
      </c>
      <c r="G335" s="22" t="s">
        <v>297</v>
      </c>
    </row>
    <row r="336" spans="1:7" x14ac:dyDescent="0.3">
      <c r="A336" s="23">
        <v>8200072</v>
      </c>
      <c r="B336" s="22" t="s">
        <v>368</v>
      </c>
      <c r="C336" s="22" t="s">
        <v>35</v>
      </c>
      <c r="D336" s="22">
        <v>134.25</v>
      </c>
      <c r="E336" s="22">
        <v>111.42749999999999</v>
      </c>
      <c r="F336" s="22">
        <v>5</v>
      </c>
      <c r="G336" s="22" t="s">
        <v>297</v>
      </c>
    </row>
    <row r="337" spans="1:7" x14ac:dyDescent="0.3">
      <c r="A337" s="22">
        <v>8200073</v>
      </c>
      <c r="B337" s="22" t="s">
        <v>369</v>
      </c>
      <c r="C337" s="22" t="s">
        <v>35</v>
      </c>
      <c r="D337" s="22">
        <v>188.75</v>
      </c>
      <c r="E337" s="22">
        <v>156.66249999999999</v>
      </c>
      <c r="F337" s="22">
        <v>3</v>
      </c>
      <c r="G337" s="22" t="s">
        <v>297</v>
      </c>
    </row>
    <row r="338" spans="1:7" x14ac:dyDescent="0.3">
      <c r="A338" s="23">
        <v>8200074</v>
      </c>
      <c r="B338" s="22" t="s">
        <v>370</v>
      </c>
      <c r="C338" s="22" t="s">
        <v>35</v>
      </c>
      <c r="D338" s="22">
        <v>71.25</v>
      </c>
      <c r="E338" s="22">
        <v>59.137500000000003</v>
      </c>
      <c r="F338" s="22">
        <v>10</v>
      </c>
      <c r="G338" s="22" t="s">
        <v>297</v>
      </c>
    </row>
    <row r="339" spans="1:7" x14ac:dyDescent="0.3">
      <c r="A339" s="22">
        <v>8200075</v>
      </c>
      <c r="B339" s="22" t="s">
        <v>371</v>
      </c>
      <c r="C339" s="22" t="s">
        <v>35</v>
      </c>
      <c r="D339" s="22">
        <v>78</v>
      </c>
      <c r="E339" s="22">
        <v>64.739999999999995</v>
      </c>
      <c r="F339" s="22">
        <v>10</v>
      </c>
      <c r="G339" s="22" t="s">
        <v>297</v>
      </c>
    </row>
    <row r="340" spans="1:7" x14ac:dyDescent="0.3">
      <c r="A340" s="23">
        <v>8200076</v>
      </c>
      <c r="B340" s="22" t="s">
        <v>372</v>
      </c>
      <c r="C340" s="22" t="s">
        <v>35</v>
      </c>
      <c r="D340" s="22">
        <v>132.75</v>
      </c>
      <c r="E340" s="22">
        <v>110.1825</v>
      </c>
      <c r="F340" s="22">
        <v>10</v>
      </c>
      <c r="G340" s="22" t="s">
        <v>297</v>
      </c>
    </row>
    <row r="341" spans="1:7" x14ac:dyDescent="0.3">
      <c r="A341" s="22">
        <v>8200077</v>
      </c>
      <c r="B341" s="22" t="s">
        <v>373</v>
      </c>
      <c r="C341" s="22" t="s">
        <v>35</v>
      </c>
      <c r="D341" s="22">
        <v>127</v>
      </c>
      <c r="E341" s="22">
        <v>105.41</v>
      </c>
      <c r="F341" s="22">
        <v>15</v>
      </c>
      <c r="G341" s="22" t="s">
        <v>297</v>
      </c>
    </row>
    <row r="342" spans="1:7" x14ac:dyDescent="0.3">
      <c r="A342" s="23">
        <v>8200078</v>
      </c>
      <c r="B342" s="22" t="s">
        <v>374</v>
      </c>
      <c r="C342" s="22" t="s">
        <v>35</v>
      </c>
      <c r="D342" s="22">
        <v>27</v>
      </c>
      <c r="E342" s="22">
        <v>22.41</v>
      </c>
      <c r="F342" s="22">
        <v>10</v>
      </c>
      <c r="G342" s="22" t="s">
        <v>297</v>
      </c>
    </row>
    <row r="343" spans="1:7" x14ac:dyDescent="0.3">
      <c r="A343" s="22">
        <v>8200079</v>
      </c>
      <c r="B343" s="22" t="s">
        <v>375</v>
      </c>
      <c r="C343" s="22" t="s">
        <v>35</v>
      </c>
      <c r="D343" s="22">
        <v>27</v>
      </c>
      <c r="E343" s="22">
        <v>22.41</v>
      </c>
      <c r="F343" s="22">
        <v>10</v>
      </c>
      <c r="G343" s="22" t="s">
        <v>297</v>
      </c>
    </row>
    <row r="344" spans="1:7" x14ac:dyDescent="0.3">
      <c r="A344" s="23">
        <v>8200080</v>
      </c>
      <c r="B344" s="22" t="s">
        <v>376</v>
      </c>
      <c r="C344" s="22" t="s">
        <v>35</v>
      </c>
      <c r="D344" s="22">
        <v>32.5</v>
      </c>
      <c r="E344" s="22">
        <v>26.975000000000001</v>
      </c>
      <c r="F344" s="22">
        <v>10</v>
      </c>
      <c r="G344" s="22" t="s">
        <v>297</v>
      </c>
    </row>
    <row r="345" spans="1:7" x14ac:dyDescent="0.3">
      <c r="A345" s="22">
        <v>8200081</v>
      </c>
      <c r="B345" s="22" t="s">
        <v>377</v>
      </c>
      <c r="C345" s="22" t="s">
        <v>35</v>
      </c>
      <c r="D345" s="22">
        <v>32.5</v>
      </c>
      <c r="E345" s="22">
        <v>26.975000000000001</v>
      </c>
      <c r="F345" s="22">
        <v>10</v>
      </c>
      <c r="G345" s="22" t="s">
        <v>297</v>
      </c>
    </row>
    <row r="346" spans="1:7" x14ac:dyDescent="0.3">
      <c r="A346" s="23">
        <v>8200082</v>
      </c>
      <c r="B346" s="22" t="s">
        <v>378</v>
      </c>
      <c r="C346" s="22" t="s">
        <v>35</v>
      </c>
      <c r="D346" s="22">
        <v>37.75</v>
      </c>
      <c r="E346" s="22">
        <v>31.3325</v>
      </c>
      <c r="F346" s="22">
        <v>10</v>
      </c>
      <c r="G346" s="22" t="s">
        <v>297</v>
      </c>
    </row>
    <row r="347" spans="1:7" x14ac:dyDescent="0.3">
      <c r="A347" s="22">
        <v>8200083</v>
      </c>
      <c r="B347" s="22" t="s">
        <v>379</v>
      </c>
      <c r="C347" s="22" t="s">
        <v>35</v>
      </c>
      <c r="D347" s="22">
        <v>73.5</v>
      </c>
      <c r="E347" s="22">
        <v>61.004999999999995</v>
      </c>
      <c r="F347" s="22">
        <v>10</v>
      </c>
      <c r="G347" s="22" t="s">
        <v>297</v>
      </c>
    </row>
    <row r="348" spans="1:7" x14ac:dyDescent="0.3">
      <c r="A348" s="23">
        <v>8200084</v>
      </c>
      <c r="B348" s="22" t="s">
        <v>380</v>
      </c>
      <c r="C348" s="22" t="s">
        <v>35</v>
      </c>
      <c r="D348" s="22">
        <v>25.25</v>
      </c>
      <c r="E348" s="22">
        <v>20.9575</v>
      </c>
      <c r="F348" s="22">
        <v>10</v>
      </c>
      <c r="G348" s="22" t="s">
        <v>297</v>
      </c>
    </row>
    <row r="349" spans="1:7" x14ac:dyDescent="0.3">
      <c r="A349" s="22">
        <v>8200085</v>
      </c>
      <c r="B349" s="22" t="s">
        <v>381</v>
      </c>
      <c r="C349" s="22" t="s">
        <v>35</v>
      </c>
      <c r="D349" s="22">
        <v>83</v>
      </c>
      <c r="E349" s="22">
        <v>68.89</v>
      </c>
      <c r="F349" s="22">
        <v>10</v>
      </c>
      <c r="G349" s="22" t="s">
        <v>297</v>
      </c>
    </row>
    <row r="350" spans="1:7" x14ac:dyDescent="0.3">
      <c r="A350" s="23">
        <v>8200086</v>
      </c>
      <c r="B350" s="22" t="s">
        <v>382</v>
      </c>
      <c r="C350" s="22" t="s">
        <v>35</v>
      </c>
      <c r="D350" s="22">
        <v>64</v>
      </c>
      <c r="E350" s="22">
        <v>53.12</v>
      </c>
      <c r="F350" s="22">
        <v>10</v>
      </c>
      <c r="G350" s="22" t="s">
        <v>297</v>
      </c>
    </row>
    <row r="351" spans="1:7" x14ac:dyDescent="0.3">
      <c r="A351" s="22">
        <v>8200087</v>
      </c>
      <c r="B351" s="22" t="s">
        <v>383</v>
      </c>
      <c r="C351" s="22" t="s">
        <v>35</v>
      </c>
      <c r="D351" s="22">
        <v>110</v>
      </c>
      <c r="E351" s="22">
        <v>91.3</v>
      </c>
      <c r="F351" s="22">
        <v>8</v>
      </c>
      <c r="G351" s="22" t="s">
        <v>297</v>
      </c>
    </row>
    <row r="352" spans="1:7" x14ac:dyDescent="0.3">
      <c r="A352" s="23">
        <v>8200088</v>
      </c>
      <c r="B352" s="22" t="s">
        <v>384</v>
      </c>
      <c r="C352" s="22" t="s">
        <v>35</v>
      </c>
      <c r="D352" s="22">
        <v>104.5</v>
      </c>
      <c r="E352" s="22">
        <v>86.734999999999999</v>
      </c>
      <c r="F352" s="22">
        <v>10</v>
      </c>
      <c r="G352" s="22" t="s">
        <v>297</v>
      </c>
    </row>
    <row r="353" spans="1:7" x14ac:dyDescent="0.3">
      <c r="A353" s="22">
        <v>8200089</v>
      </c>
      <c r="B353" s="22" t="s">
        <v>385</v>
      </c>
      <c r="C353" s="22" t="s">
        <v>35</v>
      </c>
      <c r="D353" s="22">
        <v>62.75</v>
      </c>
      <c r="E353" s="22">
        <v>52.082499999999996</v>
      </c>
      <c r="F353" s="22">
        <v>10</v>
      </c>
      <c r="G353" s="22" t="s">
        <v>297</v>
      </c>
    </row>
    <row r="354" spans="1:7" x14ac:dyDescent="0.3">
      <c r="A354" s="23">
        <v>8200090</v>
      </c>
      <c r="B354" s="22" t="s">
        <v>386</v>
      </c>
      <c r="C354" s="22" t="s">
        <v>35</v>
      </c>
      <c r="D354" s="22">
        <v>119</v>
      </c>
      <c r="E354" s="22">
        <v>98.77</v>
      </c>
      <c r="F354" s="22">
        <v>8</v>
      </c>
      <c r="G354" s="22" t="s">
        <v>297</v>
      </c>
    </row>
    <row r="355" spans="1:7" x14ac:dyDescent="0.3">
      <c r="A355" s="22">
        <v>8200091</v>
      </c>
      <c r="B355" s="22" t="s">
        <v>387</v>
      </c>
      <c r="C355" s="22" t="s">
        <v>35</v>
      </c>
      <c r="D355" s="22">
        <v>119</v>
      </c>
      <c r="E355" s="22">
        <v>98.77</v>
      </c>
      <c r="F355" s="22">
        <v>8</v>
      </c>
      <c r="G355" s="22" t="s">
        <v>297</v>
      </c>
    </row>
    <row r="356" spans="1:7" x14ac:dyDescent="0.3">
      <c r="A356" s="23">
        <v>8200092</v>
      </c>
      <c r="B356" s="22" t="s">
        <v>388</v>
      </c>
      <c r="C356" s="22" t="s">
        <v>35</v>
      </c>
      <c r="D356" s="22">
        <v>101.5</v>
      </c>
      <c r="E356" s="22">
        <v>84.245000000000005</v>
      </c>
      <c r="F356" s="22">
        <v>10</v>
      </c>
      <c r="G356" s="22" t="s">
        <v>297</v>
      </c>
    </row>
    <row r="357" spans="1:7" x14ac:dyDescent="0.3">
      <c r="A357" s="22">
        <v>8200093</v>
      </c>
      <c r="B357" s="22" t="s">
        <v>389</v>
      </c>
      <c r="C357" s="22" t="s">
        <v>35</v>
      </c>
      <c r="D357" s="22">
        <v>149.75</v>
      </c>
      <c r="E357" s="22">
        <v>124.29249999999999</v>
      </c>
      <c r="F357" s="22">
        <v>10</v>
      </c>
      <c r="G357" s="22" t="s">
        <v>297</v>
      </c>
    </row>
    <row r="358" spans="1:7" x14ac:dyDescent="0.3">
      <c r="A358" s="23">
        <v>8200094</v>
      </c>
      <c r="B358" s="22" t="s">
        <v>390</v>
      </c>
      <c r="C358" s="22" t="s">
        <v>35</v>
      </c>
      <c r="D358" s="22">
        <v>253.25</v>
      </c>
      <c r="E358" s="22">
        <v>210.19749999999999</v>
      </c>
      <c r="F358" s="22">
        <v>8</v>
      </c>
      <c r="G358" s="22" t="s">
        <v>297</v>
      </c>
    </row>
    <row r="359" spans="1:7" x14ac:dyDescent="0.3">
      <c r="A359" s="22">
        <v>8200095</v>
      </c>
      <c r="B359" s="22" t="s">
        <v>391</v>
      </c>
      <c r="C359" s="22" t="s">
        <v>35</v>
      </c>
      <c r="D359" s="22">
        <v>46</v>
      </c>
      <c r="E359" s="22">
        <v>38.18</v>
      </c>
      <c r="F359" s="22">
        <v>10</v>
      </c>
      <c r="G359" s="22" t="s">
        <v>297</v>
      </c>
    </row>
    <row r="360" spans="1:7" x14ac:dyDescent="0.3">
      <c r="A360" s="23">
        <v>8200096</v>
      </c>
      <c r="B360" s="22" t="s">
        <v>392</v>
      </c>
      <c r="C360" s="22" t="s">
        <v>35</v>
      </c>
      <c r="D360" s="22">
        <v>58.75</v>
      </c>
      <c r="E360" s="22">
        <v>48.762500000000003</v>
      </c>
      <c r="F360" s="22">
        <v>10</v>
      </c>
      <c r="G360" s="22" t="s">
        <v>297</v>
      </c>
    </row>
    <row r="361" spans="1:7" x14ac:dyDescent="0.3">
      <c r="A361" s="22">
        <v>8200097</v>
      </c>
      <c r="B361" s="22" t="s">
        <v>393</v>
      </c>
      <c r="C361" s="22" t="s">
        <v>35</v>
      </c>
      <c r="D361" s="22">
        <v>78.75</v>
      </c>
      <c r="E361" s="22">
        <v>65.362499999999997</v>
      </c>
      <c r="F361" s="22">
        <v>10</v>
      </c>
      <c r="G361" s="22" t="s">
        <v>297</v>
      </c>
    </row>
    <row r="362" spans="1:7" x14ac:dyDescent="0.3">
      <c r="A362" s="23">
        <v>8200098</v>
      </c>
      <c r="B362" s="22" t="s">
        <v>394</v>
      </c>
      <c r="C362" s="22" t="s">
        <v>35</v>
      </c>
      <c r="D362" s="22">
        <v>1478.75</v>
      </c>
      <c r="E362" s="22">
        <v>1227.3625</v>
      </c>
      <c r="F362" s="22">
        <v>5</v>
      </c>
      <c r="G362" s="22" t="s">
        <v>297</v>
      </c>
    </row>
    <row r="363" spans="1:7" x14ac:dyDescent="0.3">
      <c r="A363" s="22">
        <v>8200099</v>
      </c>
      <c r="B363" s="22" t="s">
        <v>395</v>
      </c>
      <c r="C363" s="22" t="s">
        <v>35</v>
      </c>
      <c r="D363" s="22">
        <v>1478.75</v>
      </c>
      <c r="E363" s="22">
        <v>1227.3625</v>
      </c>
      <c r="F363" s="22">
        <v>5</v>
      </c>
      <c r="G363" s="22" t="s">
        <v>297</v>
      </c>
    </row>
    <row r="364" spans="1:7" x14ac:dyDescent="0.3">
      <c r="A364" s="23">
        <v>8200100</v>
      </c>
      <c r="B364" s="22" t="s">
        <v>396</v>
      </c>
      <c r="C364" s="22" t="s">
        <v>35</v>
      </c>
      <c r="D364" s="22">
        <v>185.75</v>
      </c>
      <c r="E364" s="22">
        <v>154.17250000000001</v>
      </c>
      <c r="F364" s="22">
        <v>5</v>
      </c>
      <c r="G364" s="22" t="s">
        <v>297</v>
      </c>
    </row>
    <row r="365" spans="1:7" x14ac:dyDescent="0.3">
      <c r="A365" s="22">
        <v>8200101</v>
      </c>
      <c r="B365" s="22" t="s">
        <v>397</v>
      </c>
      <c r="C365" s="22" t="s">
        <v>35</v>
      </c>
      <c r="D365" s="22">
        <v>178.25</v>
      </c>
      <c r="E365" s="22">
        <v>147.94749999999999</v>
      </c>
      <c r="F365" s="22">
        <v>20</v>
      </c>
      <c r="G365" s="22" t="s">
        <v>297</v>
      </c>
    </row>
    <row r="366" spans="1:7" x14ac:dyDescent="0.3">
      <c r="A366" s="23">
        <v>8200102</v>
      </c>
      <c r="B366" s="22" t="s">
        <v>398</v>
      </c>
      <c r="C366" s="22" t="s">
        <v>35</v>
      </c>
      <c r="D366" s="22">
        <v>492.5</v>
      </c>
      <c r="E366" s="22">
        <v>408.77499999999998</v>
      </c>
      <c r="F366" s="22">
        <v>10</v>
      </c>
      <c r="G366" s="22" t="s">
        <v>297</v>
      </c>
    </row>
    <row r="367" spans="1:7" x14ac:dyDescent="0.3">
      <c r="A367" s="22">
        <v>8200103</v>
      </c>
      <c r="B367" s="22" t="s">
        <v>399</v>
      </c>
      <c r="C367" s="22" t="s">
        <v>35</v>
      </c>
      <c r="D367" s="22">
        <v>751</v>
      </c>
      <c r="E367" s="22">
        <v>623.32999999999993</v>
      </c>
      <c r="F367" s="22">
        <v>10</v>
      </c>
      <c r="G367" s="22" t="s">
        <v>297</v>
      </c>
    </row>
    <row r="368" spans="1:7" x14ac:dyDescent="0.3">
      <c r="A368" s="23">
        <v>8200104</v>
      </c>
      <c r="B368" s="22" t="s">
        <v>400</v>
      </c>
      <c r="C368" s="22" t="s">
        <v>35</v>
      </c>
      <c r="D368" s="22">
        <v>84.75</v>
      </c>
      <c r="E368" s="22">
        <v>70.342500000000001</v>
      </c>
      <c r="F368" s="22">
        <v>10</v>
      </c>
      <c r="G368" s="22" t="s">
        <v>297</v>
      </c>
    </row>
    <row r="369" spans="1:7" x14ac:dyDescent="0.3">
      <c r="A369" s="22">
        <v>8200105</v>
      </c>
      <c r="B369" s="22" t="s">
        <v>401</v>
      </c>
      <c r="C369" s="22" t="s">
        <v>35</v>
      </c>
      <c r="D369" s="22">
        <v>120.25</v>
      </c>
      <c r="E369" s="22">
        <v>99.807500000000005</v>
      </c>
      <c r="F369" s="22">
        <v>10</v>
      </c>
      <c r="G369" s="22" t="s">
        <v>297</v>
      </c>
    </row>
    <row r="370" spans="1:7" x14ac:dyDescent="0.3">
      <c r="A370" s="23">
        <v>8200106</v>
      </c>
      <c r="B370" s="22" t="s">
        <v>402</v>
      </c>
      <c r="C370" s="22" t="s">
        <v>35</v>
      </c>
      <c r="D370" s="22">
        <v>222.75</v>
      </c>
      <c r="E370" s="22">
        <v>184.88249999999999</v>
      </c>
      <c r="F370" s="22">
        <v>8</v>
      </c>
      <c r="G370" s="22" t="s">
        <v>297</v>
      </c>
    </row>
    <row r="371" spans="1:7" x14ac:dyDescent="0.3">
      <c r="A371" s="22">
        <v>8200107</v>
      </c>
      <c r="B371" s="22" t="s">
        <v>403</v>
      </c>
      <c r="C371" s="22" t="s">
        <v>35</v>
      </c>
      <c r="D371" s="22">
        <v>632.5</v>
      </c>
      <c r="E371" s="22">
        <v>524.97500000000002</v>
      </c>
      <c r="F371" s="22">
        <v>10</v>
      </c>
      <c r="G371" s="22" t="s">
        <v>297</v>
      </c>
    </row>
    <row r="372" spans="1:7" x14ac:dyDescent="0.3">
      <c r="A372" s="23">
        <v>8200108</v>
      </c>
      <c r="B372" s="22" t="s">
        <v>404</v>
      </c>
      <c r="C372" s="22" t="s">
        <v>35</v>
      </c>
      <c r="D372" s="22">
        <v>73.25</v>
      </c>
      <c r="E372" s="22">
        <v>60.797499999999999</v>
      </c>
      <c r="F372" s="22">
        <v>10</v>
      </c>
      <c r="G372" s="22" t="s">
        <v>297</v>
      </c>
    </row>
    <row r="373" spans="1:7" x14ac:dyDescent="0.3">
      <c r="A373" s="22">
        <v>8200109</v>
      </c>
      <c r="B373" s="22" t="s">
        <v>405</v>
      </c>
      <c r="C373" s="22" t="s">
        <v>35</v>
      </c>
      <c r="D373" s="22">
        <v>64.5</v>
      </c>
      <c r="E373" s="22">
        <v>53.534999999999997</v>
      </c>
      <c r="F373" s="22">
        <v>10</v>
      </c>
      <c r="G373" s="22" t="s">
        <v>297</v>
      </c>
    </row>
    <row r="374" spans="1:7" x14ac:dyDescent="0.3">
      <c r="A374" s="23">
        <v>8200110</v>
      </c>
      <c r="B374" s="22" t="s">
        <v>406</v>
      </c>
      <c r="C374" s="22" t="s">
        <v>35</v>
      </c>
      <c r="D374" s="22">
        <v>94.25</v>
      </c>
      <c r="E374" s="22">
        <v>78.227499999999992</v>
      </c>
      <c r="F374" s="22">
        <v>10</v>
      </c>
      <c r="G374" s="22" t="s">
        <v>297</v>
      </c>
    </row>
    <row r="375" spans="1:7" x14ac:dyDescent="0.3">
      <c r="A375" s="22">
        <v>8200111</v>
      </c>
      <c r="B375" s="22" t="s">
        <v>407</v>
      </c>
      <c r="C375" s="22" t="s">
        <v>35</v>
      </c>
      <c r="D375" s="22">
        <v>341</v>
      </c>
      <c r="E375" s="22">
        <v>283.02999999999997</v>
      </c>
      <c r="F375" s="22">
        <v>10</v>
      </c>
      <c r="G375" s="22" t="s">
        <v>297</v>
      </c>
    </row>
    <row r="376" spans="1:7" x14ac:dyDescent="0.3">
      <c r="A376" s="23">
        <v>8200112</v>
      </c>
      <c r="B376" s="22" t="s">
        <v>408</v>
      </c>
      <c r="C376" s="22" t="s">
        <v>35</v>
      </c>
      <c r="D376" s="22">
        <v>2952.5</v>
      </c>
      <c r="E376" s="22">
        <v>2450.5749999999998</v>
      </c>
      <c r="F376" s="22">
        <v>3</v>
      </c>
      <c r="G376" s="22" t="s">
        <v>297</v>
      </c>
    </row>
    <row r="377" spans="1:7" x14ac:dyDescent="0.3">
      <c r="A377" s="22">
        <v>8200113</v>
      </c>
      <c r="B377" s="22" t="s">
        <v>409</v>
      </c>
      <c r="C377" s="22" t="s">
        <v>35</v>
      </c>
      <c r="D377" s="22">
        <v>158.5</v>
      </c>
      <c r="E377" s="22">
        <v>131.55500000000001</v>
      </c>
      <c r="F377" s="22">
        <v>2</v>
      </c>
      <c r="G377" s="22" t="s">
        <v>297</v>
      </c>
    </row>
    <row r="378" spans="1:7" x14ac:dyDescent="0.3">
      <c r="A378" s="23">
        <v>8200114</v>
      </c>
      <c r="B378" s="22" t="s">
        <v>410</v>
      </c>
      <c r="C378" s="22" t="s">
        <v>35</v>
      </c>
      <c r="D378" s="22">
        <v>180.75</v>
      </c>
      <c r="E378" s="22">
        <v>150.02250000000001</v>
      </c>
      <c r="F378" s="22">
        <v>2</v>
      </c>
      <c r="G378" s="22" t="s">
        <v>297</v>
      </c>
    </row>
    <row r="379" spans="1:7" x14ac:dyDescent="0.3">
      <c r="A379" s="22">
        <v>8200115</v>
      </c>
      <c r="B379" s="22" t="s">
        <v>411</v>
      </c>
      <c r="C379" s="22" t="s">
        <v>35</v>
      </c>
      <c r="D379" s="22">
        <v>289</v>
      </c>
      <c r="E379" s="22">
        <v>239.87</v>
      </c>
      <c r="F379" s="22">
        <v>2</v>
      </c>
      <c r="G379" s="22" t="s">
        <v>297</v>
      </c>
    </row>
    <row r="380" spans="1:7" x14ac:dyDescent="0.3">
      <c r="A380" s="23">
        <v>8200116</v>
      </c>
      <c r="B380" s="22" t="s">
        <v>412</v>
      </c>
      <c r="C380" s="22" t="s">
        <v>35</v>
      </c>
      <c r="D380" s="22">
        <v>158</v>
      </c>
      <c r="E380" s="22">
        <v>131.13999999999999</v>
      </c>
      <c r="F380" s="22">
        <v>5</v>
      </c>
      <c r="G380" s="22" t="s">
        <v>297</v>
      </c>
    </row>
    <row r="381" spans="1:7" x14ac:dyDescent="0.3">
      <c r="A381" s="22">
        <v>8200117</v>
      </c>
      <c r="B381" s="22" t="s">
        <v>413</v>
      </c>
      <c r="C381" s="22" t="s">
        <v>35</v>
      </c>
      <c r="D381" s="22">
        <v>143.5</v>
      </c>
      <c r="E381" s="22">
        <v>119.10499999999999</v>
      </c>
      <c r="F381" s="22">
        <v>5</v>
      </c>
      <c r="G381" s="22" t="s">
        <v>297</v>
      </c>
    </row>
    <row r="382" spans="1:7" x14ac:dyDescent="0.3">
      <c r="A382" s="23">
        <v>8200118</v>
      </c>
      <c r="B382" s="22" t="s">
        <v>414</v>
      </c>
      <c r="C382" s="22" t="s">
        <v>35</v>
      </c>
      <c r="D382" s="22"/>
      <c r="E382" s="22"/>
      <c r="F382" s="22">
        <v>5</v>
      </c>
      <c r="G382" s="22" t="s">
        <v>297</v>
      </c>
    </row>
    <row r="383" spans="1:7" x14ac:dyDescent="0.3">
      <c r="A383" s="22">
        <v>8200119</v>
      </c>
      <c r="B383" s="22" t="s">
        <v>415</v>
      </c>
      <c r="C383" s="22" t="s">
        <v>35</v>
      </c>
      <c r="D383" s="22">
        <v>58</v>
      </c>
      <c r="E383" s="22">
        <v>48.14</v>
      </c>
      <c r="F383" s="22">
        <v>10</v>
      </c>
      <c r="G383" s="22" t="s">
        <v>297</v>
      </c>
    </row>
    <row r="384" spans="1:7" x14ac:dyDescent="0.3">
      <c r="A384" s="23">
        <v>8200120</v>
      </c>
      <c r="B384" s="22" t="s">
        <v>416</v>
      </c>
      <c r="C384" s="22" t="s">
        <v>35</v>
      </c>
      <c r="D384" s="22">
        <v>63.25</v>
      </c>
      <c r="E384" s="22">
        <v>52.497500000000002</v>
      </c>
      <c r="F384" s="22">
        <v>10</v>
      </c>
      <c r="G384" s="22" t="s">
        <v>297</v>
      </c>
    </row>
    <row r="385" spans="1:7" x14ac:dyDescent="0.3">
      <c r="A385" s="22">
        <v>8200121</v>
      </c>
      <c r="B385" s="22" t="s">
        <v>417</v>
      </c>
      <c r="C385" s="22" t="s">
        <v>35</v>
      </c>
      <c r="D385" s="22">
        <v>70.5</v>
      </c>
      <c r="E385" s="22">
        <v>58.515000000000001</v>
      </c>
      <c r="F385" s="22">
        <v>10</v>
      </c>
      <c r="G385" s="22" t="s">
        <v>297</v>
      </c>
    </row>
    <row r="386" spans="1:7" x14ac:dyDescent="0.3">
      <c r="A386" s="23">
        <v>8200122</v>
      </c>
      <c r="B386" s="22" t="s">
        <v>418</v>
      </c>
      <c r="C386" s="22" t="s">
        <v>35</v>
      </c>
      <c r="D386" s="22">
        <v>78</v>
      </c>
      <c r="E386" s="22">
        <v>64.739999999999995</v>
      </c>
      <c r="F386" s="22">
        <v>10</v>
      </c>
      <c r="G386" s="22" t="s">
        <v>297</v>
      </c>
    </row>
    <row r="387" spans="1:7" x14ac:dyDescent="0.3">
      <c r="A387" s="22">
        <v>8200123</v>
      </c>
      <c r="B387" s="22" t="s">
        <v>419</v>
      </c>
      <c r="C387" s="22" t="s">
        <v>35</v>
      </c>
      <c r="D387" s="22">
        <v>90.75</v>
      </c>
      <c r="E387" s="22">
        <v>75.322499999999991</v>
      </c>
      <c r="F387" s="22">
        <v>10</v>
      </c>
      <c r="G387" s="22" t="s">
        <v>297</v>
      </c>
    </row>
    <row r="388" spans="1:7" x14ac:dyDescent="0.3">
      <c r="A388" s="23">
        <v>8200124</v>
      </c>
      <c r="B388" s="22" t="s">
        <v>420</v>
      </c>
      <c r="C388" s="22" t="s">
        <v>35</v>
      </c>
      <c r="D388" s="22">
        <v>99.25</v>
      </c>
      <c r="E388" s="22">
        <v>82.377499999999998</v>
      </c>
      <c r="F388" s="22">
        <v>10</v>
      </c>
      <c r="G388" s="22" t="s">
        <v>297</v>
      </c>
    </row>
    <row r="389" spans="1:7" x14ac:dyDescent="0.3">
      <c r="A389" s="22">
        <v>8200125</v>
      </c>
      <c r="B389" s="22" t="s">
        <v>421</v>
      </c>
      <c r="C389" s="22" t="s">
        <v>35</v>
      </c>
      <c r="D389" s="22">
        <v>132</v>
      </c>
      <c r="E389" s="22">
        <v>109.56</v>
      </c>
      <c r="F389" s="22">
        <v>10</v>
      </c>
      <c r="G389" s="22" t="s">
        <v>297</v>
      </c>
    </row>
    <row r="390" spans="1:7" x14ac:dyDescent="0.3">
      <c r="A390" s="23">
        <v>8200126</v>
      </c>
      <c r="B390" s="22" t="s">
        <v>422</v>
      </c>
      <c r="C390" s="22" t="s">
        <v>35</v>
      </c>
      <c r="D390" s="22">
        <v>143.5</v>
      </c>
      <c r="E390" s="22">
        <v>119.10499999999999</v>
      </c>
      <c r="F390" s="22">
        <v>10</v>
      </c>
      <c r="G390" s="22" t="s">
        <v>297</v>
      </c>
    </row>
    <row r="391" spans="1:7" x14ac:dyDescent="0.3">
      <c r="A391" s="22">
        <v>8200127</v>
      </c>
      <c r="B391" s="22" t="s">
        <v>423</v>
      </c>
      <c r="C391" s="22" t="s">
        <v>35</v>
      </c>
      <c r="D391" s="22">
        <v>150.75</v>
      </c>
      <c r="E391" s="22">
        <v>125.1225</v>
      </c>
      <c r="F391" s="22">
        <v>10</v>
      </c>
      <c r="G391" s="22" t="s">
        <v>297</v>
      </c>
    </row>
    <row r="392" spans="1:7" x14ac:dyDescent="0.3">
      <c r="A392" s="23">
        <v>8200128</v>
      </c>
      <c r="B392" s="22" t="s">
        <v>424</v>
      </c>
      <c r="C392" s="22" t="s">
        <v>35</v>
      </c>
      <c r="D392" s="22">
        <v>9176.5</v>
      </c>
      <c r="E392" s="22">
        <v>7616.4949999999999</v>
      </c>
      <c r="F392" s="22">
        <v>1</v>
      </c>
      <c r="G392" s="22" t="s">
        <v>297</v>
      </c>
    </row>
    <row r="393" spans="1:7" x14ac:dyDescent="0.3">
      <c r="A393" s="22">
        <v>8200129</v>
      </c>
      <c r="B393" s="22" t="s">
        <v>425</v>
      </c>
      <c r="C393" s="22" t="s">
        <v>35</v>
      </c>
      <c r="D393" s="22">
        <v>17062.75</v>
      </c>
      <c r="E393" s="22">
        <v>14162.0825</v>
      </c>
      <c r="F393" s="22">
        <v>1</v>
      </c>
      <c r="G393" s="22" t="s">
        <v>297</v>
      </c>
    </row>
    <row r="394" spans="1:7" x14ac:dyDescent="0.3">
      <c r="A394" s="23">
        <v>8200130</v>
      </c>
      <c r="B394" s="22" t="s">
        <v>426</v>
      </c>
      <c r="C394" s="22" t="s">
        <v>35</v>
      </c>
      <c r="D394" s="22">
        <v>26480.25</v>
      </c>
      <c r="E394" s="22">
        <v>21978.607499999998</v>
      </c>
      <c r="F394" s="22">
        <v>1</v>
      </c>
      <c r="G394" s="22" t="s">
        <v>297</v>
      </c>
    </row>
    <row r="395" spans="1:7" x14ac:dyDescent="0.3">
      <c r="A395" s="22">
        <v>8200131</v>
      </c>
      <c r="B395" s="22" t="s">
        <v>427</v>
      </c>
      <c r="C395" s="22" t="s">
        <v>35</v>
      </c>
      <c r="D395" s="22">
        <v>168.75</v>
      </c>
      <c r="E395" s="22">
        <v>140.0625</v>
      </c>
      <c r="F395" s="22">
        <v>20</v>
      </c>
      <c r="G395" s="22" t="s">
        <v>297</v>
      </c>
    </row>
    <row r="396" spans="1:7" x14ac:dyDescent="0.3">
      <c r="A396" s="23">
        <v>8200132</v>
      </c>
      <c r="B396" s="22" t="s">
        <v>428</v>
      </c>
      <c r="C396" s="22" t="s">
        <v>35</v>
      </c>
      <c r="D396" s="22">
        <v>267.75</v>
      </c>
      <c r="E396" s="22">
        <v>222.23249999999999</v>
      </c>
      <c r="F396" s="22">
        <v>10</v>
      </c>
      <c r="G396" s="22" t="s">
        <v>297</v>
      </c>
    </row>
    <row r="397" spans="1:7" x14ac:dyDescent="0.3">
      <c r="A397" s="22">
        <v>8200133</v>
      </c>
      <c r="B397" s="22" t="s">
        <v>429</v>
      </c>
      <c r="C397" s="22" t="s">
        <v>35</v>
      </c>
      <c r="D397" s="22">
        <v>465</v>
      </c>
      <c r="E397" s="22">
        <f t="shared" ref="E397:E403" si="11">D397-D397*17%</f>
        <v>385.95</v>
      </c>
      <c r="F397" s="22">
        <v>10</v>
      </c>
      <c r="G397" s="22" t="s">
        <v>297</v>
      </c>
    </row>
    <row r="398" spans="1:7" x14ac:dyDescent="0.3">
      <c r="A398" s="23">
        <v>8200134</v>
      </c>
      <c r="B398" s="22" t="s">
        <v>430</v>
      </c>
      <c r="C398" s="22" t="s">
        <v>35</v>
      </c>
      <c r="D398" s="22">
        <v>143</v>
      </c>
      <c r="E398" s="22">
        <f t="shared" si="11"/>
        <v>118.69</v>
      </c>
      <c r="F398" s="22">
        <v>20</v>
      </c>
      <c r="G398" s="22" t="s">
        <v>297</v>
      </c>
    </row>
    <row r="399" spans="1:7" x14ac:dyDescent="0.3">
      <c r="A399" s="22">
        <v>8200135</v>
      </c>
      <c r="B399" s="22" t="s">
        <v>431</v>
      </c>
      <c r="C399" s="22" t="s">
        <v>35</v>
      </c>
      <c r="D399" s="22">
        <v>222.5</v>
      </c>
      <c r="E399" s="22">
        <f t="shared" si="11"/>
        <v>184.67500000000001</v>
      </c>
      <c r="F399" s="22">
        <v>20</v>
      </c>
      <c r="G399" s="22" t="s">
        <v>297</v>
      </c>
    </row>
    <row r="400" spans="1:7" x14ac:dyDescent="0.3">
      <c r="A400" s="23">
        <v>8200136</v>
      </c>
      <c r="B400" s="22" t="s">
        <v>432</v>
      </c>
      <c r="C400" s="22" t="s">
        <v>35</v>
      </c>
      <c r="D400" s="22">
        <v>397.25</v>
      </c>
      <c r="E400" s="22">
        <f t="shared" si="11"/>
        <v>329.71749999999997</v>
      </c>
      <c r="F400" s="22">
        <v>10</v>
      </c>
      <c r="G400" s="22" t="s">
        <v>297</v>
      </c>
    </row>
    <row r="401" spans="1:7" x14ac:dyDescent="0.3">
      <c r="A401" s="22">
        <v>8200137</v>
      </c>
      <c r="B401" s="22" t="s">
        <v>433</v>
      </c>
      <c r="C401" s="22" t="s">
        <v>35</v>
      </c>
      <c r="D401" s="22">
        <v>146.75</v>
      </c>
      <c r="E401" s="22">
        <f t="shared" si="11"/>
        <v>121.80249999999999</v>
      </c>
      <c r="F401" s="22">
        <v>20</v>
      </c>
      <c r="G401" s="22" t="s">
        <v>297</v>
      </c>
    </row>
    <row r="402" spans="1:7" x14ac:dyDescent="0.3">
      <c r="A402" s="23">
        <v>8200138</v>
      </c>
      <c r="B402" s="22" t="s">
        <v>434</v>
      </c>
      <c r="C402" s="22" t="s">
        <v>35</v>
      </c>
      <c r="D402" s="22">
        <v>202.75</v>
      </c>
      <c r="E402" s="22">
        <f t="shared" si="11"/>
        <v>168.2825</v>
      </c>
      <c r="F402" s="22">
        <v>20</v>
      </c>
      <c r="G402" s="22" t="s">
        <v>297</v>
      </c>
    </row>
    <row r="403" spans="1:7" x14ac:dyDescent="0.3">
      <c r="A403" s="22">
        <v>8200139</v>
      </c>
      <c r="B403" s="22" t="s">
        <v>435</v>
      </c>
      <c r="C403" s="22" t="s">
        <v>35</v>
      </c>
      <c r="D403" s="22">
        <v>360.25</v>
      </c>
      <c r="E403" s="22">
        <f t="shared" si="11"/>
        <v>299.00749999999999</v>
      </c>
      <c r="F403" s="22">
        <v>10</v>
      </c>
      <c r="G403" s="22" t="s">
        <v>297</v>
      </c>
    </row>
    <row r="404" spans="1:7" x14ac:dyDescent="0.3">
      <c r="A404" s="23">
        <v>8300001</v>
      </c>
      <c r="B404" s="22" t="s">
        <v>436</v>
      </c>
      <c r="C404" s="22" t="s">
        <v>35</v>
      </c>
      <c r="D404" s="22"/>
      <c r="E404" s="22"/>
      <c r="F404" s="22">
        <v>2</v>
      </c>
      <c r="G404" s="22" t="s">
        <v>437</v>
      </c>
    </row>
    <row r="405" spans="1:7" x14ac:dyDescent="0.3">
      <c r="A405" s="22">
        <v>8300002</v>
      </c>
      <c r="B405" s="22" t="s">
        <v>438</v>
      </c>
      <c r="C405" s="22" t="s">
        <v>35</v>
      </c>
      <c r="D405" s="22"/>
      <c r="E405" s="22"/>
      <c r="F405" s="22">
        <v>15</v>
      </c>
      <c r="G405" s="22" t="s">
        <v>437</v>
      </c>
    </row>
    <row r="406" spans="1:7" x14ac:dyDescent="0.3">
      <c r="A406" s="23">
        <v>8300003</v>
      </c>
      <c r="B406" s="22" t="s">
        <v>439</v>
      </c>
      <c r="C406" s="22" t="s">
        <v>35</v>
      </c>
      <c r="D406" s="22"/>
      <c r="E406" s="22"/>
      <c r="F406" s="22">
        <v>15</v>
      </c>
      <c r="G406" s="22" t="s">
        <v>437</v>
      </c>
    </row>
    <row r="407" spans="1:7" x14ac:dyDescent="0.3">
      <c r="A407" s="22">
        <v>8300004</v>
      </c>
      <c r="B407" s="22" t="s">
        <v>440</v>
      </c>
      <c r="C407" s="22" t="s">
        <v>35</v>
      </c>
      <c r="D407" s="22"/>
      <c r="E407" s="22"/>
      <c r="F407" s="22">
        <v>15</v>
      </c>
      <c r="G407" s="22" t="s">
        <v>437</v>
      </c>
    </row>
    <row r="408" spans="1:7" x14ac:dyDescent="0.3">
      <c r="A408" s="23">
        <v>8300005</v>
      </c>
      <c r="B408" s="22" t="s">
        <v>441</v>
      </c>
      <c r="C408" s="22" t="s">
        <v>35</v>
      </c>
      <c r="D408" s="22"/>
      <c r="E408" s="22"/>
      <c r="F408" s="22">
        <v>15</v>
      </c>
      <c r="G408" s="22" t="s">
        <v>437</v>
      </c>
    </row>
    <row r="409" spans="1:7" x14ac:dyDescent="0.3">
      <c r="A409" s="22">
        <v>8300006</v>
      </c>
      <c r="B409" s="22" t="s">
        <v>442</v>
      </c>
      <c r="C409" s="22" t="s">
        <v>35</v>
      </c>
      <c r="D409" s="22"/>
      <c r="E409" s="22"/>
      <c r="F409" s="22">
        <v>15</v>
      </c>
      <c r="G409" s="22" t="s">
        <v>437</v>
      </c>
    </row>
    <row r="410" spans="1:7" x14ac:dyDescent="0.3">
      <c r="A410" s="23">
        <v>8300007</v>
      </c>
      <c r="B410" s="22" t="s">
        <v>443</v>
      </c>
      <c r="C410" s="22" t="s">
        <v>35</v>
      </c>
      <c r="D410" s="22"/>
      <c r="E410" s="22"/>
      <c r="F410" s="22">
        <v>15</v>
      </c>
      <c r="G410" s="22" t="s">
        <v>437</v>
      </c>
    </row>
    <row r="411" spans="1:7" x14ac:dyDescent="0.3">
      <c r="A411" s="22">
        <v>8300008</v>
      </c>
      <c r="B411" s="22" t="s">
        <v>444</v>
      </c>
      <c r="C411" s="22" t="s">
        <v>35</v>
      </c>
      <c r="D411" s="22"/>
      <c r="E411" s="22"/>
      <c r="F411" s="22">
        <v>15</v>
      </c>
      <c r="G411" s="22" t="s">
        <v>437</v>
      </c>
    </row>
    <row r="412" spans="1:7" x14ac:dyDescent="0.3">
      <c r="A412" s="23">
        <v>8300009</v>
      </c>
      <c r="B412" s="22" t="s">
        <v>445</v>
      </c>
      <c r="C412" s="22" t="s">
        <v>35</v>
      </c>
      <c r="D412" s="22"/>
      <c r="E412" s="22"/>
      <c r="F412" s="22">
        <v>20</v>
      </c>
      <c r="G412" s="22" t="s">
        <v>437</v>
      </c>
    </row>
    <row r="413" spans="1:7" x14ac:dyDescent="0.3">
      <c r="A413" s="22">
        <v>8300010</v>
      </c>
      <c r="B413" s="22" t="s">
        <v>446</v>
      </c>
      <c r="C413" s="22" t="s">
        <v>35</v>
      </c>
      <c r="D413" s="22"/>
      <c r="E413" s="22"/>
      <c r="F413" s="22">
        <v>20</v>
      </c>
      <c r="G413" s="22" t="s">
        <v>437</v>
      </c>
    </row>
    <row r="414" spans="1:7" x14ac:dyDescent="0.3">
      <c r="A414" s="23">
        <v>8300011</v>
      </c>
      <c r="B414" s="22" t="s">
        <v>447</v>
      </c>
      <c r="C414" s="22" t="s">
        <v>35</v>
      </c>
      <c r="D414" s="22"/>
      <c r="E414" s="22"/>
      <c r="F414" s="22">
        <v>10</v>
      </c>
      <c r="G414" s="22" t="s">
        <v>437</v>
      </c>
    </row>
    <row r="415" spans="1:7" x14ac:dyDescent="0.3">
      <c r="A415" s="22">
        <v>8300012</v>
      </c>
      <c r="B415" s="22" t="s">
        <v>448</v>
      </c>
      <c r="C415" s="22" t="s">
        <v>35</v>
      </c>
      <c r="D415" s="22"/>
      <c r="E415" s="22"/>
      <c r="F415" s="22">
        <v>10</v>
      </c>
      <c r="G415" s="22" t="s">
        <v>437</v>
      </c>
    </row>
    <row r="416" spans="1:7" x14ac:dyDescent="0.3">
      <c r="A416" s="23">
        <v>8300013</v>
      </c>
      <c r="B416" s="22" t="s">
        <v>449</v>
      </c>
      <c r="C416" s="22" t="s">
        <v>35</v>
      </c>
      <c r="D416" s="22"/>
      <c r="E416" s="22"/>
      <c r="F416" s="22">
        <v>10</v>
      </c>
      <c r="G416" s="22" t="s">
        <v>437</v>
      </c>
    </row>
    <row r="417" spans="1:7" x14ac:dyDescent="0.3">
      <c r="A417" s="22">
        <v>8300014</v>
      </c>
      <c r="B417" s="22" t="s">
        <v>450</v>
      </c>
      <c r="C417" s="22" t="s">
        <v>35</v>
      </c>
      <c r="D417" s="22"/>
      <c r="E417" s="22"/>
      <c r="F417" s="22">
        <v>5</v>
      </c>
      <c r="G417" s="22" t="s">
        <v>437</v>
      </c>
    </row>
    <row r="418" spans="1:7" x14ac:dyDescent="0.3">
      <c r="A418" s="23">
        <v>8300015</v>
      </c>
      <c r="B418" s="22" t="s">
        <v>451</v>
      </c>
      <c r="C418" s="22" t="s">
        <v>35</v>
      </c>
      <c r="D418" s="22"/>
      <c r="E418" s="22"/>
      <c r="F418" s="22">
        <v>5</v>
      </c>
      <c r="G418" s="22" t="s">
        <v>437</v>
      </c>
    </row>
    <row r="419" spans="1:7" x14ac:dyDescent="0.3">
      <c r="A419" s="22">
        <v>8300016</v>
      </c>
      <c r="B419" s="22" t="s">
        <v>452</v>
      </c>
      <c r="C419" s="22" t="s">
        <v>35</v>
      </c>
      <c r="D419" s="22"/>
      <c r="E419" s="22"/>
      <c r="F419" s="22">
        <v>5</v>
      </c>
      <c r="G419" s="22" t="s">
        <v>437</v>
      </c>
    </row>
    <row r="420" spans="1:7" x14ac:dyDescent="0.3">
      <c r="A420" s="23">
        <v>8300017</v>
      </c>
      <c r="B420" s="22" t="s">
        <v>453</v>
      </c>
      <c r="C420" s="22" t="s">
        <v>35</v>
      </c>
      <c r="D420" s="22"/>
      <c r="E420" s="22"/>
      <c r="F420" s="22">
        <v>5</v>
      </c>
      <c r="G420" s="22" t="s">
        <v>437</v>
      </c>
    </row>
    <row r="421" spans="1:7" x14ac:dyDescent="0.3">
      <c r="A421" s="22">
        <v>8300018</v>
      </c>
      <c r="B421" s="22" t="s">
        <v>454</v>
      </c>
      <c r="C421" s="22" t="s">
        <v>35</v>
      </c>
      <c r="D421" s="22"/>
      <c r="E421" s="22"/>
      <c r="F421" s="22">
        <v>5</v>
      </c>
      <c r="G421" s="22" t="s">
        <v>437</v>
      </c>
    </row>
    <row r="422" spans="1:7" x14ac:dyDescent="0.3">
      <c r="A422" s="23">
        <v>8300019</v>
      </c>
      <c r="B422" s="22" t="s">
        <v>455</v>
      </c>
      <c r="C422" s="22" t="s">
        <v>35</v>
      </c>
      <c r="D422" s="22"/>
      <c r="E422" s="22"/>
      <c r="F422" s="22">
        <v>5</v>
      </c>
      <c r="G422" s="22" t="s">
        <v>437</v>
      </c>
    </row>
    <row r="423" spans="1:7" x14ac:dyDescent="0.3">
      <c r="A423" s="22">
        <v>8300020</v>
      </c>
      <c r="B423" s="22" t="s">
        <v>456</v>
      </c>
      <c r="C423" s="22" t="s">
        <v>35</v>
      </c>
      <c r="D423" s="22"/>
      <c r="E423" s="22"/>
      <c r="F423" s="22">
        <v>5</v>
      </c>
      <c r="G423" s="22" t="s">
        <v>437</v>
      </c>
    </row>
    <row r="424" spans="1:7" x14ac:dyDescent="0.3">
      <c r="A424" s="23">
        <v>8300021</v>
      </c>
      <c r="B424" s="22" t="s">
        <v>457</v>
      </c>
      <c r="C424" s="22" t="s">
        <v>35</v>
      </c>
      <c r="D424" s="22"/>
      <c r="E424" s="22"/>
      <c r="F424" s="22">
        <v>10</v>
      </c>
      <c r="G424" s="22" t="s">
        <v>437</v>
      </c>
    </row>
    <row r="425" spans="1:7" x14ac:dyDescent="0.3">
      <c r="A425" s="22">
        <v>8300022</v>
      </c>
      <c r="B425" s="22" t="s">
        <v>458</v>
      </c>
      <c r="C425" s="22" t="s">
        <v>35</v>
      </c>
      <c r="D425" s="22"/>
      <c r="E425" s="22"/>
      <c r="F425" s="22">
        <v>1</v>
      </c>
      <c r="G425" s="22" t="s">
        <v>437</v>
      </c>
    </row>
    <row r="426" spans="1:7" x14ac:dyDescent="0.3">
      <c r="A426" s="23">
        <v>8300023</v>
      </c>
      <c r="B426" s="22" t="s">
        <v>459</v>
      </c>
      <c r="C426" s="22" t="s">
        <v>35</v>
      </c>
      <c r="D426" s="22"/>
      <c r="E426" s="22"/>
      <c r="F426" s="22">
        <v>15</v>
      </c>
      <c r="G426" s="22" t="s">
        <v>437</v>
      </c>
    </row>
    <row r="427" spans="1:7" x14ac:dyDescent="0.3">
      <c r="A427" s="22">
        <v>8300024</v>
      </c>
      <c r="B427" s="22" t="s">
        <v>460</v>
      </c>
      <c r="C427" s="22" t="s">
        <v>35</v>
      </c>
      <c r="D427" s="22"/>
      <c r="E427" s="22"/>
      <c r="F427" s="22">
        <v>5</v>
      </c>
      <c r="G427" s="22" t="s">
        <v>437</v>
      </c>
    </row>
    <row r="428" spans="1:7" x14ac:dyDescent="0.3">
      <c r="A428" s="23">
        <v>8300025</v>
      </c>
      <c r="B428" s="22" t="s">
        <v>461</v>
      </c>
      <c r="C428" s="22" t="s">
        <v>35</v>
      </c>
      <c r="D428" s="22"/>
      <c r="E428" s="22"/>
      <c r="F428" s="22">
        <v>5</v>
      </c>
      <c r="G428" s="22" t="s">
        <v>437</v>
      </c>
    </row>
    <row r="429" spans="1:7" x14ac:dyDescent="0.3">
      <c r="A429" s="22">
        <v>8300026</v>
      </c>
      <c r="B429" s="22" t="s">
        <v>462</v>
      </c>
      <c r="C429" s="22" t="s">
        <v>35</v>
      </c>
      <c r="D429" s="22"/>
      <c r="E429" s="22"/>
      <c r="F429" s="22">
        <v>5</v>
      </c>
      <c r="G429" s="22" t="s">
        <v>437</v>
      </c>
    </row>
    <row r="430" spans="1:7" x14ac:dyDescent="0.3">
      <c r="A430" s="23">
        <v>8300027</v>
      </c>
      <c r="B430" s="22" t="s">
        <v>463</v>
      </c>
      <c r="C430" s="22" t="s">
        <v>35</v>
      </c>
      <c r="D430" s="22"/>
      <c r="E430" s="22"/>
      <c r="F430" s="22">
        <v>5</v>
      </c>
      <c r="G430" s="22" t="s">
        <v>437</v>
      </c>
    </row>
    <row r="431" spans="1:7" x14ac:dyDescent="0.3">
      <c r="A431" s="22">
        <v>8300028</v>
      </c>
      <c r="B431" s="22" t="s">
        <v>464</v>
      </c>
      <c r="C431" s="22" t="s">
        <v>35</v>
      </c>
      <c r="D431" s="22"/>
      <c r="E431" s="22"/>
      <c r="F431" s="22">
        <v>5</v>
      </c>
      <c r="G431" s="22" t="s">
        <v>437</v>
      </c>
    </row>
    <row r="432" spans="1:7" x14ac:dyDescent="0.3">
      <c r="A432" s="23">
        <v>8300029</v>
      </c>
      <c r="B432" s="22" t="s">
        <v>465</v>
      </c>
      <c r="C432" s="22" t="s">
        <v>35</v>
      </c>
      <c r="D432" s="22"/>
      <c r="E432" s="22"/>
      <c r="F432" s="22">
        <v>5</v>
      </c>
      <c r="G432" s="22" t="s">
        <v>437</v>
      </c>
    </row>
    <row r="433" spans="1:7" x14ac:dyDescent="0.3">
      <c r="A433" s="22">
        <v>8300030</v>
      </c>
      <c r="B433" s="22" t="s">
        <v>466</v>
      </c>
      <c r="C433" s="22" t="s">
        <v>35</v>
      </c>
      <c r="D433" s="22"/>
      <c r="E433" s="22"/>
      <c r="F433" s="22">
        <v>5</v>
      </c>
      <c r="G433" s="22" t="s">
        <v>437</v>
      </c>
    </row>
    <row r="434" spans="1:7" x14ac:dyDescent="0.3">
      <c r="A434" s="23">
        <v>8300031</v>
      </c>
      <c r="B434" s="22" t="s">
        <v>467</v>
      </c>
      <c r="C434" s="22" t="s">
        <v>35</v>
      </c>
      <c r="D434" s="22"/>
      <c r="E434" s="22"/>
      <c r="F434" s="22">
        <v>5</v>
      </c>
      <c r="G434" s="22" t="s">
        <v>437</v>
      </c>
    </row>
    <row r="435" spans="1:7" x14ac:dyDescent="0.3">
      <c r="A435" s="22">
        <v>8300032</v>
      </c>
      <c r="B435" s="22" t="s">
        <v>468</v>
      </c>
      <c r="C435" s="22" t="s">
        <v>35</v>
      </c>
      <c r="D435" s="22"/>
      <c r="E435" s="22"/>
      <c r="F435" s="22">
        <v>5</v>
      </c>
      <c r="G435" s="22" t="s">
        <v>437</v>
      </c>
    </row>
    <row r="436" spans="1:7" x14ac:dyDescent="0.3">
      <c r="A436" s="23">
        <v>8300033</v>
      </c>
      <c r="B436" s="22" t="s">
        <v>469</v>
      </c>
      <c r="C436" s="22" t="s">
        <v>35</v>
      </c>
      <c r="D436" s="22"/>
      <c r="E436" s="22"/>
      <c r="F436" s="22">
        <v>5</v>
      </c>
      <c r="G436" s="22" t="s">
        <v>437</v>
      </c>
    </row>
    <row r="437" spans="1:7" x14ac:dyDescent="0.3">
      <c r="A437" s="22">
        <v>8300034</v>
      </c>
      <c r="B437" s="22" t="s">
        <v>470</v>
      </c>
      <c r="C437" s="22" t="s">
        <v>35</v>
      </c>
      <c r="D437" s="22"/>
      <c r="E437" s="22"/>
      <c r="F437" s="22">
        <v>5</v>
      </c>
      <c r="G437" s="22" t="s">
        <v>437</v>
      </c>
    </row>
    <row r="438" spans="1:7" x14ac:dyDescent="0.3">
      <c r="A438" s="23">
        <v>8300035</v>
      </c>
      <c r="B438" s="22" t="s">
        <v>471</v>
      </c>
      <c r="C438" s="22" t="s">
        <v>35</v>
      </c>
      <c r="D438" s="22"/>
      <c r="E438" s="22"/>
      <c r="F438" s="22">
        <v>5</v>
      </c>
      <c r="G438" s="22" t="s">
        <v>437</v>
      </c>
    </row>
    <row r="439" spans="1:7" x14ac:dyDescent="0.3">
      <c r="A439" s="22">
        <v>8300036</v>
      </c>
      <c r="B439" s="22" t="s">
        <v>472</v>
      </c>
      <c r="C439" s="22" t="s">
        <v>35</v>
      </c>
      <c r="D439" s="22"/>
      <c r="E439" s="22"/>
      <c r="F439" s="22">
        <v>5</v>
      </c>
      <c r="G439" s="22" t="s">
        <v>437</v>
      </c>
    </row>
    <row r="440" spans="1:7" x14ac:dyDescent="0.3">
      <c r="A440" s="23">
        <v>8300037</v>
      </c>
      <c r="B440" s="22" t="s">
        <v>473</v>
      </c>
      <c r="C440" s="22" t="s">
        <v>35</v>
      </c>
      <c r="D440" s="22"/>
      <c r="E440" s="22"/>
      <c r="F440" s="22">
        <v>5</v>
      </c>
      <c r="G440" s="22" t="s">
        <v>437</v>
      </c>
    </row>
    <row r="441" spans="1:7" x14ac:dyDescent="0.3">
      <c r="A441" s="22">
        <v>8300038</v>
      </c>
      <c r="B441" s="22" t="s">
        <v>474</v>
      </c>
      <c r="C441" s="22" t="s">
        <v>35</v>
      </c>
      <c r="D441" s="22"/>
      <c r="E441" s="22"/>
      <c r="F441" s="22">
        <v>5</v>
      </c>
      <c r="G441" s="22" t="s">
        <v>437</v>
      </c>
    </row>
    <row r="442" spans="1:7" x14ac:dyDescent="0.3">
      <c r="A442" s="23">
        <v>8300039</v>
      </c>
      <c r="B442" s="22" t="s">
        <v>475</v>
      </c>
      <c r="C442" s="22" t="s">
        <v>35</v>
      </c>
      <c r="D442" s="22"/>
      <c r="E442" s="22"/>
      <c r="F442" s="22">
        <v>5</v>
      </c>
      <c r="G442" s="22" t="s">
        <v>437</v>
      </c>
    </row>
    <row r="443" spans="1:7" x14ac:dyDescent="0.3">
      <c r="A443" s="22">
        <v>8300040</v>
      </c>
      <c r="B443" s="22" t="s">
        <v>476</v>
      </c>
      <c r="C443" s="22" t="s">
        <v>35</v>
      </c>
      <c r="D443" s="22"/>
      <c r="E443" s="22"/>
      <c r="F443" s="22">
        <v>10</v>
      </c>
      <c r="G443" s="22" t="s">
        <v>437</v>
      </c>
    </row>
    <row r="444" spans="1:7" x14ac:dyDescent="0.3">
      <c r="A444" s="23">
        <v>8300041</v>
      </c>
      <c r="B444" s="22" t="s">
        <v>477</v>
      </c>
      <c r="C444" s="22" t="s">
        <v>35</v>
      </c>
      <c r="D444" s="22"/>
      <c r="E444" s="22"/>
      <c r="F444" s="22">
        <v>10</v>
      </c>
      <c r="G444" s="22" t="s">
        <v>437</v>
      </c>
    </row>
    <row r="445" spans="1:7" x14ac:dyDescent="0.3">
      <c r="A445" s="22">
        <v>8300042</v>
      </c>
      <c r="B445" s="22" t="s">
        <v>478</v>
      </c>
      <c r="C445" s="22" t="s">
        <v>35</v>
      </c>
      <c r="D445" s="22"/>
      <c r="E445" s="22"/>
      <c r="F445" s="22">
        <v>5</v>
      </c>
      <c r="G445" s="22" t="s">
        <v>437</v>
      </c>
    </row>
    <row r="446" spans="1:7" x14ac:dyDescent="0.3">
      <c r="A446" s="23">
        <v>8300043</v>
      </c>
      <c r="B446" s="22" t="s">
        <v>479</v>
      </c>
      <c r="C446" s="22" t="s">
        <v>35</v>
      </c>
      <c r="D446" s="22"/>
      <c r="E446" s="22"/>
      <c r="F446" s="22">
        <v>15</v>
      </c>
      <c r="G446" s="22" t="s">
        <v>437</v>
      </c>
    </row>
    <row r="447" spans="1:7" x14ac:dyDescent="0.3">
      <c r="A447" s="22">
        <v>8300044</v>
      </c>
      <c r="B447" s="22" t="s">
        <v>480</v>
      </c>
      <c r="C447" s="22" t="s">
        <v>35</v>
      </c>
      <c r="D447" s="22"/>
      <c r="E447" s="22"/>
      <c r="F447" s="22">
        <v>5</v>
      </c>
      <c r="G447" s="22" t="s">
        <v>437</v>
      </c>
    </row>
    <row r="448" spans="1:7" x14ac:dyDescent="0.3">
      <c r="A448" s="23">
        <v>8300045</v>
      </c>
      <c r="B448" s="22" t="s">
        <v>481</v>
      </c>
      <c r="C448" s="22" t="s">
        <v>35</v>
      </c>
      <c r="D448" s="22"/>
      <c r="E448" s="22"/>
      <c r="F448" s="22">
        <v>5</v>
      </c>
      <c r="G448" s="22" t="s">
        <v>437</v>
      </c>
    </row>
    <row r="449" spans="1:7" x14ac:dyDescent="0.3">
      <c r="A449" s="22">
        <v>8300046</v>
      </c>
      <c r="B449" s="22" t="s">
        <v>482</v>
      </c>
      <c r="C449" s="22" t="s">
        <v>35</v>
      </c>
      <c r="D449" s="22"/>
      <c r="E449" s="22"/>
      <c r="F449" s="22">
        <v>5</v>
      </c>
      <c r="G449" s="22" t="s">
        <v>437</v>
      </c>
    </row>
    <row r="450" spans="1:7" x14ac:dyDescent="0.3">
      <c r="A450" s="23">
        <v>8400001</v>
      </c>
      <c r="B450" s="22" t="s">
        <v>483</v>
      </c>
      <c r="C450" s="22" t="s">
        <v>35</v>
      </c>
      <c r="D450" s="22"/>
      <c r="E450" s="22"/>
      <c r="F450" s="22">
        <v>2</v>
      </c>
      <c r="G450" s="22" t="s">
        <v>484</v>
      </c>
    </row>
    <row r="451" spans="1:7" x14ac:dyDescent="0.3">
      <c r="A451" s="22">
        <v>8400002</v>
      </c>
      <c r="B451" s="22" t="s">
        <v>485</v>
      </c>
      <c r="C451" s="22" t="s">
        <v>35</v>
      </c>
      <c r="D451" s="22"/>
      <c r="E451" s="22"/>
      <c r="F451" s="22">
        <v>3</v>
      </c>
      <c r="G451" s="22" t="s">
        <v>484</v>
      </c>
    </row>
    <row r="452" spans="1:7" x14ac:dyDescent="0.3">
      <c r="A452" s="23">
        <v>8400003</v>
      </c>
      <c r="B452" s="22" t="s">
        <v>486</v>
      </c>
      <c r="C452" s="22" t="s">
        <v>35</v>
      </c>
      <c r="D452" s="22"/>
      <c r="E452" s="22"/>
      <c r="F452" s="22">
        <v>3</v>
      </c>
      <c r="G452" s="22" t="s">
        <v>484</v>
      </c>
    </row>
    <row r="453" spans="1:7" x14ac:dyDescent="0.3">
      <c r="A453" s="22">
        <v>8400004</v>
      </c>
      <c r="B453" s="22" t="s">
        <v>487</v>
      </c>
      <c r="C453" s="22" t="s">
        <v>35</v>
      </c>
      <c r="D453" s="22"/>
      <c r="E453" s="22"/>
      <c r="F453" s="22">
        <v>20</v>
      </c>
      <c r="G453" s="22" t="s">
        <v>484</v>
      </c>
    </row>
    <row r="454" spans="1:7" x14ac:dyDescent="0.3">
      <c r="A454" s="23">
        <v>8400005</v>
      </c>
      <c r="B454" s="22" t="s">
        <v>488</v>
      </c>
      <c r="C454" s="22" t="s">
        <v>35</v>
      </c>
      <c r="D454" s="22"/>
      <c r="E454" s="22"/>
      <c r="F454" s="22">
        <v>10</v>
      </c>
      <c r="G454" s="22" t="s">
        <v>484</v>
      </c>
    </row>
    <row r="455" spans="1:7" x14ac:dyDescent="0.3">
      <c r="A455" s="22">
        <v>8400006</v>
      </c>
      <c r="B455" s="22" t="s">
        <v>489</v>
      </c>
      <c r="C455" s="22" t="s">
        <v>35</v>
      </c>
      <c r="D455" s="22"/>
      <c r="E455" s="22"/>
      <c r="F455" s="22">
        <v>10</v>
      </c>
      <c r="G455" s="22" t="s">
        <v>484</v>
      </c>
    </row>
    <row r="456" spans="1:7" x14ac:dyDescent="0.3">
      <c r="A456" s="23">
        <v>8400007</v>
      </c>
      <c r="B456" s="22" t="s">
        <v>490</v>
      </c>
      <c r="C456" s="22" t="s">
        <v>35</v>
      </c>
      <c r="D456" s="22"/>
      <c r="E456" s="22"/>
      <c r="F456" s="22">
        <v>10</v>
      </c>
      <c r="G456" s="22" t="s">
        <v>484</v>
      </c>
    </row>
    <row r="457" spans="1:7" x14ac:dyDescent="0.3">
      <c r="A457" s="22">
        <v>8400008</v>
      </c>
      <c r="B457" s="22" t="s">
        <v>491</v>
      </c>
      <c r="C457" s="22" t="s">
        <v>35</v>
      </c>
      <c r="D457" s="22"/>
      <c r="E457" s="22"/>
      <c r="F457" s="22">
        <v>10</v>
      </c>
      <c r="G457" s="22" t="s">
        <v>484</v>
      </c>
    </row>
    <row r="458" spans="1:7" x14ac:dyDescent="0.3">
      <c r="A458" s="23">
        <v>8400009</v>
      </c>
      <c r="B458" s="22" t="s">
        <v>492</v>
      </c>
      <c r="C458" s="22" t="s">
        <v>35</v>
      </c>
      <c r="D458" s="22"/>
      <c r="E458" s="22"/>
      <c r="F458" s="22">
        <v>10</v>
      </c>
      <c r="G458" s="22" t="s">
        <v>484</v>
      </c>
    </row>
    <row r="459" spans="1:7" x14ac:dyDescent="0.3">
      <c r="A459" s="22">
        <v>8400010</v>
      </c>
      <c r="B459" s="22" t="s">
        <v>493</v>
      </c>
      <c r="C459" s="22" t="s">
        <v>35</v>
      </c>
      <c r="D459" s="22"/>
      <c r="E459" s="22"/>
      <c r="F459" s="22">
        <v>10</v>
      </c>
      <c r="G459" s="22" t="s">
        <v>484</v>
      </c>
    </row>
    <row r="460" spans="1:7" x14ac:dyDescent="0.3">
      <c r="A460" s="23">
        <v>8400011</v>
      </c>
      <c r="B460" s="22" t="s">
        <v>494</v>
      </c>
      <c r="C460" s="22" t="s">
        <v>35</v>
      </c>
      <c r="D460" s="22"/>
      <c r="E460" s="22"/>
      <c r="F460" s="22">
        <v>5</v>
      </c>
      <c r="G460" s="22" t="s">
        <v>484</v>
      </c>
    </row>
    <row r="461" spans="1:7" x14ac:dyDescent="0.3">
      <c r="A461" s="22">
        <v>8400012</v>
      </c>
      <c r="B461" s="22" t="s">
        <v>495</v>
      </c>
      <c r="C461" s="22" t="s">
        <v>35</v>
      </c>
      <c r="D461" s="22"/>
      <c r="E461" s="22"/>
      <c r="F461" s="22">
        <v>5</v>
      </c>
      <c r="G461" s="22" t="s">
        <v>484</v>
      </c>
    </row>
    <row r="462" spans="1:7" x14ac:dyDescent="0.3">
      <c r="A462" s="23">
        <v>8400013</v>
      </c>
      <c r="B462" s="22" t="s">
        <v>496</v>
      </c>
      <c r="C462" s="22" t="s">
        <v>35</v>
      </c>
      <c r="D462" s="22"/>
      <c r="E462" s="22"/>
      <c r="F462" s="22">
        <v>5</v>
      </c>
      <c r="G462" s="22" t="s">
        <v>484</v>
      </c>
    </row>
    <row r="463" spans="1:7" x14ac:dyDescent="0.3">
      <c r="A463" s="22">
        <v>8400014</v>
      </c>
      <c r="B463" s="22" t="s">
        <v>497</v>
      </c>
      <c r="C463" s="22" t="s">
        <v>35</v>
      </c>
      <c r="D463" s="22"/>
      <c r="E463" s="22"/>
      <c r="F463" s="22">
        <v>5</v>
      </c>
      <c r="G463" s="22" t="s">
        <v>484</v>
      </c>
    </row>
    <row r="464" spans="1:7" x14ac:dyDescent="0.3">
      <c r="A464" s="23">
        <v>8400015</v>
      </c>
      <c r="B464" s="22" t="s">
        <v>498</v>
      </c>
      <c r="C464" s="22" t="s">
        <v>35</v>
      </c>
      <c r="D464" s="22"/>
      <c r="E464" s="22"/>
      <c r="F464" s="22">
        <v>5</v>
      </c>
      <c r="G464" s="22" t="s">
        <v>484</v>
      </c>
    </row>
    <row r="465" spans="1:7" x14ac:dyDescent="0.3">
      <c r="A465" s="22">
        <v>8400016</v>
      </c>
      <c r="B465" s="22" t="s">
        <v>499</v>
      </c>
      <c r="C465" s="22" t="s">
        <v>35</v>
      </c>
      <c r="D465" s="22"/>
      <c r="E465" s="22"/>
      <c r="F465" s="22">
        <v>5</v>
      </c>
      <c r="G465" s="22" t="s">
        <v>484</v>
      </c>
    </row>
    <row r="466" spans="1:7" x14ac:dyDescent="0.3">
      <c r="A466" s="23">
        <v>8400017</v>
      </c>
      <c r="B466" s="22" t="s">
        <v>500</v>
      </c>
      <c r="C466" s="22" t="s">
        <v>35</v>
      </c>
      <c r="D466" s="22"/>
      <c r="E466" s="22"/>
      <c r="F466" s="22">
        <v>5</v>
      </c>
      <c r="G466" s="22" t="s">
        <v>484</v>
      </c>
    </row>
    <row r="467" spans="1:7" x14ac:dyDescent="0.3">
      <c r="A467" s="22">
        <v>8400018</v>
      </c>
      <c r="B467" s="22" t="s">
        <v>501</v>
      </c>
      <c r="C467" s="22" t="s">
        <v>35</v>
      </c>
      <c r="D467" s="22"/>
      <c r="E467" s="22"/>
      <c r="F467" s="22">
        <v>5</v>
      </c>
      <c r="G467" s="22" t="s">
        <v>484</v>
      </c>
    </row>
    <row r="468" spans="1:7" x14ac:dyDescent="0.3">
      <c r="A468" s="23">
        <v>8400019</v>
      </c>
      <c r="B468" s="22" t="s">
        <v>502</v>
      </c>
      <c r="C468" s="22" t="s">
        <v>35</v>
      </c>
      <c r="D468" s="22"/>
      <c r="E468" s="22"/>
      <c r="F468" s="22">
        <v>3</v>
      </c>
      <c r="G468" s="22" t="s">
        <v>484</v>
      </c>
    </row>
    <row r="469" spans="1:7" x14ac:dyDescent="0.3">
      <c r="A469" s="22">
        <v>8400020</v>
      </c>
      <c r="B469" s="22" t="s">
        <v>503</v>
      </c>
      <c r="C469" s="22" t="s">
        <v>35</v>
      </c>
      <c r="D469" s="22"/>
      <c r="E469" s="22"/>
      <c r="F469" s="22">
        <v>1</v>
      </c>
      <c r="G469" s="22" t="s">
        <v>484</v>
      </c>
    </row>
    <row r="470" spans="1:7" x14ac:dyDescent="0.3">
      <c r="A470" s="23">
        <v>8400021</v>
      </c>
      <c r="B470" s="22" t="s">
        <v>504</v>
      </c>
      <c r="C470" s="22" t="s">
        <v>35</v>
      </c>
      <c r="D470" s="22"/>
      <c r="E470" s="22"/>
      <c r="F470" s="22">
        <v>5</v>
      </c>
      <c r="G470" s="22" t="s">
        <v>484</v>
      </c>
    </row>
    <row r="471" spans="1:7" x14ac:dyDescent="0.3">
      <c r="A471" s="22">
        <v>8400022</v>
      </c>
      <c r="B471" s="22" t="s">
        <v>505</v>
      </c>
      <c r="C471" s="22" t="s">
        <v>35</v>
      </c>
      <c r="D471" s="22"/>
      <c r="E471" s="22"/>
      <c r="F471" s="22">
        <v>5</v>
      </c>
      <c r="G471" s="22" t="s">
        <v>484</v>
      </c>
    </row>
    <row r="472" spans="1:7" x14ac:dyDescent="0.3">
      <c r="A472" s="23">
        <v>8400023</v>
      </c>
      <c r="B472" s="22" t="s">
        <v>506</v>
      </c>
      <c r="C472" s="22" t="s">
        <v>35</v>
      </c>
      <c r="D472" s="22"/>
      <c r="E472" s="22"/>
      <c r="F472" s="22">
        <v>5</v>
      </c>
      <c r="G472" s="22" t="s">
        <v>484</v>
      </c>
    </row>
    <row r="473" spans="1:7" x14ac:dyDescent="0.3">
      <c r="A473" s="22">
        <v>8400024</v>
      </c>
      <c r="B473" s="22" t="s">
        <v>507</v>
      </c>
      <c r="C473" s="22" t="s">
        <v>35</v>
      </c>
      <c r="D473" s="22"/>
      <c r="E473" s="22"/>
      <c r="F473" s="22">
        <v>1</v>
      </c>
      <c r="G473" s="22" t="s">
        <v>484</v>
      </c>
    </row>
    <row r="474" spans="1:7" x14ac:dyDescent="0.3">
      <c r="A474" s="23">
        <v>8400025</v>
      </c>
      <c r="B474" s="22" t="s">
        <v>508</v>
      </c>
      <c r="C474" s="22" t="s">
        <v>35</v>
      </c>
      <c r="D474" s="22"/>
      <c r="E474" s="22"/>
      <c r="F474" s="22">
        <v>3</v>
      </c>
      <c r="G474" s="22" t="s">
        <v>484</v>
      </c>
    </row>
    <row r="475" spans="1:7" x14ac:dyDescent="0.3">
      <c r="A475" s="22">
        <v>8400026</v>
      </c>
      <c r="B475" s="22" t="s">
        <v>509</v>
      </c>
      <c r="C475" s="22" t="s">
        <v>35</v>
      </c>
      <c r="D475" s="22"/>
      <c r="E475" s="22"/>
      <c r="F475" s="22">
        <v>5</v>
      </c>
      <c r="G475" s="22" t="s">
        <v>484</v>
      </c>
    </row>
    <row r="476" spans="1:7" x14ac:dyDescent="0.3">
      <c r="A476" s="23">
        <v>8400027</v>
      </c>
      <c r="B476" s="22" t="s">
        <v>510</v>
      </c>
      <c r="C476" s="22" t="s">
        <v>35</v>
      </c>
      <c r="D476" s="22"/>
      <c r="E476" s="22"/>
      <c r="F476" s="22">
        <v>5</v>
      </c>
      <c r="G476" s="22" t="s">
        <v>484</v>
      </c>
    </row>
    <row r="477" spans="1:7" x14ac:dyDescent="0.3">
      <c r="A477" s="22">
        <v>8400028</v>
      </c>
      <c r="B477" s="22" t="s">
        <v>511</v>
      </c>
      <c r="C477" s="22" t="s">
        <v>35</v>
      </c>
      <c r="D477" s="22"/>
      <c r="E477" s="22"/>
      <c r="F477" s="22">
        <v>5</v>
      </c>
      <c r="G477" s="22" t="s">
        <v>484</v>
      </c>
    </row>
    <row r="478" spans="1:7" x14ac:dyDescent="0.3">
      <c r="A478" s="23">
        <v>8400029</v>
      </c>
      <c r="B478" s="22" t="s">
        <v>512</v>
      </c>
      <c r="C478" s="22" t="s">
        <v>35</v>
      </c>
      <c r="D478" s="22"/>
      <c r="E478" s="22"/>
      <c r="F478" s="22">
        <v>5</v>
      </c>
      <c r="G478" s="22" t="s">
        <v>484</v>
      </c>
    </row>
    <row r="479" spans="1:7" x14ac:dyDescent="0.3">
      <c r="A479" s="22">
        <v>8400030</v>
      </c>
      <c r="B479" s="22" t="s">
        <v>513</v>
      </c>
      <c r="C479" s="22" t="s">
        <v>35</v>
      </c>
      <c r="D479" s="22"/>
      <c r="E479" s="22"/>
      <c r="F479" s="22">
        <v>5</v>
      </c>
      <c r="G479" s="22" t="s">
        <v>484</v>
      </c>
    </row>
    <row r="480" spans="1:7" x14ac:dyDescent="0.3">
      <c r="A480" s="23">
        <v>8400031</v>
      </c>
      <c r="B480" s="22" t="s">
        <v>514</v>
      </c>
      <c r="C480" s="22" t="s">
        <v>35</v>
      </c>
      <c r="D480" s="22"/>
      <c r="E480" s="22"/>
      <c r="F480" s="22">
        <v>5</v>
      </c>
      <c r="G480" s="22" t="s">
        <v>484</v>
      </c>
    </row>
    <row r="481" spans="1:7" x14ac:dyDescent="0.3">
      <c r="A481" s="22">
        <v>8400032</v>
      </c>
      <c r="B481" s="22" t="s">
        <v>515</v>
      </c>
      <c r="C481" s="22" t="s">
        <v>35</v>
      </c>
      <c r="D481" s="22"/>
      <c r="E481" s="22"/>
      <c r="F481" s="22">
        <v>5</v>
      </c>
      <c r="G481" s="22" t="s">
        <v>484</v>
      </c>
    </row>
    <row r="482" spans="1:7" x14ac:dyDescent="0.3">
      <c r="A482" s="23">
        <v>8400033</v>
      </c>
      <c r="B482" s="22" t="s">
        <v>516</v>
      </c>
      <c r="C482" s="22" t="s">
        <v>35</v>
      </c>
      <c r="D482" s="22"/>
      <c r="E482" s="22"/>
      <c r="F482" s="22">
        <v>5</v>
      </c>
      <c r="G482" s="22" t="s">
        <v>484</v>
      </c>
    </row>
    <row r="483" spans="1:7" x14ac:dyDescent="0.3">
      <c r="A483" s="22">
        <v>8400034</v>
      </c>
      <c r="B483" s="22" t="s">
        <v>517</v>
      </c>
      <c r="C483" s="22" t="s">
        <v>35</v>
      </c>
      <c r="D483" s="22"/>
      <c r="E483" s="22"/>
      <c r="F483" s="22">
        <v>5</v>
      </c>
      <c r="G483" s="22" t="s">
        <v>484</v>
      </c>
    </row>
    <row r="484" spans="1:7" x14ac:dyDescent="0.3">
      <c r="A484" s="23">
        <v>8400035</v>
      </c>
      <c r="B484" s="22" t="s">
        <v>518</v>
      </c>
      <c r="C484" s="22" t="s">
        <v>35</v>
      </c>
      <c r="D484" s="22"/>
      <c r="E484" s="22"/>
      <c r="F484" s="22">
        <v>5</v>
      </c>
      <c r="G484" s="22" t="s">
        <v>484</v>
      </c>
    </row>
    <row r="485" spans="1:7" x14ac:dyDescent="0.3">
      <c r="A485" s="22">
        <v>8400036</v>
      </c>
      <c r="B485" s="22" t="s">
        <v>519</v>
      </c>
      <c r="C485" s="22" t="s">
        <v>35</v>
      </c>
      <c r="D485" s="22"/>
      <c r="E485" s="22"/>
      <c r="F485" s="22">
        <v>5</v>
      </c>
      <c r="G485" s="22" t="s">
        <v>484</v>
      </c>
    </row>
    <row r="486" spans="1:7" x14ac:dyDescent="0.3">
      <c r="A486" s="23">
        <v>8400037</v>
      </c>
      <c r="B486" s="22" t="s">
        <v>520</v>
      </c>
      <c r="C486" s="22" t="s">
        <v>35</v>
      </c>
      <c r="D486" s="22"/>
      <c r="E486" s="22"/>
      <c r="F486" s="22">
        <v>5</v>
      </c>
      <c r="G486" s="22" t="s">
        <v>484</v>
      </c>
    </row>
    <row r="487" spans="1:7" x14ac:dyDescent="0.3">
      <c r="A487" s="22">
        <v>8400038</v>
      </c>
      <c r="B487" s="22" t="s">
        <v>521</v>
      </c>
      <c r="C487" s="22" t="s">
        <v>35</v>
      </c>
      <c r="D487" s="22"/>
      <c r="E487" s="22"/>
      <c r="F487" s="22">
        <v>5</v>
      </c>
      <c r="G487" s="22" t="s">
        <v>484</v>
      </c>
    </row>
    <row r="488" spans="1:7" x14ac:dyDescent="0.3">
      <c r="A488" s="23">
        <v>8400039</v>
      </c>
      <c r="B488" s="22" t="s">
        <v>522</v>
      </c>
      <c r="C488" s="22" t="s">
        <v>35</v>
      </c>
      <c r="D488" s="22"/>
      <c r="E488" s="22"/>
      <c r="F488" s="22">
        <v>5</v>
      </c>
      <c r="G488" s="22" t="s">
        <v>484</v>
      </c>
    </row>
    <row r="489" spans="1:7" x14ac:dyDescent="0.3">
      <c r="A489" s="22">
        <v>8400040</v>
      </c>
      <c r="B489" s="22" t="s">
        <v>523</v>
      </c>
      <c r="C489" s="22" t="s">
        <v>35</v>
      </c>
      <c r="D489" s="22"/>
      <c r="E489" s="22"/>
      <c r="F489" s="22">
        <v>5</v>
      </c>
      <c r="G489" s="22" t="s">
        <v>484</v>
      </c>
    </row>
    <row r="490" spans="1:7" x14ac:dyDescent="0.3">
      <c r="A490" s="23">
        <v>8400041</v>
      </c>
      <c r="B490" s="22" t="s">
        <v>524</v>
      </c>
      <c r="C490" s="22" t="s">
        <v>35</v>
      </c>
      <c r="D490" s="22"/>
      <c r="E490" s="22"/>
      <c r="F490" s="22">
        <v>5</v>
      </c>
      <c r="G490" s="22" t="s">
        <v>484</v>
      </c>
    </row>
    <row r="491" spans="1:7" x14ac:dyDescent="0.3">
      <c r="A491" s="22">
        <v>8400042</v>
      </c>
      <c r="B491" s="22" t="s">
        <v>525</v>
      </c>
      <c r="C491" s="22" t="s">
        <v>35</v>
      </c>
      <c r="D491" s="22"/>
      <c r="E491" s="22"/>
      <c r="F491" s="22">
        <v>5</v>
      </c>
      <c r="G491" s="22" t="s">
        <v>484</v>
      </c>
    </row>
    <row r="492" spans="1:7" x14ac:dyDescent="0.3">
      <c r="A492" s="23">
        <v>8400043</v>
      </c>
      <c r="B492" s="22" t="s">
        <v>526</v>
      </c>
      <c r="C492" s="22" t="s">
        <v>35</v>
      </c>
      <c r="D492" s="22"/>
      <c r="E492" s="22"/>
      <c r="F492" s="22">
        <v>3</v>
      </c>
      <c r="G492" s="22" t="s">
        <v>484</v>
      </c>
    </row>
    <row r="493" spans="1:7" x14ac:dyDescent="0.3">
      <c r="A493" s="22">
        <v>8400044</v>
      </c>
      <c r="B493" s="22" t="s">
        <v>527</v>
      </c>
      <c r="C493" s="22" t="s">
        <v>35</v>
      </c>
      <c r="D493" s="22"/>
      <c r="E493" s="22"/>
      <c r="F493" s="22">
        <v>3</v>
      </c>
      <c r="G493" s="22" t="s">
        <v>484</v>
      </c>
    </row>
    <row r="494" spans="1:7" x14ac:dyDescent="0.3">
      <c r="A494" s="23">
        <v>8400045</v>
      </c>
      <c r="B494" s="22" t="s">
        <v>528</v>
      </c>
      <c r="C494" s="22" t="s">
        <v>35</v>
      </c>
      <c r="D494" s="22"/>
      <c r="E494" s="22"/>
      <c r="F494" s="22">
        <v>3</v>
      </c>
      <c r="G494" s="22" t="s">
        <v>484</v>
      </c>
    </row>
    <row r="495" spans="1:7" x14ac:dyDescent="0.3">
      <c r="A495" s="22">
        <v>8400046</v>
      </c>
      <c r="B495" s="22" t="s">
        <v>529</v>
      </c>
      <c r="C495" s="22" t="s">
        <v>35</v>
      </c>
      <c r="D495" s="22"/>
      <c r="E495" s="22"/>
      <c r="F495" s="22">
        <v>5</v>
      </c>
      <c r="G495" s="22" t="s">
        <v>484</v>
      </c>
    </row>
    <row r="496" spans="1:7" x14ac:dyDescent="0.3">
      <c r="A496" s="23">
        <v>8400047</v>
      </c>
      <c r="B496" s="22" t="s">
        <v>530</v>
      </c>
      <c r="C496" s="22" t="s">
        <v>35</v>
      </c>
      <c r="D496" s="22"/>
      <c r="E496" s="22"/>
      <c r="F496" s="22">
        <v>1</v>
      </c>
      <c r="G496" s="22" t="s">
        <v>484</v>
      </c>
    </row>
    <row r="497" spans="1:7" x14ac:dyDescent="0.3">
      <c r="A497" s="22">
        <v>8400048</v>
      </c>
      <c r="B497" s="22" t="s">
        <v>531</v>
      </c>
      <c r="C497" s="22" t="s">
        <v>35</v>
      </c>
      <c r="D497" s="22"/>
      <c r="E497" s="22"/>
      <c r="F497" s="22">
        <v>1</v>
      </c>
      <c r="G497" s="22" t="s">
        <v>484</v>
      </c>
    </row>
    <row r="498" spans="1:7" x14ac:dyDescent="0.3">
      <c r="A498" s="23">
        <v>8400049</v>
      </c>
      <c r="B498" s="22" t="s">
        <v>532</v>
      </c>
      <c r="C498" s="22" t="s">
        <v>35</v>
      </c>
      <c r="D498" s="22"/>
      <c r="E498" s="22"/>
      <c r="F498" s="22">
        <v>1</v>
      </c>
      <c r="G498" s="22" t="s">
        <v>484</v>
      </c>
    </row>
    <row r="499" spans="1:7" x14ac:dyDescent="0.3">
      <c r="A499" s="22">
        <v>8400050</v>
      </c>
      <c r="B499" s="22" t="s">
        <v>533</v>
      </c>
      <c r="C499" s="22" t="s">
        <v>35</v>
      </c>
      <c r="D499" s="22"/>
      <c r="E499" s="22"/>
      <c r="F499" s="22">
        <v>5</v>
      </c>
      <c r="G499" s="22" t="s">
        <v>484</v>
      </c>
    </row>
    <row r="500" spans="1:7" x14ac:dyDescent="0.3">
      <c r="A500" s="23">
        <v>8400051</v>
      </c>
      <c r="B500" s="22" t="s">
        <v>534</v>
      </c>
      <c r="C500" s="22" t="s">
        <v>35</v>
      </c>
      <c r="D500" s="22"/>
      <c r="E500" s="22"/>
      <c r="F500" s="22">
        <v>5</v>
      </c>
      <c r="G500" s="22" t="s">
        <v>484</v>
      </c>
    </row>
    <row r="501" spans="1:7" x14ac:dyDescent="0.3">
      <c r="A501" s="22">
        <v>8400052</v>
      </c>
      <c r="B501" s="22" t="s">
        <v>535</v>
      </c>
      <c r="C501" s="22" t="s">
        <v>35</v>
      </c>
      <c r="D501" s="22"/>
      <c r="E501" s="22"/>
      <c r="F501" s="22">
        <v>1</v>
      </c>
      <c r="G501" s="22" t="s">
        <v>484</v>
      </c>
    </row>
    <row r="502" spans="1:7" x14ac:dyDescent="0.3">
      <c r="A502" s="23">
        <v>8400053</v>
      </c>
      <c r="B502" s="22" t="s">
        <v>536</v>
      </c>
      <c r="C502" s="22" t="s">
        <v>35</v>
      </c>
      <c r="D502" s="22"/>
      <c r="E502" s="22"/>
      <c r="F502" s="22">
        <v>3</v>
      </c>
      <c r="G502" s="22" t="s">
        <v>484</v>
      </c>
    </row>
    <row r="503" spans="1:7" x14ac:dyDescent="0.3">
      <c r="A503" s="22">
        <v>8400054</v>
      </c>
      <c r="B503" s="22" t="s">
        <v>537</v>
      </c>
      <c r="C503" s="22" t="s">
        <v>35</v>
      </c>
      <c r="D503" s="22"/>
      <c r="E503" s="22"/>
      <c r="F503" s="22">
        <v>5</v>
      </c>
      <c r="G503" s="22" t="s">
        <v>484</v>
      </c>
    </row>
    <row r="504" spans="1:7" x14ac:dyDescent="0.3">
      <c r="A504" s="23">
        <v>8400055</v>
      </c>
      <c r="B504" s="22" t="s">
        <v>538</v>
      </c>
      <c r="C504" s="22" t="s">
        <v>35</v>
      </c>
      <c r="D504" s="22"/>
      <c r="E504" s="22"/>
      <c r="F504" s="22">
        <v>5</v>
      </c>
      <c r="G504" s="22" t="s">
        <v>484</v>
      </c>
    </row>
    <row r="505" spans="1:7" x14ac:dyDescent="0.3">
      <c r="A505" s="22">
        <v>8400056</v>
      </c>
      <c r="B505" s="22" t="s">
        <v>539</v>
      </c>
      <c r="C505" s="22" t="s">
        <v>35</v>
      </c>
      <c r="D505" s="22"/>
      <c r="E505" s="22"/>
      <c r="F505" s="22">
        <v>15</v>
      </c>
      <c r="G505" s="22" t="s">
        <v>484</v>
      </c>
    </row>
    <row r="506" spans="1:7" x14ac:dyDescent="0.3">
      <c r="A506" s="23">
        <v>8400057</v>
      </c>
      <c r="B506" s="22" t="s">
        <v>540</v>
      </c>
      <c r="C506" s="22" t="s">
        <v>35</v>
      </c>
      <c r="D506" s="22"/>
      <c r="E506" s="22"/>
      <c r="F506" s="22">
        <v>20</v>
      </c>
      <c r="G506" s="22" t="s">
        <v>484</v>
      </c>
    </row>
    <row r="507" spans="1:7" x14ac:dyDescent="0.3">
      <c r="A507" s="22">
        <v>8400058</v>
      </c>
      <c r="B507" s="22" t="s">
        <v>541</v>
      </c>
      <c r="C507" s="22" t="s">
        <v>35</v>
      </c>
      <c r="D507" s="22"/>
      <c r="E507" s="22"/>
      <c r="F507" s="22">
        <v>5</v>
      </c>
      <c r="G507" s="22" t="s">
        <v>484</v>
      </c>
    </row>
    <row r="508" spans="1:7" x14ac:dyDescent="0.3">
      <c r="A508" s="23">
        <v>8400059</v>
      </c>
      <c r="B508" s="22" t="s">
        <v>542</v>
      </c>
      <c r="C508" s="22" t="s">
        <v>35</v>
      </c>
      <c r="D508" s="22"/>
      <c r="E508" s="22"/>
      <c r="F508" s="22">
        <v>5</v>
      </c>
      <c r="G508" s="22" t="s">
        <v>484</v>
      </c>
    </row>
    <row r="509" spans="1:7" x14ac:dyDescent="0.3">
      <c r="A509" s="22">
        <v>8400060</v>
      </c>
      <c r="B509" s="22" t="s">
        <v>543</v>
      </c>
      <c r="C509" s="22" t="s">
        <v>35</v>
      </c>
      <c r="D509" s="22"/>
      <c r="E509" s="22"/>
      <c r="F509" s="22">
        <v>5</v>
      </c>
      <c r="G509" s="22" t="s">
        <v>484</v>
      </c>
    </row>
    <row r="510" spans="1:7" x14ac:dyDescent="0.3">
      <c r="A510" s="23">
        <v>8400061</v>
      </c>
      <c r="B510" s="22" t="s">
        <v>544</v>
      </c>
      <c r="C510" s="22" t="s">
        <v>35</v>
      </c>
      <c r="D510" s="22"/>
      <c r="E510" s="22"/>
      <c r="F510" s="22">
        <v>20</v>
      </c>
      <c r="G510" s="22" t="s">
        <v>484</v>
      </c>
    </row>
    <row r="511" spans="1:7" x14ac:dyDescent="0.3">
      <c r="A511" s="22">
        <v>8400062</v>
      </c>
      <c r="B511" s="22" t="s">
        <v>545</v>
      </c>
      <c r="C511" s="22" t="s">
        <v>35</v>
      </c>
      <c r="D511" s="22"/>
      <c r="E511" s="22"/>
      <c r="F511" s="22">
        <v>20</v>
      </c>
      <c r="G511" s="22" t="s">
        <v>484</v>
      </c>
    </row>
    <row r="512" spans="1:7" x14ac:dyDescent="0.3">
      <c r="A512" s="23">
        <v>8400063</v>
      </c>
      <c r="B512" s="22" t="s">
        <v>546</v>
      </c>
      <c r="C512" s="22" t="s">
        <v>35</v>
      </c>
      <c r="D512" s="22"/>
      <c r="E512" s="22"/>
      <c r="F512" s="22">
        <v>20</v>
      </c>
      <c r="G512" s="22" t="s">
        <v>484</v>
      </c>
    </row>
    <row r="513" spans="1:7" x14ac:dyDescent="0.3">
      <c r="A513" s="22">
        <v>8400064</v>
      </c>
      <c r="B513" s="22" t="s">
        <v>547</v>
      </c>
      <c r="C513" s="22" t="s">
        <v>35</v>
      </c>
      <c r="D513" s="22"/>
      <c r="E513" s="22"/>
      <c r="F513" s="22">
        <v>20</v>
      </c>
      <c r="G513" s="22" t="s">
        <v>484</v>
      </c>
    </row>
    <row r="514" spans="1:7" x14ac:dyDescent="0.3">
      <c r="A514" s="23">
        <v>8400065</v>
      </c>
      <c r="B514" s="22" t="s">
        <v>548</v>
      </c>
      <c r="C514" s="22" t="s">
        <v>35</v>
      </c>
      <c r="D514" s="22"/>
      <c r="E514" s="22"/>
      <c r="F514" s="22">
        <v>20</v>
      </c>
      <c r="G514" s="22" t="s">
        <v>484</v>
      </c>
    </row>
    <row r="515" spans="1:7" x14ac:dyDescent="0.3">
      <c r="A515" s="22">
        <v>8400066</v>
      </c>
      <c r="B515" s="22" t="s">
        <v>549</v>
      </c>
      <c r="C515" s="22" t="s">
        <v>35</v>
      </c>
      <c r="D515" s="22"/>
      <c r="E515" s="22"/>
      <c r="F515" s="22">
        <v>20</v>
      </c>
      <c r="G515" s="22" t="s">
        <v>484</v>
      </c>
    </row>
    <row r="516" spans="1:7" x14ac:dyDescent="0.3">
      <c r="A516" s="23">
        <v>8400067</v>
      </c>
      <c r="B516" s="22" t="s">
        <v>550</v>
      </c>
      <c r="C516" s="22" t="s">
        <v>35</v>
      </c>
      <c r="D516" s="22"/>
      <c r="E516" s="22"/>
      <c r="F516" s="22">
        <v>5</v>
      </c>
      <c r="G516" s="22" t="s">
        <v>484</v>
      </c>
    </row>
    <row r="517" spans="1:7" x14ac:dyDescent="0.3">
      <c r="A517" s="22">
        <v>8400068</v>
      </c>
      <c r="B517" s="22" t="s">
        <v>551</v>
      </c>
      <c r="C517" s="22" t="s">
        <v>35</v>
      </c>
      <c r="D517" s="22"/>
      <c r="E517" s="22"/>
      <c r="F517" s="22">
        <v>5</v>
      </c>
      <c r="G517" s="22" t="s">
        <v>484</v>
      </c>
    </row>
    <row r="518" spans="1:7" x14ac:dyDescent="0.3">
      <c r="A518" s="23">
        <v>8400069</v>
      </c>
      <c r="B518" s="22" t="s">
        <v>552</v>
      </c>
      <c r="C518" s="22" t="s">
        <v>35</v>
      </c>
      <c r="D518" s="22"/>
      <c r="E518" s="22"/>
      <c r="F518" s="22">
        <v>5</v>
      </c>
      <c r="G518" s="22" t="s">
        <v>484</v>
      </c>
    </row>
    <row r="519" spans="1:7" x14ac:dyDescent="0.3">
      <c r="A519" s="22">
        <v>8400070</v>
      </c>
      <c r="B519" s="22" t="s">
        <v>553</v>
      </c>
      <c r="C519" s="22" t="s">
        <v>35</v>
      </c>
      <c r="D519" s="22"/>
      <c r="E519" s="22"/>
      <c r="F519" s="22">
        <v>5</v>
      </c>
      <c r="G519" s="22" t="s">
        <v>484</v>
      </c>
    </row>
    <row r="520" spans="1:7" x14ac:dyDescent="0.3">
      <c r="A520" s="23">
        <v>8400071</v>
      </c>
      <c r="B520" s="22" t="s">
        <v>554</v>
      </c>
      <c r="C520" s="22" t="s">
        <v>35</v>
      </c>
      <c r="D520" s="22"/>
      <c r="E520" s="22"/>
      <c r="F520" s="22">
        <v>10</v>
      </c>
      <c r="G520" s="22" t="s">
        <v>484</v>
      </c>
    </row>
    <row r="521" spans="1:7" x14ac:dyDescent="0.3">
      <c r="A521" s="22">
        <v>8400072</v>
      </c>
      <c r="B521" s="22" t="s">
        <v>555</v>
      </c>
      <c r="C521" s="22" t="s">
        <v>35</v>
      </c>
      <c r="D521" s="22"/>
      <c r="E521" s="22"/>
      <c r="F521" s="22">
        <v>5</v>
      </c>
      <c r="G521" s="22" t="s">
        <v>484</v>
      </c>
    </row>
    <row r="522" spans="1:7" x14ac:dyDescent="0.3">
      <c r="A522" s="23">
        <v>8400073</v>
      </c>
      <c r="B522" s="22" t="s">
        <v>556</v>
      </c>
      <c r="C522" s="22" t="s">
        <v>35</v>
      </c>
      <c r="D522" s="22"/>
      <c r="E522" s="22"/>
      <c r="F522" s="22">
        <v>5</v>
      </c>
      <c r="G522" s="22" t="s">
        <v>484</v>
      </c>
    </row>
    <row r="523" spans="1:7" x14ac:dyDescent="0.3">
      <c r="A523" s="22">
        <v>8400074</v>
      </c>
      <c r="B523" s="22" t="s">
        <v>557</v>
      </c>
      <c r="C523" s="22" t="s">
        <v>35</v>
      </c>
      <c r="D523" s="22"/>
      <c r="E523" s="22"/>
      <c r="F523" s="22">
        <v>5</v>
      </c>
      <c r="G523" s="22" t="s">
        <v>484</v>
      </c>
    </row>
    <row r="524" spans="1:7" x14ac:dyDescent="0.3">
      <c r="A524" s="23">
        <v>8400075</v>
      </c>
      <c r="B524" s="22" t="s">
        <v>558</v>
      </c>
      <c r="C524" s="22" t="s">
        <v>35</v>
      </c>
      <c r="D524" s="22"/>
      <c r="E524" s="22"/>
      <c r="F524" s="22">
        <v>5</v>
      </c>
      <c r="G524" s="22" t="s">
        <v>484</v>
      </c>
    </row>
    <row r="525" spans="1:7" x14ac:dyDescent="0.3">
      <c r="A525" s="22">
        <v>8400076</v>
      </c>
      <c r="B525" s="22" t="s">
        <v>559</v>
      </c>
      <c r="C525" s="22" t="s">
        <v>35</v>
      </c>
      <c r="D525" s="22"/>
      <c r="E525" s="22"/>
      <c r="F525" s="22">
        <v>5</v>
      </c>
      <c r="G525" s="22" t="s">
        <v>484</v>
      </c>
    </row>
    <row r="526" spans="1:7" x14ac:dyDescent="0.3">
      <c r="A526" s="23">
        <v>8400077</v>
      </c>
      <c r="B526" s="22" t="s">
        <v>560</v>
      </c>
      <c r="C526" s="22" t="s">
        <v>35</v>
      </c>
      <c r="D526" s="22"/>
      <c r="E526" s="22"/>
      <c r="F526" s="22">
        <v>5</v>
      </c>
      <c r="G526" s="22" t="s">
        <v>484</v>
      </c>
    </row>
    <row r="527" spans="1:7" x14ac:dyDescent="0.3">
      <c r="A527" s="22">
        <v>8400078</v>
      </c>
      <c r="B527" s="22" t="s">
        <v>561</v>
      </c>
      <c r="C527" s="22" t="s">
        <v>35</v>
      </c>
      <c r="D527" s="22"/>
      <c r="E527" s="22"/>
      <c r="F527" s="22">
        <v>3</v>
      </c>
      <c r="G527" s="22" t="s">
        <v>484</v>
      </c>
    </row>
    <row r="528" spans="1:7" x14ac:dyDescent="0.3">
      <c r="A528" s="23">
        <v>8400079</v>
      </c>
      <c r="B528" s="22" t="s">
        <v>562</v>
      </c>
      <c r="C528" s="22" t="s">
        <v>35</v>
      </c>
      <c r="D528" s="22"/>
      <c r="E528" s="22"/>
      <c r="F528" s="22">
        <v>3</v>
      </c>
      <c r="G528" s="22" t="s">
        <v>484</v>
      </c>
    </row>
    <row r="529" spans="1:7" x14ac:dyDescent="0.3">
      <c r="A529" s="22">
        <v>8400080</v>
      </c>
      <c r="B529" s="22" t="s">
        <v>563</v>
      </c>
      <c r="C529" s="22" t="s">
        <v>35</v>
      </c>
      <c r="D529" s="22"/>
      <c r="E529" s="22"/>
      <c r="F529" s="22">
        <v>3</v>
      </c>
      <c r="G529" s="22" t="s">
        <v>484</v>
      </c>
    </row>
    <row r="530" spans="1:7" x14ac:dyDescent="0.3">
      <c r="A530" s="23">
        <v>8400081</v>
      </c>
      <c r="B530" s="22" t="s">
        <v>564</v>
      </c>
      <c r="C530" s="22" t="s">
        <v>35</v>
      </c>
      <c r="D530" s="22"/>
      <c r="E530" s="22"/>
      <c r="F530" s="22">
        <v>3</v>
      </c>
      <c r="G530" s="22" t="s">
        <v>484</v>
      </c>
    </row>
    <row r="531" spans="1:7" x14ac:dyDescent="0.3">
      <c r="A531" s="22">
        <v>8400082</v>
      </c>
      <c r="B531" s="22" t="s">
        <v>565</v>
      </c>
      <c r="C531" s="22" t="s">
        <v>35</v>
      </c>
      <c r="D531" s="22"/>
      <c r="E531" s="22"/>
      <c r="F531" s="22">
        <v>3</v>
      </c>
      <c r="G531" s="22" t="s">
        <v>484</v>
      </c>
    </row>
    <row r="532" spans="1:7" x14ac:dyDescent="0.3">
      <c r="A532" s="23">
        <v>8400083</v>
      </c>
      <c r="B532" s="22" t="s">
        <v>566</v>
      </c>
      <c r="C532" s="22" t="s">
        <v>35</v>
      </c>
      <c r="D532" s="22"/>
      <c r="E532" s="22"/>
      <c r="F532" s="22">
        <v>3</v>
      </c>
      <c r="G532" s="22" t="s">
        <v>484</v>
      </c>
    </row>
    <row r="533" spans="1:7" x14ac:dyDescent="0.3">
      <c r="A533" s="22">
        <v>8400084</v>
      </c>
      <c r="B533" s="22" t="s">
        <v>567</v>
      </c>
      <c r="C533" s="22" t="s">
        <v>35</v>
      </c>
      <c r="D533" s="22"/>
      <c r="E533" s="22"/>
      <c r="F533" s="22">
        <v>3</v>
      </c>
      <c r="G533" s="22" t="s">
        <v>484</v>
      </c>
    </row>
    <row r="534" spans="1:7" x14ac:dyDescent="0.3">
      <c r="A534" s="23">
        <v>8400085</v>
      </c>
      <c r="B534" s="22" t="s">
        <v>568</v>
      </c>
      <c r="C534" s="22" t="s">
        <v>35</v>
      </c>
      <c r="D534" s="22"/>
      <c r="E534" s="22"/>
      <c r="F534" s="22">
        <v>3</v>
      </c>
      <c r="G534" s="22" t="s">
        <v>484</v>
      </c>
    </row>
    <row r="535" spans="1:7" x14ac:dyDescent="0.3">
      <c r="A535" s="22">
        <v>8400086</v>
      </c>
      <c r="B535" s="22" t="s">
        <v>569</v>
      </c>
      <c r="C535" s="22" t="s">
        <v>35</v>
      </c>
      <c r="D535" s="22"/>
      <c r="E535" s="22"/>
      <c r="F535" s="22">
        <v>3</v>
      </c>
      <c r="G535" s="22" t="s">
        <v>484</v>
      </c>
    </row>
    <row r="536" spans="1:7" x14ac:dyDescent="0.3">
      <c r="A536" s="23">
        <v>8400087</v>
      </c>
      <c r="B536" s="22" t="s">
        <v>570</v>
      </c>
      <c r="C536" s="22" t="s">
        <v>35</v>
      </c>
      <c r="D536" s="22"/>
      <c r="E536" s="22"/>
      <c r="F536" s="22">
        <v>5</v>
      </c>
      <c r="G536" s="22" t="s">
        <v>484</v>
      </c>
    </row>
    <row r="537" spans="1:7" x14ac:dyDescent="0.3">
      <c r="A537" s="22">
        <v>8400088</v>
      </c>
      <c r="B537" s="22" t="s">
        <v>571</v>
      </c>
      <c r="C537" s="22" t="s">
        <v>35</v>
      </c>
      <c r="D537" s="22"/>
      <c r="E537" s="22"/>
      <c r="F537" s="22">
        <v>5</v>
      </c>
      <c r="G537" s="22" t="s">
        <v>484</v>
      </c>
    </row>
    <row r="538" spans="1:7" x14ac:dyDescent="0.3">
      <c r="A538" s="23">
        <v>8400089</v>
      </c>
      <c r="B538" s="22" t="s">
        <v>572</v>
      </c>
      <c r="C538" s="22" t="s">
        <v>35</v>
      </c>
      <c r="D538" s="22"/>
      <c r="E538" s="22"/>
      <c r="F538" s="22">
        <v>5</v>
      </c>
      <c r="G538" s="22" t="s">
        <v>484</v>
      </c>
    </row>
    <row r="539" spans="1:7" x14ac:dyDescent="0.3">
      <c r="A539" s="22">
        <v>8400090</v>
      </c>
      <c r="B539" s="22" t="s">
        <v>573</v>
      </c>
      <c r="C539" s="22" t="s">
        <v>35</v>
      </c>
      <c r="D539" s="22"/>
      <c r="E539" s="22"/>
      <c r="F539" s="22">
        <v>5</v>
      </c>
      <c r="G539" s="22" t="s">
        <v>484</v>
      </c>
    </row>
    <row r="540" spans="1:7" x14ac:dyDescent="0.3">
      <c r="A540" s="23">
        <v>8400091</v>
      </c>
      <c r="B540" s="22" t="s">
        <v>574</v>
      </c>
      <c r="C540" s="22" t="s">
        <v>35</v>
      </c>
      <c r="D540" s="22"/>
      <c r="E540" s="22"/>
      <c r="F540" s="22">
        <v>5</v>
      </c>
      <c r="G540" s="22" t="s">
        <v>484</v>
      </c>
    </row>
    <row r="541" spans="1:7" x14ac:dyDescent="0.3">
      <c r="A541" s="22">
        <v>8400092</v>
      </c>
      <c r="B541" s="22" t="s">
        <v>575</v>
      </c>
      <c r="C541" s="22" t="s">
        <v>35</v>
      </c>
      <c r="D541" s="22"/>
      <c r="E541" s="22"/>
      <c r="F541" s="22">
        <v>10</v>
      </c>
      <c r="G541" s="22" t="s">
        <v>484</v>
      </c>
    </row>
    <row r="542" spans="1:7" x14ac:dyDescent="0.3">
      <c r="A542" s="23">
        <v>8400093</v>
      </c>
      <c r="B542" s="22" t="s">
        <v>576</v>
      </c>
      <c r="C542" s="22" t="s">
        <v>35</v>
      </c>
      <c r="D542" s="22"/>
      <c r="E542" s="22"/>
      <c r="F542" s="22">
        <v>10</v>
      </c>
      <c r="G542" s="22" t="s">
        <v>484</v>
      </c>
    </row>
    <row r="543" spans="1:7" x14ac:dyDescent="0.3">
      <c r="A543" s="22">
        <v>8400094</v>
      </c>
      <c r="B543" s="22" t="s">
        <v>577</v>
      </c>
      <c r="C543" s="22" t="s">
        <v>35</v>
      </c>
      <c r="D543" s="22"/>
      <c r="E543" s="22"/>
      <c r="F543" s="22">
        <v>10</v>
      </c>
      <c r="G543" s="22" t="s">
        <v>484</v>
      </c>
    </row>
    <row r="544" spans="1:7" x14ac:dyDescent="0.3">
      <c r="A544" s="23">
        <v>8400095</v>
      </c>
      <c r="B544" s="22" t="s">
        <v>578</v>
      </c>
      <c r="C544" s="22" t="s">
        <v>35</v>
      </c>
      <c r="D544" s="22"/>
      <c r="E544" s="22"/>
      <c r="F544" s="22">
        <v>10</v>
      </c>
      <c r="G544" s="22" t="s">
        <v>484</v>
      </c>
    </row>
    <row r="545" spans="1:7" x14ac:dyDescent="0.3">
      <c r="A545" s="22">
        <v>8400096</v>
      </c>
      <c r="B545" s="22" t="s">
        <v>579</v>
      </c>
      <c r="C545" s="22" t="s">
        <v>35</v>
      </c>
      <c r="D545" s="22"/>
      <c r="E545" s="22"/>
      <c r="F545" s="22">
        <v>10</v>
      </c>
      <c r="G545" s="22" t="s">
        <v>484</v>
      </c>
    </row>
    <row r="546" spans="1:7" x14ac:dyDescent="0.3">
      <c r="A546" s="23">
        <v>8400097</v>
      </c>
      <c r="B546" s="22" t="s">
        <v>580</v>
      </c>
      <c r="C546" s="22" t="s">
        <v>35</v>
      </c>
      <c r="D546" s="22"/>
      <c r="E546" s="22"/>
      <c r="F546" s="22">
        <v>10</v>
      </c>
      <c r="G546" s="22" t="s">
        <v>484</v>
      </c>
    </row>
    <row r="547" spans="1:7" x14ac:dyDescent="0.3">
      <c r="A547" s="22">
        <v>8400098</v>
      </c>
      <c r="B547" s="22" t="s">
        <v>581</v>
      </c>
      <c r="C547" s="22" t="s">
        <v>35</v>
      </c>
      <c r="D547" s="22"/>
      <c r="E547" s="22"/>
      <c r="F547" s="22">
        <v>5</v>
      </c>
      <c r="G547" s="22" t="s">
        <v>484</v>
      </c>
    </row>
    <row r="548" spans="1:7" x14ac:dyDescent="0.3">
      <c r="A548" s="23">
        <v>8400099</v>
      </c>
      <c r="B548" s="22" t="s">
        <v>582</v>
      </c>
      <c r="C548" s="22" t="s">
        <v>35</v>
      </c>
      <c r="D548" s="22"/>
      <c r="E548" s="22"/>
      <c r="F548" s="22">
        <v>5</v>
      </c>
      <c r="G548" s="22" t="s">
        <v>484</v>
      </c>
    </row>
    <row r="549" spans="1:7" x14ac:dyDescent="0.3">
      <c r="A549" s="22">
        <v>8400100</v>
      </c>
      <c r="B549" s="22" t="s">
        <v>583</v>
      </c>
      <c r="C549" s="22" t="s">
        <v>35</v>
      </c>
      <c r="D549" s="22"/>
      <c r="E549" s="22"/>
      <c r="F549" s="22">
        <v>5</v>
      </c>
      <c r="G549" s="22" t="s">
        <v>484</v>
      </c>
    </row>
    <row r="550" spans="1:7" x14ac:dyDescent="0.3">
      <c r="A550" s="23">
        <v>8400101</v>
      </c>
      <c r="B550" s="22" t="s">
        <v>584</v>
      </c>
      <c r="C550" s="22" t="s">
        <v>35</v>
      </c>
      <c r="D550" s="22"/>
      <c r="E550" s="22"/>
      <c r="F550" s="22">
        <v>5</v>
      </c>
      <c r="G550" s="22" t="s">
        <v>484</v>
      </c>
    </row>
    <row r="551" spans="1:7" x14ac:dyDescent="0.3">
      <c r="A551" s="22">
        <v>8400102</v>
      </c>
      <c r="B551" s="22" t="s">
        <v>585</v>
      </c>
      <c r="C551" s="22" t="s">
        <v>35</v>
      </c>
      <c r="D551" s="22"/>
      <c r="E551" s="22"/>
      <c r="F551" s="22">
        <v>5</v>
      </c>
      <c r="G551" s="22" t="s">
        <v>484</v>
      </c>
    </row>
    <row r="552" spans="1:7" x14ac:dyDescent="0.3">
      <c r="A552" s="23">
        <v>8400103</v>
      </c>
      <c r="B552" s="22" t="s">
        <v>586</v>
      </c>
      <c r="C552" s="22" t="s">
        <v>35</v>
      </c>
      <c r="D552" s="22"/>
      <c r="E552" s="22"/>
      <c r="F552" s="22">
        <v>5</v>
      </c>
      <c r="G552" s="22" t="s">
        <v>484</v>
      </c>
    </row>
    <row r="553" spans="1:7" x14ac:dyDescent="0.3">
      <c r="A553" s="22">
        <v>8400104</v>
      </c>
      <c r="B553" s="22" t="s">
        <v>587</v>
      </c>
      <c r="C553" s="22" t="s">
        <v>35</v>
      </c>
      <c r="D553" s="22"/>
      <c r="E553" s="22"/>
      <c r="F553" s="22">
        <v>5</v>
      </c>
      <c r="G553" s="22" t="s">
        <v>484</v>
      </c>
    </row>
    <row r="554" spans="1:7" x14ac:dyDescent="0.3">
      <c r="A554" s="23">
        <v>8400105</v>
      </c>
      <c r="B554" s="22" t="s">
        <v>588</v>
      </c>
      <c r="C554" s="22" t="s">
        <v>35</v>
      </c>
      <c r="D554" s="22"/>
      <c r="E554" s="22"/>
      <c r="F554" s="22">
        <v>5</v>
      </c>
      <c r="G554" s="22" t="s">
        <v>484</v>
      </c>
    </row>
    <row r="555" spans="1:7" x14ac:dyDescent="0.3">
      <c r="A555" s="22">
        <v>8400106</v>
      </c>
      <c r="B555" s="22" t="s">
        <v>589</v>
      </c>
      <c r="C555" s="22" t="s">
        <v>35</v>
      </c>
      <c r="D555" s="22"/>
      <c r="E555" s="22"/>
      <c r="F555" s="22">
        <v>5</v>
      </c>
      <c r="G555" s="22" t="s">
        <v>484</v>
      </c>
    </row>
    <row r="556" spans="1:7" x14ac:dyDescent="0.3">
      <c r="A556" s="23">
        <v>8400107</v>
      </c>
      <c r="B556" s="22" t="s">
        <v>590</v>
      </c>
      <c r="C556" s="22" t="s">
        <v>35</v>
      </c>
      <c r="D556" s="22"/>
      <c r="E556" s="22"/>
      <c r="F556" s="22">
        <v>5</v>
      </c>
      <c r="G556" s="22" t="s">
        <v>484</v>
      </c>
    </row>
    <row r="557" spans="1:7" x14ac:dyDescent="0.3">
      <c r="A557" s="22">
        <v>8400108</v>
      </c>
      <c r="B557" s="22" t="s">
        <v>591</v>
      </c>
      <c r="C557" s="22" t="s">
        <v>35</v>
      </c>
      <c r="D557" s="22"/>
      <c r="E557" s="22"/>
      <c r="F557" s="22">
        <v>5</v>
      </c>
      <c r="G557" s="22" t="s">
        <v>484</v>
      </c>
    </row>
    <row r="558" spans="1:7" x14ac:dyDescent="0.3">
      <c r="A558" s="23">
        <v>8400109</v>
      </c>
      <c r="B558" s="22" t="s">
        <v>592</v>
      </c>
      <c r="C558" s="22" t="s">
        <v>35</v>
      </c>
      <c r="D558" s="22"/>
      <c r="E558" s="22"/>
      <c r="F558" s="22">
        <v>5</v>
      </c>
      <c r="G558" s="22" t="s">
        <v>484</v>
      </c>
    </row>
    <row r="559" spans="1:7" x14ac:dyDescent="0.3">
      <c r="A559" s="22">
        <v>8400110</v>
      </c>
      <c r="B559" s="22" t="s">
        <v>593</v>
      </c>
      <c r="C559" s="22" t="s">
        <v>35</v>
      </c>
      <c r="D559" s="22"/>
      <c r="E559" s="22"/>
      <c r="F559" s="22">
        <v>5</v>
      </c>
      <c r="G559" s="22" t="s">
        <v>484</v>
      </c>
    </row>
    <row r="560" spans="1:7" x14ac:dyDescent="0.3">
      <c r="A560" s="23">
        <v>8400111</v>
      </c>
      <c r="B560" s="22" t="s">
        <v>594</v>
      </c>
      <c r="C560" s="22" t="s">
        <v>35</v>
      </c>
      <c r="D560" s="22"/>
      <c r="E560" s="22"/>
      <c r="F560" s="22">
        <v>5</v>
      </c>
      <c r="G560" s="22" t="s">
        <v>484</v>
      </c>
    </row>
    <row r="561" spans="1:7" x14ac:dyDescent="0.3">
      <c r="A561" s="22">
        <v>8400112</v>
      </c>
      <c r="B561" s="22" t="s">
        <v>595</v>
      </c>
      <c r="C561" s="22" t="s">
        <v>35</v>
      </c>
      <c r="D561" s="22"/>
      <c r="E561" s="22"/>
      <c r="F561" s="22">
        <v>15</v>
      </c>
      <c r="G561" s="22" t="s">
        <v>484</v>
      </c>
    </row>
    <row r="562" spans="1:7" x14ac:dyDescent="0.3">
      <c r="A562" s="23">
        <v>8400113</v>
      </c>
      <c r="B562" s="22" t="s">
        <v>596</v>
      </c>
      <c r="C562" s="22" t="s">
        <v>35</v>
      </c>
      <c r="D562" s="22"/>
      <c r="E562" s="22"/>
      <c r="F562" s="22">
        <v>15</v>
      </c>
      <c r="G562" s="22" t="s">
        <v>484</v>
      </c>
    </row>
    <row r="563" spans="1:7" x14ac:dyDescent="0.3">
      <c r="A563" s="22">
        <v>8400114</v>
      </c>
      <c r="B563" s="22" t="s">
        <v>597</v>
      </c>
      <c r="C563" s="22" t="s">
        <v>35</v>
      </c>
      <c r="D563" s="22"/>
      <c r="E563" s="22"/>
      <c r="F563" s="22">
        <v>15</v>
      </c>
      <c r="G563" s="22" t="s">
        <v>484</v>
      </c>
    </row>
    <row r="564" spans="1:7" x14ac:dyDescent="0.3">
      <c r="A564" s="23">
        <v>8400115</v>
      </c>
      <c r="B564" s="22" t="s">
        <v>598</v>
      </c>
      <c r="C564" s="22" t="s">
        <v>35</v>
      </c>
      <c r="D564" s="22"/>
      <c r="E564" s="22"/>
      <c r="F564" s="22">
        <v>15</v>
      </c>
      <c r="G564" s="22" t="s">
        <v>484</v>
      </c>
    </row>
    <row r="565" spans="1:7" x14ac:dyDescent="0.3">
      <c r="A565" s="22">
        <v>8400116</v>
      </c>
      <c r="B565" s="22" t="s">
        <v>599</v>
      </c>
      <c r="C565" s="22" t="s">
        <v>35</v>
      </c>
      <c r="D565" s="22"/>
      <c r="E565" s="22"/>
      <c r="F565" s="22">
        <v>10</v>
      </c>
      <c r="G565" s="22" t="s">
        <v>484</v>
      </c>
    </row>
    <row r="566" spans="1:7" x14ac:dyDescent="0.3">
      <c r="A566" s="23">
        <v>8400117</v>
      </c>
      <c r="B566" s="22" t="s">
        <v>600</v>
      </c>
      <c r="C566" s="22" t="s">
        <v>35</v>
      </c>
      <c r="D566" s="22"/>
      <c r="E566" s="22"/>
      <c r="F566" s="22">
        <v>10</v>
      </c>
      <c r="G566" s="22" t="s">
        <v>484</v>
      </c>
    </row>
    <row r="567" spans="1:7" x14ac:dyDescent="0.3">
      <c r="A567" s="22">
        <v>8400118</v>
      </c>
      <c r="B567" s="22" t="s">
        <v>601</v>
      </c>
      <c r="C567" s="22" t="s">
        <v>35</v>
      </c>
      <c r="D567" s="22"/>
      <c r="E567" s="22"/>
      <c r="F567" s="22">
        <v>10</v>
      </c>
      <c r="G567" s="22" t="s">
        <v>484</v>
      </c>
    </row>
    <row r="568" spans="1:7" x14ac:dyDescent="0.3">
      <c r="A568" s="23">
        <v>8400119</v>
      </c>
      <c r="B568" s="22" t="s">
        <v>602</v>
      </c>
      <c r="C568" s="22" t="s">
        <v>35</v>
      </c>
      <c r="D568" s="22"/>
      <c r="E568" s="22"/>
      <c r="F568" s="22">
        <v>5</v>
      </c>
      <c r="G568" s="22" t="s">
        <v>484</v>
      </c>
    </row>
    <row r="569" spans="1:7" x14ac:dyDescent="0.3">
      <c r="A569" s="22">
        <v>8400120</v>
      </c>
      <c r="B569" s="22" t="s">
        <v>603</v>
      </c>
      <c r="C569" s="22" t="s">
        <v>35</v>
      </c>
      <c r="D569" s="22"/>
      <c r="E569" s="22"/>
      <c r="F569" s="22">
        <v>5</v>
      </c>
      <c r="G569" s="22" t="s">
        <v>484</v>
      </c>
    </row>
    <row r="570" spans="1:7" x14ac:dyDescent="0.3">
      <c r="A570" s="23">
        <v>8400121</v>
      </c>
      <c r="B570" s="22" t="s">
        <v>604</v>
      </c>
      <c r="C570" s="22" t="s">
        <v>35</v>
      </c>
      <c r="D570" s="22"/>
      <c r="E570" s="22"/>
      <c r="F570" s="22">
        <v>5</v>
      </c>
      <c r="G570" s="22" t="s">
        <v>484</v>
      </c>
    </row>
    <row r="571" spans="1:7" x14ac:dyDescent="0.3">
      <c r="A571" s="22">
        <v>8400122</v>
      </c>
      <c r="B571" s="22" t="s">
        <v>605</v>
      </c>
      <c r="C571" s="22" t="s">
        <v>35</v>
      </c>
      <c r="D571" s="22"/>
      <c r="E571" s="22"/>
      <c r="F571" s="22">
        <v>5</v>
      </c>
      <c r="G571" s="22" t="s">
        <v>484</v>
      </c>
    </row>
    <row r="572" spans="1:7" x14ac:dyDescent="0.3">
      <c r="A572" s="23">
        <v>8400123</v>
      </c>
      <c r="B572" s="22" t="s">
        <v>606</v>
      </c>
      <c r="C572" s="22" t="s">
        <v>35</v>
      </c>
      <c r="D572" s="22"/>
      <c r="E572" s="22"/>
      <c r="F572" s="22">
        <v>5</v>
      </c>
      <c r="G572" s="22" t="s">
        <v>484</v>
      </c>
    </row>
    <row r="573" spans="1:7" x14ac:dyDescent="0.3">
      <c r="A573" s="22">
        <v>8400124</v>
      </c>
      <c r="B573" s="22" t="s">
        <v>607</v>
      </c>
      <c r="C573" s="22" t="s">
        <v>35</v>
      </c>
      <c r="D573" s="22"/>
      <c r="E573" s="22"/>
      <c r="F573" s="22">
        <v>5</v>
      </c>
      <c r="G573" s="22" t="s">
        <v>484</v>
      </c>
    </row>
    <row r="574" spans="1:7" x14ac:dyDescent="0.3">
      <c r="A574" s="23">
        <v>8400125</v>
      </c>
      <c r="B574" s="22" t="s">
        <v>608</v>
      </c>
      <c r="C574" s="22" t="s">
        <v>35</v>
      </c>
      <c r="D574" s="22"/>
      <c r="E574" s="22"/>
      <c r="F574" s="22">
        <v>3</v>
      </c>
      <c r="G574" s="22" t="s">
        <v>484</v>
      </c>
    </row>
    <row r="575" spans="1:7" x14ac:dyDescent="0.3">
      <c r="A575" s="22">
        <v>8400126</v>
      </c>
      <c r="B575" s="22" t="s">
        <v>609</v>
      </c>
      <c r="C575" s="22" t="s">
        <v>35</v>
      </c>
      <c r="D575" s="22"/>
      <c r="E575" s="22"/>
      <c r="F575" s="22">
        <v>5</v>
      </c>
      <c r="G575" s="22" t="s">
        <v>484</v>
      </c>
    </row>
    <row r="576" spans="1:7" x14ac:dyDescent="0.3">
      <c r="A576" s="23">
        <v>8400127</v>
      </c>
      <c r="B576" s="22" t="s">
        <v>609</v>
      </c>
      <c r="C576" s="22" t="s">
        <v>35</v>
      </c>
      <c r="D576" s="22"/>
      <c r="E576" s="22"/>
      <c r="F576" s="22">
        <v>5</v>
      </c>
      <c r="G576" s="22" t="s">
        <v>484</v>
      </c>
    </row>
    <row r="577" spans="1:7" x14ac:dyDescent="0.3">
      <c r="A577" s="22">
        <v>8400128</v>
      </c>
      <c r="B577" s="22" t="s">
        <v>610</v>
      </c>
      <c r="C577" s="22" t="s">
        <v>35</v>
      </c>
      <c r="D577" s="22"/>
      <c r="E577" s="22"/>
      <c r="F577" s="22">
        <v>5</v>
      </c>
      <c r="G577" s="22" t="s">
        <v>484</v>
      </c>
    </row>
    <row r="578" spans="1:7" x14ac:dyDescent="0.3">
      <c r="A578" s="23">
        <v>8400129</v>
      </c>
      <c r="B578" s="22" t="s">
        <v>610</v>
      </c>
      <c r="C578" s="22" t="s">
        <v>35</v>
      </c>
      <c r="D578" s="22"/>
      <c r="E578" s="22"/>
      <c r="F578" s="22">
        <v>5</v>
      </c>
      <c r="G578" s="22" t="s">
        <v>484</v>
      </c>
    </row>
    <row r="579" spans="1:7" x14ac:dyDescent="0.3">
      <c r="A579" s="22">
        <v>8400130</v>
      </c>
      <c r="B579" s="22" t="s">
        <v>611</v>
      </c>
      <c r="C579" s="22" t="s">
        <v>35</v>
      </c>
      <c r="D579" s="22"/>
      <c r="E579" s="22"/>
      <c r="F579" s="22">
        <v>5</v>
      </c>
      <c r="G579" s="22" t="s">
        <v>484</v>
      </c>
    </row>
    <row r="580" spans="1:7" x14ac:dyDescent="0.3">
      <c r="A580" s="23">
        <v>8400131</v>
      </c>
      <c r="B580" s="22" t="s">
        <v>612</v>
      </c>
      <c r="C580" s="22" t="s">
        <v>35</v>
      </c>
      <c r="D580" s="22"/>
      <c r="E580" s="22"/>
      <c r="F580" s="22">
        <v>5</v>
      </c>
      <c r="G580" s="22" t="s">
        <v>484</v>
      </c>
    </row>
    <row r="581" spans="1:7" x14ac:dyDescent="0.3">
      <c r="A581" s="22">
        <v>8400132</v>
      </c>
      <c r="B581" s="22" t="s">
        <v>613</v>
      </c>
      <c r="C581" s="22" t="s">
        <v>35</v>
      </c>
      <c r="D581" s="22"/>
      <c r="E581" s="22"/>
      <c r="F581" s="22">
        <v>5</v>
      </c>
      <c r="G581" s="22" t="s">
        <v>484</v>
      </c>
    </row>
    <row r="582" spans="1:7" x14ac:dyDescent="0.3">
      <c r="A582" s="23">
        <v>8400133</v>
      </c>
      <c r="B582" s="22" t="s">
        <v>614</v>
      </c>
      <c r="C582" s="22" t="s">
        <v>35</v>
      </c>
      <c r="D582" s="22"/>
      <c r="E582" s="22"/>
      <c r="F582" s="22">
        <v>5</v>
      </c>
      <c r="G582" s="22" t="s">
        <v>484</v>
      </c>
    </row>
    <row r="583" spans="1:7" x14ac:dyDescent="0.3">
      <c r="A583" s="22">
        <v>8400134</v>
      </c>
      <c r="B583" s="22" t="s">
        <v>615</v>
      </c>
      <c r="C583" s="22" t="s">
        <v>35</v>
      </c>
      <c r="D583" s="22"/>
      <c r="E583" s="22"/>
      <c r="F583" s="22">
        <v>10</v>
      </c>
      <c r="G583" s="22" t="s">
        <v>484</v>
      </c>
    </row>
    <row r="584" spans="1:7" x14ac:dyDescent="0.3">
      <c r="A584" s="23">
        <v>8400135</v>
      </c>
      <c r="B584" s="22" t="s">
        <v>616</v>
      </c>
      <c r="C584" s="22" t="s">
        <v>35</v>
      </c>
      <c r="D584" s="22"/>
      <c r="E584" s="22"/>
      <c r="F584" s="22">
        <v>10</v>
      </c>
      <c r="G584" s="22" t="s">
        <v>484</v>
      </c>
    </row>
    <row r="585" spans="1:7" x14ac:dyDescent="0.3">
      <c r="A585" s="22">
        <v>8400136</v>
      </c>
      <c r="B585" s="22" t="s">
        <v>617</v>
      </c>
      <c r="C585" s="22" t="s">
        <v>35</v>
      </c>
      <c r="D585" s="22"/>
      <c r="E585" s="22"/>
      <c r="F585" s="22">
        <v>3</v>
      </c>
      <c r="G585" s="22" t="s">
        <v>484</v>
      </c>
    </row>
    <row r="586" spans="1:7" x14ac:dyDescent="0.3">
      <c r="A586" s="23">
        <v>8400137</v>
      </c>
      <c r="B586" s="22" t="s">
        <v>618</v>
      </c>
      <c r="C586" s="22" t="s">
        <v>35</v>
      </c>
      <c r="D586" s="22"/>
      <c r="E586" s="22"/>
      <c r="F586" s="22">
        <v>5</v>
      </c>
      <c r="G586" s="22" t="s">
        <v>484</v>
      </c>
    </row>
    <row r="587" spans="1:7" x14ac:dyDescent="0.3">
      <c r="A587" s="22">
        <v>8400138</v>
      </c>
      <c r="B587" s="22" t="s">
        <v>619</v>
      </c>
      <c r="C587" s="22" t="s">
        <v>35</v>
      </c>
      <c r="D587" s="22"/>
      <c r="E587" s="22"/>
      <c r="F587" s="22">
        <v>5</v>
      </c>
      <c r="G587" s="22" t="s">
        <v>484</v>
      </c>
    </row>
    <row r="588" spans="1:7" x14ac:dyDescent="0.3">
      <c r="A588" s="23">
        <v>8400139</v>
      </c>
      <c r="B588" s="22" t="s">
        <v>620</v>
      </c>
      <c r="C588" s="22" t="s">
        <v>35</v>
      </c>
      <c r="D588" s="22"/>
      <c r="E588" s="22"/>
      <c r="F588" s="22">
        <v>5</v>
      </c>
      <c r="G588" s="22" t="s">
        <v>484</v>
      </c>
    </row>
    <row r="589" spans="1:7" x14ac:dyDescent="0.3">
      <c r="A589" s="22">
        <v>8400140</v>
      </c>
      <c r="B589" s="22" t="s">
        <v>621</v>
      </c>
      <c r="C589" s="22" t="s">
        <v>35</v>
      </c>
      <c r="D589" s="22"/>
      <c r="E589" s="22"/>
      <c r="F589" s="22">
        <v>3</v>
      </c>
      <c r="G589" s="22" t="s">
        <v>484</v>
      </c>
    </row>
    <row r="590" spans="1:7" x14ac:dyDescent="0.3">
      <c r="A590" s="23">
        <v>8400141</v>
      </c>
      <c r="B590" s="22" t="s">
        <v>622</v>
      </c>
      <c r="C590" s="22" t="s">
        <v>35</v>
      </c>
      <c r="D590" s="22"/>
      <c r="E590" s="22"/>
      <c r="F590" s="22">
        <v>10</v>
      </c>
      <c r="G590" s="22" t="s">
        <v>484</v>
      </c>
    </row>
    <row r="591" spans="1:7" x14ac:dyDescent="0.3">
      <c r="A591" s="22">
        <v>8400142</v>
      </c>
      <c r="B591" s="22" t="s">
        <v>623</v>
      </c>
      <c r="C591" s="22" t="s">
        <v>35</v>
      </c>
      <c r="D591" s="22"/>
      <c r="E591" s="22"/>
      <c r="F591" s="22">
        <v>10</v>
      </c>
      <c r="G591" s="22" t="s">
        <v>484</v>
      </c>
    </row>
    <row r="592" spans="1:7" x14ac:dyDescent="0.3">
      <c r="A592" s="23">
        <v>8400143</v>
      </c>
      <c r="B592" s="22" t="s">
        <v>624</v>
      </c>
      <c r="C592" s="22" t="s">
        <v>35</v>
      </c>
      <c r="D592" s="22"/>
      <c r="E592" s="22"/>
      <c r="F592" s="22">
        <v>10</v>
      </c>
      <c r="G592" s="22" t="s">
        <v>484</v>
      </c>
    </row>
    <row r="593" spans="1:7" x14ac:dyDescent="0.3">
      <c r="A593" s="22">
        <v>8400144</v>
      </c>
      <c r="B593" s="22" t="s">
        <v>625</v>
      </c>
      <c r="C593" s="22" t="s">
        <v>35</v>
      </c>
      <c r="D593" s="22"/>
      <c r="E593" s="22"/>
      <c r="F593" s="22">
        <v>10</v>
      </c>
      <c r="G593" s="22" t="s">
        <v>484</v>
      </c>
    </row>
    <row r="594" spans="1:7" x14ac:dyDescent="0.3">
      <c r="A594" s="23">
        <v>8400145</v>
      </c>
      <c r="B594" s="22" t="s">
        <v>626</v>
      </c>
      <c r="C594" s="22" t="s">
        <v>35</v>
      </c>
      <c r="D594" s="22"/>
      <c r="E594" s="22"/>
      <c r="F594" s="22">
        <v>10</v>
      </c>
      <c r="G594" s="22" t="s">
        <v>484</v>
      </c>
    </row>
    <row r="595" spans="1:7" x14ac:dyDescent="0.3">
      <c r="A595" s="22">
        <v>8400146</v>
      </c>
      <c r="B595" s="22" t="s">
        <v>627</v>
      </c>
      <c r="C595" s="22" t="s">
        <v>35</v>
      </c>
      <c r="D595" s="22"/>
      <c r="E595" s="22"/>
      <c r="F595" s="22">
        <v>10</v>
      </c>
      <c r="G595" s="22" t="s">
        <v>484</v>
      </c>
    </row>
    <row r="596" spans="1:7" x14ac:dyDescent="0.3">
      <c r="A596" s="23">
        <v>8400147</v>
      </c>
      <c r="B596" s="22" t="s">
        <v>628</v>
      </c>
      <c r="C596" s="22" t="s">
        <v>35</v>
      </c>
      <c r="D596" s="22"/>
      <c r="E596" s="22"/>
      <c r="F596" s="22">
        <v>5</v>
      </c>
      <c r="G596" s="22" t="s">
        <v>484</v>
      </c>
    </row>
    <row r="597" spans="1:7" x14ac:dyDescent="0.3">
      <c r="A597" s="22">
        <v>8400148</v>
      </c>
      <c r="B597" s="22" t="s">
        <v>629</v>
      </c>
      <c r="C597" s="22" t="s">
        <v>35</v>
      </c>
      <c r="D597" s="22"/>
      <c r="E597" s="22"/>
      <c r="F597" s="22">
        <v>10</v>
      </c>
      <c r="G597" s="22" t="s">
        <v>484</v>
      </c>
    </row>
    <row r="598" spans="1:7" x14ac:dyDescent="0.3">
      <c r="A598" s="23">
        <v>8400149</v>
      </c>
      <c r="B598" s="22" t="s">
        <v>630</v>
      </c>
      <c r="C598" s="22" t="s">
        <v>35</v>
      </c>
      <c r="D598" s="22"/>
      <c r="E598" s="22"/>
      <c r="F598" s="22">
        <v>5</v>
      </c>
      <c r="G598" s="22" t="s">
        <v>484</v>
      </c>
    </row>
    <row r="599" spans="1:7" x14ac:dyDescent="0.3">
      <c r="A599" s="22">
        <v>8400150</v>
      </c>
      <c r="B599" s="22" t="s">
        <v>631</v>
      </c>
      <c r="C599" s="22" t="s">
        <v>35</v>
      </c>
      <c r="D599" s="22"/>
      <c r="E599" s="22"/>
      <c r="F599" s="22">
        <v>5</v>
      </c>
      <c r="G599" s="22" t="s">
        <v>484</v>
      </c>
    </row>
    <row r="600" spans="1:7" x14ac:dyDescent="0.3">
      <c r="A600" s="23">
        <v>8400151</v>
      </c>
      <c r="B600" s="22" t="s">
        <v>632</v>
      </c>
      <c r="C600" s="22" t="s">
        <v>35</v>
      </c>
      <c r="D600" s="22"/>
      <c r="E600" s="22"/>
      <c r="F600" s="22">
        <v>10</v>
      </c>
      <c r="G600" s="22" t="s">
        <v>484</v>
      </c>
    </row>
    <row r="601" spans="1:7" x14ac:dyDescent="0.3">
      <c r="A601" s="22">
        <v>8400152</v>
      </c>
      <c r="B601" s="22" t="s">
        <v>633</v>
      </c>
      <c r="C601" s="22" t="s">
        <v>35</v>
      </c>
      <c r="D601" s="22"/>
      <c r="E601" s="22"/>
      <c r="F601" s="22">
        <v>10</v>
      </c>
      <c r="G601" s="22" t="s">
        <v>484</v>
      </c>
    </row>
    <row r="602" spans="1:7" x14ac:dyDescent="0.3">
      <c r="A602" s="23">
        <v>8400153</v>
      </c>
      <c r="B602" s="22" t="s">
        <v>634</v>
      </c>
      <c r="C602" s="22" t="s">
        <v>35</v>
      </c>
      <c r="D602" s="22"/>
      <c r="E602" s="22"/>
      <c r="F602" s="22">
        <v>10</v>
      </c>
      <c r="G602" s="22" t="s">
        <v>484</v>
      </c>
    </row>
    <row r="603" spans="1:7" x14ac:dyDescent="0.3">
      <c r="A603" s="22">
        <v>8400154</v>
      </c>
      <c r="B603" s="22" t="s">
        <v>635</v>
      </c>
      <c r="C603" s="22" t="s">
        <v>35</v>
      </c>
      <c r="D603" s="22"/>
      <c r="E603" s="22"/>
      <c r="F603" s="22">
        <v>10</v>
      </c>
      <c r="G603" s="22" t="s">
        <v>484</v>
      </c>
    </row>
    <row r="604" spans="1:7" x14ac:dyDescent="0.3">
      <c r="A604" s="23">
        <v>8400155</v>
      </c>
      <c r="B604" s="22" t="s">
        <v>636</v>
      </c>
      <c r="C604" s="22" t="s">
        <v>35</v>
      </c>
      <c r="D604" s="22"/>
      <c r="E604" s="22"/>
      <c r="F604" s="22">
        <v>5</v>
      </c>
      <c r="G604" s="22" t="s">
        <v>484</v>
      </c>
    </row>
    <row r="605" spans="1:7" x14ac:dyDescent="0.3">
      <c r="A605" s="22">
        <v>8400156</v>
      </c>
      <c r="B605" s="22" t="s">
        <v>637</v>
      </c>
      <c r="C605" s="22" t="s">
        <v>35</v>
      </c>
      <c r="D605" s="22"/>
      <c r="E605" s="22"/>
      <c r="F605" s="22">
        <v>10</v>
      </c>
      <c r="G605" s="22" t="s">
        <v>484</v>
      </c>
    </row>
    <row r="606" spans="1:7" x14ac:dyDescent="0.3">
      <c r="A606" s="23">
        <v>8400157</v>
      </c>
      <c r="B606" s="22" t="s">
        <v>638</v>
      </c>
      <c r="C606" s="22" t="s">
        <v>35</v>
      </c>
      <c r="D606" s="22"/>
      <c r="E606" s="22"/>
      <c r="F606" s="22">
        <v>5</v>
      </c>
      <c r="G606" s="22" t="s">
        <v>484</v>
      </c>
    </row>
    <row r="607" spans="1:7" x14ac:dyDescent="0.3">
      <c r="A607" s="22">
        <v>8400158</v>
      </c>
      <c r="B607" s="22" t="s">
        <v>639</v>
      </c>
      <c r="C607" s="22" t="s">
        <v>35</v>
      </c>
      <c r="D607" s="22"/>
      <c r="E607" s="22"/>
      <c r="F607" s="22">
        <v>5</v>
      </c>
      <c r="G607" s="22" t="s">
        <v>484</v>
      </c>
    </row>
    <row r="608" spans="1:7" x14ac:dyDescent="0.3">
      <c r="A608" s="23">
        <v>8400159</v>
      </c>
      <c r="B608" s="22" t="s">
        <v>640</v>
      </c>
      <c r="C608" s="22" t="s">
        <v>35</v>
      </c>
      <c r="D608" s="22"/>
      <c r="E608" s="22"/>
      <c r="F608" s="22">
        <v>5</v>
      </c>
      <c r="G608" s="22" t="s">
        <v>484</v>
      </c>
    </row>
    <row r="609" spans="1:7" x14ac:dyDescent="0.3">
      <c r="A609" s="22">
        <v>8400160</v>
      </c>
      <c r="B609" s="22" t="s">
        <v>641</v>
      </c>
      <c r="C609" s="22" t="s">
        <v>35</v>
      </c>
      <c r="D609" s="22"/>
      <c r="E609" s="22"/>
      <c r="F609" s="22">
        <v>5</v>
      </c>
      <c r="G609" s="22" t="s">
        <v>484</v>
      </c>
    </row>
    <row r="610" spans="1:7" x14ac:dyDescent="0.3">
      <c r="A610" s="23">
        <v>8400161</v>
      </c>
      <c r="B610" s="22" t="s">
        <v>642</v>
      </c>
      <c r="C610" s="22" t="s">
        <v>35</v>
      </c>
      <c r="D610" s="22"/>
      <c r="E610" s="22"/>
      <c r="F610" s="22">
        <v>5</v>
      </c>
      <c r="G610" s="22" t="s">
        <v>484</v>
      </c>
    </row>
    <row r="611" spans="1:7" x14ac:dyDescent="0.3">
      <c r="A611" s="22">
        <v>8400162</v>
      </c>
      <c r="B611" s="22" t="s">
        <v>643</v>
      </c>
      <c r="C611" s="22" t="s">
        <v>35</v>
      </c>
      <c r="D611" s="22"/>
      <c r="E611" s="22"/>
      <c r="F611" s="22">
        <v>5</v>
      </c>
      <c r="G611" s="22" t="s">
        <v>484</v>
      </c>
    </row>
    <row r="612" spans="1:7" x14ac:dyDescent="0.3">
      <c r="A612" s="23">
        <v>8400163</v>
      </c>
      <c r="B612" s="22" t="s">
        <v>644</v>
      </c>
      <c r="C612" s="22" t="s">
        <v>35</v>
      </c>
      <c r="D612" s="22"/>
      <c r="E612" s="22"/>
      <c r="F612" s="22">
        <v>5</v>
      </c>
      <c r="G612" s="22" t="s">
        <v>484</v>
      </c>
    </row>
    <row r="613" spans="1:7" x14ac:dyDescent="0.3">
      <c r="A613" s="22">
        <v>8400164</v>
      </c>
      <c r="B613" s="22" t="s">
        <v>645</v>
      </c>
      <c r="C613" s="22" t="s">
        <v>35</v>
      </c>
      <c r="D613" s="22"/>
      <c r="E613" s="22"/>
      <c r="F613" s="22">
        <v>5</v>
      </c>
      <c r="G613" s="22" t="s">
        <v>484</v>
      </c>
    </row>
    <row r="614" spans="1:7" x14ac:dyDescent="0.3">
      <c r="A614" s="23">
        <v>8400165</v>
      </c>
      <c r="B614" s="22" t="s">
        <v>646</v>
      </c>
      <c r="C614" s="22" t="s">
        <v>35</v>
      </c>
      <c r="D614" s="22"/>
      <c r="E614" s="22"/>
      <c r="F614" s="22">
        <v>5</v>
      </c>
      <c r="G614" s="22" t="s">
        <v>484</v>
      </c>
    </row>
    <row r="615" spans="1:7" x14ac:dyDescent="0.3">
      <c r="A615" s="22">
        <v>8400166</v>
      </c>
      <c r="B615" s="22" t="s">
        <v>647</v>
      </c>
      <c r="C615" s="22" t="s">
        <v>35</v>
      </c>
      <c r="D615" s="22"/>
      <c r="E615" s="22"/>
      <c r="F615" s="22">
        <v>3</v>
      </c>
      <c r="G615" s="22" t="s">
        <v>484</v>
      </c>
    </row>
    <row r="616" spans="1:7" x14ac:dyDescent="0.3">
      <c r="A616" s="23">
        <v>8400167</v>
      </c>
      <c r="B616" s="22" t="s">
        <v>648</v>
      </c>
      <c r="C616" s="22" t="s">
        <v>35</v>
      </c>
      <c r="D616" s="22"/>
      <c r="E616" s="22"/>
      <c r="F616" s="22">
        <v>5</v>
      </c>
      <c r="G616" s="22" t="s">
        <v>484</v>
      </c>
    </row>
    <row r="617" spans="1:7" x14ac:dyDescent="0.3">
      <c r="A617" s="22">
        <v>8400168</v>
      </c>
      <c r="B617" s="22" t="s">
        <v>649</v>
      </c>
      <c r="C617" s="22" t="s">
        <v>35</v>
      </c>
      <c r="D617" s="22"/>
      <c r="E617" s="22"/>
      <c r="F617" s="22">
        <v>5</v>
      </c>
      <c r="G617" s="22" t="s">
        <v>484</v>
      </c>
    </row>
    <row r="618" spans="1:7" x14ac:dyDescent="0.3">
      <c r="A618" s="23">
        <v>8400169</v>
      </c>
      <c r="B618" s="22" t="s">
        <v>650</v>
      </c>
      <c r="C618" s="22" t="s">
        <v>35</v>
      </c>
      <c r="D618" s="22"/>
      <c r="E618" s="22"/>
      <c r="F618" s="22">
        <v>5</v>
      </c>
      <c r="G618" s="22" t="s">
        <v>484</v>
      </c>
    </row>
    <row r="619" spans="1:7" x14ac:dyDescent="0.3">
      <c r="A619" s="22">
        <v>8400170</v>
      </c>
      <c r="B619" s="22" t="s">
        <v>651</v>
      </c>
      <c r="C619" s="22" t="s">
        <v>35</v>
      </c>
      <c r="D619" s="22"/>
      <c r="E619" s="22"/>
      <c r="F619" s="22">
        <v>5</v>
      </c>
      <c r="G619" s="22" t="s">
        <v>484</v>
      </c>
    </row>
    <row r="620" spans="1:7" x14ac:dyDescent="0.3">
      <c r="A620" s="23">
        <v>8400171</v>
      </c>
      <c r="B620" s="22" t="s">
        <v>652</v>
      </c>
      <c r="C620" s="22" t="s">
        <v>35</v>
      </c>
      <c r="D620" s="22"/>
      <c r="E620" s="22"/>
      <c r="F620" s="22">
        <v>5</v>
      </c>
      <c r="G620" s="22" t="s">
        <v>484</v>
      </c>
    </row>
    <row r="621" spans="1:7" x14ac:dyDescent="0.3">
      <c r="A621" s="22">
        <v>8400172</v>
      </c>
      <c r="B621" s="22" t="s">
        <v>653</v>
      </c>
      <c r="C621" s="22" t="s">
        <v>35</v>
      </c>
      <c r="D621" s="22"/>
      <c r="E621" s="22"/>
      <c r="F621" s="22">
        <v>5</v>
      </c>
      <c r="G621" s="22" t="s">
        <v>484</v>
      </c>
    </row>
    <row r="622" spans="1:7" x14ac:dyDescent="0.3">
      <c r="A622" s="23">
        <v>8400173</v>
      </c>
      <c r="B622" s="22" t="s">
        <v>654</v>
      </c>
      <c r="C622" s="22" t="s">
        <v>35</v>
      </c>
      <c r="D622" s="22"/>
      <c r="E622" s="22"/>
      <c r="F622" s="22">
        <v>10</v>
      </c>
      <c r="G622" s="22" t="s">
        <v>484</v>
      </c>
    </row>
    <row r="623" spans="1:7" x14ac:dyDescent="0.3">
      <c r="A623" s="22">
        <v>8400174</v>
      </c>
      <c r="B623" s="22" t="s">
        <v>655</v>
      </c>
      <c r="C623" s="22" t="s">
        <v>35</v>
      </c>
      <c r="D623" s="22"/>
      <c r="E623" s="22"/>
      <c r="F623" s="22">
        <v>10</v>
      </c>
      <c r="G623" s="22" t="s">
        <v>484</v>
      </c>
    </row>
    <row r="624" spans="1:7" x14ac:dyDescent="0.3">
      <c r="A624" s="23">
        <v>8400175</v>
      </c>
      <c r="B624" s="22" t="s">
        <v>656</v>
      </c>
      <c r="C624" s="22" t="s">
        <v>35</v>
      </c>
      <c r="D624" s="22"/>
      <c r="E624" s="22"/>
      <c r="F624" s="22">
        <v>10</v>
      </c>
      <c r="G624" s="22" t="s">
        <v>484</v>
      </c>
    </row>
    <row r="625" spans="1:7" x14ac:dyDescent="0.3">
      <c r="A625" s="22">
        <v>8400176</v>
      </c>
      <c r="B625" s="22" t="s">
        <v>657</v>
      </c>
      <c r="C625" s="22" t="s">
        <v>35</v>
      </c>
      <c r="D625" s="22"/>
      <c r="E625" s="22"/>
      <c r="F625" s="22">
        <v>10</v>
      </c>
      <c r="G625" s="22" t="s">
        <v>484</v>
      </c>
    </row>
    <row r="626" spans="1:7" x14ac:dyDescent="0.3">
      <c r="A626" s="23">
        <v>8400177</v>
      </c>
      <c r="B626" s="22" t="s">
        <v>658</v>
      </c>
      <c r="C626" s="22" t="s">
        <v>35</v>
      </c>
      <c r="D626" s="22"/>
      <c r="E626" s="22"/>
      <c r="F626" s="22">
        <v>10</v>
      </c>
      <c r="G626" s="22" t="s">
        <v>484</v>
      </c>
    </row>
    <row r="627" spans="1:7" x14ac:dyDescent="0.3">
      <c r="A627" s="22">
        <v>8400178</v>
      </c>
      <c r="B627" s="22" t="s">
        <v>659</v>
      </c>
      <c r="C627" s="22" t="s">
        <v>35</v>
      </c>
      <c r="D627" s="22"/>
      <c r="E627" s="22"/>
      <c r="F627" s="22">
        <v>5</v>
      </c>
      <c r="G627" s="22" t="s">
        <v>484</v>
      </c>
    </row>
    <row r="628" spans="1:7" x14ac:dyDescent="0.3">
      <c r="A628" s="23">
        <v>8400179</v>
      </c>
      <c r="B628" s="22" t="s">
        <v>660</v>
      </c>
      <c r="C628" s="22" t="s">
        <v>35</v>
      </c>
      <c r="D628" s="22"/>
      <c r="E628" s="22"/>
      <c r="F628" s="22">
        <v>5</v>
      </c>
      <c r="G628" s="22" t="s">
        <v>484</v>
      </c>
    </row>
    <row r="629" spans="1:7" x14ac:dyDescent="0.3">
      <c r="A629" s="22">
        <v>8400180</v>
      </c>
      <c r="B629" s="22" t="s">
        <v>661</v>
      </c>
      <c r="C629" s="22" t="s">
        <v>35</v>
      </c>
      <c r="D629" s="22"/>
      <c r="E629" s="22"/>
      <c r="F629" s="22">
        <v>10</v>
      </c>
      <c r="G629" s="22" t="s">
        <v>484</v>
      </c>
    </row>
    <row r="630" spans="1:7" x14ac:dyDescent="0.3">
      <c r="A630" s="23">
        <v>8400181</v>
      </c>
      <c r="B630" s="22" t="s">
        <v>662</v>
      </c>
      <c r="C630" s="22" t="s">
        <v>35</v>
      </c>
      <c r="D630" s="22"/>
      <c r="E630" s="22"/>
      <c r="F630" s="22">
        <v>10</v>
      </c>
      <c r="G630" s="22" t="s">
        <v>484</v>
      </c>
    </row>
    <row r="631" spans="1:7" x14ac:dyDescent="0.3">
      <c r="A631" s="22">
        <v>8400182</v>
      </c>
      <c r="B631" s="22" t="s">
        <v>663</v>
      </c>
      <c r="C631" s="22" t="s">
        <v>35</v>
      </c>
      <c r="D631" s="22"/>
      <c r="E631" s="22"/>
      <c r="F631" s="22">
        <v>5</v>
      </c>
      <c r="G631" s="22" t="s">
        <v>484</v>
      </c>
    </row>
    <row r="632" spans="1:7" x14ac:dyDescent="0.3">
      <c r="A632" s="23">
        <v>8400183</v>
      </c>
      <c r="B632" s="22" t="s">
        <v>664</v>
      </c>
      <c r="C632" s="22" t="s">
        <v>35</v>
      </c>
      <c r="D632" s="22"/>
      <c r="E632" s="22"/>
      <c r="F632" s="22">
        <v>5</v>
      </c>
      <c r="G632" s="22" t="s">
        <v>484</v>
      </c>
    </row>
    <row r="633" spans="1:7" x14ac:dyDescent="0.3">
      <c r="A633" s="22">
        <v>8400184</v>
      </c>
      <c r="B633" s="22" t="s">
        <v>665</v>
      </c>
      <c r="C633" s="22" t="s">
        <v>35</v>
      </c>
      <c r="D633" s="22"/>
      <c r="E633" s="22"/>
      <c r="F633" s="22">
        <v>3</v>
      </c>
      <c r="G633" s="22" t="s">
        <v>484</v>
      </c>
    </row>
    <row r="634" spans="1:7" x14ac:dyDescent="0.3">
      <c r="A634" s="23">
        <v>8400185</v>
      </c>
      <c r="B634" s="22" t="s">
        <v>666</v>
      </c>
      <c r="C634" s="22" t="s">
        <v>35</v>
      </c>
      <c r="D634" s="22"/>
      <c r="E634" s="22"/>
      <c r="F634" s="22">
        <v>5</v>
      </c>
      <c r="G634" s="22" t="s">
        <v>484</v>
      </c>
    </row>
    <row r="635" spans="1:7" x14ac:dyDescent="0.3">
      <c r="A635" s="22">
        <v>8400186</v>
      </c>
      <c r="B635" s="22" t="s">
        <v>667</v>
      </c>
      <c r="C635" s="22" t="s">
        <v>35</v>
      </c>
      <c r="D635" s="22"/>
      <c r="E635" s="22"/>
      <c r="F635" s="22">
        <v>5</v>
      </c>
      <c r="G635" s="22" t="s">
        <v>484</v>
      </c>
    </row>
    <row r="636" spans="1:7" x14ac:dyDescent="0.3">
      <c r="A636" s="23">
        <v>8400187</v>
      </c>
      <c r="B636" s="22" t="s">
        <v>668</v>
      </c>
      <c r="C636" s="22" t="s">
        <v>35</v>
      </c>
      <c r="D636" s="22"/>
      <c r="E636" s="22"/>
      <c r="F636" s="22">
        <v>5</v>
      </c>
      <c r="G636" s="22" t="s">
        <v>484</v>
      </c>
    </row>
    <row r="637" spans="1:7" x14ac:dyDescent="0.3">
      <c r="A637" s="22">
        <v>8400188</v>
      </c>
      <c r="B637" s="22" t="s">
        <v>669</v>
      </c>
      <c r="C637" s="22" t="s">
        <v>35</v>
      </c>
      <c r="D637" s="22"/>
      <c r="E637" s="22"/>
      <c r="F637" s="22">
        <v>5</v>
      </c>
      <c r="G637" s="22" t="s">
        <v>484</v>
      </c>
    </row>
    <row r="638" spans="1:7" x14ac:dyDescent="0.3">
      <c r="A638" s="23">
        <v>8400189</v>
      </c>
      <c r="B638" s="22" t="s">
        <v>670</v>
      </c>
      <c r="C638" s="22" t="s">
        <v>35</v>
      </c>
      <c r="D638" s="22"/>
      <c r="E638" s="22"/>
      <c r="F638" s="22">
        <v>5</v>
      </c>
      <c r="G638" s="22" t="s">
        <v>484</v>
      </c>
    </row>
    <row r="639" spans="1:7" x14ac:dyDescent="0.3">
      <c r="A639" s="22">
        <v>8400190</v>
      </c>
      <c r="B639" s="22" t="s">
        <v>671</v>
      </c>
      <c r="C639" s="22" t="s">
        <v>35</v>
      </c>
      <c r="D639" s="22"/>
      <c r="E639" s="22"/>
      <c r="F639" s="22">
        <v>5</v>
      </c>
      <c r="G639" s="22" t="s">
        <v>484</v>
      </c>
    </row>
    <row r="640" spans="1:7" x14ac:dyDescent="0.3">
      <c r="A640" s="23">
        <v>8400191</v>
      </c>
      <c r="B640" s="22" t="s">
        <v>672</v>
      </c>
      <c r="C640" s="22" t="s">
        <v>35</v>
      </c>
      <c r="D640" s="22"/>
      <c r="E640" s="22"/>
      <c r="F640" s="22">
        <v>5</v>
      </c>
      <c r="G640" s="22" t="s">
        <v>484</v>
      </c>
    </row>
    <row r="641" spans="1:7" x14ac:dyDescent="0.3">
      <c r="A641" s="22">
        <v>8400192</v>
      </c>
      <c r="B641" s="22" t="s">
        <v>673</v>
      </c>
      <c r="C641" s="22" t="s">
        <v>35</v>
      </c>
      <c r="D641" s="22"/>
      <c r="E641" s="22"/>
      <c r="F641" s="22">
        <v>5</v>
      </c>
      <c r="G641" s="22" t="s">
        <v>484</v>
      </c>
    </row>
    <row r="642" spans="1:7" x14ac:dyDescent="0.3">
      <c r="A642" s="23">
        <v>8400193</v>
      </c>
      <c r="B642" s="22" t="s">
        <v>674</v>
      </c>
      <c r="C642" s="22" t="s">
        <v>35</v>
      </c>
      <c r="D642" s="22"/>
      <c r="E642" s="22"/>
      <c r="F642" s="22">
        <v>5</v>
      </c>
      <c r="G642" s="22" t="s">
        <v>484</v>
      </c>
    </row>
    <row r="643" spans="1:7" x14ac:dyDescent="0.3">
      <c r="A643" s="22">
        <v>8400194</v>
      </c>
      <c r="B643" s="22" t="s">
        <v>675</v>
      </c>
      <c r="C643" s="22" t="s">
        <v>35</v>
      </c>
      <c r="D643" s="22"/>
      <c r="E643" s="22"/>
      <c r="F643" s="22">
        <v>3</v>
      </c>
      <c r="G643" s="22" t="s">
        <v>484</v>
      </c>
    </row>
    <row r="644" spans="1:7" x14ac:dyDescent="0.3">
      <c r="A644" s="23">
        <v>8400195</v>
      </c>
      <c r="B644" s="22" t="s">
        <v>676</v>
      </c>
      <c r="C644" s="22" t="s">
        <v>35</v>
      </c>
      <c r="D644" s="22"/>
      <c r="E644" s="22"/>
      <c r="F644" s="22">
        <v>3</v>
      </c>
      <c r="G644" s="22" t="s">
        <v>484</v>
      </c>
    </row>
    <row r="645" spans="1:7" x14ac:dyDescent="0.3">
      <c r="A645" s="22">
        <v>8400196</v>
      </c>
      <c r="B645" s="22" t="s">
        <v>677</v>
      </c>
      <c r="C645" s="22" t="s">
        <v>35</v>
      </c>
      <c r="D645" s="22"/>
      <c r="E645" s="22"/>
      <c r="F645" s="22">
        <v>5</v>
      </c>
      <c r="G645" s="22" t="s">
        <v>484</v>
      </c>
    </row>
    <row r="646" spans="1:7" x14ac:dyDescent="0.3">
      <c r="A646" s="23">
        <v>8400197</v>
      </c>
      <c r="B646" s="22" t="s">
        <v>678</v>
      </c>
      <c r="C646" s="22" t="s">
        <v>35</v>
      </c>
      <c r="D646" s="22"/>
      <c r="E646" s="22"/>
      <c r="F646" s="22">
        <v>5</v>
      </c>
      <c r="G646" s="22" t="s">
        <v>484</v>
      </c>
    </row>
    <row r="647" spans="1:7" x14ac:dyDescent="0.3">
      <c r="A647" s="22">
        <v>8400198</v>
      </c>
      <c r="B647" s="22" t="s">
        <v>679</v>
      </c>
      <c r="C647" s="22" t="s">
        <v>35</v>
      </c>
      <c r="D647" s="22"/>
      <c r="E647" s="22"/>
      <c r="F647" s="22">
        <v>5</v>
      </c>
      <c r="G647" s="22" t="s">
        <v>484</v>
      </c>
    </row>
    <row r="648" spans="1:7" x14ac:dyDescent="0.3">
      <c r="A648" s="23">
        <v>8400199</v>
      </c>
      <c r="B648" s="22" t="s">
        <v>680</v>
      </c>
      <c r="C648" s="22" t="s">
        <v>35</v>
      </c>
      <c r="D648" s="22"/>
      <c r="E648" s="22"/>
      <c r="F648" s="22">
        <v>5</v>
      </c>
      <c r="G648" s="22" t="s">
        <v>484</v>
      </c>
    </row>
    <row r="649" spans="1:7" x14ac:dyDescent="0.3">
      <c r="A649" s="22">
        <v>8400200</v>
      </c>
      <c r="B649" s="22" t="s">
        <v>681</v>
      </c>
      <c r="C649" s="22" t="s">
        <v>35</v>
      </c>
      <c r="D649" s="22"/>
      <c r="E649" s="22"/>
      <c r="F649" s="22">
        <v>5</v>
      </c>
      <c r="G649" s="22" t="s">
        <v>484</v>
      </c>
    </row>
    <row r="650" spans="1:7" x14ac:dyDescent="0.3">
      <c r="A650" s="23">
        <v>8400201</v>
      </c>
      <c r="B650" s="22" t="s">
        <v>682</v>
      </c>
      <c r="C650" s="22" t="s">
        <v>35</v>
      </c>
      <c r="D650" s="22"/>
      <c r="E650" s="22"/>
      <c r="F650" s="22">
        <v>3</v>
      </c>
      <c r="G650" s="22" t="s">
        <v>484</v>
      </c>
    </row>
    <row r="651" spans="1:7" x14ac:dyDescent="0.3">
      <c r="A651" s="22">
        <v>8400202</v>
      </c>
      <c r="B651" s="22" t="s">
        <v>683</v>
      </c>
      <c r="C651" s="22" t="s">
        <v>35</v>
      </c>
      <c r="D651" s="22"/>
      <c r="E651" s="22"/>
      <c r="F651" s="22">
        <v>3</v>
      </c>
      <c r="G651" s="22" t="s">
        <v>484</v>
      </c>
    </row>
    <row r="652" spans="1:7" x14ac:dyDescent="0.3">
      <c r="A652" s="23">
        <v>8400203</v>
      </c>
      <c r="B652" s="22" t="s">
        <v>684</v>
      </c>
      <c r="C652" s="22" t="s">
        <v>35</v>
      </c>
      <c r="D652" s="22"/>
      <c r="E652" s="22"/>
      <c r="F652" s="22">
        <v>5</v>
      </c>
      <c r="G652" s="22" t="s">
        <v>484</v>
      </c>
    </row>
    <row r="653" spans="1:7" x14ac:dyDescent="0.3">
      <c r="A653" s="22">
        <v>8400204</v>
      </c>
      <c r="B653" s="22" t="s">
        <v>685</v>
      </c>
      <c r="C653" s="22" t="s">
        <v>35</v>
      </c>
      <c r="D653" s="22"/>
      <c r="E653" s="22"/>
      <c r="F653" s="22">
        <v>5</v>
      </c>
      <c r="G653" s="22" t="s">
        <v>484</v>
      </c>
    </row>
    <row r="654" spans="1:7" x14ac:dyDescent="0.3">
      <c r="A654" s="23">
        <v>8400205</v>
      </c>
      <c r="B654" s="22" t="s">
        <v>686</v>
      </c>
      <c r="C654" s="22" t="s">
        <v>35</v>
      </c>
      <c r="D654" s="22"/>
      <c r="E654" s="22"/>
      <c r="F654" s="22">
        <v>3</v>
      </c>
      <c r="G654" s="22" t="s">
        <v>484</v>
      </c>
    </row>
    <row r="655" spans="1:7" x14ac:dyDescent="0.3">
      <c r="A655" s="22">
        <v>8400206</v>
      </c>
      <c r="B655" s="22" t="s">
        <v>687</v>
      </c>
      <c r="C655" s="22" t="s">
        <v>35</v>
      </c>
      <c r="D655" s="22"/>
      <c r="E655" s="22"/>
      <c r="F655" s="22">
        <v>5</v>
      </c>
      <c r="G655" s="22" t="s">
        <v>484</v>
      </c>
    </row>
    <row r="656" spans="1:7" x14ac:dyDescent="0.3">
      <c r="A656" s="23">
        <v>8400207</v>
      </c>
      <c r="B656" s="22" t="s">
        <v>688</v>
      </c>
      <c r="C656" s="22" t="s">
        <v>35</v>
      </c>
      <c r="D656" s="22"/>
      <c r="E656" s="22"/>
      <c r="F656" s="22">
        <v>5</v>
      </c>
      <c r="G656" s="22" t="s">
        <v>484</v>
      </c>
    </row>
    <row r="657" spans="1:7" x14ac:dyDescent="0.3">
      <c r="A657" s="22">
        <v>8400208</v>
      </c>
      <c r="B657" s="22" t="s">
        <v>689</v>
      </c>
      <c r="C657" s="22" t="s">
        <v>35</v>
      </c>
      <c r="D657" s="22"/>
      <c r="E657" s="22"/>
      <c r="F657" s="22">
        <v>15</v>
      </c>
      <c r="G657" s="22" t="s">
        <v>484</v>
      </c>
    </row>
    <row r="658" spans="1:7" x14ac:dyDescent="0.3">
      <c r="A658" s="23">
        <v>8400209</v>
      </c>
      <c r="B658" s="22" t="s">
        <v>690</v>
      </c>
      <c r="C658" s="22" t="s">
        <v>35</v>
      </c>
      <c r="D658" s="22"/>
      <c r="E658" s="22"/>
      <c r="F658" s="22">
        <v>15</v>
      </c>
      <c r="G658" s="22" t="s">
        <v>484</v>
      </c>
    </row>
    <row r="659" spans="1:7" x14ac:dyDescent="0.3">
      <c r="A659" s="22">
        <v>8400210</v>
      </c>
      <c r="B659" s="22" t="s">
        <v>691</v>
      </c>
      <c r="C659" s="22" t="s">
        <v>35</v>
      </c>
      <c r="D659" s="22"/>
      <c r="E659" s="22"/>
      <c r="F659" s="22">
        <v>15</v>
      </c>
      <c r="G659" s="22" t="s">
        <v>484</v>
      </c>
    </row>
    <row r="660" spans="1:7" x14ac:dyDescent="0.3">
      <c r="A660" s="23">
        <v>8400211</v>
      </c>
      <c r="B660" s="22" t="s">
        <v>692</v>
      </c>
      <c r="C660" s="22" t="s">
        <v>35</v>
      </c>
      <c r="D660" s="22"/>
      <c r="E660" s="22"/>
      <c r="F660" s="22">
        <v>5</v>
      </c>
      <c r="G660" s="22" t="s">
        <v>484</v>
      </c>
    </row>
    <row r="661" spans="1:7" x14ac:dyDescent="0.3">
      <c r="A661" s="22">
        <v>8400212</v>
      </c>
      <c r="B661" s="22" t="s">
        <v>693</v>
      </c>
      <c r="C661" s="22" t="s">
        <v>35</v>
      </c>
      <c r="D661" s="22"/>
      <c r="E661" s="22"/>
      <c r="F661" s="22">
        <v>5</v>
      </c>
      <c r="G661" s="22" t="s">
        <v>484</v>
      </c>
    </row>
    <row r="662" spans="1:7" x14ac:dyDescent="0.3">
      <c r="A662" s="23">
        <v>8400213</v>
      </c>
      <c r="B662" s="22" t="s">
        <v>694</v>
      </c>
      <c r="C662" s="22" t="s">
        <v>35</v>
      </c>
      <c r="D662" s="22"/>
      <c r="E662" s="22"/>
      <c r="F662" s="22">
        <v>5</v>
      </c>
      <c r="G662" s="22" t="s">
        <v>484</v>
      </c>
    </row>
    <row r="663" spans="1:7" x14ac:dyDescent="0.3">
      <c r="A663" s="22">
        <v>8400214</v>
      </c>
      <c r="B663" s="22" t="s">
        <v>695</v>
      </c>
      <c r="C663" s="22" t="s">
        <v>35</v>
      </c>
      <c r="D663" s="22"/>
      <c r="E663" s="22"/>
      <c r="F663" s="22">
        <v>5</v>
      </c>
      <c r="G663" s="22" t="s">
        <v>484</v>
      </c>
    </row>
    <row r="664" spans="1:7" x14ac:dyDescent="0.3">
      <c r="A664" s="23">
        <v>8400215</v>
      </c>
      <c r="B664" s="22" t="s">
        <v>696</v>
      </c>
      <c r="C664" s="22" t="s">
        <v>35</v>
      </c>
      <c r="D664" s="22"/>
      <c r="E664" s="22"/>
      <c r="F664" s="22">
        <v>1</v>
      </c>
      <c r="G664" s="22" t="s">
        <v>484</v>
      </c>
    </row>
    <row r="665" spans="1:7" x14ac:dyDescent="0.3">
      <c r="A665" s="22">
        <v>8400216</v>
      </c>
      <c r="B665" s="22" t="s">
        <v>697</v>
      </c>
      <c r="C665" s="22" t="s">
        <v>35</v>
      </c>
      <c r="D665" s="22"/>
      <c r="E665" s="22"/>
      <c r="F665" s="22">
        <v>5</v>
      </c>
      <c r="G665" s="22" t="s">
        <v>484</v>
      </c>
    </row>
    <row r="666" spans="1:7" x14ac:dyDescent="0.3">
      <c r="A666" s="23">
        <v>8400217</v>
      </c>
      <c r="B666" s="22" t="s">
        <v>698</v>
      </c>
      <c r="C666" s="22" t="s">
        <v>35</v>
      </c>
      <c r="D666" s="22"/>
      <c r="E666" s="22"/>
      <c r="F666" s="22">
        <v>15</v>
      </c>
      <c r="G666" s="22" t="s">
        <v>484</v>
      </c>
    </row>
    <row r="667" spans="1:7" x14ac:dyDescent="0.3">
      <c r="A667" s="22">
        <v>8400218</v>
      </c>
      <c r="B667" s="22" t="s">
        <v>699</v>
      </c>
      <c r="C667" s="22" t="s">
        <v>35</v>
      </c>
      <c r="D667" s="22"/>
      <c r="E667" s="22"/>
      <c r="F667" s="22">
        <v>15</v>
      </c>
      <c r="G667" s="22" t="s">
        <v>484</v>
      </c>
    </row>
    <row r="668" spans="1:7" x14ac:dyDescent="0.3">
      <c r="A668" s="23">
        <v>8400219</v>
      </c>
      <c r="B668" s="22" t="s">
        <v>700</v>
      </c>
      <c r="C668" s="22" t="s">
        <v>35</v>
      </c>
      <c r="D668" s="22"/>
      <c r="E668" s="22"/>
      <c r="F668" s="22">
        <v>15</v>
      </c>
      <c r="G668" s="22" t="s">
        <v>484</v>
      </c>
    </row>
    <row r="669" spans="1:7" x14ac:dyDescent="0.3">
      <c r="A669" s="22">
        <v>8400220</v>
      </c>
      <c r="B669" s="22" t="s">
        <v>701</v>
      </c>
      <c r="C669" s="22" t="s">
        <v>35</v>
      </c>
      <c r="D669" s="22"/>
      <c r="E669" s="22"/>
      <c r="F669" s="22">
        <v>15</v>
      </c>
      <c r="G669" s="22" t="s">
        <v>484</v>
      </c>
    </row>
    <row r="670" spans="1:7" x14ac:dyDescent="0.3">
      <c r="A670" s="23">
        <v>8400221</v>
      </c>
      <c r="B670" s="22" t="s">
        <v>702</v>
      </c>
      <c r="C670" s="22" t="s">
        <v>35</v>
      </c>
      <c r="D670" s="22"/>
      <c r="E670" s="22"/>
      <c r="F670" s="22">
        <v>15</v>
      </c>
      <c r="G670" s="22" t="s">
        <v>484</v>
      </c>
    </row>
    <row r="671" spans="1:7" x14ac:dyDescent="0.3">
      <c r="A671" s="22">
        <v>8400222</v>
      </c>
      <c r="B671" s="22" t="s">
        <v>703</v>
      </c>
      <c r="C671" s="22" t="s">
        <v>35</v>
      </c>
      <c r="D671" s="22"/>
      <c r="E671" s="22"/>
      <c r="F671" s="22">
        <v>15</v>
      </c>
      <c r="G671" s="22" t="s">
        <v>484</v>
      </c>
    </row>
    <row r="672" spans="1:7" x14ac:dyDescent="0.3">
      <c r="A672" s="23">
        <v>8400223</v>
      </c>
      <c r="B672" s="22" t="s">
        <v>704</v>
      </c>
      <c r="C672" s="22" t="s">
        <v>35</v>
      </c>
      <c r="D672" s="22"/>
      <c r="E672" s="22"/>
      <c r="F672" s="22">
        <v>15</v>
      </c>
      <c r="G672" s="22" t="s">
        <v>484</v>
      </c>
    </row>
    <row r="673" spans="1:7" x14ac:dyDescent="0.3">
      <c r="A673" s="22">
        <v>8400224</v>
      </c>
      <c r="B673" s="22" t="s">
        <v>705</v>
      </c>
      <c r="C673" s="22" t="s">
        <v>35</v>
      </c>
      <c r="D673" s="22"/>
      <c r="E673" s="22"/>
      <c r="F673" s="22">
        <v>15</v>
      </c>
      <c r="G673" s="22" t="s">
        <v>484</v>
      </c>
    </row>
    <row r="674" spans="1:7" x14ac:dyDescent="0.3">
      <c r="A674" s="23">
        <v>8400225</v>
      </c>
      <c r="B674" s="22" t="s">
        <v>706</v>
      </c>
      <c r="C674" s="22" t="s">
        <v>35</v>
      </c>
      <c r="D674" s="22"/>
      <c r="E674" s="22"/>
      <c r="F674" s="22">
        <v>5</v>
      </c>
      <c r="G674" s="22" t="s">
        <v>484</v>
      </c>
    </row>
    <row r="675" spans="1:7" x14ac:dyDescent="0.3">
      <c r="A675" s="22">
        <v>8400226</v>
      </c>
      <c r="B675" s="22" t="s">
        <v>707</v>
      </c>
      <c r="C675" s="22" t="s">
        <v>35</v>
      </c>
      <c r="D675" s="22"/>
      <c r="E675" s="22"/>
      <c r="F675" s="22">
        <v>15</v>
      </c>
      <c r="G675" s="22" t="s">
        <v>484</v>
      </c>
    </row>
    <row r="676" spans="1:7" x14ac:dyDescent="0.3">
      <c r="A676" s="23">
        <v>8400227</v>
      </c>
      <c r="B676" s="22" t="s">
        <v>708</v>
      </c>
      <c r="C676" s="22" t="s">
        <v>35</v>
      </c>
      <c r="D676" s="22"/>
      <c r="E676" s="22"/>
      <c r="F676" s="22">
        <v>5</v>
      </c>
      <c r="G676" s="22" t="s">
        <v>484</v>
      </c>
    </row>
    <row r="677" spans="1:7" x14ac:dyDescent="0.3">
      <c r="A677" s="22">
        <v>8400228</v>
      </c>
      <c r="B677" s="22" t="s">
        <v>709</v>
      </c>
      <c r="C677" s="22" t="s">
        <v>35</v>
      </c>
      <c r="D677" s="22"/>
      <c r="E677" s="22"/>
      <c r="F677" s="22">
        <v>5</v>
      </c>
      <c r="G677" s="22" t="s">
        <v>484</v>
      </c>
    </row>
    <row r="678" spans="1:7" x14ac:dyDescent="0.3">
      <c r="A678" s="23">
        <v>8400229</v>
      </c>
      <c r="B678" s="22" t="s">
        <v>710</v>
      </c>
      <c r="C678" s="22" t="s">
        <v>35</v>
      </c>
      <c r="D678" s="22"/>
      <c r="E678" s="22"/>
      <c r="F678" s="22">
        <v>15</v>
      </c>
      <c r="G678" s="22" t="s">
        <v>484</v>
      </c>
    </row>
    <row r="679" spans="1:7" x14ac:dyDescent="0.3">
      <c r="A679" s="22">
        <v>8400230</v>
      </c>
      <c r="B679" s="22" t="s">
        <v>711</v>
      </c>
      <c r="C679" s="22" t="s">
        <v>35</v>
      </c>
      <c r="D679" s="22"/>
      <c r="E679" s="22"/>
      <c r="F679" s="22">
        <v>10</v>
      </c>
      <c r="G679" s="22" t="s">
        <v>484</v>
      </c>
    </row>
    <row r="680" spans="1:7" x14ac:dyDescent="0.3">
      <c r="A680" s="23">
        <v>8400231</v>
      </c>
      <c r="B680" s="22" t="s">
        <v>712</v>
      </c>
      <c r="C680" s="22" t="s">
        <v>35</v>
      </c>
      <c r="D680" s="22"/>
      <c r="E680" s="22"/>
      <c r="F680" s="22">
        <v>5</v>
      </c>
      <c r="G680" s="22" t="s">
        <v>484</v>
      </c>
    </row>
    <row r="681" spans="1:7" x14ac:dyDescent="0.3">
      <c r="A681" s="22">
        <v>8400232</v>
      </c>
      <c r="B681" s="22" t="s">
        <v>713</v>
      </c>
      <c r="C681" s="22" t="s">
        <v>35</v>
      </c>
      <c r="D681" s="22"/>
      <c r="E681" s="22"/>
      <c r="F681" s="22">
        <v>5</v>
      </c>
      <c r="G681" s="22" t="s">
        <v>484</v>
      </c>
    </row>
    <row r="682" spans="1:7" x14ac:dyDescent="0.3">
      <c r="A682" s="23">
        <v>8400233</v>
      </c>
      <c r="B682" s="22" t="s">
        <v>714</v>
      </c>
      <c r="C682" s="22" t="s">
        <v>35</v>
      </c>
      <c r="D682" s="22"/>
      <c r="E682" s="22"/>
      <c r="F682" s="22">
        <v>5</v>
      </c>
      <c r="G682" s="22" t="s">
        <v>484</v>
      </c>
    </row>
    <row r="683" spans="1:7" x14ac:dyDescent="0.3">
      <c r="A683" s="22">
        <v>8400234</v>
      </c>
      <c r="B683" s="22" t="s">
        <v>715</v>
      </c>
      <c r="C683" s="22" t="s">
        <v>35</v>
      </c>
      <c r="D683" s="22"/>
      <c r="E683" s="22"/>
      <c r="F683" s="22">
        <v>5</v>
      </c>
      <c r="G683" s="22" t="s">
        <v>484</v>
      </c>
    </row>
    <row r="684" spans="1:7" x14ac:dyDescent="0.3">
      <c r="A684" s="23">
        <v>8400235</v>
      </c>
      <c r="B684" s="22" t="s">
        <v>716</v>
      </c>
      <c r="C684" s="22" t="s">
        <v>35</v>
      </c>
      <c r="D684" s="22"/>
      <c r="E684" s="22"/>
      <c r="F684" s="22">
        <v>5</v>
      </c>
      <c r="G684" s="22" t="s">
        <v>484</v>
      </c>
    </row>
    <row r="685" spans="1:7" x14ac:dyDescent="0.3">
      <c r="A685" s="22">
        <v>8400236</v>
      </c>
      <c r="B685" s="22" t="s">
        <v>717</v>
      </c>
      <c r="C685" s="22" t="s">
        <v>35</v>
      </c>
      <c r="D685" s="22"/>
      <c r="E685" s="22"/>
      <c r="F685" s="22">
        <v>5</v>
      </c>
      <c r="G685" s="22" t="s">
        <v>484</v>
      </c>
    </row>
    <row r="686" spans="1:7" x14ac:dyDescent="0.3">
      <c r="A686" s="23">
        <v>8400237</v>
      </c>
      <c r="B686" s="22" t="s">
        <v>718</v>
      </c>
      <c r="C686" s="22" t="s">
        <v>35</v>
      </c>
      <c r="D686" s="22"/>
      <c r="E686" s="22"/>
      <c r="F686" s="22">
        <v>5</v>
      </c>
      <c r="G686" s="22" t="s">
        <v>484</v>
      </c>
    </row>
    <row r="687" spans="1:7" x14ac:dyDescent="0.3">
      <c r="A687" s="22">
        <v>8400238</v>
      </c>
      <c r="B687" s="22" t="s">
        <v>719</v>
      </c>
      <c r="C687" s="22" t="s">
        <v>35</v>
      </c>
      <c r="D687" s="22"/>
      <c r="E687" s="22"/>
      <c r="F687" s="22">
        <v>5</v>
      </c>
      <c r="G687" s="22" t="s">
        <v>484</v>
      </c>
    </row>
    <row r="688" spans="1:7" x14ac:dyDescent="0.3">
      <c r="A688" s="23">
        <v>8400239</v>
      </c>
      <c r="B688" s="22" t="s">
        <v>720</v>
      </c>
      <c r="C688" s="22" t="s">
        <v>35</v>
      </c>
      <c r="D688" s="22"/>
      <c r="E688" s="22"/>
      <c r="F688" s="22">
        <v>5</v>
      </c>
      <c r="G688" s="22" t="s">
        <v>484</v>
      </c>
    </row>
    <row r="689" spans="1:7" x14ac:dyDescent="0.3">
      <c r="A689" s="22">
        <v>8400240</v>
      </c>
      <c r="B689" s="22" t="s">
        <v>721</v>
      </c>
      <c r="C689" s="22" t="s">
        <v>35</v>
      </c>
      <c r="D689" s="22"/>
      <c r="E689" s="22"/>
      <c r="F689" s="22">
        <v>5</v>
      </c>
      <c r="G689" s="22" t="s">
        <v>484</v>
      </c>
    </row>
    <row r="690" spans="1:7" x14ac:dyDescent="0.3">
      <c r="A690" s="23">
        <v>8400241</v>
      </c>
      <c r="B690" s="22" t="s">
        <v>722</v>
      </c>
      <c r="C690" s="22" t="s">
        <v>35</v>
      </c>
      <c r="D690" s="22"/>
      <c r="E690" s="22"/>
      <c r="F690" s="22">
        <v>5</v>
      </c>
      <c r="G690" s="22" t="s">
        <v>484</v>
      </c>
    </row>
    <row r="691" spans="1:7" x14ac:dyDescent="0.3">
      <c r="A691" s="22">
        <v>8400242</v>
      </c>
      <c r="B691" s="22" t="s">
        <v>723</v>
      </c>
      <c r="C691" s="22" t="s">
        <v>35</v>
      </c>
      <c r="D691" s="22"/>
      <c r="E691" s="22"/>
      <c r="F691" s="22">
        <v>5</v>
      </c>
      <c r="G691" s="22" t="s">
        <v>484</v>
      </c>
    </row>
    <row r="692" spans="1:7" x14ac:dyDescent="0.3">
      <c r="A692" s="23">
        <v>8400243</v>
      </c>
      <c r="B692" s="22" t="s">
        <v>724</v>
      </c>
      <c r="C692" s="22" t="s">
        <v>35</v>
      </c>
      <c r="D692" s="22"/>
      <c r="E692" s="22"/>
      <c r="F692" s="22">
        <v>1</v>
      </c>
      <c r="G692" s="22" t="s">
        <v>484</v>
      </c>
    </row>
    <row r="693" spans="1:7" x14ac:dyDescent="0.3">
      <c r="A693" s="22">
        <v>8400244</v>
      </c>
      <c r="B693" s="22" t="s">
        <v>725</v>
      </c>
      <c r="C693" s="22" t="s">
        <v>35</v>
      </c>
      <c r="D693" s="22"/>
      <c r="E693" s="22"/>
      <c r="F693" s="22">
        <v>5</v>
      </c>
      <c r="G693" s="22" t="s">
        <v>484</v>
      </c>
    </row>
    <row r="694" spans="1:7" x14ac:dyDescent="0.3">
      <c r="A694" s="23">
        <v>8400245</v>
      </c>
      <c r="B694" s="22" t="s">
        <v>726</v>
      </c>
      <c r="C694" s="22" t="s">
        <v>35</v>
      </c>
      <c r="D694" s="22"/>
      <c r="E694" s="22"/>
      <c r="F694" s="22">
        <v>20</v>
      </c>
      <c r="G694" s="22" t="s">
        <v>484</v>
      </c>
    </row>
    <row r="695" spans="1:7" x14ac:dyDescent="0.3">
      <c r="A695" s="22">
        <v>8400246</v>
      </c>
      <c r="B695" s="22" t="s">
        <v>727</v>
      </c>
      <c r="C695" s="22" t="s">
        <v>35</v>
      </c>
      <c r="D695" s="22"/>
      <c r="E695" s="22"/>
      <c r="F695" s="22">
        <v>5</v>
      </c>
      <c r="G695" s="22" t="s">
        <v>484</v>
      </c>
    </row>
    <row r="696" spans="1:7" x14ac:dyDescent="0.3">
      <c r="A696" s="23">
        <v>8400247</v>
      </c>
      <c r="B696" s="22" t="s">
        <v>728</v>
      </c>
      <c r="C696" s="22" t="s">
        <v>35</v>
      </c>
      <c r="D696" s="22"/>
      <c r="E696" s="22"/>
      <c r="F696" s="22">
        <v>5</v>
      </c>
      <c r="G696" s="22" t="s">
        <v>484</v>
      </c>
    </row>
    <row r="697" spans="1:7" x14ac:dyDescent="0.3">
      <c r="A697" s="22">
        <v>8400248</v>
      </c>
      <c r="B697" s="22" t="s">
        <v>729</v>
      </c>
      <c r="C697" s="22" t="s">
        <v>35</v>
      </c>
      <c r="D697" s="22"/>
      <c r="E697" s="22"/>
      <c r="F697" s="22">
        <v>5</v>
      </c>
      <c r="G697" s="22" t="s">
        <v>484</v>
      </c>
    </row>
    <row r="698" spans="1:7" x14ac:dyDescent="0.3">
      <c r="A698" s="23">
        <v>8400249</v>
      </c>
      <c r="B698" s="22" t="s">
        <v>730</v>
      </c>
      <c r="C698" s="22" t="s">
        <v>35</v>
      </c>
      <c r="D698" s="22"/>
      <c r="E698" s="22"/>
      <c r="F698" s="22">
        <v>5</v>
      </c>
      <c r="G698" s="22" t="s">
        <v>484</v>
      </c>
    </row>
    <row r="699" spans="1:7" x14ac:dyDescent="0.3">
      <c r="A699" s="22">
        <v>8400250</v>
      </c>
      <c r="B699" s="22" t="s">
        <v>731</v>
      </c>
      <c r="C699" s="22" t="s">
        <v>35</v>
      </c>
      <c r="D699" s="22"/>
      <c r="E699" s="22"/>
      <c r="F699" s="22">
        <v>5</v>
      </c>
      <c r="G699" s="22" t="s">
        <v>484</v>
      </c>
    </row>
    <row r="700" spans="1:7" x14ac:dyDescent="0.3">
      <c r="A700" s="23">
        <v>8400251</v>
      </c>
      <c r="B700" s="22" t="s">
        <v>732</v>
      </c>
      <c r="C700" s="22" t="s">
        <v>35</v>
      </c>
      <c r="D700" s="22"/>
      <c r="E700" s="22"/>
      <c r="F700" s="22">
        <v>5</v>
      </c>
      <c r="G700" s="22" t="s">
        <v>484</v>
      </c>
    </row>
    <row r="701" spans="1:7" x14ac:dyDescent="0.3">
      <c r="A701" s="22">
        <v>8400252</v>
      </c>
      <c r="B701" s="22" t="s">
        <v>733</v>
      </c>
      <c r="C701" s="22" t="s">
        <v>35</v>
      </c>
      <c r="D701" s="22"/>
      <c r="E701" s="22"/>
      <c r="F701" s="22">
        <v>5</v>
      </c>
      <c r="G701" s="22" t="s">
        <v>484</v>
      </c>
    </row>
    <row r="702" spans="1:7" x14ac:dyDescent="0.3">
      <c r="A702" s="23">
        <v>8400253</v>
      </c>
      <c r="B702" s="22" t="s">
        <v>734</v>
      </c>
      <c r="C702" s="22" t="s">
        <v>35</v>
      </c>
      <c r="D702" s="22"/>
      <c r="E702" s="22"/>
      <c r="F702" s="22">
        <v>5</v>
      </c>
      <c r="G702" s="22" t="s">
        <v>484</v>
      </c>
    </row>
    <row r="703" spans="1:7" x14ac:dyDescent="0.3">
      <c r="A703" s="22">
        <v>8400254</v>
      </c>
      <c r="B703" s="22" t="s">
        <v>735</v>
      </c>
      <c r="C703" s="22" t="s">
        <v>35</v>
      </c>
      <c r="D703" s="22"/>
      <c r="E703" s="22"/>
      <c r="F703" s="22">
        <v>5</v>
      </c>
      <c r="G703" s="22" t="s">
        <v>484</v>
      </c>
    </row>
    <row r="704" spans="1:7" x14ac:dyDescent="0.3">
      <c r="A704" s="23">
        <v>8400255</v>
      </c>
      <c r="B704" s="22" t="s">
        <v>736</v>
      </c>
      <c r="C704" s="22" t="s">
        <v>35</v>
      </c>
      <c r="D704" s="22"/>
      <c r="E704" s="22"/>
      <c r="F704" s="22">
        <v>5</v>
      </c>
      <c r="G704" s="22" t="s">
        <v>484</v>
      </c>
    </row>
    <row r="705" spans="1:7" x14ac:dyDescent="0.3">
      <c r="A705" s="22">
        <v>8400256</v>
      </c>
      <c r="B705" s="22" t="s">
        <v>737</v>
      </c>
      <c r="C705" s="22" t="s">
        <v>35</v>
      </c>
      <c r="D705" s="22"/>
      <c r="E705" s="22"/>
      <c r="F705" s="22">
        <v>3</v>
      </c>
      <c r="G705" s="22" t="s">
        <v>484</v>
      </c>
    </row>
    <row r="706" spans="1:7" x14ac:dyDescent="0.3">
      <c r="A706" s="23">
        <v>8400257</v>
      </c>
      <c r="B706" s="22" t="s">
        <v>738</v>
      </c>
      <c r="C706" s="22" t="s">
        <v>35</v>
      </c>
      <c r="D706" s="22"/>
      <c r="E706" s="22"/>
      <c r="F706" s="22">
        <v>5</v>
      </c>
      <c r="G706" s="22" t="s">
        <v>484</v>
      </c>
    </row>
    <row r="707" spans="1:7" x14ac:dyDescent="0.3">
      <c r="A707" s="22">
        <v>8400258</v>
      </c>
      <c r="B707" s="22" t="s">
        <v>739</v>
      </c>
      <c r="C707" s="22" t="s">
        <v>35</v>
      </c>
      <c r="D707" s="22"/>
      <c r="E707" s="22"/>
      <c r="F707" s="22">
        <v>5</v>
      </c>
      <c r="G707" s="22" t="s">
        <v>484</v>
      </c>
    </row>
    <row r="708" spans="1:7" x14ac:dyDescent="0.3">
      <c r="A708" s="23">
        <v>8400259</v>
      </c>
      <c r="B708" s="22" t="s">
        <v>740</v>
      </c>
      <c r="C708" s="22" t="s">
        <v>35</v>
      </c>
      <c r="D708" s="22"/>
      <c r="E708" s="22"/>
      <c r="F708" s="22">
        <v>5</v>
      </c>
      <c r="G708" s="22" t="s">
        <v>484</v>
      </c>
    </row>
    <row r="709" spans="1:7" x14ac:dyDescent="0.3">
      <c r="A709" s="22">
        <v>8400260</v>
      </c>
      <c r="B709" s="22" t="s">
        <v>741</v>
      </c>
      <c r="C709" s="22" t="s">
        <v>35</v>
      </c>
      <c r="D709" s="22"/>
      <c r="E709" s="22"/>
      <c r="F709" s="22">
        <v>3</v>
      </c>
      <c r="G709" s="22" t="s">
        <v>484</v>
      </c>
    </row>
    <row r="710" spans="1:7" x14ac:dyDescent="0.3">
      <c r="A710" s="23">
        <v>8400261</v>
      </c>
      <c r="B710" s="22" t="s">
        <v>742</v>
      </c>
      <c r="C710" s="22" t="s">
        <v>35</v>
      </c>
      <c r="D710" s="22"/>
      <c r="E710" s="22"/>
      <c r="F710" s="22">
        <v>3</v>
      </c>
      <c r="G710" s="22" t="s">
        <v>484</v>
      </c>
    </row>
    <row r="711" spans="1:7" x14ac:dyDescent="0.3">
      <c r="A711" s="22">
        <v>8400262</v>
      </c>
      <c r="B711" s="22" t="s">
        <v>743</v>
      </c>
      <c r="C711" s="22" t="s">
        <v>35</v>
      </c>
      <c r="D711" s="22"/>
      <c r="E711" s="22"/>
      <c r="F711" s="22">
        <v>5</v>
      </c>
      <c r="G711" s="22" t="s">
        <v>484</v>
      </c>
    </row>
    <row r="712" spans="1:7" x14ac:dyDescent="0.3">
      <c r="A712" s="23">
        <v>8400263</v>
      </c>
      <c r="B712" s="22" t="s">
        <v>744</v>
      </c>
      <c r="C712" s="22" t="s">
        <v>35</v>
      </c>
      <c r="D712" s="22"/>
      <c r="E712" s="22"/>
      <c r="F712" s="22">
        <v>1</v>
      </c>
      <c r="G712" s="22" t="s">
        <v>484</v>
      </c>
    </row>
    <row r="713" spans="1:7" x14ac:dyDescent="0.3">
      <c r="A713" s="22">
        <v>8400264</v>
      </c>
      <c r="B713" s="22" t="s">
        <v>745</v>
      </c>
      <c r="C713" s="22" t="s">
        <v>35</v>
      </c>
      <c r="D713" s="22"/>
      <c r="E713" s="22"/>
      <c r="F713" s="22">
        <v>3</v>
      </c>
      <c r="G713" s="22" t="s">
        <v>484</v>
      </c>
    </row>
    <row r="714" spans="1:7" x14ac:dyDescent="0.3">
      <c r="A714" s="23">
        <v>8400265</v>
      </c>
      <c r="B714" s="22" t="s">
        <v>746</v>
      </c>
      <c r="C714" s="22" t="s">
        <v>35</v>
      </c>
      <c r="D714" s="22"/>
      <c r="E714" s="22"/>
      <c r="F714" s="22">
        <v>5</v>
      </c>
      <c r="G714" s="22" t="s">
        <v>484</v>
      </c>
    </row>
    <row r="715" spans="1:7" x14ac:dyDescent="0.3">
      <c r="A715" s="22">
        <v>8400266</v>
      </c>
      <c r="B715" s="22" t="s">
        <v>747</v>
      </c>
      <c r="C715" s="22" t="s">
        <v>35</v>
      </c>
      <c r="D715" s="22"/>
      <c r="E715" s="22"/>
      <c r="F715" s="22">
        <v>5</v>
      </c>
      <c r="G715" s="22" t="s">
        <v>484</v>
      </c>
    </row>
    <row r="716" spans="1:7" x14ac:dyDescent="0.3">
      <c r="A716" s="23">
        <v>8400267</v>
      </c>
      <c r="B716" s="22" t="s">
        <v>748</v>
      </c>
      <c r="C716" s="22" t="s">
        <v>35</v>
      </c>
      <c r="D716" s="22"/>
      <c r="E716" s="22"/>
      <c r="F716" s="22">
        <v>3</v>
      </c>
      <c r="G716" s="22" t="s">
        <v>484</v>
      </c>
    </row>
    <row r="717" spans="1:7" x14ac:dyDescent="0.3">
      <c r="A717" s="22">
        <v>8400268</v>
      </c>
      <c r="B717" s="22" t="s">
        <v>749</v>
      </c>
      <c r="C717" s="22" t="s">
        <v>35</v>
      </c>
      <c r="D717" s="22"/>
      <c r="E717" s="22"/>
      <c r="F717" s="22">
        <v>5</v>
      </c>
      <c r="G717" s="22" t="s">
        <v>484</v>
      </c>
    </row>
    <row r="718" spans="1:7" x14ac:dyDescent="0.3">
      <c r="A718" s="23">
        <v>8400269</v>
      </c>
      <c r="B718" s="22" t="s">
        <v>750</v>
      </c>
      <c r="C718" s="22" t="s">
        <v>35</v>
      </c>
      <c r="D718" s="22"/>
      <c r="E718" s="22"/>
      <c r="F718" s="22">
        <v>5</v>
      </c>
      <c r="G718" s="22" t="s">
        <v>484</v>
      </c>
    </row>
    <row r="719" spans="1:7" x14ac:dyDescent="0.3">
      <c r="A719" s="22">
        <v>8400270</v>
      </c>
      <c r="B719" s="22" t="s">
        <v>751</v>
      </c>
      <c r="C719" s="22" t="s">
        <v>35</v>
      </c>
      <c r="D719" s="22"/>
      <c r="E719" s="22"/>
      <c r="F719" s="22">
        <v>5</v>
      </c>
      <c r="G719" s="22" t="s">
        <v>484</v>
      </c>
    </row>
    <row r="720" spans="1:7" x14ac:dyDescent="0.3">
      <c r="A720" s="23">
        <v>8400271</v>
      </c>
      <c r="B720" s="22" t="s">
        <v>752</v>
      </c>
      <c r="C720" s="22" t="s">
        <v>35</v>
      </c>
      <c r="D720" s="22"/>
      <c r="E720" s="22"/>
      <c r="F720" s="22">
        <v>5</v>
      </c>
      <c r="G720" s="22" t="s">
        <v>484</v>
      </c>
    </row>
    <row r="721" spans="1:7" x14ac:dyDescent="0.3">
      <c r="A721" s="22">
        <v>8400272</v>
      </c>
      <c r="B721" s="22" t="s">
        <v>753</v>
      </c>
      <c r="C721" s="22" t="s">
        <v>35</v>
      </c>
      <c r="D721" s="22"/>
      <c r="E721" s="22"/>
      <c r="F721" s="22">
        <v>5</v>
      </c>
      <c r="G721" s="22" t="s">
        <v>484</v>
      </c>
    </row>
    <row r="722" spans="1:7" x14ac:dyDescent="0.3">
      <c r="A722" s="23">
        <v>8400273</v>
      </c>
      <c r="B722" s="22" t="s">
        <v>754</v>
      </c>
      <c r="C722" s="22" t="s">
        <v>35</v>
      </c>
      <c r="D722" s="22"/>
      <c r="E722" s="22"/>
      <c r="F722" s="22">
        <v>5</v>
      </c>
      <c r="G722" s="22" t="s">
        <v>484</v>
      </c>
    </row>
    <row r="723" spans="1:7" x14ac:dyDescent="0.3">
      <c r="A723" s="22">
        <v>8400274</v>
      </c>
      <c r="B723" s="22" t="s">
        <v>755</v>
      </c>
      <c r="C723" s="22" t="s">
        <v>35</v>
      </c>
      <c r="D723" s="22"/>
      <c r="E723" s="22"/>
      <c r="F723" s="22">
        <v>5</v>
      </c>
      <c r="G723" s="22" t="s">
        <v>484</v>
      </c>
    </row>
    <row r="724" spans="1:7" x14ac:dyDescent="0.3">
      <c r="A724" s="23">
        <v>8400275</v>
      </c>
      <c r="B724" s="22" t="s">
        <v>756</v>
      </c>
      <c r="C724" s="22" t="s">
        <v>35</v>
      </c>
      <c r="D724" s="22"/>
      <c r="E724" s="22"/>
      <c r="F724" s="22">
        <v>5</v>
      </c>
      <c r="G724" s="22" t="s">
        <v>484</v>
      </c>
    </row>
    <row r="725" spans="1:7" x14ac:dyDescent="0.3">
      <c r="A725" s="22">
        <v>8400276</v>
      </c>
      <c r="B725" s="22" t="s">
        <v>757</v>
      </c>
      <c r="C725" s="22" t="s">
        <v>35</v>
      </c>
      <c r="D725" s="22"/>
      <c r="E725" s="22"/>
      <c r="F725" s="22">
        <v>3</v>
      </c>
      <c r="G725" s="22" t="s">
        <v>484</v>
      </c>
    </row>
    <row r="726" spans="1:7" x14ac:dyDescent="0.3">
      <c r="A726" s="23">
        <v>8400277</v>
      </c>
      <c r="B726" s="22" t="s">
        <v>758</v>
      </c>
      <c r="C726" s="22" t="s">
        <v>35</v>
      </c>
      <c r="D726" s="22"/>
      <c r="E726" s="22"/>
      <c r="F726" s="22">
        <v>2</v>
      </c>
      <c r="G726" s="22" t="s">
        <v>484</v>
      </c>
    </row>
    <row r="727" spans="1:7" x14ac:dyDescent="0.3">
      <c r="A727" s="22">
        <v>8400278</v>
      </c>
      <c r="B727" s="22" t="s">
        <v>759</v>
      </c>
      <c r="C727" s="22" t="s">
        <v>35</v>
      </c>
      <c r="D727" s="22"/>
      <c r="E727" s="22"/>
      <c r="F727" s="22">
        <v>5</v>
      </c>
      <c r="G727" s="22" t="s">
        <v>484</v>
      </c>
    </row>
    <row r="728" spans="1:7" x14ac:dyDescent="0.3">
      <c r="A728" s="23">
        <v>8400279</v>
      </c>
      <c r="B728" s="22" t="s">
        <v>760</v>
      </c>
      <c r="C728" s="22" t="s">
        <v>35</v>
      </c>
      <c r="D728" s="22"/>
      <c r="E728" s="22"/>
      <c r="F728" s="22">
        <v>1</v>
      </c>
      <c r="G728" s="22" t="s">
        <v>484</v>
      </c>
    </row>
    <row r="729" spans="1:7" x14ac:dyDescent="0.3">
      <c r="A729" s="22">
        <v>8400280</v>
      </c>
      <c r="B729" s="22" t="s">
        <v>761</v>
      </c>
      <c r="C729" s="22" t="s">
        <v>35</v>
      </c>
      <c r="D729" s="22"/>
      <c r="E729" s="22"/>
      <c r="F729" s="22">
        <v>5</v>
      </c>
      <c r="G729" s="22" t="s">
        <v>484</v>
      </c>
    </row>
    <row r="730" spans="1:7" x14ac:dyDescent="0.3">
      <c r="A730" s="23">
        <v>8400281</v>
      </c>
      <c r="B730" s="22" t="s">
        <v>762</v>
      </c>
      <c r="C730" s="22" t="s">
        <v>35</v>
      </c>
      <c r="D730" s="22"/>
      <c r="E730" s="22"/>
      <c r="F730" s="22">
        <v>5</v>
      </c>
      <c r="G730" s="22" t="s">
        <v>484</v>
      </c>
    </row>
    <row r="731" spans="1:7" x14ac:dyDescent="0.3">
      <c r="A731" s="22">
        <v>8400282</v>
      </c>
      <c r="B731" s="22" t="s">
        <v>763</v>
      </c>
      <c r="C731" s="22" t="s">
        <v>35</v>
      </c>
      <c r="D731" s="22"/>
      <c r="E731" s="22"/>
      <c r="F731" s="22">
        <v>3</v>
      </c>
      <c r="G731" s="22" t="s">
        <v>484</v>
      </c>
    </row>
    <row r="732" spans="1:7" x14ac:dyDescent="0.3">
      <c r="A732" s="23">
        <v>8400283</v>
      </c>
      <c r="B732" s="22" t="s">
        <v>764</v>
      </c>
      <c r="C732" s="22" t="s">
        <v>35</v>
      </c>
      <c r="D732" s="22"/>
      <c r="E732" s="22"/>
      <c r="F732" s="22">
        <v>5</v>
      </c>
      <c r="G732" s="22" t="s">
        <v>484</v>
      </c>
    </row>
    <row r="733" spans="1:7" x14ac:dyDescent="0.3">
      <c r="A733" s="22">
        <v>8400284</v>
      </c>
      <c r="B733" s="22" t="s">
        <v>765</v>
      </c>
      <c r="C733" s="22" t="s">
        <v>35</v>
      </c>
      <c r="D733" s="22"/>
      <c r="E733" s="22"/>
      <c r="F733" s="22">
        <v>5</v>
      </c>
      <c r="G733" s="22" t="s">
        <v>484</v>
      </c>
    </row>
    <row r="734" spans="1:7" x14ac:dyDescent="0.3">
      <c r="A734" s="23">
        <v>8400285</v>
      </c>
      <c r="B734" s="22" t="s">
        <v>766</v>
      </c>
      <c r="C734" s="22" t="s">
        <v>35</v>
      </c>
      <c r="D734" s="22"/>
      <c r="E734" s="22"/>
      <c r="F734" s="22">
        <v>5</v>
      </c>
      <c r="G734" s="22" t="s">
        <v>484</v>
      </c>
    </row>
    <row r="735" spans="1:7" x14ac:dyDescent="0.3">
      <c r="A735" s="22">
        <v>8400286</v>
      </c>
      <c r="B735" s="22" t="s">
        <v>767</v>
      </c>
      <c r="C735" s="22" t="s">
        <v>35</v>
      </c>
      <c r="D735" s="22"/>
      <c r="E735" s="22"/>
      <c r="F735" s="22">
        <v>3</v>
      </c>
      <c r="G735" s="22" t="s">
        <v>484</v>
      </c>
    </row>
    <row r="736" spans="1:7" x14ac:dyDescent="0.3">
      <c r="A736" s="23">
        <v>8400287</v>
      </c>
      <c r="B736" s="22" t="s">
        <v>745</v>
      </c>
      <c r="C736" s="22" t="s">
        <v>35</v>
      </c>
      <c r="D736" s="22"/>
      <c r="E736" s="22"/>
      <c r="F736" s="22">
        <v>3</v>
      </c>
      <c r="G736" s="22" t="s">
        <v>484</v>
      </c>
    </row>
    <row r="737" spans="1:7" x14ac:dyDescent="0.3">
      <c r="A737" s="22">
        <v>8400288</v>
      </c>
      <c r="B737" s="22" t="s">
        <v>768</v>
      </c>
      <c r="C737" s="22" t="s">
        <v>35</v>
      </c>
      <c r="D737" s="22"/>
      <c r="E737" s="22"/>
      <c r="F737" s="22">
        <v>5</v>
      </c>
      <c r="G737" s="22" t="s">
        <v>484</v>
      </c>
    </row>
    <row r="738" spans="1:7" x14ac:dyDescent="0.3">
      <c r="A738" s="23">
        <v>8400289</v>
      </c>
      <c r="B738" s="22" t="s">
        <v>769</v>
      </c>
      <c r="C738" s="22" t="s">
        <v>35</v>
      </c>
      <c r="D738" s="22"/>
      <c r="E738" s="22"/>
      <c r="F738" s="22">
        <v>2</v>
      </c>
      <c r="G738" s="22" t="s">
        <v>484</v>
      </c>
    </row>
    <row r="739" spans="1:7" x14ac:dyDescent="0.3">
      <c r="A739" s="22">
        <v>8400290</v>
      </c>
      <c r="B739" s="22" t="s">
        <v>770</v>
      </c>
      <c r="C739" s="22" t="s">
        <v>35</v>
      </c>
      <c r="D739" s="22"/>
      <c r="E739" s="22"/>
      <c r="F739" s="22">
        <v>3</v>
      </c>
      <c r="G739" s="22" t="s">
        <v>484</v>
      </c>
    </row>
    <row r="740" spans="1:7" x14ac:dyDescent="0.3">
      <c r="A740" s="23">
        <v>8400291</v>
      </c>
      <c r="B740" s="22" t="s">
        <v>771</v>
      </c>
      <c r="C740" s="22" t="s">
        <v>35</v>
      </c>
      <c r="D740" s="22"/>
      <c r="E740" s="22"/>
      <c r="F740" s="22">
        <v>5</v>
      </c>
      <c r="G740" s="22" t="s">
        <v>484</v>
      </c>
    </row>
    <row r="741" spans="1:7" x14ac:dyDescent="0.3">
      <c r="A741" s="22">
        <v>8400292</v>
      </c>
      <c r="B741" s="22" t="s">
        <v>772</v>
      </c>
      <c r="C741" s="22" t="s">
        <v>35</v>
      </c>
      <c r="D741" s="22"/>
      <c r="E741" s="22"/>
      <c r="F741" s="22">
        <v>5</v>
      </c>
      <c r="G741" s="22" t="s">
        <v>484</v>
      </c>
    </row>
    <row r="742" spans="1:7" x14ac:dyDescent="0.3">
      <c r="A742" s="23">
        <v>8400293</v>
      </c>
      <c r="B742" s="22" t="s">
        <v>773</v>
      </c>
      <c r="C742" s="22" t="s">
        <v>35</v>
      </c>
      <c r="D742" s="22"/>
      <c r="E742" s="22"/>
      <c r="F742" s="22">
        <v>5</v>
      </c>
      <c r="G742" s="22" t="s">
        <v>484</v>
      </c>
    </row>
    <row r="743" spans="1:7" x14ac:dyDescent="0.3">
      <c r="A743" s="22">
        <v>8400294</v>
      </c>
      <c r="B743" s="22" t="s">
        <v>774</v>
      </c>
      <c r="C743" s="22" t="s">
        <v>35</v>
      </c>
      <c r="D743" s="22"/>
      <c r="E743" s="22"/>
      <c r="F743" s="22">
        <v>5</v>
      </c>
      <c r="G743" s="22" t="s">
        <v>484</v>
      </c>
    </row>
    <row r="744" spans="1:7" x14ac:dyDescent="0.3">
      <c r="A744" s="23">
        <v>8400295</v>
      </c>
      <c r="B744" s="22" t="s">
        <v>775</v>
      </c>
      <c r="C744" s="22" t="s">
        <v>35</v>
      </c>
      <c r="D744" s="22"/>
      <c r="E744" s="22"/>
      <c r="F744" s="22">
        <v>5</v>
      </c>
      <c r="G744" s="22" t="s">
        <v>484</v>
      </c>
    </row>
    <row r="745" spans="1:7" x14ac:dyDescent="0.3">
      <c r="A745" s="22">
        <v>8400296</v>
      </c>
      <c r="B745" s="22" t="s">
        <v>776</v>
      </c>
      <c r="C745" s="22" t="s">
        <v>35</v>
      </c>
      <c r="D745" s="22"/>
      <c r="E745" s="22"/>
      <c r="F745" s="22">
        <v>5</v>
      </c>
      <c r="G745" s="22" t="s">
        <v>484</v>
      </c>
    </row>
    <row r="746" spans="1:7" x14ac:dyDescent="0.3">
      <c r="A746" s="23">
        <v>8400297</v>
      </c>
      <c r="B746" s="22" t="s">
        <v>777</v>
      </c>
      <c r="C746" s="22" t="s">
        <v>35</v>
      </c>
      <c r="D746" s="22"/>
      <c r="E746" s="22"/>
      <c r="F746" s="22">
        <v>3</v>
      </c>
      <c r="G746" s="22" t="s">
        <v>484</v>
      </c>
    </row>
    <row r="747" spans="1:7" x14ac:dyDescent="0.3">
      <c r="A747" s="22">
        <v>8400298</v>
      </c>
      <c r="B747" s="22" t="s">
        <v>778</v>
      </c>
      <c r="C747" s="22" t="s">
        <v>35</v>
      </c>
      <c r="D747" s="22"/>
      <c r="E747" s="22"/>
      <c r="F747" s="22">
        <v>5</v>
      </c>
      <c r="G747" s="22" t="s">
        <v>484</v>
      </c>
    </row>
    <row r="748" spans="1:7" x14ac:dyDescent="0.3">
      <c r="A748" s="23">
        <v>8400299</v>
      </c>
      <c r="B748" s="22" t="s">
        <v>779</v>
      </c>
      <c r="C748" s="22" t="s">
        <v>35</v>
      </c>
      <c r="D748" s="22"/>
      <c r="E748" s="22"/>
      <c r="F748" s="22">
        <v>2</v>
      </c>
      <c r="G748" s="22" t="s">
        <v>484</v>
      </c>
    </row>
    <row r="749" spans="1:7" x14ac:dyDescent="0.3">
      <c r="A749" s="22">
        <v>8400300</v>
      </c>
      <c r="B749" s="22" t="s">
        <v>780</v>
      </c>
      <c r="C749" s="22" t="s">
        <v>35</v>
      </c>
      <c r="D749" s="22"/>
      <c r="E749" s="22"/>
      <c r="F749" s="22">
        <v>5</v>
      </c>
      <c r="G749" s="22" t="s">
        <v>484</v>
      </c>
    </row>
    <row r="750" spans="1:7" x14ac:dyDescent="0.3">
      <c r="A750" s="23">
        <v>8400301</v>
      </c>
      <c r="B750" s="22" t="s">
        <v>781</v>
      </c>
      <c r="C750" s="22" t="s">
        <v>35</v>
      </c>
      <c r="D750" s="22"/>
      <c r="E750" s="22"/>
      <c r="F750" s="22">
        <v>5</v>
      </c>
      <c r="G750" s="22" t="s">
        <v>484</v>
      </c>
    </row>
    <row r="751" spans="1:7" x14ac:dyDescent="0.3">
      <c r="A751" s="22">
        <v>8400302</v>
      </c>
      <c r="B751" s="22" t="s">
        <v>782</v>
      </c>
      <c r="C751" s="22" t="s">
        <v>35</v>
      </c>
      <c r="D751" s="22"/>
      <c r="E751" s="22"/>
      <c r="F751" s="22">
        <v>5</v>
      </c>
      <c r="G751" s="22" t="s">
        <v>484</v>
      </c>
    </row>
    <row r="752" spans="1:7" x14ac:dyDescent="0.3">
      <c r="A752" s="23">
        <v>8500001</v>
      </c>
      <c r="B752" s="22" t="s">
        <v>783</v>
      </c>
      <c r="C752" s="22" t="s">
        <v>784</v>
      </c>
      <c r="D752" s="22"/>
      <c r="E752" s="22"/>
      <c r="F752" s="22">
        <v>3</v>
      </c>
      <c r="G752" s="22" t="s">
        <v>29</v>
      </c>
    </row>
  </sheetData>
  <pageMargins left="0.7" right="0.7" top="0.75" bottom="0.75" header="0.3" footer="0.3"/>
  <pageSetup scale="59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46550-59E9-4BAE-8E7D-FB7332E4193D}">
  <sheetPr>
    <pageSetUpPr fitToPage="1"/>
  </sheetPr>
  <dimension ref="A1:I366"/>
  <sheetViews>
    <sheetView workbookViewId="0">
      <selection sqref="A1:I1048576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7773437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7" t="s">
        <v>785</v>
      </c>
      <c r="C2" s="27"/>
      <c r="D2" s="27"/>
      <c r="E2" s="27" t="s">
        <v>35</v>
      </c>
      <c r="F2" s="27">
        <v>350</v>
      </c>
      <c r="G2" s="27">
        <v>267.28129999999999</v>
      </c>
      <c r="H2" s="27">
        <v>0</v>
      </c>
      <c r="I2" s="27" t="s">
        <v>786</v>
      </c>
    </row>
    <row r="3" spans="1:9" x14ac:dyDescent="0.3">
      <c r="A3" s="25"/>
      <c r="B3" s="27" t="s">
        <v>787</v>
      </c>
      <c r="C3" s="27"/>
      <c r="D3" s="27"/>
      <c r="E3" s="27" t="s">
        <v>35</v>
      </c>
      <c r="F3" s="27">
        <v>270</v>
      </c>
      <c r="G3" s="27">
        <v>222.44</v>
      </c>
      <c r="H3" s="27">
        <v>0</v>
      </c>
      <c r="I3" s="28" t="s">
        <v>786</v>
      </c>
    </row>
    <row r="4" spans="1:9" x14ac:dyDescent="0.3">
      <c r="A4" s="25"/>
      <c r="B4" s="28" t="s">
        <v>788</v>
      </c>
      <c r="C4" s="28"/>
      <c r="D4" s="28"/>
      <c r="E4" s="28" t="s">
        <v>35</v>
      </c>
      <c r="F4" s="28">
        <v>320</v>
      </c>
      <c r="G4" s="28">
        <v>253.9</v>
      </c>
      <c r="H4" s="28">
        <v>0</v>
      </c>
      <c r="I4" s="28" t="s">
        <v>786</v>
      </c>
    </row>
    <row r="5" spans="1:9" x14ac:dyDescent="0.3">
      <c r="A5" s="25"/>
      <c r="B5" s="28" t="s">
        <v>789</v>
      </c>
      <c r="C5" s="28"/>
      <c r="D5" s="28"/>
      <c r="E5" s="28" t="s">
        <v>35</v>
      </c>
      <c r="F5" s="28">
        <v>370</v>
      </c>
      <c r="G5" s="28">
        <v>289.5</v>
      </c>
      <c r="H5" s="28">
        <v>0</v>
      </c>
      <c r="I5" s="28" t="s">
        <v>786</v>
      </c>
    </row>
    <row r="6" spans="1:9" x14ac:dyDescent="0.3">
      <c r="A6" s="25"/>
      <c r="B6" s="27" t="s">
        <v>790</v>
      </c>
      <c r="C6" s="27"/>
      <c r="D6" s="27"/>
      <c r="E6" s="27" t="s">
        <v>35</v>
      </c>
      <c r="F6" s="27">
        <v>420</v>
      </c>
      <c r="G6" s="27">
        <v>359.5</v>
      </c>
      <c r="H6" s="27">
        <v>0</v>
      </c>
      <c r="I6" s="28" t="s">
        <v>786</v>
      </c>
    </row>
    <row r="7" spans="1:9" x14ac:dyDescent="0.3">
      <c r="A7" s="25"/>
      <c r="B7" s="28" t="s">
        <v>791</v>
      </c>
      <c r="C7" s="28"/>
      <c r="D7" s="28"/>
      <c r="E7" s="28" t="s">
        <v>35</v>
      </c>
      <c r="F7" s="28">
        <v>470</v>
      </c>
      <c r="G7" s="28">
        <v>411.6</v>
      </c>
      <c r="H7" s="28">
        <v>0</v>
      </c>
      <c r="I7" s="28" t="s">
        <v>786</v>
      </c>
    </row>
    <row r="8" spans="1:9" x14ac:dyDescent="0.3">
      <c r="A8" s="25"/>
      <c r="B8" s="28" t="s">
        <v>792</v>
      </c>
      <c r="C8" s="28"/>
      <c r="D8" s="28"/>
      <c r="E8" s="28" t="s">
        <v>35</v>
      </c>
      <c r="F8" s="28">
        <v>220</v>
      </c>
      <c r="G8" s="28">
        <v>172</v>
      </c>
      <c r="H8" s="28">
        <v>0</v>
      </c>
      <c r="I8" s="28" t="s">
        <v>786</v>
      </c>
    </row>
    <row r="9" spans="1:9" x14ac:dyDescent="0.3">
      <c r="A9" s="25"/>
      <c r="B9" s="27" t="s">
        <v>793</v>
      </c>
      <c r="C9" s="27"/>
      <c r="D9" s="27"/>
      <c r="E9" s="27" t="s">
        <v>35</v>
      </c>
      <c r="F9" s="27">
        <v>5</v>
      </c>
      <c r="G9" s="27">
        <v>2.65</v>
      </c>
      <c r="H9" s="27">
        <v>0</v>
      </c>
      <c r="I9" s="28" t="s">
        <v>786</v>
      </c>
    </row>
    <row r="10" spans="1:9" x14ac:dyDescent="0.3">
      <c r="A10" s="25"/>
      <c r="B10" s="28" t="s">
        <v>794</v>
      </c>
      <c r="C10" s="28"/>
      <c r="D10" s="28"/>
      <c r="E10" s="28" t="s">
        <v>26</v>
      </c>
      <c r="F10" s="28">
        <v>65</v>
      </c>
      <c r="G10" s="28">
        <v>43.56</v>
      </c>
      <c r="H10" s="28">
        <v>0</v>
      </c>
      <c r="I10" s="28" t="s">
        <v>786</v>
      </c>
    </row>
    <row r="11" spans="1:9" x14ac:dyDescent="0.3">
      <c r="A11" s="25"/>
      <c r="B11" s="27" t="s">
        <v>795</v>
      </c>
      <c r="C11" s="27"/>
      <c r="D11" s="27"/>
      <c r="E11" s="27" t="s">
        <v>26</v>
      </c>
      <c r="F11" s="27">
        <v>55</v>
      </c>
      <c r="G11" s="27">
        <v>35.700000000000003</v>
      </c>
      <c r="H11" s="27">
        <v>0</v>
      </c>
      <c r="I11" s="28" t="s">
        <v>786</v>
      </c>
    </row>
    <row r="12" spans="1:9" x14ac:dyDescent="0.3">
      <c r="A12" s="25"/>
      <c r="B12" s="27" t="s">
        <v>796</v>
      </c>
      <c r="C12" s="27"/>
      <c r="D12" s="27"/>
      <c r="E12" s="27" t="s">
        <v>35</v>
      </c>
      <c r="F12" s="27">
        <v>50</v>
      </c>
      <c r="G12" s="27">
        <v>22.314599999999999</v>
      </c>
      <c r="H12" s="27">
        <v>0</v>
      </c>
      <c r="I12" s="27" t="s">
        <v>786</v>
      </c>
    </row>
    <row r="13" spans="1:9" x14ac:dyDescent="0.3">
      <c r="A13" s="25"/>
      <c r="B13" s="28" t="s">
        <v>797</v>
      </c>
      <c r="C13" s="28"/>
      <c r="D13" s="28"/>
      <c r="E13" s="28" t="s">
        <v>35</v>
      </c>
      <c r="F13" s="28">
        <v>40</v>
      </c>
      <c r="G13" s="28">
        <v>12.6</v>
      </c>
      <c r="H13" s="28">
        <v>0</v>
      </c>
      <c r="I13" s="28" t="s">
        <v>786</v>
      </c>
    </row>
    <row r="14" spans="1:9" x14ac:dyDescent="0.3">
      <c r="A14" s="25"/>
      <c r="B14" s="28" t="s">
        <v>798</v>
      </c>
      <c r="C14" s="28"/>
      <c r="D14" s="28"/>
      <c r="E14" s="28" t="s">
        <v>35</v>
      </c>
      <c r="F14" s="28">
        <v>60</v>
      </c>
      <c r="G14" s="28">
        <v>48</v>
      </c>
      <c r="H14" s="28">
        <v>0</v>
      </c>
      <c r="I14" s="28" t="s">
        <v>786</v>
      </c>
    </row>
    <row r="15" spans="1:9" x14ac:dyDescent="0.3">
      <c r="A15" s="25"/>
      <c r="B15" s="28" t="s">
        <v>799</v>
      </c>
      <c r="C15" s="28"/>
      <c r="D15" s="28"/>
      <c r="E15" s="28" t="s">
        <v>29</v>
      </c>
      <c r="F15" s="28">
        <v>280</v>
      </c>
      <c r="G15" s="28">
        <v>147</v>
      </c>
      <c r="H15" s="28">
        <v>0</v>
      </c>
      <c r="I15" s="28" t="s">
        <v>786</v>
      </c>
    </row>
    <row r="16" spans="1:9" x14ac:dyDescent="0.3">
      <c r="A16" s="25"/>
      <c r="B16" s="28" t="s">
        <v>800</v>
      </c>
      <c r="C16" s="28"/>
      <c r="D16" s="28"/>
      <c r="E16" s="28" t="s">
        <v>35</v>
      </c>
      <c r="F16" s="28">
        <v>50</v>
      </c>
      <c r="G16" s="28">
        <v>29.795100000000001</v>
      </c>
      <c r="H16" s="28">
        <v>0</v>
      </c>
      <c r="I16" s="27" t="s">
        <v>786</v>
      </c>
    </row>
    <row r="17" spans="1:9" x14ac:dyDescent="0.3">
      <c r="A17" s="25"/>
      <c r="B17" s="27" t="s">
        <v>801</v>
      </c>
      <c r="C17" s="27"/>
      <c r="D17" s="27"/>
      <c r="E17" s="27" t="s">
        <v>35</v>
      </c>
      <c r="F17" s="27">
        <v>70</v>
      </c>
      <c r="G17" s="27">
        <v>42.5</v>
      </c>
      <c r="H17" s="27">
        <v>0</v>
      </c>
      <c r="I17" s="27" t="s">
        <v>786</v>
      </c>
    </row>
    <row r="18" spans="1:9" x14ac:dyDescent="0.3">
      <c r="A18" s="25"/>
      <c r="B18" s="27" t="s">
        <v>802</v>
      </c>
      <c r="C18" s="27"/>
      <c r="D18" s="27"/>
      <c r="E18" s="27" t="s">
        <v>35</v>
      </c>
      <c r="F18" s="27">
        <v>50</v>
      </c>
      <c r="G18" s="27">
        <v>31.729800000000001</v>
      </c>
      <c r="H18" s="27">
        <v>3</v>
      </c>
      <c r="I18" s="27" t="s">
        <v>786</v>
      </c>
    </row>
    <row r="19" spans="1:9" x14ac:dyDescent="0.3">
      <c r="A19" s="25"/>
      <c r="B19" s="27" t="s">
        <v>803</v>
      </c>
      <c r="C19" s="27"/>
      <c r="D19" s="27"/>
      <c r="E19" s="27" t="s">
        <v>35</v>
      </c>
      <c r="F19" s="27">
        <v>380</v>
      </c>
      <c r="G19" s="27">
        <v>250</v>
      </c>
      <c r="H19" s="27">
        <v>0</v>
      </c>
      <c r="I19" s="27" t="s">
        <v>786</v>
      </c>
    </row>
    <row r="20" spans="1:9" x14ac:dyDescent="0.3">
      <c r="A20" s="25"/>
      <c r="B20" s="27" t="s">
        <v>804</v>
      </c>
      <c r="C20" s="27"/>
      <c r="D20" s="27"/>
      <c r="E20" s="27" t="s">
        <v>35</v>
      </c>
      <c r="F20" s="27">
        <v>10</v>
      </c>
      <c r="G20" s="27">
        <v>2</v>
      </c>
      <c r="H20" s="27">
        <v>5</v>
      </c>
      <c r="I20" s="27" t="s">
        <v>805</v>
      </c>
    </row>
    <row r="21" spans="1:9" x14ac:dyDescent="0.3">
      <c r="A21" s="25"/>
      <c r="B21" s="27" t="s">
        <v>806</v>
      </c>
      <c r="C21" s="27"/>
      <c r="D21" s="27"/>
      <c r="E21" s="27" t="s">
        <v>35</v>
      </c>
      <c r="F21" s="27">
        <v>10</v>
      </c>
      <c r="G21" s="27">
        <v>2.3757999999999999</v>
      </c>
      <c r="H21" s="27">
        <v>5</v>
      </c>
      <c r="I21" s="27" t="s">
        <v>805</v>
      </c>
    </row>
    <row r="22" spans="1:9" x14ac:dyDescent="0.3">
      <c r="A22" s="25"/>
      <c r="B22" s="28" t="s">
        <v>807</v>
      </c>
      <c r="C22" s="28"/>
      <c r="D22" s="28"/>
      <c r="E22" s="28" t="s">
        <v>35</v>
      </c>
      <c r="F22" s="28">
        <v>13</v>
      </c>
      <c r="G22" s="28">
        <v>3.5</v>
      </c>
      <c r="H22" s="28">
        <v>0</v>
      </c>
      <c r="I22" s="28" t="s">
        <v>805</v>
      </c>
    </row>
    <row r="23" spans="1:9" x14ac:dyDescent="0.3">
      <c r="A23" s="25"/>
      <c r="B23" s="28" t="s">
        <v>808</v>
      </c>
      <c r="C23" s="28"/>
      <c r="D23" s="28"/>
      <c r="E23" s="28" t="s">
        <v>35</v>
      </c>
      <c r="F23" s="28">
        <v>45</v>
      </c>
      <c r="G23" s="28">
        <v>22.754300000000001</v>
      </c>
      <c r="H23" s="28">
        <v>5</v>
      </c>
      <c r="I23" s="27" t="s">
        <v>805</v>
      </c>
    </row>
    <row r="24" spans="1:9" x14ac:dyDescent="0.3">
      <c r="A24" s="25"/>
      <c r="B24" s="27" t="s">
        <v>809</v>
      </c>
      <c r="C24" s="27"/>
      <c r="D24" s="27"/>
      <c r="E24" s="27" t="s">
        <v>35</v>
      </c>
      <c r="F24" s="27">
        <v>1650</v>
      </c>
      <c r="G24" s="27">
        <v>1545</v>
      </c>
      <c r="H24" s="27">
        <v>10</v>
      </c>
      <c r="I24" s="27" t="s">
        <v>810</v>
      </c>
    </row>
    <row r="25" spans="1:9" x14ac:dyDescent="0.3">
      <c r="A25" s="25"/>
      <c r="B25" s="28" t="s">
        <v>811</v>
      </c>
      <c r="C25" s="28"/>
      <c r="D25" s="28"/>
      <c r="E25" s="28" t="s">
        <v>35</v>
      </c>
      <c r="F25" s="28">
        <v>10300</v>
      </c>
      <c r="G25" s="28">
        <v>9401</v>
      </c>
      <c r="H25" s="28">
        <v>10</v>
      </c>
      <c r="I25" s="28" t="s">
        <v>810</v>
      </c>
    </row>
    <row r="26" spans="1:9" x14ac:dyDescent="0.3">
      <c r="A26" s="25"/>
      <c r="B26" s="27" t="s">
        <v>812</v>
      </c>
      <c r="C26" s="27"/>
      <c r="D26" s="27"/>
      <c r="E26" s="27" t="s">
        <v>35</v>
      </c>
      <c r="F26" s="27">
        <v>16000</v>
      </c>
      <c r="G26" s="27">
        <v>13000</v>
      </c>
      <c r="H26" s="27">
        <v>10</v>
      </c>
      <c r="I26" s="27" t="s">
        <v>810</v>
      </c>
    </row>
    <row r="27" spans="1:9" x14ac:dyDescent="0.3">
      <c r="A27" s="25"/>
      <c r="B27" s="28" t="s">
        <v>813</v>
      </c>
      <c r="C27" s="28"/>
      <c r="D27" s="28"/>
      <c r="E27" s="28" t="s">
        <v>35</v>
      </c>
      <c r="F27" s="28">
        <v>2220</v>
      </c>
      <c r="G27" s="28">
        <v>1365</v>
      </c>
      <c r="H27" s="28">
        <v>10</v>
      </c>
      <c r="I27" s="28" t="s">
        <v>810</v>
      </c>
    </row>
    <row r="28" spans="1:9" x14ac:dyDescent="0.3">
      <c r="A28" s="25"/>
      <c r="B28" s="27" t="s">
        <v>814</v>
      </c>
      <c r="C28" s="27"/>
      <c r="D28" s="27"/>
      <c r="E28" s="27" t="s">
        <v>35</v>
      </c>
      <c r="F28" s="27">
        <v>3165</v>
      </c>
      <c r="G28" s="27">
        <v>2294.1320000000001</v>
      </c>
      <c r="H28" s="27">
        <v>10</v>
      </c>
      <c r="I28" s="27" t="s">
        <v>810</v>
      </c>
    </row>
    <row r="29" spans="1:9" x14ac:dyDescent="0.3">
      <c r="A29" s="25"/>
      <c r="B29" s="28" t="s">
        <v>815</v>
      </c>
      <c r="C29" s="28"/>
      <c r="D29" s="28"/>
      <c r="E29" s="28" t="s">
        <v>35</v>
      </c>
      <c r="F29" s="28">
        <v>4115</v>
      </c>
      <c r="G29" s="28">
        <v>3382.6727999999998</v>
      </c>
      <c r="H29" s="28">
        <v>10</v>
      </c>
      <c r="I29" s="28" t="s">
        <v>810</v>
      </c>
    </row>
    <row r="30" spans="1:9" x14ac:dyDescent="0.3">
      <c r="A30" s="25"/>
      <c r="B30" s="27" t="s">
        <v>816</v>
      </c>
      <c r="C30" s="27"/>
      <c r="D30" s="27"/>
      <c r="E30" s="27" t="s">
        <v>35</v>
      </c>
      <c r="F30" s="27">
        <v>6020</v>
      </c>
      <c r="G30" s="27">
        <v>4160.1625999999997</v>
      </c>
      <c r="H30" s="27">
        <v>10</v>
      </c>
      <c r="I30" s="27" t="s">
        <v>810</v>
      </c>
    </row>
    <row r="31" spans="1:9" x14ac:dyDescent="0.3">
      <c r="A31" s="25"/>
      <c r="B31" s="28" t="s">
        <v>817</v>
      </c>
      <c r="C31" s="28"/>
      <c r="D31" s="28"/>
      <c r="E31" s="28" t="s">
        <v>35</v>
      </c>
      <c r="F31" s="28">
        <v>280</v>
      </c>
      <c r="G31" s="28">
        <v>200</v>
      </c>
      <c r="H31" s="28">
        <v>0</v>
      </c>
      <c r="I31" s="27" t="s">
        <v>818</v>
      </c>
    </row>
    <row r="32" spans="1:9" x14ac:dyDescent="0.3">
      <c r="A32" s="25"/>
      <c r="B32" s="27" t="s">
        <v>819</v>
      </c>
      <c r="C32" s="27"/>
      <c r="D32" s="27"/>
      <c r="E32" s="27" t="s">
        <v>35</v>
      </c>
      <c r="F32" s="27">
        <v>17</v>
      </c>
      <c r="G32" s="27">
        <v>12.5</v>
      </c>
      <c r="H32" s="27">
        <v>0</v>
      </c>
      <c r="I32" s="27" t="s">
        <v>818</v>
      </c>
    </row>
    <row r="33" spans="1:9" x14ac:dyDescent="0.3">
      <c r="A33" s="25"/>
      <c r="B33" s="28" t="s">
        <v>820</v>
      </c>
      <c r="C33" s="28"/>
      <c r="D33" s="28"/>
      <c r="E33" s="28" t="s">
        <v>35</v>
      </c>
      <c r="F33" s="28">
        <v>85</v>
      </c>
      <c r="G33" s="28">
        <v>64.807699999999997</v>
      </c>
      <c r="H33" s="28">
        <v>0</v>
      </c>
      <c r="I33" s="27" t="s">
        <v>818</v>
      </c>
    </row>
    <row r="34" spans="1:9" x14ac:dyDescent="0.3">
      <c r="A34" s="25"/>
      <c r="B34" s="28" t="s">
        <v>821</v>
      </c>
      <c r="C34" s="28"/>
      <c r="D34" s="28"/>
      <c r="E34" s="28" t="s">
        <v>35</v>
      </c>
      <c r="F34" s="28">
        <v>75</v>
      </c>
      <c r="G34" s="28">
        <v>52</v>
      </c>
      <c r="H34" s="28">
        <v>0</v>
      </c>
      <c r="I34" s="28" t="s">
        <v>818</v>
      </c>
    </row>
    <row r="35" spans="1:9" x14ac:dyDescent="0.3">
      <c r="A35" s="25"/>
      <c r="B35" s="27" t="s">
        <v>822</v>
      </c>
      <c r="C35" s="27"/>
      <c r="D35" s="27"/>
      <c r="E35" s="27" t="s">
        <v>35</v>
      </c>
      <c r="F35" s="27">
        <v>110</v>
      </c>
      <c r="G35" s="27">
        <v>78</v>
      </c>
      <c r="H35" s="27">
        <v>5</v>
      </c>
      <c r="I35" s="28" t="s">
        <v>818</v>
      </c>
    </row>
    <row r="36" spans="1:9" x14ac:dyDescent="0.3">
      <c r="A36" s="25"/>
      <c r="B36" s="28" t="s">
        <v>823</v>
      </c>
      <c r="C36" s="28"/>
      <c r="D36" s="28"/>
      <c r="E36" s="28" t="s">
        <v>35</v>
      </c>
      <c r="F36" s="28">
        <v>120</v>
      </c>
      <c r="G36" s="28">
        <v>78</v>
      </c>
      <c r="H36" s="28">
        <v>5</v>
      </c>
      <c r="I36" s="28" t="s">
        <v>818</v>
      </c>
    </row>
    <row r="37" spans="1:9" x14ac:dyDescent="0.3">
      <c r="A37" s="25"/>
      <c r="B37" s="27" t="s">
        <v>824</v>
      </c>
      <c r="C37" s="27"/>
      <c r="D37" s="27"/>
      <c r="E37" s="27" t="s">
        <v>35</v>
      </c>
      <c r="F37" s="27">
        <v>140</v>
      </c>
      <c r="G37" s="27">
        <v>83</v>
      </c>
      <c r="H37" s="27">
        <v>0</v>
      </c>
      <c r="I37" s="27" t="s">
        <v>818</v>
      </c>
    </row>
    <row r="38" spans="1:9" x14ac:dyDescent="0.3">
      <c r="A38" s="25"/>
      <c r="B38" s="28" t="s">
        <v>825</v>
      </c>
      <c r="C38" s="28"/>
      <c r="D38" s="28"/>
      <c r="E38" s="28" t="s">
        <v>35</v>
      </c>
      <c r="F38" s="28">
        <v>190</v>
      </c>
      <c r="G38" s="28">
        <v>129.5</v>
      </c>
      <c r="H38" s="28">
        <v>0</v>
      </c>
      <c r="I38" s="28" t="s">
        <v>818</v>
      </c>
    </row>
    <row r="39" spans="1:9" x14ac:dyDescent="0.3">
      <c r="A39" s="25"/>
      <c r="B39" s="27" t="s">
        <v>826</v>
      </c>
      <c r="C39" s="27"/>
      <c r="D39" s="27"/>
      <c r="E39" s="27" t="s">
        <v>35</v>
      </c>
      <c r="F39" s="27">
        <v>85</v>
      </c>
      <c r="G39" s="27">
        <v>58</v>
      </c>
      <c r="H39" s="27">
        <v>5</v>
      </c>
      <c r="I39" s="28" t="s">
        <v>818</v>
      </c>
    </row>
    <row r="40" spans="1:9" x14ac:dyDescent="0.3">
      <c r="A40" s="25"/>
      <c r="B40" s="28" t="s">
        <v>827</v>
      </c>
      <c r="C40" s="28"/>
      <c r="D40" s="28"/>
      <c r="E40" s="28" t="s">
        <v>35</v>
      </c>
      <c r="F40" s="28">
        <v>90</v>
      </c>
      <c r="G40" s="28">
        <v>57.954900000000002</v>
      </c>
      <c r="H40" s="28">
        <v>5</v>
      </c>
      <c r="I40" s="28" t="s">
        <v>818</v>
      </c>
    </row>
    <row r="41" spans="1:9" x14ac:dyDescent="0.3">
      <c r="A41" s="25"/>
      <c r="B41" s="27" t="s">
        <v>828</v>
      </c>
      <c r="C41" s="27"/>
      <c r="D41" s="27"/>
      <c r="E41" s="27" t="s">
        <v>35</v>
      </c>
      <c r="F41" s="27">
        <v>250</v>
      </c>
      <c r="G41" s="27">
        <v>215</v>
      </c>
      <c r="H41" s="27">
        <v>0</v>
      </c>
      <c r="I41" s="27" t="s">
        <v>829</v>
      </c>
    </row>
    <row r="42" spans="1:9" x14ac:dyDescent="0.3">
      <c r="A42" s="25"/>
      <c r="B42" s="27" t="s">
        <v>830</v>
      </c>
      <c r="C42" s="27"/>
      <c r="D42" s="27"/>
      <c r="E42" s="27" t="s">
        <v>35</v>
      </c>
      <c r="F42" s="27">
        <v>320</v>
      </c>
      <c r="G42" s="27">
        <v>210</v>
      </c>
      <c r="H42" s="27">
        <v>5</v>
      </c>
      <c r="I42" s="28" t="s">
        <v>829</v>
      </c>
    </row>
    <row r="43" spans="1:9" x14ac:dyDescent="0.3">
      <c r="A43" s="25"/>
      <c r="B43" s="28" t="s">
        <v>831</v>
      </c>
      <c r="C43" s="28"/>
      <c r="D43" s="28"/>
      <c r="E43" s="28" t="s">
        <v>35</v>
      </c>
      <c r="F43" s="28">
        <v>230</v>
      </c>
      <c r="G43" s="28">
        <v>170</v>
      </c>
      <c r="H43" s="28">
        <v>5</v>
      </c>
      <c r="I43" s="28" t="s">
        <v>829</v>
      </c>
    </row>
    <row r="44" spans="1:9" x14ac:dyDescent="0.3">
      <c r="A44" s="25"/>
      <c r="B44" s="28" t="s">
        <v>832</v>
      </c>
      <c r="C44" s="28"/>
      <c r="D44" s="28"/>
      <c r="E44" s="28" t="s">
        <v>35</v>
      </c>
      <c r="F44" s="28">
        <v>215</v>
      </c>
      <c r="G44" s="28">
        <v>105</v>
      </c>
      <c r="H44" s="28">
        <v>5</v>
      </c>
      <c r="I44" s="28" t="s">
        <v>829</v>
      </c>
    </row>
    <row r="45" spans="1:9" x14ac:dyDescent="0.3">
      <c r="A45" s="25"/>
      <c r="B45" s="27" t="s">
        <v>833</v>
      </c>
      <c r="C45" s="27"/>
      <c r="D45" s="27"/>
      <c r="E45" s="27" t="s">
        <v>35</v>
      </c>
      <c r="F45" s="27">
        <v>30</v>
      </c>
      <c r="G45" s="27">
        <v>16.45</v>
      </c>
      <c r="H45" s="27">
        <v>0</v>
      </c>
      <c r="I45" s="27" t="s">
        <v>834</v>
      </c>
    </row>
    <row r="46" spans="1:9" x14ac:dyDescent="0.3">
      <c r="A46" s="25"/>
      <c r="B46" s="28" t="s">
        <v>835</v>
      </c>
      <c r="C46" s="28"/>
      <c r="D46" s="28"/>
      <c r="E46" s="28" t="s">
        <v>35</v>
      </c>
      <c r="F46" s="28">
        <v>0</v>
      </c>
      <c r="G46" s="28">
        <v>0</v>
      </c>
      <c r="H46" s="28">
        <v>0</v>
      </c>
      <c r="I46" s="28" t="s">
        <v>834</v>
      </c>
    </row>
    <row r="47" spans="1:9" x14ac:dyDescent="0.3">
      <c r="A47" s="25"/>
      <c r="B47" s="28" t="s">
        <v>836</v>
      </c>
      <c r="C47" s="28"/>
      <c r="D47" s="28"/>
      <c r="E47" s="28" t="s">
        <v>35</v>
      </c>
      <c r="F47" s="28">
        <v>40</v>
      </c>
      <c r="G47" s="28">
        <v>20.36</v>
      </c>
      <c r="H47" s="28">
        <v>0</v>
      </c>
      <c r="I47" s="28" t="s">
        <v>834</v>
      </c>
    </row>
    <row r="48" spans="1:9" x14ac:dyDescent="0.3">
      <c r="A48" s="25"/>
      <c r="B48" s="27" t="s">
        <v>837</v>
      </c>
      <c r="C48" s="27"/>
      <c r="D48" s="27"/>
      <c r="E48" s="27" t="s">
        <v>35</v>
      </c>
      <c r="F48" s="27">
        <v>35</v>
      </c>
      <c r="G48" s="27">
        <v>18.8</v>
      </c>
      <c r="H48" s="27">
        <v>0</v>
      </c>
      <c r="I48" s="27" t="s">
        <v>834</v>
      </c>
    </row>
    <row r="49" spans="1:9" x14ac:dyDescent="0.3">
      <c r="A49" s="25"/>
      <c r="B49" s="28" t="s">
        <v>838</v>
      </c>
      <c r="C49" s="28"/>
      <c r="D49" s="28"/>
      <c r="E49" s="28" t="s">
        <v>35</v>
      </c>
      <c r="F49" s="28">
        <v>45</v>
      </c>
      <c r="G49" s="28">
        <v>24.67</v>
      </c>
      <c r="H49" s="28">
        <v>0</v>
      </c>
      <c r="I49" s="28" t="s">
        <v>834</v>
      </c>
    </row>
    <row r="50" spans="1:9" x14ac:dyDescent="0.3">
      <c r="A50" s="25"/>
      <c r="B50" s="28" t="s">
        <v>839</v>
      </c>
      <c r="C50" s="28"/>
      <c r="D50" s="28"/>
      <c r="E50" s="28" t="s">
        <v>35</v>
      </c>
      <c r="F50" s="28">
        <v>0</v>
      </c>
      <c r="G50" s="28">
        <v>0</v>
      </c>
      <c r="H50" s="28">
        <v>0</v>
      </c>
      <c r="I50" s="28" t="s">
        <v>834</v>
      </c>
    </row>
    <row r="51" spans="1:9" x14ac:dyDescent="0.3">
      <c r="A51" s="25"/>
      <c r="B51" s="28" t="s">
        <v>840</v>
      </c>
      <c r="C51" s="28"/>
      <c r="D51" s="28"/>
      <c r="E51" s="28" t="s">
        <v>35</v>
      </c>
      <c r="F51" s="28">
        <v>0</v>
      </c>
      <c r="G51" s="28">
        <v>0</v>
      </c>
      <c r="H51" s="28">
        <v>0</v>
      </c>
      <c r="I51" s="28" t="s">
        <v>834</v>
      </c>
    </row>
    <row r="52" spans="1:9" x14ac:dyDescent="0.3">
      <c r="A52" s="25"/>
      <c r="B52" s="27" t="s">
        <v>841</v>
      </c>
      <c r="C52" s="27"/>
      <c r="D52" s="27"/>
      <c r="E52" s="27" t="s">
        <v>35</v>
      </c>
      <c r="F52" s="27">
        <v>75</v>
      </c>
      <c r="G52" s="27">
        <v>42.3</v>
      </c>
      <c r="H52" s="27">
        <v>0</v>
      </c>
      <c r="I52" s="27" t="s">
        <v>834</v>
      </c>
    </row>
    <row r="53" spans="1:9" x14ac:dyDescent="0.3">
      <c r="A53" s="25"/>
      <c r="B53" s="28" t="s">
        <v>842</v>
      </c>
      <c r="C53" s="28"/>
      <c r="D53" s="28"/>
      <c r="E53" s="28" t="s">
        <v>35</v>
      </c>
      <c r="F53" s="28">
        <v>75</v>
      </c>
      <c r="G53" s="28">
        <v>46.21</v>
      </c>
      <c r="H53" s="28">
        <v>0</v>
      </c>
      <c r="I53" s="28" t="s">
        <v>834</v>
      </c>
    </row>
    <row r="54" spans="1:9" x14ac:dyDescent="0.3">
      <c r="A54" s="25"/>
      <c r="B54" s="28" t="s">
        <v>843</v>
      </c>
      <c r="C54" s="28"/>
      <c r="D54" s="28"/>
      <c r="E54" s="28" t="s">
        <v>35</v>
      </c>
      <c r="F54" s="28">
        <v>75</v>
      </c>
      <c r="G54" s="28">
        <v>40.729999999999997</v>
      </c>
      <c r="H54" s="28">
        <v>0</v>
      </c>
      <c r="I54" s="28" t="s">
        <v>834</v>
      </c>
    </row>
    <row r="55" spans="1:9" x14ac:dyDescent="0.3">
      <c r="A55" s="25"/>
      <c r="B55" s="28" t="s">
        <v>844</v>
      </c>
      <c r="C55" s="28"/>
      <c r="D55" s="28"/>
      <c r="E55" s="28" t="s">
        <v>35</v>
      </c>
      <c r="F55" s="28">
        <v>5</v>
      </c>
      <c r="G55" s="28">
        <v>0.52680000000000005</v>
      </c>
      <c r="H55" s="28">
        <v>10</v>
      </c>
      <c r="I55" s="28" t="s">
        <v>845</v>
      </c>
    </row>
    <row r="56" spans="1:9" x14ac:dyDescent="0.3">
      <c r="A56" s="25"/>
      <c r="B56" s="28" t="s">
        <v>846</v>
      </c>
      <c r="C56" s="28"/>
      <c r="D56" s="28"/>
      <c r="E56" s="28" t="s">
        <v>35</v>
      </c>
      <c r="F56" s="28">
        <v>250</v>
      </c>
      <c r="G56" s="28">
        <v>85</v>
      </c>
      <c r="H56" s="28">
        <v>3</v>
      </c>
      <c r="I56" s="28" t="s">
        <v>845</v>
      </c>
    </row>
    <row r="57" spans="1:9" x14ac:dyDescent="0.3">
      <c r="A57" s="25"/>
      <c r="B57" s="28" t="s">
        <v>847</v>
      </c>
      <c r="C57" s="28"/>
      <c r="D57" s="28"/>
      <c r="E57" s="28" t="s">
        <v>35</v>
      </c>
      <c r="F57" s="28">
        <v>350</v>
      </c>
      <c r="G57" s="28">
        <v>124.8571</v>
      </c>
      <c r="H57" s="28">
        <v>0</v>
      </c>
      <c r="I57" s="28" t="s">
        <v>845</v>
      </c>
    </row>
    <row r="58" spans="1:9" x14ac:dyDescent="0.3">
      <c r="A58" s="25"/>
      <c r="B58" s="28" t="s">
        <v>848</v>
      </c>
      <c r="C58" s="28"/>
      <c r="D58" s="28"/>
      <c r="E58" s="28" t="s">
        <v>35</v>
      </c>
      <c r="F58" s="28">
        <v>400</v>
      </c>
      <c r="G58" s="28">
        <v>169.28569999999999</v>
      </c>
      <c r="H58" s="28">
        <v>0</v>
      </c>
      <c r="I58" s="28" t="s">
        <v>845</v>
      </c>
    </row>
    <row r="59" spans="1:9" x14ac:dyDescent="0.3">
      <c r="A59" s="25"/>
      <c r="B59" s="27" t="s">
        <v>849</v>
      </c>
      <c r="C59" s="27"/>
      <c r="D59" s="27"/>
      <c r="E59" s="27" t="s">
        <v>35</v>
      </c>
      <c r="F59" s="27">
        <v>650</v>
      </c>
      <c r="G59" s="27">
        <v>430</v>
      </c>
      <c r="H59" s="27">
        <v>0</v>
      </c>
      <c r="I59" s="27" t="s">
        <v>845</v>
      </c>
    </row>
    <row r="60" spans="1:9" x14ac:dyDescent="0.3">
      <c r="A60" s="25"/>
      <c r="B60" s="28" t="s">
        <v>850</v>
      </c>
      <c r="C60" s="28"/>
      <c r="D60" s="28"/>
      <c r="E60" s="28" t="s">
        <v>29</v>
      </c>
      <c r="F60" s="28">
        <v>550</v>
      </c>
      <c r="G60" s="28">
        <v>300</v>
      </c>
      <c r="H60" s="28">
        <v>0</v>
      </c>
      <c r="I60" s="27" t="s">
        <v>845</v>
      </c>
    </row>
    <row r="61" spans="1:9" x14ac:dyDescent="0.3">
      <c r="A61" s="25"/>
      <c r="B61" s="28" t="s">
        <v>851</v>
      </c>
      <c r="C61" s="28"/>
      <c r="D61" s="28"/>
      <c r="E61" s="28" t="s">
        <v>35</v>
      </c>
      <c r="F61" s="28">
        <v>0</v>
      </c>
      <c r="G61" s="28">
        <v>0</v>
      </c>
      <c r="H61" s="28">
        <v>0</v>
      </c>
      <c r="I61" s="27" t="s">
        <v>845</v>
      </c>
    </row>
    <row r="62" spans="1:9" x14ac:dyDescent="0.3">
      <c r="A62" s="25"/>
      <c r="B62" s="28" t="s">
        <v>852</v>
      </c>
      <c r="C62" s="28"/>
      <c r="D62" s="28"/>
      <c r="E62" s="28" t="s">
        <v>35</v>
      </c>
      <c r="F62" s="28">
        <v>420</v>
      </c>
      <c r="G62" s="28">
        <v>300.57150000000001</v>
      </c>
      <c r="H62" s="28">
        <v>2</v>
      </c>
      <c r="I62" s="27" t="s">
        <v>845</v>
      </c>
    </row>
    <row r="63" spans="1:9" x14ac:dyDescent="0.3">
      <c r="A63" s="25"/>
      <c r="B63" s="27" t="s">
        <v>853</v>
      </c>
      <c r="C63" s="27"/>
      <c r="D63" s="27"/>
      <c r="E63" s="27" t="s">
        <v>35</v>
      </c>
      <c r="F63" s="27">
        <v>95</v>
      </c>
      <c r="G63" s="27">
        <v>25</v>
      </c>
      <c r="H63" s="27">
        <v>2</v>
      </c>
      <c r="I63" s="27" t="s">
        <v>845</v>
      </c>
    </row>
    <row r="64" spans="1:9" x14ac:dyDescent="0.3">
      <c r="A64" s="25"/>
      <c r="B64" s="28" t="s">
        <v>854</v>
      </c>
      <c r="C64" s="28"/>
      <c r="D64" s="28"/>
      <c r="E64" s="28" t="s">
        <v>35</v>
      </c>
      <c r="F64" s="28">
        <v>200</v>
      </c>
      <c r="G64" s="28">
        <v>70</v>
      </c>
      <c r="H64" s="28">
        <v>2</v>
      </c>
      <c r="I64" s="27" t="s">
        <v>845</v>
      </c>
    </row>
    <row r="65" spans="1:9" x14ac:dyDescent="0.3">
      <c r="A65" s="25"/>
      <c r="B65" s="27" t="s">
        <v>855</v>
      </c>
      <c r="C65" s="27"/>
      <c r="D65" s="27"/>
      <c r="E65" s="27" t="s">
        <v>35</v>
      </c>
      <c r="F65" s="27">
        <v>280</v>
      </c>
      <c r="G65" s="27">
        <v>175</v>
      </c>
      <c r="H65" s="27">
        <v>2</v>
      </c>
      <c r="I65" s="27" t="s">
        <v>845</v>
      </c>
    </row>
    <row r="66" spans="1:9" x14ac:dyDescent="0.3">
      <c r="A66" s="25"/>
      <c r="B66" s="28" t="s">
        <v>856</v>
      </c>
      <c r="C66" s="28"/>
      <c r="D66" s="28"/>
      <c r="E66" s="28" t="s">
        <v>35</v>
      </c>
      <c r="F66" s="28">
        <v>90</v>
      </c>
      <c r="G66" s="28">
        <v>45</v>
      </c>
      <c r="H66" s="28">
        <v>2</v>
      </c>
      <c r="I66" s="28" t="s">
        <v>845</v>
      </c>
    </row>
    <row r="67" spans="1:9" x14ac:dyDescent="0.3">
      <c r="A67" s="25"/>
      <c r="B67" s="27" t="s">
        <v>857</v>
      </c>
      <c r="C67" s="27"/>
      <c r="D67" s="27"/>
      <c r="E67" s="27" t="s">
        <v>35</v>
      </c>
      <c r="F67" s="27">
        <v>150</v>
      </c>
      <c r="G67" s="27">
        <v>75</v>
      </c>
      <c r="H67" s="27">
        <v>2</v>
      </c>
      <c r="I67" s="28" t="s">
        <v>845</v>
      </c>
    </row>
    <row r="68" spans="1:9" x14ac:dyDescent="0.3">
      <c r="A68" s="25"/>
      <c r="B68" s="28" t="s">
        <v>858</v>
      </c>
      <c r="C68" s="28"/>
      <c r="D68" s="28"/>
      <c r="E68" s="28" t="s">
        <v>35</v>
      </c>
      <c r="F68" s="28">
        <v>250</v>
      </c>
      <c r="G68" s="28">
        <v>136.125</v>
      </c>
      <c r="H68" s="28">
        <v>2</v>
      </c>
      <c r="I68" s="28" t="s">
        <v>845</v>
      </c>
    </row>
    <row r="69" spans="1:9" x14ac:dyDescent="0.3">
      <c r="A69" s="25"/>
      <c r="B69" s="28" t="s">
        <v>859</v>
      </c>
      <c r="C69" s="28"/>
      <c r="D69" s="28"/>
      <c r="E69" s="28" t="s">
        <v>35</v>
      </c>
      <c r="F69" s="28">
        <v>900</v>
      </c>
      <c r="G69" s="28">
        <v>550</v>
      </c>
      <c r="H69" s="28">
        <v>0</v>
      </c>
      <c r="I69" s="28" t="s">
        <v>845</v>
      </c>
    </row>
    <row r="70" spans="1:9" x14ac:dyDescent="0.3">
      <c r="A70" s="25"/>
      <c r="B70" s="27" t="s">
        <v>860</v>
      </c>
      <c r="C70" s="27"/>
      <c r="D70" s="27"/>
      <c r="E70" s="27" t="s">
        <v>35</v>
      </c>
      <c r="F70" s="27">
        <v>850</v>
      </c>
      <c r="G70" s="27">
        <v>661.5</v>
      </c>
      <c r="H70" s="27">
        <v>0</v>
      </c>
      <c r="I70" s="27" t="s">
        <v>845</v>
      </c>
    </row>
    <row r="71" spans="1:9" x14ac:dyDescent="0.3">
      <c r="A71" s="25"/>
      <c r="B71" s="27" t="s">
        <v>861</v>
      </c>
      <c r="C71" s="27"/>
      <c r="D71" s="27"/>
      <c r="E71" s="27" t="s">
        <v>35</v>
      </c>
      <c r="F71" s="27">
        <v>150</v>
      </c>
      <c r="G71" s="27">
        <v>75</v>
      </c>
      <c r="H71" s="27">
        <v>0</v>
      </c>
      <c r="I71" s="27" t="s">
        <v>845</v>
      </c>
    </row>
    <row r="72" spans="1:9" x14ac:dyDescent="0.3">
      <c r="A72" s="25"/>
      <c r="B72" s="28" t="s">
        <v>862</v>
      </c>
      <c r="C72" s="28"/>
      <c r="D72" s="28"/>
      <c r="E72" s="28" t="s">
        <v>35</v>
      </c>
      <c r="F72" s="28">
        <v>170</v>
      </c>
      <c r="G72" s="28">
        <v>22.5</v>
      </c>
      <c r="H72" s="28">
        <v>5</v>
      </c>
      <c r="I72" s="28" t="s">
        <v>845</v>
      </c>
    </row>
    <row r="73" spans="1:9" x14ac:dyDescent="0.3">
      <c r="A73" s="25"/>
      <c r="B73" s="28" t="s">
        <v>863</v>
      </c>
      <c r="C73" s="28"/>
      <c r="D73" s="28"/>
      <c r="E73" s="28" t="s">
        <v>35</v>
      </c>
      <c r="F73" s="28">
        <v>35</v>
      </c>
      <c r="G73" s="28">
        <v>14</v>
      </c>
      <c r="H73" s="28">
        <v>5</v>
      </c>
      <c r="I73" s="28" t="s">
        <v>845</v>
      </c>
    </row>
    <row r="74" spans="1:9" x14ac:dyDescent="0.3">
      <c r="A74" s="25"/>
      <c r="B74" s="28" t="s">
        <v>864</v>
      </c>
      <c r="C74" s="28"/>
      <c r="D74" s="28"/>
      <c r="E74" s="28" t="s">
        <v>35</v>
      </c>
      <c r="F74" s="28">
        <v>225</v>
      </c>
      <c r="G74" s="28">
        <v>90</v>
      </c>
      <c r="H74" s="28">
        <v>5</v>
      </c>
      <c r="I74" s="28" t="s">
        <v>865</v>
      </c>
    </row>
    <row r="75" spans="1:9" x14ac:dyDescent="0.3">
      <c r="A75" s="25"/>
      <c r="B75" s="28" t="s">
        <v>866</v>
      </c>
      <c r="C75" s="28"/>
      <c r="D75" s="28"/>
      <c r="E75" s="28" t="s">
        <v>35</v>
      </c>
      <c r="F75" s="28">
        <v>35</v>
      </c>
      <c r="G75" s="28">
        <v>15</v>
      </c>
      <c r="H75" s="28">
        <v>20</v>
      </c>
      <c r="I75" s="28" t="s">
        <v>865</v>
      </c>
    </row>
    <row r="76" spans="1:9" x14ac:dyDescent="0.3">
      <c r="A76" s="25"/>
      <c r="B76" s="28" t="s">
        <v>867</v>
      </c>
      <c r="C76" s="28"/>
      <c r="D76" s="28"/>
      <c r="E76" s="28" t="s">
        <v>35</v>
      </c>
      <c r="F76" s="28">
        <v>165</v>
      </c>
      <c r="G76" s="28">
        <v>110</v>
      </c>
      <c r="H76" s="28">
        <v>20</v>
      </c>
      <c r="I76" s="28" t="s">
        <v>865</v>
      </c>
    </row>
    <row r="77" spans="1:9" x14ac:dyDescent="0.3">
      <c r="A77" s="25"/>
      <c r="B77" s="27" t="s">
        <v>868</v>
      </c>
      <c r="C77" s="27"/>
      <c r="D77" s="27"/>
      <c r="E77" s="27" t="s">
        <v>35</v>
      </c>
      <c r="F77" s="27">
        <v>45</v>
      </c>
      <c r="G77" s="27">
        <v>25.348299999999998</v>
      </c>
      <c r="H77" s="27">
        <v>20</v>
      </c>
      <c r="I77" s="27" t="s">
        <v>865</v>
      </c>
    </row>
    <row r="78" spans="1:9" x14ac:dyDescent="0.3">
      <c r="A78" s="25"/>
      <c r="B78" s="28" t="s">
        <v>869</v>
      </c>
      <c r="C78" s="28"/>
      <c r="D78" s="28"/>
      <c r="E78" s="28" t="s">
        <v>35</v>
      </c>
      <c r="F78" s="28">
        <v>7.5</v>
      </c>
      <c r="G78" s="28">
        <v>1.5359</v>
      </c>
      <c r="H78" s="28">
        <v>20</v>
      </c>
      <c r="I78" s="28" t="s">
        <v>865</v>
      </c>
    </row>
    <row r="79" spans="1:9" x14ac:dyDescent="0.3">
      <c r="A79" s="25"/>
      <c r="B79" s="27" t="s">
        <v>870</v>
      </c>
      <c r="C79" s="27"/>
      <c r="D79" s="27"/>
      <c r="E79" s="27" t="s">
        <v>35</v>
      </c>
      <c r="F79" s="27">
        <v>15</v>
      </c>
      <c r="G79" s="27">
        <v>10.8307</v>
      </c>
      <c r="H79" s="27">
        <v>20</v>
      </c>
      <c r="I79" s="27" t="s">
        <v>865</v>
      </c>
    </row>
    <row r="80" spans="1:9" x14ac:dyDescent="0.3">
      <c r="A80" s="25"/>
      <c r="B80" s="28" t="s">
        <v>871</v>
      </c>
      <c r="C80" s="28"/>
      <c r="D80" s="28"/>
      <c r="E80" s="28" t="s">
        <v>35</v>
      </c>
      <c r="F80" s="28">
        <v>30</v>
      </c>
      <c r="G80" s="28">
        <v>16.103400000000001</v>
      </c>
      <c r="H80" s="28">
        <v>20</v>
      </c>
      <c r="I80" s="28" t="s">
        <v>865</v>
      </c>
    </row>
    <row r="81" spans="1:9" x14ac:dyDescent="0.3">
      <c r="A81" s="25"/>
      <c r="B81" s="27" t="s">
        <v>872</v>
      </c>
      <c r="C81" s="27"/>
      <c r="D81" s="27"/>
      <c r="E81" s="27" t="s">
        <v>35</v>
      </c>
      <c r="F81" s="27">
        <v>45</v>
      </c>
      <c r="G81" s="27">
        <v>25</v>
      </c>
      <c r="H81" s="27">
        <v>20</v>
      </c>
      <c r="I81" s="27" t="s">
        <v>865</v>
      </c>
    </row>
    <row r="82" spans="1:9" x14ac:dyDescent="0.3">
      <c r="A82" s="25"/>
      <c r="B82" s="27" t="s">
        <v>873</v>
      </c>
      <c r="C82" s="27"/>
      <c r="D82" s="27"/>
      <c r="E82" s="27" t="s">
        <v>35</v>
      </c>
      <c r="F82" s="27">
        <v>80</v>
      </c>
      <c r="G82" s="27">
        <v>39.5</v>
      </c>
      <c r="H82" s="27">
        <v>25</v>
      </c>
      <c r="I82" s="27" t="s">
        <v>865</v>
      </c>
    </row>
    <row r="83" spans="1:9" x14ac:dyDescent="0.3">
      <c r="A83" s="25"/>
      <c r="B83" s="28" t="s">
        <v>874</v>
      </c>
      <c r="C83" s="28"/>
      <c r="D83" s="28"/>
      <c r="E83" s="28" t="s">
        <v>35</v>
      </c>
      <c r="F83" s="28">
        <v>70</v>
      </c>
      <c r="G83" s="28">
        <v>25</v>
      </c>
      <c r="H83" s="28">
        <v>20</v>
      </c>
      <c r="I83" s="28" t="s">
        <v>865</v>
      </c>
    </row>
    <row r="84" spans="1:9" x14ac:dyDescent="0.3">
      <c r="A84" s="25"/>
      <c r="B84" s="28" t="s">
        <v>875</v>
      </c>
      <c r="C84" s="28"/>
      <c r="D84" s="28"/>
      <c r="E84" s="28" t="s">
        <v>35</v>
      </c>
      <c r="F84" s="28">
        <v>45</v>
      </c>
      <c r="G84" s="28">
        <v>20.75</v>
      </c>
      <c r="H84" s="28">
        <v>20</v>
      </c>
      <c r="I84" s="28" t="s">
        <v>865</v>
      </c>
    </row>
    <row r="85" spans="1:9" x14ac:dyDescent="0.3">
      <c r="A85" s="25"/>
      <c r="B85" s="27" t="s">
        <v>876</v>
      </c>
      <c r="C85" s="27"/>
      <c r="D85" s="27"/>
      <c r="E85" s="27" t="s">
        <v>35</v>
      </c>
      <c r="F85" s="27">
        <v>50</v>
      </c>
      <c r="G85" s="27">
        <v>25.2286</v>
      </c>
      <c r="H85" s="27">
        <v>20</v>
      </c>
      <c r="I85" s="27" t="s">
        <v>865</v>
      </c>
    </row>
    <row r="86" spans="1:9" x14ac:dyDescent="0.3">
      <c r="A86" s="25"/>
      <c r="B86" s="28" t="s">
        <v>877</v>
      </c>
      <c r="C86" s="28"/>
      <c r="D86" s="28"/>
      <c r="E86" s="28" t="s">
        <v>35</v>
      </c>
      <c r="F86" s="28">
        <v>240</v>
      </c>
      <c r="G86" s="28">
        <v>149</v>
      </c>
      <c r="H86" s="28">
        <v>20</v>
      </c>
      <c r="I86" s="28" t="s">
        <v>865</v>
      </c>
    </row>
    <row r="87" spans="1:9" x14ac:dyDescent="0.3">
      <c r="A87" s="25"/>
      <c r="B87" s="27" t="s">
        <v>878</v>
      </c>
      <c r="C87" s="27"/>
      <c r="D87" s="27"/>
      <c r="E87" s="27" t="s">
        <v>35</v>
      </c>
      <c r="F87" s="27">
        <v>25</v>
      </c>
      <c r="G87" s="27">
        <v>11.5732</v>
      </c>
      <c r="H87" s="27">
        <v>20</v>
      </c>
      <c r="I87" s="27" t="s">
        <v>865</v>
      </c>
    </row>
    <row r="88" spans="1:9" x14ac:dyDescent="0.3">
      <c r="A88" s="25"/>
      <c r="B88" s="28" t="s">
        <v>879</v>
      </c>
      <c r="C88" s="28"/>
      <c r="D88" s="28"/>
      <c r="E88" s="28" t="s">
        <v>35</v>
      </c>
      <c r="F88" s="28">
        <v>90</v>
      </c>
      <c r="G88" s="28">
        <v>60</v>
      </c>
      <c r="H88" s="28">
        <v>20</v>
      </c>
      <c r="I88" s="28" t="s">
        <v>865</v>
      </c>
    </row>
    <row r="89" spans="1:9" x14ac:dyDescent="0.3">
      <c r="A89" s="25"/>
      <c r="B89" s="27" t="s">
        <v>880</v>
      </c>
      <c r="C89" s="27"/>
      <c r="D89" s="27"/>
      <c r="E89" s="27" t="s">
        <v>35</v>
      </c>
      <c r="F89" s="27">
        <v>100</v>
      </c>
      <c r="G89" s="27">
        <v>0</v>
      </c>
      <c r="H89" s="27">
        <v>20</v>
      </c>
      <c r="I89" s="27" t="s">
        <v>865</v>
      </c>
    </row>
    <row r="90" spans="1:9" x14ac:dyDescent="0.3">
      <c r="A90" s="25"/>
      <c r="B90" s="27" t="s">
        <v>881</v>
      </c>
      <c r="C90" s="27"/>
      <c r="D90" s="27"/>
      <c r="E90" s="27" t="s">
        <v>35</v>
      </c>
      <c r="F90" s="27">
        <v>175</v>
      </c>
      <c r="G90" s="27">
        <v>95</v>
      </c>
      <c r="H90" s="27">
        <v>20</v>
      </c>
      <c r="I90" s="27" t="s">
        <v>865</v>
      </c>
    </row>
    <row r="91" spans="1:9" x14ac:dyDescent="0.3">
      <c r="A91" s="25"/>
      <c r="B91" s="28" t="s">
        <v>882</v>
      </c>
      <c r="C91" s="28"/>
      <c r="D91" s="28"/>
      <c r="E91" s="28" t="s">
        <v>35</v>
      </c>
      <c r="F91" s="28">
        <v>95</v>
      </c>
      <c r="G91" s="28">
        <v>55.933100000000003</v>
      </c>
      <c r="H91" s="28">
        <v>20</v>
      </c>
      <c r="I91" s="28" t="s">
        <v>865</v>
      </c>
    </row>
    <row r="92" spans="1:9" x14ac:dyDescent="0.3">
      <c r="A92" s="25"/>
      <c r="B92" s="28" t="s">
        <v>883</v>
      </c>
      <c r="C92" s="28"/>
      <c r="D92" s="28"/>
      <c r="E92" s="28" t="s">
        <v>35</v>
      </c>
      <c r="F92" s="28">
        <v>150</v>
      </c>
      <c r="G92" s="28">
        <v>90</v>
      </c>
      <c r="H92" s="28">
        <v>5</v>
      </c>
      <c r="I92" s="28" t="s">
        <v>865</v>
      </c>
    </row>
    <row r="93" spans="1:9" x14ac:dyDescent="0.3">
      <c r="A93" s="25"/>
      <c r="B93" s="28" t="s">
        <v>884</v>
      </c>
      <c r="C93" s="28"/>
      <c r="D93" s="28"/>
      <c r="E93" s="28" t="s">
        <v>35</v>
      </c>
      <c r="F93" s="28">
        <v>275</v>
      </c>
      <c r="G93" s="28">
        <v>205</v>
      </c>
      <c r="H93" s="28">
        <v>3</v>
      </c>
      <c r="I93" s="28" t="s">
        <v>865</v>
      </c>
    </row>
    <row r="94" spans="1:9" x14ac:dyDescent="0.3">
      <c r="A94" s="25"/>
      <c r="B94" s="28" t="s">
        <v>885</v>
      </c>
      <c r="C94" s="28"/>
      <c r="D94" s="28"/>
      <c r="E94" s="28" t="s">
        <v>35</v>
      </c>
      <c r="F94" s="28">
        <v>800</v>
      </c>
      <c r="G94" s="28">
        <v>650</v>
      </c>
      <c r="H94" s="28">
        <v>5</v>
      </c>
      <c r="I94" s="28" t="s">
        <v>865</v>
      </c>
    </row>
    <row r="95" spans="1:9" x14ac:dyDescent="0.3">
      <c r="A95" s="25"/>
      <c r="B95" s="28" t="s">
        <v>886</v>
      </c>
      <c r="C95" s="28"/>
      <c r="D95" s="28"/>
      <c r="E95" s="28" t="s">
        <v>35</v>
      </c>
      <c r="F95" s="28">
        <v>55</v>
      </c>
      <c r="G95" s="28">
        <v>36.941200000000002</v>
      </c>
      <c r="H95" s="28">
        <v>20</v>
      </c>
      <c r="I95" s="28" t="s">
        <v>865</v>
      </c>
    </row>
    <row r="96" spans="1:9" x14ac:dyDescent="0.3">
      <c r="A96" s="25"/>
      <c r="B96" s="27" t="s">
        <v>887</v>
      </c>
      <c r="C96" s="27"/>
      <c r="D96" s="27"/>
      <c r="E96" s="27" t="s">
        <v>35</v>
      </c>
      <c r="F96" s="27">
        <v>5</v>
      </c>
      <c r="G96" s="27">
        <v>2</v>
      </c>
      <c r="H96" s="27">
        <v>50</v>
      </c>
      <c r="I96" s="27" t="s">
        <v>865</v>
      </c>
    </row>
    <row r="97" spans="1:9" x14ac:dyDescent="0.3">
      <c r="A97" s="25"/>
      <c r="B97" s="28" t="s">
        <v>888</v>
      </c>
      <c r="C97" s="28"/>
      <c r="D97" s="28"/>
      <c r="E97" s="28" t="s">
        <v>35</v>
      </c>
      <c r="F97" s="28">
        <v>20</v>
      </c>
      <c r="G97" s="28">
        <v>10.4223</v>
      </c>
      <c r="H97" s="28">
        <v>10</v>
      </c>
      <c r="I97" s="27" t="s">
        <v>865</v>
      </c>
    </row>
    <row r="98" spans="1:9" x14ac:dyDescent="0.3">
      <c r="A98" s="25"/>
      <c r="B98" s="27" t="s">
        <v>889</v>
      </c>
      <c r="C98" s="27"/>
      <c r="D98" s="27"/>
      <c r="E98" s="27" t="s">
        <v>35</v>
      </c>
      <c r="F98" s="27">
        <v>20</v>
      </c>
      <c r="G98" s="27">
        <v>11</v>
      </c>
      <c r="H98" s="27">
        <v>10</v>
      </c>
      <c r="I98" s="27" t="s">
        <v>865</v>
      </c>
    </row>
    <row r="99" spans="1:9" x14ac:dyDescent="0.3">
      <c r="A99" s="25"/>
      <c r="B99" s="27" t="s">
        <v>890</v>
      </c>
      <c r="C99" s="27"/>
      <c r="D99" s="27"/>
      <c r="E99" s="27" t="s">
        <v>35</v>
      </c>
      <c r="F99" s="27">
        <v>515</v>
      </c>
      <c r="G99" s="27">
        <v>410</v>
      </c>
      <c r="H99" s="27">
        <v>5</v>
      </c>
      <c r="I99" s="28" t="s">
        <v>891</v>
      </c>
    </row>
    <row r="100" spans="1:9" x14ac:dyDescent="0.3">
      <c r="A100" s="25"/>
      <c r="B100" s="28" t="s">
        <v>892</v>
      </c>
      <c r="C100" s="28"/>
      <c r="D100" s="28"/>
      <c r="E100" s="28" t="s">
        <v>35</v>
      </c>
      <c r="F100" s="28">
        <v>205</v>
      </c>
      <c r="G100" s="28">
        <v>166.51400000000001</v>
      </c>
      <c r="H100" s="28">
        <v>5</v>
      </c>
      <c r="I100" s="28" t="s">
        <v>891</v>
      </c>
    </row>
    <row r="101" spans="1:9" x14ac:dyDescent="0.3">
      <c r="A101" s="25"/>
      <c r="B101" s="27" t="s">
        <v>893</v>
      </c>
      <c r="C101" s="27"/>
      <c r="D101" s="27"/>
      <c r="E101" s="27" t="s">
        <v>35</v>
      </c>
      <c r="F101" s="27">
        <v>3900</v>
      </c>
      <c r="G101" s="27">
        <v>2750</v>
      </c>
      <c r="H101" s="27">
        <v>0</v>
      </c>
      <c r="I101" s="27" t="s">
        <v>891</v>
      </c>
    </row>
    <row r="102" spans="1:9" x14ac:dyDescent="0.3">
      <c r="A102" s="25"/>
      <c r="B102" s="27" t="s">
        <v>894</v>
      </c>
      <c r="C102" s="27"/>
      <c r="D102" s="27"/>
      <c r="E102" s="27" t="s">
        <v>35</v>
      </c>
      <c r="F102" s="27">
        <v>2300</v>
      </c>
      <c r="G102" s="27">
        <v>1825</v>
      </c>
      <c r="H102" s="27">
        <v>5</v>
      </c>
      <c r="I102" s="27" t="s">
        <v>891</v>
      </c>
    </row>
    <row r="103" spans="1:9" x14ac:dyDescent="0.3">
      <c r="A103" s="25"/>
      <c r="B103" s="27" t="s">
        <v>895</v>
      </c>
      <c r="C103" s="27"/>
      <c r="D103" s="27"/>
      <c r="E103" s="27" t="s">
        <v>35</v>
      </c>
      <c r="F103" s="27">
        <v>100</v>
      </c>
      <c r="G103" s="27">
        <v>48.183599999999998</v>
      </c>
      <c r="H103" s="27">
        <v>0</v>
      </c>
      <c r="I103" s="27" t="s">
        <v>29</v>
      </c>
    </row>
    <row r="104" spans="1:9" x14ac:dyDescent="0.3">
      <c r="A104" s="25"/>
      <c r="B104" s="28" t="s">
        <v>896</v>
      </c>
      <c r="C104" s="28"/>
      <c r="D104" s="28"/>
      <c r="E104" s="28" t="s">
        <v>35</v>
      </c>
      <c r="F104" s="28">
        <v>270</v>
      </c>
      <c r="G104" s="28">
        <v>182.5</v>
      </c>
      <c r="H104" s="28">
        <v>0</v>
      </c>
      <c r="I104" s="28" t="s">
        <v>29</v>
      </c>
    </row>
    <row r="105" spans="1:9" x14ac:dyDescent="0.3">
      <c r="A105" s="25"/>
      <c r="B105" s="27" t="s">
        <v>897</v>
      </c>
      <c r="C105" s="27"/>
      <c r="D105" s="27"/>
      <c r="E105" s="27" t="s">
        <v>35</v>
      </c>
      <c r="F105" s="27">
        <v>10</v>
      </c>
      <c r="G105" s="27">
        <v>1</v>
      </c>
      <c r="H105" s="27">
        <v>0</v>
      </c>
      <c r="I105" s="27" t="s">
        <v>29</v>
      </c>
    </row>
    <row r="106" spans="1:9" x14ac:dyDescent="0.3">
      <c r="A106" s="25"/>
      <c r="B106" s="28" t="s">
        <v>898</v>
      </c>
      <c r="C106" s="28"/>
      <c r="D106" s="28"/>
      <c r="E106" s="28" t="s">
        <v>35</v>
      </c>
      <c r="F106" s="28">
        <v>250</v>
      </c>
      <c r="G106" s="28">
        <v>126.3578</v>
      </c>
      <c r="H106" s="28">
        <v>5</v>
      </c>
      <c r="I106" s="28" t="s">
        <v>29</v>
      </c>
    </row>
    <row r="107" spans="1:9" x14ac:dyDescent="0.3">
      <c r="A107" s="25"/>
      <c r="B107" s="28" t="s">
        <v>899</v>
      </c>
      <c r="C107" s="28"/>
      <c r="D107" s="28"/>
      <c r="E107" s="28" t="s">
        <v>35</v>
      </c>
      <c r="F107" s="28">
        <v>50</v>
      </c>
      <c r="G107" s="28">
        <v>24.5</v>
      </c>
      <c r="H107" s="28">
        <v>5</v>
      </c>
      <c r="I107" s="28" t="s">
        <v>29</v>
      </c>
    </row>
    <row r="108" spans="1:9" x14ac:dyDescent="0.3">
      <c r="A108" s="25"/>
      <c r="B108" s="27" t="s">
        <v>900</v>
      </c>
      <c r="C108" s="27"/>
      <c r="D108" s="27"/>
      <c r="E108" s="27" t="s">
        <v>35</v>
      </c>
      <c r="F108" s="27">
        <v>10</v>
      </c>
      <c r="G108" s="27">
        <v>2.1206999999999998</v>
      </c>
      <c r="H108" s="27">
        <v>3</v>
      </c>
      <c r="I108" s="27" t="s">
        <v>29</v>
      </c>
    </row>
    <row r="109" spans="1:9" x14ac:dyDescent="0.3">
      <c r="A109" s="25"/>
      <c r="B109" s="28" t="s">
        <v>901</v>
      </c>
      <c r="C109" s="28"/>
      <c r="D109" s="28"/>
      <c r="E109" s="28" t="s">
        <v>35</v>
      </c>
      <c r="F109" s="28">
        <v>95</v>
      </c>
      <c r="G109" s="28">
        <v>40</v>
      </c>
      <c r="H109" s="28">
        <v>5</v>
      </c>
      <c r="I109" s="28" t="s">
        <v>29</v>
      </c>
    </row>
    <row r="110" spans="1:9" x14ac:dyDescent="0.3">
      <c r="A110" s="25"/>
      <c r="B110" s="27" t="s">
        <v>902</v>
      </c>
      <c r="C110" s="27"/>
      <c r="D110" s="27"/>
      <c r="E110" s="27" t="s">
        <v>35</v>
      </c>
      <c r="F110" s="27">
        <v>160</v>
      </c>
      <c r="G110" s="27">
        <v>145</v>
      </c>
      <c r="H110" s="27">
        <v>5</v>
      </c>
      <c r="I110" s="27" t="s">
        <v>29</v>
      </c>
    </row>
    <row r="111" spans="1:9" x14ac:dyDescent="0.3">
      <c r="A111" s="25"/>
      <c r="B111" s="27" t="s">
        <v>903</v>
      </c>
      <c r="C111" s="27"/>
      <c r="D111" s="27"/>
      <c r="E111" s="27" t="s">
        <v>35</v>
      </c>
      <c r="F111" s="27">
        <v>45</v>
      </c>
      <c r="G111" s="27">
        <v>26.808</v>
      </c>
      <c r="H111" s="27">
        <v>5</v>
      </c>
      <c r="I111" s="27" t="s">
        <v>29</v>
      </c>
    </row>
    <row r="112" spans="1:9" x14ac:dyDescent="0.3">
      <c r="A112" s="25"/>
      <c r="B112" s="28" t="s">
        <v>904</v>
      </c>
      <c r="C112" s="28"/>
      <c r="D112" s="28"/>
      <c r="E112" s="28" t="s">
        <v>35</v>
      </c>
      <c r="F112" s="28">
        <v>25</v>
      </c>
      <c r="G112" s="28">
        <v>24.769200000000001</v>
      </c>
      <c r="H112" s="28">
        <v>5</v>
      </c>
      <c r="I112" s="28" t="s">
        <v>29</v>
      </c>
    </row>
    <row r="113" spans="1:9" x14ac:dyDescent="0.3">
      <c r="A113" s="25"/>
      <c r="B113" s="27" t="s">
        <v>905</v>
      </c>
      <c r="C113" s="27"/>
      <c r="D113" s="27"/>
      <c r="E113" s="27" t="s">
        <v>35</v>
      </c>
      <c r="F113" s="27">
        <v>230</v>
      </c>
      <c r="G113" s="27">
        <v>84.465800000000002</v>
      </c>
      <c r="H113" s="27">
        <v>5</v>
      </c>
      <c r="I113" s="27" t="s">
        <v>29</v>
      </c>
    </row>
    <row r="114" spans="1:9" x14ac:dyDescent="0.3">
      <c r="A114" s="25"/>
      <c r="B114" s="28" t="s">
        <v>906</v>
      </c>
      <c r="C114" s="28"/>
      <c r="D114" s="28"/>
      <c r="E114" s="28" t="s">
        <v>35</v>
      </c>
      <c r="F114" s="28">
        <v>375</v>
      </c>
      <c r="G114" s="28">
        <v>280</v>
      </c>
      <c r="H114" s="28">
        <v>0</v>
      </c>
      <c r="I114" s="28" t="s">
        <v>29</v>
      </c>
    </row>
    <row r="115" spans="1:9" x14ac:dyDescent="0.3">
      <c r="A115" s="25"/>
      <c r="B115" s="27" t="s">
        <v>907</v>
      </c>
      <c r="C115" s="27"/>
      <c r="D115" s="27"/>
      <c r="E115" s="27" t="s">
        <v>35</v>
      </c>
      <c r="F115" s="27">
        <v>15</v>
      </c>
      <c r="G115" s="27">
        <v>5</v>
      </c>
      <c r="H115" s="27">
        <v>5</v>
      </c>
      <c r="I115" s="27" t="s">
        <v>29</v>
      </c>
    </row>
    <row r="116" spans="1:9" x14ac:dyDescent="0.3">
      <c r="A116" s="25"/>
      <c r="B116" s="27" t="s">
        <v>908</v>
      </c>
      <c r="C116" s="27"/>
      <c r="D116" s="27"/>
      <c r="E116" s="27" t="s">
        <v>35</v>
      </c>
      <c r="F116" s="27">
        <v>20</v>
      </c>
      <c r="G116" s="27">
        <v>5</v>
      </c>
      <c r="H116" s="27">
        <v>5</v>
      </c>
      <c r="I116" s="27" t="s">
        <v>29</v>
      </c>
    </row>
    <row r="117" spans="1:9" x14ac:dyDescent="0.3">
      <c r="A117" s="25"/>
      <c r="B117" s="28" t="s">
        <v>909</v>
      </c>
      <c r="C117" s="28"/>
      <c r="D117" s="28"/>
      <c r="E117" s="28" t="s">
        <v>35</v>
      </c>
      <c r="F117" s="28">
        <v>20</v>
      </c>
      <c r="G117" s="28">
        <v>12</v>
      </c>
      <c r="H117" s="28">
        <v>5</v>
      </c>
      <c r="I117" s="28" t="s">
        <v>29</v>
      </c>
    </row>
    <row r="118" spans="1:9" x14ac:dyDescent="0.3">
      <c r="A118" s="25"/>
      <c r="B118" s="27" t="s">
        <v>910</v>
      </c>
      <c r="C118" s="27"/>
      <c r="D118" s="27"/>
      <c r="E118" s="27" t="s">
        <v>35</v>
      </c>
      <c r="F118" s="27">
        <v>40</v>
      </c>
      <c r="G118" s="27">
        <v>18.5</v>
      </c>
      <c r="H118" s="27">
        <v>5</v>
      </c>
      <c r="I118" s="27" t="s">
        <v>29</v>
      </c>
    </row>
    <row r="119" spans="1:9" x14ac:dyDescent="0.3">
      <c r="A119" s="25"/>
      <c r="B119" s="28" t="s">
        <v>911</v>
      </c>
      <c r="C119" s="28"/>
      <c r="D119" s="28"/>
      <c r="E119" s="28" t="s">
        <v>35</v>
      </c>
      <c r="F119" s="28">
        <v>20</v>
      </c>
      <c r="G119" s="28">
        <v>3.5</v>
      </c>
      <c r="H119" s="28">
        <v>5</v>
      </c>
      <c r="I119" s="28" t="s">
        <v>29</v>
      </c>
    </row>
    <row r="120" spans="1:9" x14ac:dyDescent="0.3">
      <c r="A120" s="25"/>
      <c r="B120" s="28" t="s">
        <v>912</v>
      </c>
      <c r="C120" s="28"/>
      <c r="D120" s="28"/>
      <c r="E120" s="28" t="s">
        <v>35</v>
      </c>
      <c r="F120" s="28">
        <v>15</v>
      </c>
      <c r="G120" s="28">
        <v>7</v>
      </c>
      <c r="H120" s="28">
        <v>5</v>
      </c>
      <c r="I120" s="28" t="s">
        <v>29</v>
      </c>
    </row>
    <row r="121" spans="1:9" x14ac:dyDescent="0.3">
      <c r="A121" s="25"/>
      <c r="B121" s="27" t="s">
        <v>913</v>
      </c>
      <c r="C121" s="27"/>
      <c r="D121" s="27"/>
      <c r="E121" s="27" t="s">
        <v>35</v>
      </c>
      <c r="F121" s="27">
        <v>20</v>
      </c>
      <c r="G121" s="27">
        <v>15</v>
      </c>
      <c r="H121" s="27">
        <v>5</v>
      </c>
      <c r="I121" s="27" t="s">
        <v>29</v>
      </c>
    </row>
    <row r="122" spans="1:9" x14ac:dyDescent="0.3">
      <c r="A122" s="25"/>
      <c r="B122" s="27" t="s">
        <v>914</v>
      </c>
      <c r="C122" s="27"/>
      <c r="D122" s="27"/>
      <c r="E122" s="27" t="s">
        <v>35</v>
      </c>
      <c r="F122" s="27">
        <v>30</v>
      </c>
      <c r="G122" s="27">
        <v>10</v>
      </c>
      <c r="H122" s="27">
        <v>5</v>
      </c>
      <c r="I122" s="27" t="s">
        <v>29</v>
      </c>
    </row>
    <row r="123" spans="1:9" x14ac:dyDescent="0.3">
      <c r="A123" s="25"/>
      <c r="B123" s="28" t="s">
        <v>915</v>
      </c>
      <c r="C123" s="28"/>
      <c r="D123" s="28"/>
      <c r="E123" s="28" t="s">
        <v>35</v>
      </c>
      <c r="F123" s="28">
        <v>65</v>
      </c>
      <c r="G123" s="28">
        <v>21.714300000000001</v>
      </c>
      <c r="H123" s="28">
        <v>5</v>
      </c>
      <c r="I123" s="28" t="s">
        <v>29</v>
      </c>
    </row>
    <row r="124" spans="1:9" x14ac:dyDescent="0.3">
      <c r="A124" s="25"/>
      <c r="B124" s="28" t="s">
        <v>916</v>
      </c>
      <c r="C124" s="28"/>
      <c r="D124" s="28"/>
      <c r="E124" s="28" t="s">
        <v>35</v>
      </c>
      <c r="F124" s="28">
        <v>180</v>
      </c>
      <c r="G124" s="28">
        <v>55.780700000000003</v>
      </c>
      <c r="H124" s="28">
        <v>5</v>
      </c>
      <c r="I124" s="28" t="s">
        <v>29</v>
      </c>
    </row>
    <row r="125" spans="1:9" x14ac:dyDescent="0.3">
      <c r="A125" s="25"/>
      <c r="B125" s="27" t="s">
        <v>917</v>
      </c>
      <c r="C125" s="27"/>
      <c r="D125" s="27"/>
      <c r="E125" s="27" t="s">
        <v>35</v>
      </c>
      <c r="F125" s="27">
        <v>250</v>
      </c>
      <c r="G125" s="27">
        <v>94.29</v>
      </c>
      <c r="H125" s="27">
        <v>5</v>
      </c>
      <c r="I125" s="27" t="s">
        <v>29</v>
      </c>
    </row>
    <row r="126" spans="1:9" x14ac:dyDescent="0.3">
      <c r="A126" s="25"/>
      <c r="B126" s="28" t="s">
        <v>918</v>
      </c>
      <c r="C126" s="28"/>
      <c r="D126" s="28"/>
      <c r="E126" s="28" t="s">
        <v>35</v>
      </c>
      <c r="F126" s="28">
        <v>45</v>
      </c>
      <c r="G126" s="28">
        <v>20</v>
      </c>
      <c r="H126" s="28">
        <v>5</v>
      </c>
      <c r="I126" s="28" t="s">
        <v>29</v>
      </c>
    </row>
    <row r="127" spans="1:9" x14ac:dyDescent="0.3">
      <c r="A127" s="25"/>
      <c r="B127" s="27" t="s">
        <v>919</v>
      </c>
      <c r="C127" s="27"/>
      <c r="D127" s="27"/>
      <c r="E127" s="27" t="s">
        <v>35</v>
      </c>
      <c r="F127" s="27">
        <v>55</v>
      </c>
      <c r="G127" s="27">
        <v>27</v>
      </c>
      <c r="H127" s="27">
        <v>5</v>
      </c>
      <c r="I127" s="27" t="s">
        <v>29</v>
      </c>
    </row>
    <row r="128" spans="1:9" x14ac:dyDescent="0.3">
      <c r="A128" s="25"/>
      <c r="B128" s="28" t="s">
        <v>920</v>
      </c>
      <c r="C128" s="28"/>
      <c r="D128" s="28"/>
      <c r="E128" s="28" t="s">
        <v>35</v>
      </c>
      <c r="F128" s="28">
        <v>45</v>
      </c>
      <c r="G128" s="28">
        <v>29</v>
      </c>
      <c r="H128" s="28">
        <v>0</v>
      </c>
      <c r="I128" s="28" t="s">
        <v>29</v>
      </c>
    </row>
    <row r="129" spans="1:9" x14ac:dyDescent="0.3">
      <c r="A129" s="25"/>
      <c r="B129" s="27" t="s">
        <v>921</v>
      </c>
      <c r="C129" s="27"/>
      <c r="D129" s="27"/>
      <c r="E129" s="27" t="s">
        <v>35</v>
      </c>
      <c r="F129" s="27">
        <v>170</v>
      </c>
      <c r="G129" s="27">
        <v>90.073599999999999</v>
      </c>
      <c r="H129" s="27">
        <v>3</v>
      </c>
      <c r="I129" s="27" t="s">
        <v>29</v>
      </c>
    </row>
    <row r="130" spans="1:9" x14ac:dyDescent="0.3">
      <c r="A130" s="25"/>
      <c r="B130" s="28" t="s">
        <v>922</v>
      </c>
      <c r="C130" s="28"/>
      <c r="D130" s="28"/>
      <c r="E130" s="28" t="s">
        <v>35</v>
      </c>
      <c r="F130" s="28">
        <v>210</v>
      </c>
      <c r="G130" s="28">
        <v>118.7761</v>
      </c>
      <c r="H130" s="28">
        <v>3</v>
      </c>
      <c r="I130" s="28" t="s">
        <v>29</v>
      </c>
    </row>
    <row r="131" spans="1:9" x14ac:dyDescent="0.3">
      <c r="A131" s="25"/>
      <c r="B131" s="27" t="s">
        <v>923</v>
      </c>
      <c r="C131" s="27"/>
      <c r="D131" s="27"/>
      <c r="E131" s="27" t="s">
        <v>35</v>
      </c>
      <c r="F131" s="27">
        <v>230</v>
      </c>
      <c r="G131" s="27">
        <v>154.7021</v>
      </c>
      <c r="H131" s="27">
        <v>0</v>
      </c>
      <c r="I131" s="27" t="s">
        <v>29</v>
      </c>
    </row>
    <row r="132" spans="1:9" x14ac:dyDescent="0.3">
      <c r="A132" s="25"/>
      <c r="B132" s="28" t="s">
        <v>924</v>
      </c>
      <c r="C132" s="28"/>
      <c r="D132" s="28"/>
      <c r="E132" s="28" t="s">
        <v>35</v>
      </c>
      <c r="F132" s="28">
        <v>260</v>
      </c>
      <c r="G132" s="28">
        <v>187</v>
      </c>
      <c r="H132" s="28">
        <v>0</v>
      </c>
      <c r="I132" s="28" t="s">
        <v>29</v>
      </c>
    </row>
    <row r="133" spans="1:9" x14ac:dyDescent="0.3">
      <c r="A133" s="25"/>
      <c r="B133" s="27" t="s">
        <v>925</v>
      </c>
      <c r="C133" s="27"/>
      <c r="D133" s="27"/>
      <c r="E133" s="27" t="s">
        <v>35</v>
      </c>
      <c r="F133" s="27">
        <v>350</v>
      </c>
      <c r="G133" s="27">
        <v>215</v>
      </c>
      <c r="H133" s="27">
        <v>5</v>
      </c>
      <c r="I133" s="27" t="s">
        <v>29</v>
      </c>
    </row>
    <row r="134" spans="1:9" x14ac:dyDescent="0.3">
      <c r="A134" s="25"/>
      <c r="B134" s="27" t="s">
        <v>926</v>
      </c>
      <c r="C134" s="27"/>
      <c r="D134" s="27"/>
      <c r="E134" s="27" t="s">
        <v>35</v>
      </c>
      <c r="F134" s="27">
        <v>300</v>
      </c>
      <c r="G134" s="27">
        <v>195</v>
      </c>
      <c r="H134" s="27">
        <v>0</v>
      </c>
      <c r="I134" s="27" t="s">
        <v>29</v>
      </c>
    </row>
    <row r="135" spans="1:9" x14ac:dyDescent="0.3">
      <c r="A135" s="25"/>
      <c r="B135" s="28" t="s">
        <v>927</v>
      </c>
      <c r="C135" s="28"/>
      <c r="D135" s="28"/>
      <c r="E135" s="28" t="s">
        <v>35</v>
      </c>
      <c r="F135" s="28">
        <v>350</v>
      </c>
      <c r="G135" s="28">
        <v>235</v>
      </c>
      <c r="H135" s="28">
        <v>0</v>
      </c>
      <c r="I135" s="28" t="s">
        <v>29</v>
      </c>
    </row>
    <row r="136" spans="1:9" x14ac:dyDescent="0.3">
      <c r="A136" s="25"/>
      <c r="B136" s="28" t="s">
        <v>928</v>
      </c>
      <c r="C136" s="28"/>
      <c r="D136" s="28"/>
      <c r="E136" s="28" t="s">
        <v>35</v>
      </c>
      <c r="F136" s="28">
        <v>15</v>
      </c>
      <c r="G136" s="28">
        <v>1</v>
      </c>
      <c r="H136" s="28">
        <v>10</v>
      </c>
      <c r="I136" s="28" t="s">
        <v>29</v>
      </c>
    </row>
    <row r="137" spans="1:9" x14ac:dyDescent="0.3">
      <c r="A137" s="25"/>
      <c r="B137" s="27" t="s">
        <v>929</v>
      </c>
      <c r="C137" s="27"/>
      <c r="D137" s="27"/>
      <c r="E137" s="27" t="s">
        <v>35</v>
      </c>
      <c r="F137" s="27">
        <v>100</v>
      </c>
      <c r="G137" s="27">
        <v>62.833300000000001</v>
      </c>
      <c r="H137" s="27">
        <v>5</v>
      </c>
      <c r="I137" s="27" t="s">
        <v>29</v>
      </c>
    </row>
    <row r="138" spans="1:9" x14ac:dyDescent="0.3">
      <c r="A138" s="25"/>
      <c r="B138" s="27" t="s">
        <v>930</v>
      </c>
      <c r="C138" s="27"/>
      <c r="D138" s="27"/>
      <c r="E138" s="27" t="s">
        <v>35</v>
      </c>
      <c r="F138" s="27">
        <v>120</v>
      </c>
      <c r="G138" s="27">
        <v>50</v>
      </c>
      <c r="H138" s="27">
        <v>5</v>
      </c>
      <c r="I138" s="27" t="s">
        <v>29</v>
      </c>
    </row>
    <row r="139" spans="1:9" x14ac:dyDescent="0.3">
      <c r="A139" s="25"/>
      <c r="B139" s="28" t="s">
        <v>931</v>
      </c>
      <c r="C139" s="28"/>
      <c r="D139" s="28"/>
      <c r="E139" s="28" t="s">
        <v>35</v>
      </c>
      <c r="F139" s="28">
        <v>100</v>
      </c>
      <c r="G139" s="28">
        <v>47</v>
      </c>
      <c r="H139" s="28">
        <v>5</v>
      </c>
      <c r="I139" s="28" t="s">
        <v>29</v>
      </c>
    </row>
    <row r="140" spans="1:9" x14ac:dyDescent="0.3">
      <c r="A140" s="25"/>
      <c r="B140" s="27" t="s">
        <v>932</v>
      </c>
      <c r="C140" s="27"/>
      <c r="D140" s="27"/>
      <c r="E140" s="27" t="s">
        <v>35</v>
      </c>
      <c r="F140" s="27">
        <v>190</v>
      </c>
      <c r="G140" s="27">
        <v>118.5428</v>
      </c>
      <c r="H140" s="27">
        <v>3</v>
      </c>
      <c r="I140" s="27" t="s">
        <v>29</v>
      </c>
    </row>
    <row r="141" spans="1:9" x14ac:dyDescent="0.3">
      <c r="A141" s="25"/>
      <c r="B141" s="28" t="s">
        <v>933</v>
      </c>
      <c r="C141" s="28"/>
      <c r="D141" s="28"/>
      <c r="E141" s="28" t="s">
        <v>35</v>
      </c>
      <c r="F141" s="28">
        <v>25</v>
      </c>
      <c r="G141" s="28">
        <v>4</v>
      </c>
      <c r="H141" s="28">
        <v>0</v>
      </c>
      <c r="I141" s="28" t="s">
        <v>29</v>
      </c>
    </row>
    <row r="142" spans="1:9" x14ac:dyDescent="0.3">
      <c r="A142" s="25"/>
      <c r="B142" s="27" t="s">
        <v>934</v>
      </c>
      <c r="C142" s="27"/>
      <c r="D142" s="27"/>
      <c r="E142" s="27" t="s">
        <v>35</v>
      </c>
      <c r="F142" s="27">
        <v>50</v>
      </c>
      <c r="G142" s="27">
        <v>28.15</v>
      </c>
      <c r="H142" s="27">
        <v>0</v>
      </c>
      <c r="I142" s="27" t="s">
        <v>29</v>
      </c>
    </row>
    <row r="143" spans="1:9" x14ac:dyDescent="0.3">
      <c r="A143" s="25"/>
      <c r="B143" s="28" t="s">
        <v>935</v>
      </c>
      <c r="C143" s="28"/>
      <c r="D143" s="28"/>
      <c r="E143" s="28" t="s">
        <v>936</v>
      </c>
      <c r="F143" s="28">
        <v>20</v>
      </c>
      <c r="G143" s="28">
        <v>8.75</v>
      </c>
      <c r="H143" s="28">
        <v>0</v>
      </c>
      <c r="I143" s="28" t="s">
        <v>29</v>
      </c>
    </row>
    <row r="144" spans="1:9" x14ac:dyDescent="0.3">
      <c r="A144" s="25"/>
      <c r="B144" s="28" t="s">
        <v>937</v>
      </c>
      <c r="C144" s="28"/>
      <c r="D144" s="28"/>
      <c r="E144" s="28" t="s">
        <v>29</v>
      </c>
      <c r="F144" s="28">
        <v>120</v>
      </c>
      <c r="G144" s="28">
        <v>55</v>
      </c>
      <c r="H144" s="28">
        <v>0</v>
      </c>
      <c r="I144" s="28" t="s">
        <v>29</v>
      </c>
    </row>
    <row r="145" spans="1:9" x14ac:dyDescent="0.3">
      <c r="A145" s="25"/>
      <c r="B145" s="28" t="s">
        <v>938</v>
      </c>
      <c r="C145" s="28"/>
      <c r="D145" s="28"/>
      <c r="E145" s="28" t="s">
        <v>29</v>
      </c>
      <c r="F145" s="28">
        <v>20</v>
      </c>
      <c r="G145" s="28">
        <v>7.5</v>
      </c>
      <c r="H145" s="28">
        <v>0</v>
      </c>
      <c r="I145" s="28" t="s">
        <v>29</v>
      </c>
    </row>
    <row r="146" spans="1:9" x14ac:dyDescent="0.3">
      <c r="A146" s="25"/>
      <c r="B146" s="27" t="s">
        <v>939</v>
      </c>
      <c r="C146" s="27"/>
      <c r="D146" s="27"/>
      <c r="E146" s="27" t="s">
        <v>29</v>
      </c>
      <c r="F146" s="27">
        <v>30</v>
      </c>
      <c r="G146" s="27">
        <v>10</v>
      </c>
      <c r="H146" s="27">
        <v>0</v>
      </c>
      <c r="I146" s="27" t="s">
        <v>29</v>
      </c>
    </row>
    <row r="147" spans="1:9" x14ac:dyDescent="0.3">
      <c r="A147" s="25"/>
      <c r="B147" s="28" t="s">
        <v>940</v>
      </c>
      <c r="C147" s="28"/>
      <c r="D147" s="28"/>
      <c r="E147" s="28" t="s">
        <v>35</v>
      </c>
      <c r="F147" s="28">
        <v>15</v>
      </c>
      <c r="G147" s="28">
        <v>5</v>
      </c>
      <c r="H147" s="28">
        <v>0</v>
      </c>
      <c r="I147" s="28" t="s">
        <v>29</v>
      </c>
    </row>
    <row r="148" spans="1:9" x14ac:dyDescent="0.3">
      <c r="A148" s="25"/>
      <c r="B148" s="27" t="s">
        <v>941</v>
      </c>
      <c r="C148" s="27"/>
      <c r="D148" s="27"/>
      <c r="E148" s="27" t="s">
        <v>35</v>
      </c>
      <c r="F148" s="27">
        <v>50</v>
      </c>
      <c r="G148" s="27">
        <v>30</v>
      </c>
      <c r="H148" s="27">
        <v>5</v>
      </c>
      <c r="I148" s="27" t="s">
        <v>29</v>
      </c>
    </row>
    <row r="149" spans="1:9" x14ac:dyDescent="0.3">
      <c r="A149" s="25"/>
      <c r="B149" s="28" t="s">
        <v>942</v>
      </c>
      <c r="C149" s="28"/>
      <c r="D149" s="28"/>
      <c r="E149" s="28" t="s">
        <v>35</v>
      </c>
      <c r="F149" s="28">
        <v>15</v>
      </c>
      <c r="G149" s="28">
        <v>6.32</v>
      </c>
      <c r="H149" s="28">
        <v>5</v>
      </c>
      <c r="I149" s="28" t="s">
        <v>29</v>
      </c>
    </row>
    <row r="150" spans="1:9" x14ac:dyDescent="0.3">
      <c r="A150" s="25"/>
      <c r="B150" s="27" t="s">
        <v>943</v>
      </c>
      <c r="C150" s="27"/>
      <c r="D150" s="27"/>
      <c r="E150" s="27" t="s">
        <v>35</v>
      </c>
      <c r="F150" s="27">
        <v>10</v>
      </c>
      <c r="G150" s="27">
        <v>2.75</v>
      </c>
      <c r="H150" s="27">
        <v>10</v>
      </c>
      <c r="I150" s="27" t="s">
        <v>29</v>
      </c>
    </row>
    <row r="151" spans="1:9" x14ac:dyDescent="0.3">
      <c r="A151" s="25"/>
      <c r="B151" s="28" t="s">
        <v>944</v>
      </c>
      <c r="C151" s="28"/>
      <c r="D151" s="28"/>
      <c r="E151" s="28" t="s">
        <v>35</v>
      </c>
      <c r="F151" s="28">
        <v>15</v>
      </c>
      <c r="G151" s="28">
        <v>7.5011000000000001</v>
      </c>
      <c r="H151" s="28">
        <v>15</v>
      </c>
      <c r="I151" s="28" t="s">
        <v>29</v>
      </c>
    </row>
    <row r="152" spans="1:9" x14ac:dyDescent="0.3">
      <c r="A152" s="25"/>
      <c r="B152" s="27" t="s">
        <v>945</v>
      </c>
      <c r="C152" s="27"/>
      <c r="D152" s="27"/>
      <c r="E152" s="27" t="s">
        <v>35</v>
      </c>
      <c r="F152" s="27">
        <v>40</v>
      </c>
      <c r="G152" s="27">
        <v>10.5</v>
      </c>
      <c r="H152" s="27">
        <v>2</v>
      </c>
      <c r="I152" s="27" t="s">
        <v>29</v>
      </c>
    </row>
    <row r="153" spans="1:9" x14ac:dyDescent="0.3">
      <c r="A153" s="25"/>
      <c r="B153" s="28" t="s">
        <v>946</v>
      </c>
      <c r="C153" s="28"/>
      <c r="D153" s="28"/>
      <c r="E153" s="28" t="s">
        <v>35</v>
      </c>
      <c r="F153" s="28">
        <v>35</v>
      </c>
      <c r="G153" s="28">
        <v>17</v>
      </c>
      <c r="H153" s="28">
        <v>5</v>
      </c>
      <c r="I153" s="28" t="s">
        <v>29</v>
      </c>
    </row>
    <row r="154" spans="1:9" x14ac:dyDescent="0.3">
      <c r="A154" s="25"/>
      <c r="B154" s="27" t="s">
        <v>947</v>
      </c>
      <c r="C154" s="27"/>
      <c r="D154" s="27"/>
      <c r="E154" s="27" t="s">
        <v>35</v>
      </c>
      <c r="F154" s="27">
        <v>25</v>
      </c>
      <c r="G154" s="27">
        <v>12.328900000000001</v>
      </c>
      <c r="H154" s="27">
        <v>5</v>
      </c>
      <c r="I154" s="27" t="s">
        <v>29</v>
      </c>
    </row>
    <row r="155" spans="1:9" x14ac:dyDescent="0.3">
      <c r="A155" s="25"/>
      <c r="B155" s="28" t="s">
        <v>948</v>
      </c>
      <c r="C155" s="28"/>
      <c r="D155" s="28"/>
      <c r="E155" s="28" t="s">
        <v>35</v>
      </c>
      <c r="F155" s="28">
        <v>25</v>
      </c>
      <c r="G155" s="28">
        <v>15</v>
      </c>
      <c r="H155" s="28">
        <v>0</v>
      </c>
      <c r="I155" s="28" t="s">
        <v>29</v>
      </c>
    </row>
    <row r="156" spans="1:9" x14ac:dyDescent="0.3">
      <c r="A156" s="25"/>
      <c r="B156" s="28" t="s">
        <v>949</v>
      </c>
      <c r="C156" s="28"/>
      <c r="D156" s="28"/>
      <c r="E156" s="28" t="s">
        <v>35</v>
      </c>
      <c r="F156" s="28">
        <v>165</v>
      </c>
      <c r="G156" s="28">
        <v>100</v>
      </c>
      <c r="H156" s="28">
        <v>0</v>
      </c>
      <c r="I156" s="28" t="s">
        <v>29</v>
      </c>
    </row>
    <row r="157" spans="1:9" x14ac:dyDescent="0.3">
      <c r="A157" s="25"/>
      <c r="B157" s="28" t="s">
        <v>950</v>
      </c>
      <c r="C157" s="28"/>
      <c r="D157" s="28"/>
      <c r="E157" s="28" t="s">
        <v>35</v>
      </c>
      <c r="F157" s="28">
        <v>5</v>
      </c>
      <c r="G157" s="28">
        <v>1</v>
      </c>
      <c r="H157" s="28">
        <v>0</v>
      </c>
      <c r="I157" s="28" t="s">
        <v>29</v>
      </c>
    </row>
    <row r="158" spans="1:9" x14ac:dyDescent="0.3">
      <c r="A158" s="25"/>
      <c r="B158" s="28" t="s">
        <v>951</v>
      </c>
      <c r="C158" s="28"/>
      <c r="D158" s="28"/>
      <c r="E158" s="28" t="s">
        <v>26</v>
      </c>
      <c r="F158" s="28">
        <v>20</v>
      </c>
      <c r="G158" s="28">
        <v>7.6048999999999998</v>
      </c>
      <c r="H158" s="28">
        <v>10</v>
      </c>
      <c r="I158" s="28" t="s">
        <v>29</v>
      </c>
    </row>
    <row r="159" spans="1:9" x14ac:dyDescent="0.3">
      <c r="A159" s="25"/>
      <c r="B159" s="27" t="s">
        <v>952</v>
      </c>
      <c r="C159" s="27"/>
      <c r="D159" s="27"/>
      <c r="E159" s="27" t="s">
        <v>26</v>
      </c>
      <c r="F159" s="27">
        <v>100</v>
      </c>
      <c r="G159" s="27">
        <v>0</v>
      </c>
      <c r="H159" s="27">
        <v>10</v>
      </c>
      <c r="I159" s="27" t="s">
        <v>29</v>
      </c>
    </row>
    <row r="160" spans="1:9" x14ac:dyDescent="0.3">
      <c r="A160" s="25"/>
      <c r="B160" s="28" t="s">
        <v>953</v>
      </c>
      <c r="C160" s="28"/>
      <c r="D160" s="28"/>
      <c r="E160" s="28" t="s">
        <v>26</v>
      </c>
      <c r="F160" s="28">
        <v>125</v>
      </c>
      <c r="G160" s="28">
        <v>85</v>
      </c>
      <c r="H160" s="28">
        <v>10</v>
      </c>
      <c r="I160" s="28" t="s">
        <v>29</v>
      </c>
    </row>
    <row r="161" spans="1:9" x14ac:dyDescent="0.3">
      <c r="A161" s="25"/>
      <c r="B161" s="27" t="s">
        <v>954</v>
      </c>
      <c r="C161" s="27"/>
      <c r="D161" s="27"/>
      <c r="E161" s="27" t="s">
        <v>26</v>
      </c>
      <c r="F161" s="27">
        <v>25</v>
      </c>
      <c r="G161" s="27">
        <v>11.352399999999999</v>
      </c>
      <c r="H161" s="27">
        <v>10</v>
      </c>
      <c r="I161" s="27" t="s">
        <v>29</v>
      </c>
    </row>
    <row r="162" spans="1:9" x14ac:dyDescent="0.3">
      <c r="A162" s="25"/>
      <c r="B162" s="28" t="s">
        <v>955</v>
      </c>
      <c r="C162" s="28"/>
      <c r="D162" s="28"/>
      <c r="E162" s="28" t="s">
        <v>26</v>
      </c>
      <c r="F162" s="28">
        <v>35</v>
      </c>
      <c r="G162" s="28">
        <v>13.8371</v>
      </c>
      <c r="H162" s="28">
        <v>10</v>
      </c>
      <c r="I162" s="28" t="s">
        <v>29</v>
      </c>
    </row>
    <row r="163" spans="1:9" x14ac:dyDescent="0.3">
      <c r="A163" s="25"/>
      <c r="B163" s="27" t="s">
        <v>956</v>
      </c>
      <c r="C163" s="27"/>
      <c r="D163" s="27"/>
      <c r="E163" s="27" t="s">
        <v>26</v>
      </c>
      <c r="F163" s="27">
        <v>40</v>
      </c>
      <c r="G163" s="27">
        <v>20</v>
      </c>
      <c r="H163" s="27">
        <v>10</v>
      </c>
      <c r="I163" s="27" t="s">
        <v>29</v>
      </c>
    </row>
    <row r="164" spans="1:9" x14ac:dyDescent="0.3">
      <c r="A164" s="25"/>
      <c r="B164" s="28" t="s">
        <v>957</v>
      </c>
      <c r="C164" s="28"/>
      <c r="D164" s="28"/>
      <c r="E164" s="28" t="s">
        <v>26</v>
      </c>
      <c r="F164" s="28">
        <v>45</v>
      </c>
      <c r="G164" s="28">
        <v>20.239999999999998</v>
      </c>
      <c r="H164" s="28">
        <v>10</v>
      </c>
      <c r="I164" s="28" t="s">
        <v>29</v>
      </c>
    </row>
    <row r="165" spans="1:9" x14ac:dyDescent="0.3">
      <c r="A165" s="25"/>
      <c r="B165" s="27" t="s">
        <v>958</v>
      </c>
      <c r="C165" s="27"/>
      <c r="D165" s="27"/>
      <c r="E165" s="27" t="s">
        <v>26</v>
      </c>
      <c r="F165" s="27">
        <v>20</v>
      </c>
      <c r="G165" s="27">
        <v>4.2755000000000001</v>
      </c>
      <c r="H165" s="27">
        <v>10</v>
      </c>
      <c r="I165" s="27" t="s">
        <v>29</v>
      </c>
    </row>
    <row r="166" spans="1:9" x14ac:dyDescent="0.3">
      <c r="A166" s="25"/>
      <c r="B166" s="28" t="s">
        <v>959</v>
      </c>
      <c r="C166" s="28"/>
      <c r="D166" s="28"/>
      <c r="E166" s="28" t="s">
        <v>26</v>
      </c>
      <c r="F166" s="28">
        <v>25</v>
      </c>
      <c r="G166" s="28">
        <v>7.0744999999999996</v>
      </c>
      <c r="H166" s="28">
        <v>10</v>
      </c>
      <c r="I166" s="28" t="s">
        <v>29</v>
      </c>
    </row>
    <row r="167" spans="1:9" x14ac:dyDescent="0.3">
      <c r="A167" s="25"/>
      <c r="B167" s="28" t="s">
        <v>960</v>
      </c>
      <c r="C167" s="28"/>
      <c r="D167" s="28"/>
      <c r="E167" s="28" t="s">
        <v>26</v>
      </c>
      <c r="F167" s="28">
        <v>35</v>
      </c>
      <c r="G167" s="28">
        <v>12.142899999999999</v>
      </c>
      <c r="H167" s="28">
        <v>10</v>
      </c>
      <c r="I167" s="28" t="s">
        <v>29</v>
      </c>
    </row>
    <row r="168" spans="1:9" x14ac:dyDescent="0.3">
      <c r="A168" s="25"/>
      <c r="B168" s="27" t="s">
        <v>961</v>
      </c>
      <c r="C168" s="27"/>
      <c r="D168" s="27"/>
      <c r="E168" s="27" t="s">
        <v>26</v>
      </c>
      <c r="F168" s="27">
        <v>50</v>
      </c>
      <c r="G168" s="27">
        <v>15.9718</v>
      </c>
      <c r="H168" s="27">
        <v>10</v>
      </c>
      <c r="I168" s="27" t="s">
        <v>29</v>
      </c>
    </row>
    <row r="169" spans="1:9" x14ac:dyDescent="0.3">
      <c r="A169" s="25"/>
      <c r="B169" s="27" t="s">
        <v>962</v>
      </c>
      <c r="C169" s="27"/>
      <c r="D169" s="27"/>
      <c r="E169" s="27" t="s">
        <v>26</v>
      </c>
      <c r="F169" s="27">
        <v>30</v>
      </c>
      <c r="G169" s="27">
        <v>0</v>
      </c>
      <c r="H169" s="27">
        <v>10</v>
      </c>
      <c r="I169" s="27" t="s">
        <v>29</v>
      </c>
    </row>
    <row r="170" spans="1:9" x14ac:dyDescent="0.3">
      <c r="A170" s="25"/>
      <c r="B170" s="28" t="s">
        <v>963</v>
      </c>
      <c r="C170" s="28"/>
      <c r="D170" s="28"/>
      <c r="E170" s="28" t="s">
        <v>35</v>
      </c>
      <c r="F170" s="28">
        <v>0</v>
      </c>
      <c r="G170" s="28">
        <v>200</v>
      </c>
      <c r="H170" s="28">
        <v>0</v>
      </c>
      <c r="I170" s="27" t="s">
        <v>29</v>
      </c>
    </row>
    <row r="171" spans="1:9" x14ac:dyDescent="0.3">
      <c r="A171" s="25"/>
      <c r="B171" s="27" t="s">
        <v>964</v>
      </c>
      <c r="C171" s="27"/>
      <c r="D171" s="27"/>
      <c r="E171" s="27" t="s">
        <v>26</v>
      </c>
      <c r="F171" s="27">
        <v>55</v>
      </c>
      <c r="G171" s="27">
        <v>27.254799999999999</v>
      </c>
      <c r="H171" s="27">
        <v>0</v>
      </c>
      <c r="I171" s="27" t="s">
        <v>29</v>
      </c>
    </row>
    <row r="172" spans="1:9" x14ac:dyDescent="0.3">
      <c r="A172" s="25"/>
      <c r="B172" s="27" t="s">
        <v>965</v>
      </c>
      <c r="C172" s="27"/>
      <c r="D172" s="27"/>
      <c r="E172" s="27" t="s">
        <v>26</v>
      </c>
      <c r="F172" s="27">
        <v>85</v>
      </c>
      <c r="G172" s="27">
        <v>41.79</v>
      </c>
      <c r="H172" s="27">
        <v>20</v>
      </c>
      <c r="I172" s="27" t="s">
        <v>29</v>
      </c>
    </row>
    <row r="173" spans="1:9" x14ac:dyDescent="0.3">
      <c r="A173" s="25"/>
      <c r="B173" s="27" t="s">
        <v>966</v>
      </c>
      <c r="C173" s="27"/>
      <c r="D173" s="27"/>
      <c r="E173" s="27" t="s">
        <v>26</v>
      </c>
      <c r="F173" s="27">
        <v>10</v>
      </c>
      <c r="G173" s="27">
        <v>2.0872000000000002</v>
      </c>
      <c r="H173" s="27">
        <v>40</v>
      </c>
      <c r="I173" s="27" t="s">
        <v>29</v>
      </c>
    </row>
    <row r="174" spans="1:9" x14ac:dyDescent="0.3">
      <c r="A174" s="25"/>
      <c r="B174" s="27" t="s">
        <v>967</v>
      </c>
      <c r="C174" s="27"/>
      <c r="D174" s="27"/>
      <c r="E174" s="27" t="s">
        <v>26</v>
      </c>
      <c r="F174" s="27">
        <v>10</v>
      </c>
      <c r="G174" s="27">
        <v>4.3421000000000003</v>
      </c>
      <c r="H174" s="27">
        <v>20</v>
      </c>
      <c r="I174" s="27" t="s">
        <v>29</v>
      </c>
    </row>
    <row r="175" spans="1:9" x14ac:dyDescent="0.3">
      <c r="A175" s="25"/>
      <c r="B175" s="28" t="s">
        <v>968</v>
      </c>
      <c r="C175" s="28"/>
      <c r="D175" s="28"/>
      <c r="E175" s="28" t="s">
        <v>26</v>
      </c>
      <c r="F175" s="28">
        <v>10</v>
      </c>
      <c r="G175" s="28">
        <v>3.4365999999999999</v>
      </c>
      <c r="H175" s="28">
        <v>10</v>
      </c>
      <c r="I175" s="28" t="s">
        <v>29</v>
      </c>
    </row>
    <row r="176" spans="1:9" x14ac:dyDescent="0.3">
      <c r="A176" s="25"/>
      <c r="B176" s="28" t="s">
        <v>969</v>
      </c>
      <c r="C176" s="28"/>
      <c r="D176" s="28"/>
      <c r="E176" s="28" t="s">
        <v>26</v>
      </c>
      <c r="F176" s="28">
        <v>13</v>
      </c>
      <c r="G176" s="28">
        <v>4.2949999999999999</v>
      </c>
      <c r="H176" s="28">
        <v>20</v>
      </c>
      <c r="I176" s="28" t="s">
        <v>29</v>
      </c>
    </row>
    <row r="177" spans="1:9" x14ac:dyDescent="0.3">
      <c r="A177" s="25"/>
      <c r="B177" s="28" t="s">
        <v>970</v>
      </c>
      <c r="C177" s="28"/>
      <c r="D177" s="28"/>
      <c r="E177" s="28" t="s">
        <v>35</v>
      </c>
      <c r="F177" s="28">
        <v>25</v>
      </c>
      <c r="G177" s="28">
        <v>4.5</v>
      </c>
      <c r="H177" s="28">
        <v>30</v>
      </c>
      <c r="I177" s="28" t="s">
        <v>29</v>
      </c>
    </row>
    <row r="178" spans="1:9" x14ac:dyDescent="0.3">
      <c r="A178" s="25"/>
      <c r="B178" s="27" t="s">
        <v>971</v>
      </c>
      <c r="C178" s="27"/>
      <c r="D178" s="27"/>
      <c r="E178" s="27" t="s">
        <v>26</v>
      </c>
      <c r="F178" s="27">
        <v>15</v>
      </c>
      <c r="G178" s="27">
        <v>7.883</v>
      </c>
      <c r="H178" s="27">
        <v>20</v>
      </c>
      <c r="I178" s="27" t="s">
        <v>29</v>
      </c>
    </row>
    <row r="179" spans="1:9" x14ac:dyDescent="0.3">
      <c r="A179" s="25"/>
      <c r="B179" s="27" t="s">
        <v>972</v>
      </c>
      <c r="C179" s="27"/>
      <c r="D179" s="27"/>
      <c r="E179" s="27" t="s">
        <v>26</v>
      </c>
      <c r="F179" s="27">
        <v>25</v>
      </c>
      <c r="G179" s="27">
        <v>5.0742000000000003</v>
      </c>
      <c r="H179" s="27">
        <v>10</v>
      </c>
      <c r="I179" s="27" t="s">
        <v>29</v>
      </c>
    </row>
    <row r="180" spans="1:9" x14ac:dyDescent="0.3">
      <c r="A180" s="25"/>
      <c r="B180" s="28" t="s">
        <v>973</v>
      </c>
      <c r="C180" s="28"/>
      <c r="D180" s="28"/>
      <c r="E180" s="28" t="s">
        <v>26</v>
      </c>
      <c r="F180" s="28">
        <v>15</v>
      </c>
      <c r="G180" s="28">
        <v>4.6429</v>
      </c>
      <c r="H180" s="28">
        <v>10</v>
      </c>
      <c r="I180" s="28" t="s">
        <v>29</v>
      </c>
    </row>
    <row r="181" spans="1:9" x14ac:dyDescent="0.3">
      <c r="A181" s="25"/>
      <c r="B181" s="28" t="s">
        <v>974</v>
      </c>
      <c r="C181" s="28"/>
      <c r="D181" s="28"/>
      <c r="E181" s="28" t="s">
        <v>26</v>
      </c>
      <c r="F181" s="28">
        <v>20</v>
      </c>
      <c r="G181" s="28">
        <v>3.3353000000000002</v>
      </c>
      <c r="H181" s="28">
        <v>10</v>
      </c>
      <c r="I181" s="28" t="s">
        <v>29</v>
      </c>
    </row>
    <row r="182" spans="1:9" x14ac:dyDescent="0.3">
      <c r="A182" s="25"/>
      <c r="B182" s="27" t="s">
        <v>975</v>
      </c>
      <c r="C182" s="27"/>
      <c r="D182" s="27"/>
      <c r="E182" s="27" t="s">
        <v>26</v>
      </c>
      <c r="F182" s="27">
        <v>38</v>
      </c>
      <c r="G182" s="27">
        <v>19.645399999999999</v>
      </c>
      <c r="H182" s="27">
        <v>20</v>
      </c>
      <c r="I182" s="27" t="s">
        <v>29</v>
      </c>
    </row>
    <row r="183" spans="1:9" x14ac:dyDescent="0.3">
      <c r="A183" s="25"/>
      <c r="B183" s="28" t="s">
        <v>976</v>
      </c>
      <c r="C183" s="28"/>
      <c r="D183" s="28"/>
      <c r="E183" s="28" t="s">
        <v>35</v>
      </c>
      <c r="F183" s="28">
        <v>95</v>
      </c>
      <c r="G183" s="28">
        <v>32.8125</v>
      </c>
      <c r="H183" s="28">
        <v>3</v>
      </c>
      <c r="I183" s="28" t="s">
        <v>29</v>
      </c>
    </row>
    <row r="184" spans="1:9" x14ac:dyDescent="0.3">
      <c r="A184" s="25"/>
      <c r="B184" s="28" t="s">
        <v>977</v>
      </c>
      <c r="C184" s="28"/>
      <c r="D184" s="28"/>
      <c r="E184" s="28" t="s">
        <v>35</v>
      </c>
      <c r="F184" s="28">
        <v>95</v>
      </c>
      <c r="G184" s="28">
        <v>50</v>
      </c>
      <c r="H184" s="28">
        <v>5</v>
      </c>
      <c r="I184" s="28" t="s">
        <v>29</v>
      </c>
    </row>
    <row r="185" spans="1:9" x14ac:dyDescent="0.3">
      <c r="A185" s="25"/>
      <c r="B185" s="28" t="s">
        <v>978</v>
      </c>
      <c r="C185" s="28"/>
      <c r="D185" s="28"/>
      <c r="E185" s="28" t="s">
        <v>35</v>
      </c>
      <c r="F185" s="28">
        <v>160</v>
      </c>
      <c r="G185" s="28">
        <v>65</v>
      </c>
      <c r="H185" s="28">
        <v>3</v>
      </c>
      <c r="I185" s="28" t="s">
        <v>29</v>
      </c>
    </row>
    <row r="186" spans="1:9" x14ac:dyDescent="0.3">
      <c r="A186" s="25"/>
      <c r="B186" s="27" t="s">
        <v>979</v>
      </c>
      <c r="C186" s="27"/>
      <c r="D186" s="27"/>
      <c r="E186" s="27" t="s">
        <v>35</v>
      </c>
      <c r="F186" s="27">
        <v>170</v>
      </c>
      <c r="G186" s="27">
        <v>79</v>
      </c>
      <c r="H186" s="27">
        <v>3</v>
      </c>
      <c r="I186" s="27" t="s">
        <v>29</v>
      </c>
    </row>
    <row r="187" spans="1:9" x14ac:dyDescent="0.3">
      <c r="A187" s="25"/>
      <c r="B187" s="27" t="s">
        <v>980</v>
      </c>
      <c r="C187" s="27"/>
      <c r="D187" s="27"/>
      <c r="E187" s="27" t="s">
        <v>35</v>
      </c>
      <c r="F187" s="27">
        <v>185</v>
      </c>
      <c r="G187" s="27">
        <v>95</v>
      </c>
      <c r="H187" s="27">
        <v>3</v>
      </c>
      <c r="I187" s="27" t="s">
        <v>29</v>
      </c>
    </row>
    <row r="188" spans="1:9" x14ac:dyDescent="0.3">
      <c r="A188" s="25"/>
      <c r="B188" s="28" t="s">
        <v>981</v>
      </c>
      <c r="C188" s="28"/>
      <c r="D188" s="28"/>
      <c r="E188" s="28" t="s">
        <v>35</v>
      </c>
      <c r="F188" s="28">
        <v>170</v>
      </c>
      <c r="G188" s="28">
        <v>80</v>
      </c>
      <c r="H188" s="28">
        <v>0</v>
      </c>
      <c r="I188" s="28" t="s">
        <v>29</v>
      </c>
    </row>
    <row r="189" spans="1:9" x14ac:dyDescent="0.3">
      <c r="A189" s="25"/>
      <c r="B189" s="27" t="s">
        <v>982</v>
      </c>
      <c r="C189" s="27"/>
      <c r="D189" s="27"/>
      <c r="E189" s="27" t="s">
        <v>35</v>
      </c>
      <c r="F189" s="27">
        <v>20</v>
      </c>
      <c r="G189" s="27">
        <v>10.1503</v>
      </c>
      <c r="H189" s="27">
        <v>5</v>
      </c>
      <c r="I189" s="27" t="s">
        <v>29</v>
      </c>
    </row>
    <row r="190" spans="1:9" x14ac:dyDescent="0.3">
      <c r="A190" s="25"/>
      <c r="B190" s="28" t="s">
        <v>983</v>
      </c>
      <c r="C190" s="28"/>
      <c r="D190" s="28"/>
      <c r="E190" s="28" t="s">
        <v>35</v>
      </c>
      <c r="F190" s="28">
        <v>35</v>
      </c>
      <c r="G190" s="28">
        <v>18.625800000000002</v>
      </c>
      <c r="H190" s="28">
        <v>5</v>
      </c>
      <c r="I190" s="28" t="s">
        <v>29</v>
      </c>
    </row>
    <row r="191" spans="1:9" x14ac:dyDescent="0.3">
      <c r="A191" s="25"/>
      <c r="B191" s="28" t="s">
        <v>984</v>
      </c>
      <c r="C191" s="28"/>
      <c r="D191" s="28"/>
      <c r="E191" s="28" t="s">
        <v>26</v>
      </c>
      <c r="F191" s="28">
        <v>30</v>
      </c>
      <c r="G191" s="28">
        <v>19.621600000000001</v>
      </c>
      <c r="H191" s="28">
        <v>50</v>
      </c>
      <c r="I191" s="28" t="s">
        <v>29</v>
      </c>
    </row>
    <row r="192" spans="1:9" x14ac:dyDescent="0.3">
      <c r="A192" s="25"/>
      <c r="B192" s="27" t="s">
        <v>985</v>
      </c>
      <c r="C192" s="27"/>
      <c r="D192" s="27"/>
      <c r="E192" s="27" t="s">
        <v>26</v>
      </c>
      <c r="F192" s="27">
        <v>40</v>
      </c>
      <c r="G192" s="27">
        <v>23.0901</v>
      </c>
      <c r="H192" s="27">
        <v>0</v>
      </c>
      <c r="I192" s="27" t="s">
        <v>29</v>
      </c>
    </row>
    <row r="193" spans="1:9" x14ac:dyDescent="0.3">
      <c r="A193" s="25"/>
      <c r="B193" s="27" t="s">
        <v>986</v>
      </c>
      <c r="C193" s="27"/>
      <c r="D193" s="27"/>
      <c r="E193" s="27" t="s">
        <v>26</v>
      </c>
      <c r="F193" s="27">
        <v>20</v>
      </c>
      <c r="G193" s="27">
        <v>14.920500000000001</v>
      </c>
      <c r="H193" s="27">
        <v>50</v>
      </c>
      <c r="I193" s="27" t="s">
        <v>29</v>
      </c>
    </row>
    <row r="194" spans="1:9" x14ac:dyDescent="0.3">
      <c r="A194" s="25"/>
      <c r="B194" s="27" t="s">
        <v>987</v>
      </c>
      <c r="C194" s="27"/>
      <c r="D194" s="27"/>
      <c r="E194" s="27" t="s">
        <v>26</v>
      </c>
      <c r="F194" s="27">
        <v>30</v>
      </c>
      <c r="G194" s="27">
        <v>15.723100000000001</v>
      </c>
      <c r="H194" s="27">
        <v>0</v>
      </c>
      <c r="I194" s="27" t="s">
        <v>29</v>
      </c>
    </row>
    <row r="195" spans="1:9" x14ac:dyDescent="0.3">
      <c r="A195" s="25"/>
      <c r="B195" s="27" t="s">
        <v>988</v>
      </c>
      <c r="C195" s="27"/>
      <c r="D195" s="27"/>
      <c r="E195" s="27" t="s">
        <v>35</v>
      </c>
      <c r="F195" s="27">
        <v>250</v>
      </c>
      <c r="G195" s="27">
        <v>180</v>
      </c>
      <c r="H195" s="27">
        <v>2</v>
      </c>
      <c r="I195" s="27" t="s">
        <v>29</v>
      </c>
    </row>
    <row r="196" spans="1:9" x14ac:dyDescent="0.3">
      <c r="A196" s="25"/>
      <c r="B196" s="27" t="s">
        <v>989</v>
      </c>
      <c r="C196" s="27"/>
      <c r="D196" s="27"/>
      <c r="E196" s="27" t="s">
        <v>35</v>
      </c>
      <c r="F196" s="27">
        <v>5</v>
      </c>
      <c r="G196" s="27">
        <v>1.42</v>
      </c>
      <c r="H196" s="27">
        <v>10</v>
      </c>
      <c r="I196" s="27" t="s">
        <v>29</v>
      </c>
    </row>
    <row r="197" spans="1:9" x14ac:dyDescent="0.3">
      <c r="A197" s="25"/>
      <c r="B197" s="28" t="s">
        <v>990</v>
      </c>
      <c r="C197" s="28"/>
      <c r="D197" s="28"/>
      <c r="E197" s="28" t="s">
        <v>35</v>
      </c>
      <c r="F197" s="28">
        <v>10</v>
      </c>
      <c r="G197" s="28">
        <v>2.1162999999999998</v>
      </c>
      <c r="H197" s="28">
        <v>0</v>
      </c>
      <c r="I197" s="28" t="s">
        <v>29</v>
      </c>
    </row>
    <row r="198" spans="1:9" x14ac:dyDescent="0.3">
      <c r="A198" s="25"/>
      <c r="B198" s="28" t="s">
        <v>991</v>
      </c>
      <c r="C198" s="28"/>
      <c r="D198" s="28"/>
      <c r="E198" s="28" t="s">
        <v>35</v>
      </c>
      <c r="F198" s="28">
        <v>160</v>
      </c>
      <c r="G198" s="28">
        <v>101.12990000000001</v>
      </c>
      <c r="H198" s="28">
        <v>10</v>
      </c>
      <c r="I198" s="28" t="s">
        <v>29</v>
      </c>
    </row>
    <row r="199" spans="1:9" x14ac:dyDescent="0.3">
      <c r="A199" s="25"/>
      <c r="B199" s="28" t="s">
        <v>992</v>
      </c>
      <c r="C199" s="28"/>
      <c r="D199" s="28"/>
      <c r="E199" s="28" t="s">
        <v>29</v>
      </c>
      <c r="F199" s="28">
        <v>140</v>
      </c>
      <c r="G199" s="28">
        <v>80.172200000000004</v>
      </c>
      <c r="H199" s="28">
        <v>0</v>
      </c>
      <c r="I199" s="28" t="s">
        <v>29</v>
      </c>
    </row>
    <row r="200" spans="1:9" x14ac:dyDescent="0.3">
      <c r="A200" s="25"/>
      <c r="B200" s="27" t="s">
        <v>993</v>
      </c>
      <c r="C200" s="27"/>
      <c r="D200" s="27"/>
      <c r="E200" s="27" t="s">
        <v>35</v>
      </c>
      <c r="F200" s="27">
        <v>30</v>
      </c>
      <c r="G200" s="27">
        <v>12.395</v>
      </c>
      <c r="H200" s="27">
        <v>10</v>
      </c>
      <c r="I200" s="27" t="s">
        <v>29</v>
      </c>
    </row>
    <row r="201" spans="1:9" x14ac:dyDescent="0.3">
      <c r="A201" s="25"/>
      <c r="B201" s="28" t="s">
        <v>994</v>
      </c>
      <c r="C201" s="28"/>
      <c r="D201" s="28"/>
      <c r="E201" s="28" t="s">
        <v>35</v>
      </c>
      <c r="F201" s="28">
        <v>45</v>
      </c>
      <c r="G201" s="28">
        <v>22.494399999999999</v>
      </c>
      <c r="H201" s="28">
        <v>10</v>
      </c>
      <c r="I201" s="28" t="s">
        <v>29</v>
      </c>
    </row>
    <row r="202" spans="1:9" x14ac:dyDescent="0.3">
      <c r="A202" s="25"/>
      <c r="B202" s="27" t="s">
        <v>995</v>
      </c>
      <c r="C202" s="27"/>
      <c r="D202" s="27"/>
      <c r="E202" s="27" t="s">
        <v>35</v>
      </c>
      <c r="F202" s="27">
        <v>90</v>
      </c>
      <c r="G202" s="27">
        <v>68</v>
      </c>
      <c r="H202" s="27">
        <v>0</v>
      </c>
      <c r="I202" s="27" t="s">
        <v>29</v>
      </c>
    </row>
    <row r="203" spans="1:9" x14ac:dyDescent="0.3">
      <c r="A203" s="25"/>
      <c r="B203" s="27" t="s">
        <v>996</v>
      </c>
      <c r="C203" s="27"/>
      <c r="D203" s="27"/>
      <c r="E203" s="27" t="s">
        <v>35</v>
      </c>
      <c r="F203" s="27">
        <v>85</v>
      </c>
      <c r="G203" s="27">
        <v>52</v>
      </c>
      <c r="H203" s="27">
        <v>10</v>
      </c>
      <c r="I203" s="27" t="s">
        <v>29</v>
      </c>
    </row>
    <row r="204" spans="1:9" x14ac:dyDescent="0.3">
      <c r="A204" s="25"/>
      <c r="B204" s="28" t="s">
        <v>997</v>
      </c>
      <c r="C204" s="28"/>
      <c r="D204" s="28"/>
      <c r="E204" s="28" t="s">
        <v>35</v>
      </c>
      <c r="F204" s="28">
        <v>155</v>
      </c>
      <c r="G204" s="28">
        <v>84</v>
      </c>
      <c r="H204" s="28">
        <v>0</v>
      </c>
      <c r="I204" s="28" t="s">
        <v>29</v>
      </c>
    </row>
    <row r="205" spans="1:9" x14ac:dyDescent="0.3">
      <c r="A205" s="25"/>
      <c r="B205" s="27" t="s">
        <v>998</v>
      </c>
      <c r="C205" s="27"/>
      <c r="D205" s="27"/>
      <c r="E205" s="27" t="s">
        <v>35</v>
      </c>
      <c r="F205" s="27">
        <v>5</v>
      </c>
      <c r="G205" s="27">
        <v>4</v>
      </c>
      <c r="H205" s="27">
        <v>0</v>
      </c>
      <c r="I205" s="27" t="s">
        <v>29</v>
      </c>
    </row>
    <row r="206" spans="1:9" x14ac:dyDescent="0.3">
      <c r="A206" s="25"/>
      <c r="B206" s="27" t="s">
        <v>999</v>
      </c>
      <c r="C206" s="27"/>
      <c r="D206" s="27"/>
      <c r="E206" s="27" t="s">
        <v>35</v>
      </c>
      <c r="F206" s="27">
        <v>5</v>
      </c>
      <c r="G206" s="27">
        <v>3.0148999999999999</v>
      </c>
      <c r="H206" s="27">
        <v>15</v>
      </c>
      <c r="I206" s="27" t="s">
        <v>29</v>
      </c>
    </row>
    <row r="207" spans="1:9" x14ac:dyDescent="0.3">
      <c r="A207" s="25"/>
      <c r="B207" s="28" t="s">
        <v>1000</v>
      </c>
      <c r="C207" s="28"/>
      <c r="D207" s="28"/>
      <c r="E207" s="28" t="s">
        <v>35</v>
      </c>
      <c r="F207" s="28">
        <v>10</v>
      </c>
      <c r="G207" s="28">
        <v>5</v>
      </c>
      <c r="H207" s="28">
        <v>15</v>
      </c>
      <c r="I207" s="28" t="s">
        <v>29</v>
      </c>
    </row>
    <row r="208" spans="1:9" x14ac:dyDescent="0.3">
      <c r="A208" s="25"/>
      <c r="B208" s="27" t="s">
        <v>1001</v>
      </c>
      <c r="C208" s="27"/>
      <c r="D208" s="27"/>
      <c r="E208" s="27" t="s">
        <v>35</v>
      </c>
      <c r="F208" s="27">
        <v>20</v>
      </c>
      <c r="G208" s="27">
        <v>8.4719999999999995</v>
      </c>
      <c r="H208" s="27">
        <v>15</v>
      </c>
      <c r="I208" s="27" t="s">
        <v>29</v>
      </c>
    </row>
    <row r="209" spans="1:9" x14ac:dyDescent="0.3">
      <c r="A209" s="25"/>
      <c r="B209" s="28" t="s">
        <v>1002</v>
      </c>
      <c r="C209" s="28"/>
      <c r="D209" s="28"/>
      <c r="E209" s="28" t="s">
        <v>35</v>
      </c>
      <c r="F209" s="28">
        <v>30</v>
      </c>
      <c r="G209" s="28">
        <v>15</v>
      </c>
      <c r="H209" s="28">
        <v>5</v>
      </c>
      <c r="I209" s="28" t="s">
        <v>29</v>
      </c>
    </row>
    <row r="210" spans="1:9" x14ac:dyDescent="0.3">
      <c r="A210" s="25"/>
      <c r="B210" s="27" t="s">
        <v>1003</v>
      </c>
      <c r="C210" s="27"/>
      <c r="D210" s="27"/>
      <c r="E210" s="27" t="s">
        <v>35</v>
      </c>
      <c r="F210" s="27">
        <v>30</v>
      </c>
      <c r="G210" s="27">
        <v>13.4061</v>
      </c>
      <c r="H210" s="27">
        <v>3</v>
      </c>
      <c r="I210" s="27" t="s">
        <v>29</v>
      </c>
    </row>
    <row r="211" spans="1:9" x14ac:dyDescent="0.3">
      <c r="A211" s="25"/>
      <c r="B211" s="28" t="s">
        <v>1004</v>
      </c>
      <c r="C211" s="28"/>
      <c r="D211" s="28"/>
      <c r="E211" s="28" t="s">
        <v>35</v>
      </c>
      <c r="F211" s="28">
        <v>25</v>
      </c>
      <c r="G211" s="28">
        <v>10.1808</v>
      </c>
      <c r="H211" s="28">
        <v>5</v>
      </c>
      <c r="I211" s="28" t="s">
        <v>29</v>
      </c>
    </row>
    <row r="212" spans="1:9" x14ac:dyDescent="0.3">
      <c r="A212" s="25"/>
      <c r="B212" s="27" t="s">
        <v>1005</v>
      </c>
      <c r="C212" s="27"/>
      <c r="D212" s="27"/>
      <c r="E212" s="27" t="s">
        <v>35</v>
      </c>
      <c r="F212" s="27">
        <v>30</v>
      </c>
      <c r="G212" s="27">
        <v>17.5</v>
      </c>
      <c r="H212" s="27">
        <v>0</v>
      </c>
      <c r="I212" s="27" t="s">
        <v>29</v>
      </c>
    </row>
    <row r="213" spans="1:9" x14ac:dyDescent="0.3">
      <c r="A213" s="25"/>
      <c r="B213" s="27" t="s">
        <v>1006</v>
      </c>
      <c r="C213" s="27"/>
      <c r="D213" s="27"/>
      <c r="E213" s="27" t="s">
        <v>35</v>
      </c>
      <c r="F213" s="27">
        <v>10</v>
      </c>
      <c r="G213" s="27">
        <v>3.7757000000000001</v>
      </c>
      <c r="H213" s="27">
        <v>5</v>
      </c>
      <c r="I213" s="27" t="s">
        <v>29</v>
      </c>
    </row>
    <row r="214" spans="1:9" x14ac:dyDescent="0.3">
      <c r="A214" s="25"/>
      <c r="B214" s="28" t="s">
        <v>1007</v>
      </c>
      <c r="C214" s="28"/>
      <c r="D214" s="28"/>
      <c r="E214" s="28" t="s">
        <v>35</v>
      </c>
      <c r="F214" s="28">
        <v>25</v>
      </c>
      <c r="G214" s="28">
        <v>13.7746</v>
      </c>
      <c r="H214" s="28">
        <v>15</v>
      </c>
      <c r="I214" s="28" t="s">
        <v>29</v>
      </c>
    </row>
    <row r="215" spans="1:9" x14ac:dyDescent="0.3">
      <c r="A215" s="25"/>
      <c r="B215" s="27" t="s">
        <v>1008</v>
      </c>
      <c r="C215" s="27"/>
      <c r="D215" s="27"/>
      <c r="E215" s="27" t="s">
        <v>35</v>
      </c>
      <c r="F215" s="27">
        <v>20</v>
      </c>
      <c r="G215" s="27">
        <v>11.060600000000001</v>
      </c>
      <c r="H215" s="27">
        <v>15</v>
      </c>
      <c r="I215" s="27" t="s">
        <v>29</v>
      </c>
    </row>
    <row r="216" spans="1:9" x14ac:dyDescent="0.3">
      <c r="A216" s="25"/>
      <c r="B216" s="28" t="s">
        <v>1009</v>
      </c>
      <c r="C216" s="28"/>
      <c r="D216" s="28"/>
      <c r="E216" s="28" t="s">
        <v>35</v>
      </c>
      <c r="F216" s="28">
        <v>25</v>
      </c>
      <c r="G216" s="28">
        <v>10</v>
      </c>
      <c r="H216" s="28">
        <v>2</v>
      </c>
      <c r="I216" s="28" t="s">
        <v>29</v>
      </c>
    </row>
    <row r="217" spans="1:9" x14ac:dyDescent="0.3">
      <c r="A217" s="25"/>
      <c r="B217" s="27" t="s">
        <v>1010</v>
      </c>
      <c r="C217" s="27"/>
      <c r="D217" s="27"/>
      <c r="E217" s="27" t="s">
        <v>35</v>
      </c>
      <c r="F217" s="27">
        <v>40</v>
      </c>
      <c r="G217" s="27">
        <v>14.574999999999999</v>
      </c>
      <c r="H217" s="27">
        <v>0</v>
      </c>
      <c r="I217" s="27" t="s">
        <v>29</v>
      </c>
    </row>
    <row r="218" spans="1:9" x14ac:dyDescent="0.3">
      <c r="A218" s="25"/>
      <c r="B218" s="28" t="s">
        <v>1011</v>
      </c>
      <c r="C218" s="28"/>
      <c r="D218" s="28"/>
      <c r="E218" s="28" t="s">
        <v>35</v>
      </c>
      <c r="F218" s="28">
        <v>10</v>
      </c>
      <c r="G218" s="28">
        <v>5.5</v>
      </c>
      <c r="H218" s="28">
        <v>0</v>
      </c>
      <c r="I218" s="28" t="s">
        <v>29</v>
      </c>
    </row>
    <row r="219" spans="1:9" x14ac:dyDescent="0.3">
      <c r="A219" s="25"/>
      <c r="B219" s="28" t="s">
        <v>1012</v>
      </c>
      <c r="C219" s="28"/>
      <c r="D219" s="28"/>
      <c r="E219" s="28" t="s">
        <v>35</v>
      </c>
      <c r="F219" s="28">
        <v>85</v>
      </c>
      <c r="G219" s="28">
        <v>28</v>
      </c>
      <c r="H219" s="28">
        <v>0</v>
      </c>
      <c r="I219" s="28" t="s">
        <v>29</v>
      </c>
    </row>
    <row r="220" spans="1:9" x14ac:dyDescent="0.3">
      <c r="A220" s="25"/>
      <c r="B220" s="27" t="s">
        <v>1013</v>
      </c>
      <c r="C220" s="27"/>
      <c r="D220" s="27"/>
      <c r="E220" s="27" t="s">
        <v>35</v>
      </c>
      <c r="F220" s="27">
        <v>75</v>
      </c>
      <c r="G220" s="27">
        <v>28.75</v>
      </c>
      <c r="H220" s="27">
        <v>0</v>
      </c>
      <c r="I220" s="27" t="s">
        <v>29</v>
      </c>
    </row>
    <row r="221" spans="1:9" x14ac:dyDescent="0.3">
      <c r="A221" s="25"/>
      <c r="B221" s="27" t="s">
        <v>1014</v>
      </c>
      <c r="C221" s="27"/>
      <c r="D221" s="27"/>
      <c r="E221" s="27" t="s">
        <v>35</v>
      </c>
      <c r="F221" s="27">
        <v>140</v>
      </c>
      <c r="G221" s="27">
        <v>30</v>
      </c>
      <c r="H221" s="27">
        <v>0</v>
      </c>
      <c r="I221" s="27" t="s">
        <v>29</v>
      </c>
    </row>
    <row r="222" spans="1:9" x14ac:dyDescent="0.3">
      <c r="A222" s="25"/>
      <c r="B222" s="28" t="s">
        <v>1015</v>
      </c>
      <c r="C222" s="28"/>
      <c r="D222" s="28"/>
      <c r="E222" s="28" t="s">
        <v>35</v>
      </c>
      <c r="F222" s="28">
        <v>55</v>
      </c>
      <c r="G222" s="28">
        <v>17.363600000000002</v>
      </c>
      <c r="H222" s="28">
        <v>0</v>
      </c>
      <c r="I222" s="28" t="s">
        <v>29</v>
      </c>
    </row>
    <row r="223" spans="1:9" x14ac:dyDescent="0.3">
      <c r="A223" s="25"/>
      <c r="B223" s="28" t="s">
        <v>1016</v>
      </c>
      <c r="C223" s="28"/>
      <c r="D223" s="28"/>
      <c r="E223" s="28" t="s">
        <v>35</v>
      </c>
      <c r="F223" s="28">
        <v>320</v>
      </c>
      <c r="G223" s="28">
        <v>225</v>
      </c>
      <c r="H223" s="28">
        <v>1</v>
      </c>
      <c r="I223" s="28" t="s">
        <v>29</v>
      </c>
    </row>
    <row r="224" spans="1:9" x14ac:dyDescent="0.3">
      <c r="A224" s="25"/>
      <c r="B224" s="28" t="s">
        <v>1017</v>
      </c>
      <c r="C224" s="28"/>
      <c r="D224" s="28"/>
      <c r="E224" s="28" t="s">
        <v>35</v>
      </c>
      <c r="F224" s="28">
        <v>90</v>
      </c>
      <c r="G224" s="28">
        <v>35</v>
      </c>
      <c r="H224" s="28">
        <v>0</v>
      </c>
      <c r="I224" s="28" t="s">
        <v>29</v>
      </c>
    </row>
    <row r="225" spans="1:9" x14ac:dyDescent="0.3">
      <c r="A225" s="25"/>
      <c r="B225" s="28" t="s">
        <v>1018</v>
      </c>
      <c r="C225" s="28"/>
      <c r="D225" s="28"/>
      <c r="E225" s="28" t="s">
        <v>35</v>
      </c>
      <c r="F225" s="28">
        <v>110</v>
      </c>
      <c r="G225" s="28">
        <v>58</v>
      </c>
      <c r="H225" s="28">
        <v>0</v>
      </c>
      <c r="I225" s="28" t="s">
        <v>29</v>
      </c>
    </row>
    <row r="226" spans="1:9" x14ac:dyDescent="0.3">
      <c r="A226" s="25"/>
      <c r="B226" s="27" t="s">
        <v>1019</v>
      </c>
      <c r="C226" s="27"/>
      <c r="D226" s="27"/>
      <c r="E226" s="27" t="s">
        <v>35</v>
      </c>
      <c r="F226" s="27">
        <v>100</v>
      </c>
      <c r="G226" s="27">
        <v>48</v>
      </c>
      <c r="H226" s="27">
        <v>0</v>
      </c>
      <c r="I226" s="27" t="s">
        <v>29</v>
      </c>
    </row>
    <row r="227" spans="1:9" x14ac:dyDescent="0.3">
      <c r="A227" s="25"/>
      <c r="B227" s="27" t="s">
        <v>1020</v>
      </c>
      <c r="C227" s="27"/>
      <c r="D227" s="27"/>
      <c r="E227" s="27" t="s">
        <v>35</v>
      </c>
      <c r="F227" s="27">
        <v>1050</v>
      </c>
      <c r="G227" s="27">
        <v>401.72</v>
      </c>
      <c r="H227" s="27">
        <v>0</v>
      </c>
      <c r="I227" s="27" t="s">
        <v>29</v>
      </c>
    </row>
    <row r="228" spans="1:9" x14ac:dyDescent="0.3">
      <c r="A228" s="25"/>
      <c r="B228" s="27" t="s">
        <v>1021</v>
      </c>
      <c r="C228" s="27"/>
      <c r="D228" s="27"/>
      <c r="E228" s="27" t="s">
        <v>35</v>
      </c>
      <c r="F228" s="27">
        <v>900</v>
      </c>
      <c r="G228" s="27">
        <v>340</v>
      </c>
      <c r="H228" s="27">
        <v>0</v>
      </c>
      <c r="I228" s="27" t="s">
        <v>29</v>
      </c>
    </row>
    <row r="229" spans="1:9" x14ac:dyDescent="0.3">
      <c r="A229" s="25"/>
      <c r="B229" s="27" t="s">
        <v>1022</v>
      </c>
      <c r="C229" s="27"/>
      <c r="D229" s="27"/>
      <c r="E229" s="27" t="s">
        <v>35</v>
      </c>
      <c r="F229" s="27">
        <v>150</v>
      </c>
      <c r="G229" s="27">
        <v>42</v>
      </c>
      <c r="H229" s="27">
        <v>0</v>
      </c>
      <c r="I229" s="27" t="s">
        <v>29</v>
      </c>
    </row>
    <row r="230" spans="1:9" x14ac:dyDescent="0.3">
      <c r="A230" s="25"/>
      <c r="B230" s="27" t="s">
        <v>1023</v>
      </c>
      <c r="C230" s="27"/>
      <c r="D230" s="27"/>
      <c r="E230" s="27" t="s">
        <v>35</v>
      </c>
      <c r="F230" s="27">
        <v>170</v>
      </c>
      <c r="G230" s="27">
        <v>59</v>
      </c>
      <c r="H230" s="27">
        <v>0</v>
      </c>
      <c r="I230" s="27" t="s">
        <v>29</v>
      </c>
    </row>
    <row r="231" spans="1:9" x14ac:dyDescent="0.3">
      <c r="A231" s="25"/>
      <c r="B231" s="27" t="s">
        <v>1024</v>
      </c>
      <c r="C231" s="27"/>
      <c r="D231" s="27"/>
      <c r="E231" s="27" t="s">
        <v>35</v>
      </c>
      <c r="F231" s="27">
        <v>220</v>
      </c>
      <c r="G231" s="27">
        <v>140</v>
      </c>
      <c r="H231" s="27">
        <v>2</v>
      </c>
      <c r="I231" s="27" t="s">
        <v>29</v>
      </c>
    </row>
    <row r="232" spans="1:9" x14ac:dyDescent="0.3">
      <c r="A232" s="25"/>
      <c r="B232" s="27" t="s">
        <v>1025</v>
      </c>
      <c r="C232" s="27"/>
      <c r="D232" s="27"/>
      <c r="E232" s="27" t="s">
        <v>35</v>
      </c>
      <c r="F232" s="27">
        <v>25</v>
      </c>
      <c r="G232" s="27">
        <v>7.5</v>
      </c>
      <c r="H232" s="27">
        <v>10</v>
      </c>
      <c r="I232" s="27" t="s">
        <v>29</v>
      </c>
    </row>
    <row r="233" spans="1:9" x14ac:dyDescent="0.3">
      <c r="A233" s="25"/>
      <c r="B233" s="27" t="s">
        <v>1026</v>
      </c>
      <c r="C233" s="27"/>
      <c r="D233" s="27"/>
      <c r="E233" s="27" t="s">
        <v>35</v>
      </c>
      <c r="F233" s="27">
        <v>25</v>
      </c>
      <c r="G233" s="27">
        <v>7.3326000000000002</v>
      </c>
      <c r="H233" s="27">
        <v>3</v>
      </c>
      <c r="I233" s="27" t="s">
        <v>29</v>
      </c>
    </row>
    <row r="234" spans="1:9" x14ac:dyDescent="0.3">
      <c r="A234" s="25"/>
      <c r="B234" s="28" t="s">
        <v>1027</v>
      </c>
      <c r="C234" s="28"/>
      <c r="D234" s="28"/>
      <c r="E234" s="28" t="s">
        <v>35</v>
      </c>
      <c r="F234" s="28">
        <v>80</v>
      </c>
      <c r="G234" s="28">
        <v>24.01</v>
      </c>
      <c r="H234" s="28">
        <v>5</v>
      </c>
      <c r="I234" s="28" t="s">
        <v>29</v>
      </c>
    </row>
    <row r="235" spans="1:9" x14ac:dyDescent="0.3">
      <c r="A235" s="25"/>
      <c r="B235" s="27" t="s">
        <v>1028</v>
      </c>
      <c r="C235" s="27"/>
      <c r="D235" s="27"/>
      <c r="E235" s="27" t="s">
        <v>35</v>
      </c>
      <c r="F235" s="27">
        <v>90</v>
      </c>
      <c r="G235" s="27">
        <v>29.6</v>
      </c>
      <c r="H235" s="27">
        <v>5</v>
      </c>
      <c r="I235" s="27" t="s">
        <v>29</v>
      </c>
    </row>
    <row r="236" spans="1:9" x14ac:dyDescent="0.3">
      <c r="A236" s="25"/>
      <c r="B236" s="28" t="s">
        <v>1029</v>
      </c>
      <c r="C236" s="28"/>
      <c r="D236" s="28"/>
      <c r="E236" s="28" t="s">
        <v>35</v>
      </c>
      <c r="F236" s="28">
        <v>100</v>
      </c>
      <c r="G236" s="28">
        <v>40</v>
      </c>
      <c r="H236" s="28">
        <v>5</v>
      </c>
      <c r="I236" s="28" t="s">
        <v>29</v>
      </c>
    </row>
    <row r="237" spans="1:9" x14ac:dyDescent="0.3">
      <c r="A237" s="25"/>
      <c r="B237" s="27" t="s">
        <v>1030</v>
      </c>
      <c r="C237" s="27"/>
      <c r="D237" s="27"/>
      <c r="E237" s="27" t="s">
        <v>35</v>
      </c>
      <c r="F237" s="27">
        <v>120</v>
      </c>
      <c r="G237" s="27">
        <v>50</v>
      </c>
      <c r="H237" s="27">
        <v>5</v>
      </c>
      <c r="I237" s="27" t="s">
        <v>29</v>
      </c>
    </row>
    <row r="238" spans="1:9" x14ac:dyDescent="0.3">
      <c r="A238" s="25"/>
      <c r="B238" s="27" t="s">
        <v>1031</v>
      </c>
      <c r="C238" s="27"/>
      <c r="D238" s="27"/>
      <c r="E238" s="27" t="s">
        <v>35</v>
      </c>
      <c r="F238" s="27">
        <v>520</v>
      </c>
      <c r="G238" s="27">
        <v>300</v>
      </c>
      <c r="H238" s="27">
        <v>5</v>
      </c>
      <c r="I238" s="27" t="s">
        <v>29</v>
      </c>
    </row>
    <row r="239" spans="1:9" x14ac:dyDescent="0.3">
      <c r="A239" s="25"/>
      <c r="B239" s="28" t="s">
        <v>1032</v>
      </c>
      <c r="C239" s="28"/>
      <c r="D239" s="28"/>
      <c r="E239" s="28" t="s">
        <v>29</v>
      </c>
      <c r="F239" s="28">
        <v>900</v>
      </c>
      <c r="G239" s="28">
        <v>421.17</v>
      </c>
      <c r="H239" s="28">
        <v>0</v>
      </c>
      <c r="I239" s="28" t="s">
        <v>29</v>
      </c>
    </row>
    <row r="240" spans="1:9" x14ac:dyDescent="0.3">
      <c r="A240" s="25"/>
      <c r="B240" s="27" t="s">
        <v>1033</v>
      </c>
      <c r="C240" s="27"/>
      <c r="D240" s="27"/>
      <c r="E240" s="27" t="s">
        <v>35</v>
      </c>
      <c r="F240" s="27">
        <v>90</v>
      </c>
      <c r="G240" s="27">
        <v>50</v>
      </c>
      <c r="H240" s="27">
        <v>0</v>
      </c>
      <c r="I240" s="27" t="s">
        <v>29</v>
      </c>
    </row>
    <row r="241" spans="1:9" x14ac:dyDescent="0.3">
      <c r="A241" s="25"/>
      <c r="B241" s="28" t="s">
        <v>1034</v>
      </c>
      <c r="C241" s="28"/>
      <c r="D241" s="28"/>
      <c r="E241" s="28" t="s">
        <v>35</v>
      </c>
      <c r="F241" s="28">
        <v>120</v>
      </c>
      <c r="G241" s="28">
        <v>65</v>
      </c>
      <c r="H241" s="28">
        <v>1</v>
      </c>
      <c r="I241" s="28" t="s">
        <v>29</v>
      </c>
    </row>
    <row r="242" spans="1:9" x14ac:dyDescent="0.3">
      <c r="A242" s="25"/>
      <c r="B242" s="28" t="s">
        <v>1035</v>
      </c>
      <c r="C242" s="28"/>
      <c r="D242" s="28"/>
      <c r="E242" s="28" t="s">
        <v>35</v>
      </c>
      <c r="F242" s="28">
        <v>60</v>
      </c>
      <c r="G242" s="28">
        <v>27.5</v>
      </c>
      <c r="H242" s="28">
        <v>1</v>
      </c>
      <c r="I242" s="28" t="s">
        <v>29</v>
      </c>
    </row>
    <row r="243" spans="1:9" x14ac:dyDescent="0.3">
      <c r="A243" s="25"/>
      <c r="B243" s="28" t="s">
        <v>1036</v>
      </c>
      <c r="C243" s="28"/>
      <c r="D243" s="28"/>
      <c r="E243" s="28" t="s">
        <v>35</v>
      </c>
      <c r="F243" s="28">
        <v>165</v>
      </c>
      <c r="G243" s="28">
        <v>100</v>
      </c>
      <c r="H243" s="28">
        <v>5</v>
      </c>
      <c r="I243" s="28" t="s">
        <v>29</v>
      </c>
    </row>
    <row r="244" spans="1:9" x14ac:dyDescent="0.3">
      <c r="A244" s="25"/>
      <c r="B244" s="28" t="s">
        <v>1037</v>
      </c>
      <c r="C244" s="28"/>
      <c r="D244" s="28"/>
      <c r="E244" s="28" t="s">
        <v>35</v>
      </c>
      <c r="F244" s="28">
        <v>185</v>
      </c>
      <c r="G244" s="28">
        <v>125</v>
      </c>
      <c r="H244" s="28">
        <v>0</v>
      </c>
      <c r="I244" s="28" t="s">
        <v>29</v>
      </c>
    </row>
    <row r="245" spans="1:9" x14ac:dyDescent="0.3">
      <c r="A245" s="25"/>
      <c r="B245" s="28" t="s">
        <v>1038</v>
      </c>
      <c r="C245" s="28"/>
      <c r="D245" s="28"/>
      <c r="E245" s="28" t="s">
        <v>35</v>
      </c>
      <c r="F245" s="28">
        <v>750</v>
      </c>
      <c r="G245" s="28">
        <v>580</v>
      </c>
      <c r="H245" s="28">
        <v>0</v>
      </c>
      <c r="I245" s="28" t="s">
        <v>29</v>
      </c>
    </row>
    <row r="246" spans="1:9" x14ac:dyDescent="0.3">
      <c r="A246" s="25"/>
      <c r="B246" s="28" t="s">
        <v>1039</v>
      </c>
      <c r="C246" s="28"/>
      <c r="D246" s="28"/>
      <c r="E246" s="28" t="s">
        <v>35</v>
      </c>
      <c r="F246" s="28">
        <v>25</v>
      </c>
      <c r="G246" s="28">
        <v>8.5</v>
      </c>
      <c r="H246" s="28">
        <v>3</v>
      </c>
      <c r="I246" s="28" t="s">
        <v>29</v>
      </c>
    </row>
    <row r="247" spans="1:9" x14ac:dyDescent="0.3">
      <c r="A247" s="25"/>
      <c r="B247" s="27" t="s">
        <v>1040</v>
      </c>
      <c r="C247" s="27"/>
      <c r="D247" s="27"/>
      <c r="E247" s="27" t="s">
        <v>35</v>
      </c>
      <c r="F247" s="27">
        <v>60</v>
      </c>
      <c r="G247" s="27">
        <v>25</v>
      </c>
      <c r="H247" s="27">
        <v>3</v>
      </c>
      <c r="I247" s="27" t="s">
        <v>29</v>
      </c>
    </row>
    <row r="248" spans="1:9" x14ac:dyDescent="0.3">
      <c r="A248" s="25"/>
      <c r="B248" s="27" t="s">
        <v>1041</v>
      </c>
      <c r="C248" s="27"/>
      <c r="D248" s="27"/>
      <c r="E248" s="27" t="s">
        <v>35</v>
      </c>
      <c r="F248" s="27">
        <v>25</v>
      </c>
      <c r="G248" s="27">
        <v>10.922700000000001</v>
      </c>
      <c r="H248" s="27">
        <v>10</v>
      </c>
      <c r="I248" s="27" t="s">
        <v>29</v>
      </c>
    </row>
    <row r="249" spans="1:9" x14ac:dyDescent="0.3">
      <c r="A249" s="25"/>
      <c r="B249" s="28" t="s">
        <v>1042</v>
      </c>
      <c r="C249" s="28"/>
      <c r="D249" s="28"/>
      <c r="E249" s="28" t="s">
        <v>35</v>
      </c>
      <c r="F249" s="28">
        <v>25</v>
      </c>
      <c r="G249" s="28">
        <v>15</v>
      </c>
      <c r="H249" s="28">
        <v>3</v>
      </c>
      <c r="I249" s="28" t="s">
        <v>29</v>
      </c>
    </row>
    <row r="250" spans="1:9" x14ac:dyDescent="0.3">
      <c r="A250" s="25"/>
      <c r="B250" s="28" t="s">
        <v>1043</v>
      </c>
      <c r="C250" s="28"/>
      <c r="D250" s="28"/>
      <c r="E250" s="28" t="s">
        <v>35</v>
      </c>
      <c r="F250" s="28">
        <v>25</v>
      </c>
      <c r="G250" s="28">
        <v>15</v>
      </c>
      <c r="H250" s="28">
        <v>10</v>
      </c>
      <c r="I250" s="28" t="s">
        <v>29</v>
      </c>
    </row>
    <row r="251" spans="1:9" x14ac:dyDescent="0.3">
      <c r="A251" s="25"/>
      <c r="B251" s="28" t="s">
        <v>1044</v>
      </c>
      <c r="C251" s="28"/>
      <c r="D251" s="28"/>
      <c r="E251" s="28" t="s">
        <v>35</v>
      </c>
      <c r="F251" s="28">
        <v>40</v>
      </c>
      <c r="G251" s="28">
        <v>26.17</v>
      </c>
      <c r="H251" s="28">
        <v>5</v>
      </c>
      <c r="I251" s="28" t="s">
        <v>29</v>
      </c>
    </row>
    <row r="252" spans="1:9" x14ac:dyDescent="0.3">
      <c r="A252" s="25"/>
      <c r="B252" s="27" t="s">
        <v>1045</v>
      </c>
      <c r="C252" s="27"/>
      <c r="D252" s="27"/>
      <c r="E252" s="27" t="s">
        <v>35</v>
      </c>
      <c r="F252" s="27">
        <v>15</v>
      </c>
      <c r="G252" s="27">
        <v>7.5</v>
      </c>
      <c r="H252" s="27">
        <v>0</v>
      </c>
      <c r="I252" s="27" t="s">
        <v>29</v>
      </c>
    </row>
    <row r="253" spans="1:9" x14ac:dyDescent="0.3">
      <c r="A253" s="25"/>
      <c r="B253" s="28" t="s">
        <v>1046</v>
      </c>
      <c r="C253" s="28"/>
      <c r="D253" s="28"/>
      <c r="E253" s="28" t="s">
        <v>35</v>
      </c>
      <c r="F253" s="28">
        <v>25</v>
      </c>
      <c r="G253" s="28">
        <v>7.5378999999999996</v>
      </c>
      <c r="H253" s="28">
        <v>5</v>
      </c>
      <c r="I253" s="28" t="s">
        <v>29</v>
      </c>
    </row>
    <row r="254" spans="1:9" x14ac:dyDescent="0.3">
      <c r="A254" s="25"/>
      <c r="B254" s="27" t="s">
        <v>1047</v>
      </c>
      <c r="C254" s="27"/>
      <c r="D254" s="27"/>
      <c r="E254" s="27" t="s">
        <v>35</v>
      </c>
      <c r="F254" s="27">
        <v>80</v>
      </c>
      <c r="G254" s="27">
        <v>48</v>
      </c>
      <c r="H254" s="27">
        <v>5</v>
      </c>
      <c r="I254" s="27" t="s">
        <v>29</v>
      </c>
    </row>
    <row r="255" spans="1:9" x14ac:dyDescent="0.3">
      <c r="A255" s="25"/>
      <c r="B255" s="28" t="s">
        <v>1048</v>
      </c>
      <c r="C255" s="28"/>
      <c r="D255" s="28"/>
      <c r="E255" s="28" t="s">
        <v>35</v>
      </c>
      <c r="F255" s="28">
        <v>55</v>
      </c>
      <c r="G255" s="28">
        <v>54</v>
      </c>
      <c r="H255" s="28">
        <v>5</v>
      </c>
      <c r="I255" s="28" t="s">
        <v>29</v>
      </c>
    </row>
    <row r="256" spans="1:9" x14ac:dyDescent="0.3">
      <c r="A256" s="25"/>
      <c r="B256" s="28" t="s">
        <v>1049</v>
      </c>
      <c r="C256" s="28"/>
      <c r="D256" s="28"/>
      <c r="E256" s="28" t="s">
        <v>35</v>
      </c>
      <c r="F256" s="28">
        <v>20</v>
      </c>
      <c r="G256" s="28">
        <v>8.3390000000000004</v>
      </c>
      <c r="H256" s="28">
        <v>5</v>
      </c>
      <c r="I256" s="28" t="s">
        <v>29</v>
      </c>
    </row>
    <row r="257" spans="1:9" x14ac:dyDescent="0.3">
      <c r="A257" s="25"/>
      <c r="B257" s="28" t="s">
        <v>1050</v>
      </c>
      <c r="C257" s="28"/>
      <c r="D257" s="28"/>
      <c r="E257" s="28" t="s">
        <v>35</v>
      </c>
      <c r="F257" s="28">
        <v>90</v>
      </c>
      <c r="G257" s="28">
        <v>35</v>
      </c>
      <c r="H257" s="28">
        <v>2</v>
      </c>
      <c r="I257" s="28" t="s">
        <v>29</v>
      </c>
    </row>
    <row r="258" spans="1:9" x14ac:dyDescent="0.3">
      <c r="A258" s="25"/>
      <c r="B258" s="27" t="s">
        <v>1051</v>
      </c>
      <c r="C258" s="27"/>
      <c r="D258" s="27"/>
      <c r="E258" s="27" t="s">
        <v>35</v>
      </c>
      <c r="F258" s="27">
        <v>15</v>
      </c>
      <c r="G258" s="27">
        <v>4</v>
      </c>
      <c r="H258" s="27">
        <v>5</v>
      </c>
      <c r="I258" s="27" t="s">
        <v>29</v>
      </c>
    </row>
    <row r="259" spans="1:9" x14ac:dyDescent="0.3">
      <c r="A259" s="25"/>
      <c r="B259" s="28" t="s">
        <v>1052</v>
      </c>
      <c r="C259" s="28"/>
      <c r="D259" s="28"/>
      <c r="E259" s="28" t="s">
        <v>35</v>
      </c>
      <c r="F259" s="28">
        <v>25</v>
      </c>
      <c r="G259" s="28">
        <v>17.909099999999999</v>
      </c>
      <c r="H259" s="28">
        <v>3</v>
      </c>
      <c r="I259" s="28" t="s">
        <v>29</v>
      </c>
    </row>
    <row r="260" spans="1:9" x14ac:dyDescent="0.3">
      <c r="A260" s="25"/>
      <c r="B260" s="27" t="s">
        <v>1053</v>
      </c>
      <c r="C260" s="27"/>
      <c r="D260" s="27"/>
      <c r="E260" s="27" t="s">
        <v>35</v>
      </c>
      <c r="F260" s="27">
        <v>45</v>
      </c>
      <c r="G260" s="27">
        <v>32</v>
      </c>
      <c r="H260" s="27">
        <v>3</v>
      </c>
      <c r="I260" s="27" t="s">
        <v>29</v>
      </c>
    </row>
    <row r="261" spans="1:9" x14ac:dyDescent="0.3">
      <c r="A261" s="25"/>
      <c r="B261" s="28" t="s">
        <v>1054</v>
      </c>
      <c r="C261" s="28"/>
      <c r="D261" s="28"/>
      <c r="E261" s="28" t="s">
        <v>35</v>
      </c>
      <c r="F261" s="28">
        <v>80</v>
      </c>
      <c r="G261" s="28">
        <v>25</v>
      </c>
      <c r="H261" s="28">
        <v>2</v>
      </c>
      <c r="I261" s="28" t="s">
        <v>29</v>
      </c>
    </row>
    <row r="262" spans="1:9" x14ac:dyDescent="0.3">
      <c r="A262" s="25"/>
      <c r="B262" s="27" t="s">
        <v>1055</v>
      </c>
      <c r="C262" s="27"/>
      <c r="D262" s="27"/>
      <c r="E262" s="27" t="s">
        <v>35</v>
      </c>
      <c r="F262" s="27">
        <v>35</v>
      </c>
      <c r="G262" s="27">
        <v>10.2784</v>
      </c>
      <c r="H262" s="27">
        <v>5</v>
      </c>
      <c r="I262" s="27" t="s">
        <v>29</v>
      </c>
    </row>
    <row r="263" spans="1:9" x14ac:dyDescent="0.3">
      <c r="A263" s="25"/>
      <c r="B263" s="27" t="s">
        <v>1056</v>
      </c>
      <c r="C263" s="27"/>
      <c r="D263" s="27"/>
      <c r="E263" s="27" t="s">
        <v>35</v>
      </c>
      <c r="F263" s="27">
        <v>50</v>
      </c>
      <c r="G263" s="27">
        <v>16</v>
      </c>
      <c r="H263" s="27">
        <v>5</v>
      </c>
      <c r="I263" s="27" t="s">
        <v>29</v>
      </c>
    </row>
    <row r="264" spans="1:9" x14ac:dyDescent="0.3">
      <c r="A264" s="25"/>
      <c r="B264" s="27" t="s">
        <v>1057</v>
      </c>
      <c r="C264" s="27"/>
      <c r="D264" s="27"/>
      <c r="E264" s="27" t="s">
        <v>35</v>
      </c>
      <c r="F264" s="27">
        <v>20</v>
      </c>
      <c r="G264" s="27">
        <v>7.5</v>
      </c>
      <c r="H264" s="27">
        <v>5</v>
      </c>
      <c r="I264" s="27" t="s">
        <v>29</v>
      </c>
    </row>
    <row r="265" spans="1:9" x14ac:dyDescent="0.3">
      <c r="A265" s="25"/>
      <c r="B265" s="28" t="s">
        <v>1058</v>
      </c>
      <c r="C265" s="28"/>
      <c r="D265" s="28"/>
      <c r="E265" s="28" t="s">
        <v>35</v>
      </c>
      <c r="F265" s="28">
        <v>60</v>
      </c>
      <c r="G265" s="28">
        <v>28</v>
      </c>
      <c r="H265" s="28">
        <v>2</v>
      </c>
      <c r="I265" s="28" t="s">
        <v>29</v>
      </c>
    </row>
    <row r="266" spans="1:9" x14ac:dyDescent="0.3">
      <c r="A266" s="25"/>
      <c r="B266" s="28" t="s">
        <v>1059</v>
      </c>
      <c r="C266" s="28"/>
      <c r="D266" s="28"/>
      <c r="E266" s="28" t="s">
        <v>35</v>
      </c>
      <c r="F266" s="28">
        <v>65</v>
      </c>
      <c r="G266" s="28">
        <v>30</v>
      </c>
      <c r="H266" s="28">
        <v>2</v>
      </c>
      <c r="I266" s="28" t="s">
        <v>29</v>
      </c>
    </row>
    <row r="267" spans="1:9" x14ac:dyDescent="0.3">
      <c r="A267" s="25"/>
      <c r="B267" s="27" t="s">
        <v>1060</v>
      </c>
      <c r="C267" s="27"/>
      <c r="D267" s="27"/>
      <c r="E267" s="27" t="s">
        <v>35</v>
      </c>
      <c r="F267" s="27">
        <v>85</v>
      </c>
      <c r="G267" s="27">
        <v>43.75</v>
      </c>
      <c r="H267" s="27">
        <v>5</v>
      </c>
      <c r="I267" s="27" t="s">
        <v>29</v>
      </c>
    </row>
    <row r="268" spans="1:9" x14ac:dyDescent="0.3">
      <c r="A268" s="25"/>
      <c r="B268" s="28" t="s">
        <v>1061</v>
      </c>
      <c r="C268" s="28"/>
      <c r="D268" s="28"/>
      <c r="E268" s="28" t="s">
        <v>35</v>
      </c>
      <c r="F268" s="28">
        <v>100</v>
      </c>
      <c r="G268" s="28">
        <v>57.177199999999999</v>
      </c>
      <c r="H268" s="28">
        <v>0</v>
      </c>
      <c r="I268" s="28" t="s">
        <v>29</v>
      </c>
    </row>
    <row r="269" spans="1:9" x14ac:dyDescent="0.3">
      <c r="A269" s="25"/>
      <c r="B269" s="28" t="s">
        <v>1062</v>
      </c>
      <c r="C269" s="28"/>
      <c r="D269" s="28"/>
      <c r="E269" s="28" t="s">
        <v>35</v>
      </c>
      <c r="F269" s="28">
        <v>25</v>
      </c>
      <c r="G269" s="28">
        <v>9.2188999999999997</v>
      </c>
      <c r="H269" s="28">
        <v>3</v>
      </c>
      <c r="I269" s="28" t="s">
        <v>29</v>
      </c>
    </row>
    <row r="270" spans="1:9" x14ac:dyDescent="0.3">
      <c r="A270" s="25"/>
      <c r="B270" s="27" t="s">
        <v>1063</v>
      </c>
      <c r="C270" s="27"/>
      <c r="D270" s="27"/>
      <c r="E270" s="27" t="s">
        <v>35</v>
      </c>
      <c r="F270" s="27">
        <v>25</v>
      </c>
      <c r="G270" s="27">
        <v>9.6641999999999992</v>
      </c>
      <c r="H270" s="27">
        <v>5</v>
      </c>
      <c r="I270" s="27" t="s">
        <v>29</v>
      </c>
    </row>
    <row r="271" spans="1:9" x14ac:dyDescent="0.3">
      <c r="A271" s="25"/>
      <c r="B271" s="27" t="s">
        <v>1064</v>
      </c>
      <c r="C271" s="27"/>
      <c r="D271" s="27"/>
      <c r="E271" s="27" t="s">
        <v>35</v>
      </c>
      <c r="F271" s="27">
        <v>65</v>
      </c>
      <c r="G271" s="27">
        <v>40</v>
      </c>
      <c r="H271" s="27">
        <v>0</v>
      </c>
      <c r="I271" s="27" t="s">
        <v>29</v>
      </c>
    </row>
    <row r="272" spans="1:9" x14ac:dyDescent="0.3">
      <c r="A272" s="25"/>
      <c r="B272" s="27" t="s">
        <v>1065</v>
      </c>
      <c r="C272" s="27"/>
      <c r="D272" s="27"/>
      <c r="E272" s="27" t="s">
        <v>35</v>
      </c>
      <c r="F272" s="27">
        <v>250</v>
      </c>
      <c r="G272" s="27">
        <v>170</v>
      </c>
      <c r="H272" s="27">
        <v>3</v>
      </c>
      <c r="I272" s="27" t="s">
        <v>29</v>
      </c>
    </row>
    <row r="273" spans="1:9" x14ac:dyDescent="0.3">
      <c r="A273" s="25"/>
      <c r="B273" s="27" t="s">
        <v>1066</v>
      </c>
      <c r="C273" s="27"/>
      <c r="D273" s="27"/>
      <c r="E273" s="27" t="s">
        <v>35</v>
      </c>
      <c r="F273" s="27">
        <v>100</v>
      </c>
      <c r="G273" s="27">
        <v>60</v>
      </c>
      <c r="H273" s="27">
        <v>5</v>
      </c>
      <c r="I273" s="27" t="s">
        <v>29</v>
      </c>
    </row>
    <row r="274" spans="1:9" x14ac:dyDescent="0.3">
      <c r="A274" s="25"/>
      <c r="B274" s="28" t="s">
        <v>1067</v>
      </c>
      <c r="C274" s="28"/>
      <c r="D274" s="28"/>
      <c r="E274" s="28" t="s">
        <v>35</v>
      </c>
      <c r="F274" s="28">
        <v>145</v>
      </c>
      <c r="G274" s="28">
        <v>70</v>
      </c>
      <c r="H274" s="28">
        <v>5</v>
      </c>
      <c r="I274" s="28" t="s">
        <v>29</v>
      </c>
    </row>
    <row r="275" spans="1:9" x14ac:dyDescent="0.3">
      <c r="A275" s="25"/>
      <c r="B275" s="28" t="s">
        <v>1068</v>
      </c>
      <c r="C275" s="28"/>
      <c r="D275" s="28"/>
      <c r="E275" s="28" t="s">
        <v>35</v>
      </c>
      <c r="F275" s="28">
        <v>350</v>
      </c>
      <c r="G275" s="28">
        <v>140</v>
      </c>
      <c r="H275" s="28">
        <v>3</v>
      </c>
      <c r="I275" s="28" t="s">
        <v>29</v>
      </c>
    </row>
    <row r="276" spans="1:9" x14ac:dyDescent="0.3">
      <c r="A276" s="25"/>
      <c r="B276" s="27" t="s">
        <v>1069</v>
      </c>
      <c r="C276" s="27"/>
      <c r="D276" s="27"/>
      <c r="E276" s="27" t="s">
        <v>35</v>
      </c>
      <c r="F276" s="27">
        <v>440</v>
      </c>
      <c r="G276" s="27">
        <v>180</v>
      </c>
      <c r="H276" s="27">
        <v>3</v>
      </c>
      <c r="I276" s="27" t="s">
        <v>29</v>
      </c>
    </row>
    <row r="277" spans="1:9" x14ac:dyDescent="0.3">
      <c r="A277" s="25"/>
      <c r="B277" s="28" t="s">
        <v>1070</v>
      </c>
      <c r="C277" s="28"/>
      <c r="D277" s="28"/>
      <c r="E277" s="28" t="s">
        <v>35</v>
      </c>
      <c r="F277" s="28">
        <v>500</v>
      </c>
      <c r="G277" s="28">
        <v>250</v>
      </c>
      <c r="H277" s="28">
        <v>2</v>
      </c>
      <c r="I277" s="28" t="s">
        <v>29</v>
      </c>
    </row>
    <row r="278" spans="1:9" x14ac:dyDescent="0.3">
      <c r="A278" s="25"/>
      <c r="B278" s="27" t="s">
        <v>1071</v>
      </c>
      <c r="C278" s="27"/>
      <c r="D278" s="27"/>
      <c r="E278" s="27" t="s">
        <v>35</v>
      </c>
      <c r="F278" s="27">
        <v>15</v>
      </c>
      <c r="G278" s="27">
        <v>6.5</v>
      </c>
      <c r="H278" s="27">
        <v>15</v>
      </c>
      <c r="I278" s="27" t="s">
        <v>29</v>
      </c>
    </row>
    <row r="279" spans="1:9" x14ac:dyDescent="0.3">
      <c r="A279" s="25"/>
      <c r="B279" s="27" t="s">
        <v>1072</v>
      </c>
      <c r="C279" s="27"/>
      <c r="D279" s="27"/>
      <c r="E279" s="27" t="s">
        <v>35</v>
      </c>
      <c r="F279" s="27">
        <v>7</v>
      </c>
      <c r="G279" s="27">
        <v>3</v>
      </c>
      <c r="H279" s="27">
        <v>50</v>
      </c>
      <c r="I279" s="27" t="s">
        <v>29</v>
      </c>
    </row>
    <row r="280" spans="1:9" x14ac:dyDescent="0.3">
      <c r="A280" s="25"/>
      <c r="B280" s="28" t="s">
        <v>1073</v>
      </c>
      <c r="C280" s="28"/>
      <c r="D280" s="28"/>
      <c r="E280" s="28" t="s">
        <v>35</v>
      </c>
      <c r="F280" s="28">
        <v>10</v>
      </c>
      <c r="G280" s="28">
        <v>3</v>
      </c>
      <c r="H280" s="28">
        <v>25</v>
      </c>
      <c r="I280" s="28" t="s">
        <v>29</v>
      </c>
    </row>
    <row r="281" spans="1:9" x14ac:dyDescent="0.3">
      <c r="A281" s="25"/>
      <c r="B281" s="27" t="s">
        <v>1074</v>
      </c>
      <c r="C281" s="27"/>
      <c r="D281" s="27"/>
      <c r="E281" s="27" t="s">
        <v>29</v>
      </c>
      <c r="F281" s="27">
        <v>1400</v>
      </c>
      <c r="G281" s="27">
        <v>885</v>
      </c>
      <c r="H281" s="27">
        <v>0</v>
      </c>
      <c r="I281" s="27" t="s">
        <v>29</v>
      </c>
    </row>
    <row r="282" spans="1:9" x14ac:dyDescent="0.3">
      <c r="A282" s="25"/>
      <c r="B282" s="27" t="s">
        <v>1075</v>
      </c>
      <c r="C282" s="27"/>
      <c r="D282" s="27"/>
      <c r="E282" s="27" t="s">
        <v>35</v>
      </c>
      <c r="F282" s="27">
        <v>280</v>
      </c>
      <c r="G282" s="27">
        <v>168</v>
      </c>
      <c r="H282" s="27">
        <v>0</v>
      </c>
      <c r="I282" s="27" t="s">
        <v>29</v>
      </c>
    </row>
    <row r="283" spans="1:9" x14ac:dyDescent="0.3">
      <c r="A283" s="25"/>
      <c r="B283" s="28" t="s">
        <v>1076</v>
      </c>
      <c r="C283" s="28"/>
      <c r="D283" s="28"/>
      <c r="E283" s="28" t="s">
        <v>35</v>
      </c>
      <c r="F283" s="28">
        <v>210</v>
      </c>
      <c r="G283" s="28">
        <v>160</v>
      </c>
      <c r="H283" s="28">
        <v>2</v>
      </c>
      <c r="I283" s="28" t="s">
        <v>29</v>
      </c>
    </row>
    <row r="284" spans="1:9" x14ac:dyDescent="0.3">
      <c r="A284" s="25"/>
      <c r="B284" s="28" t="s">
        <v>1077</v>
      </c>
      <c r="C284" s="28"/>
      <c r="D284" s="28"/>
      <c r="E284" s="28" t="s">
        <v>35</v>
      </c>
      <c r="F284" s="28">
        <v>300</v>
      </c>
      <c r="G284" s="28">
        <v>200</v>
      </c>
      <c r="H284" s="28">
        <v>3</v>
      </c>
      <c r="I284" s="28" t="s">
        <v>29</v>
      </c>
    </row>
    <row r="285" spans="1:9" x14ac:dyDescent="0.3">
      <c r="A285" s="25"/>
      <c r="B285" s="28" t="s">
        <v>1078</v>
      </c>
      <c r="C285" s="28"/>
      <c r="D285" s="28"/>
      <c r="E285" s="28" t="s">
        <v>35</v>
      </c>
      <c r="F285" s="28">
        <v>100</v>
      </c>
      <c r="G285" s="28">
        <v>45</v>
      </c>
      <c r="H285" s="28">
        <v>5</v>
      </c>
      <c r="I285" s="28" t="s">
        <v>29</v>
      </c>
    </row>
    <row r="286" spans="1:9" x14ac:dyDescent="0.3">
      <c r="A286" s="25"/>
      <c r="B286" s="28" t="s">
        <v>1079</v>
      </c>
      <c r="C286" s="28"/>
      <c r="D286" s="28"/>
      <c r="E286" s="28" t="s">
        <v>35</v>
      </c>
      <c r="F286" s="28">
        <v>200</v>
      </c>
      <c r="G286" s="28">
        <v>250</v>
      </c>
      <c r="H286" s="28">
        <v>3</v>
      </c>
      <c r="I286" s="28" t="s">
        <v>29</v>
      </c>
    </row>
    <row r="287" spans="1:9" x14ac:dyDescent="0.3">
      <c r="A287" s="25"/>
      <c r="B287" s="28" t="s">
        <v>1080</v>
      </c>
      <c r="C287" s="28"/>
      <c r="D287" s="28"/>
      <c r="E287" s="28" t="s">
        <v>35</v>
      </c>
      <c r="F287" s="28">
        <v>35</v>
      </c>
      <c r="G287" s="28">
        <v>13.7235</v>
      </c>
      <c r="H287" s="28">
        <v>5</v>
      </c>
      <c r="I287" s="28" t="s">
        <v>29</v>
      </c>
    </row>
    <row r="288" spans="1:9" x14ac:dyDescent="0.3">
      <c r="A288" s="25"/>
      <c r="B288" s="27" t="s">
        <v>1081</v>
      </c>
      <c r="C288" s="27"/>
      <c r="D288" s="27"/>
      <c r="E288" s="27" t="s">
        <v>35</v>
      </c>
      <c r="F288" s="27">
        <v>25</v>
      </c>
      <c r="G288" s="27">
        <v>10</v>
      </c>
      <c r="H288" s="27">
        <v>5</v>
      </c>
      <c r="I288" s="27" t="s">
        <v>29</v>
      </c>
    </row>
    <row r="289" spans="1:9" x14ac:dyDescent="0.3">
      <c r="A289" s="25"/>
      <c r="B289" s="27" t="s">
        <v>1082</v>
      </c>
      <c r="C289" s="27"/>
      <c r="D289" s="27"/>
      <c r="E289" s="27" t="s">
        <v>29</v>
      </c>
      <c r="F289" s="27">
        <v>140</v>
      </c>
      <c r="G289" s="27">
        <v>84</v>
      </c>
      <c r="H289" s="27">
        <v>0</v>
      </c>
      <c r="I289" s="27" t="s">
        <v>29</v>
      </c>
    </row>
    <row r="290" spans="1:9" x14ac:dyDescent="0.3">
      <c r="A290" s="25"/>
      <c r="B290" s="27" t="s">
        <v>1083</v>
      </c>
      <c r="C290" s="27"/>
      <c r="D290" s="27"/>
      <c r="E290" s="27" t="s">
        <v>29</v>
      </c>
      <c r="F290" s="27">
        <v>365</v>
      </c>
      <c r="G290" s="27">
        <v>175</v>
      </c>
      <c r="H290" s="27">
        <v>0</v>
      </c>
      <c r="I290" s="27" t="s">
        <v>29</v>
      </c>
    </row>
    <row r="291" spans="1:9" x14ac:dyDescent="0.3">
      <c r="A291" s="25"/>
      <c r="B291" s="28" t="s">
        <v>1084</v>
      </c>
      <c r="C291" s="28"/>
      <c r="D291" s="28"/>
      <c r="E291" s="28" t="s">
        <v>29</v>
      </c>
      <c r="F291" s="28">
        <v>200</v>
      </c>
      <c r="G291" s="28">
        <v>60</v>
      </c>
      <c r="H291" s="28">
        <v>0</v>
      </c>
      <c r="I291" s="28" t="s">
        <v>29</v>
      </c>
    </row>
    <row r="292" spans="1:9" x14ac:dyDescent="0.3">
      <c r="A292" s="25"/>
      <c r="B292" s="27" t="s">
        <v>1085</v>
      </c>
      <c r="C292" s="27"/>
      <c r="D292" s="27"/>
      <c r="E292" s="27" t="s">
        <v>35</v>
      </c>
      <c r="F292" s="27">
        <v>170</v>
      </c>
      <c r="G292" s="27">
        <v>120</v>
      </c>
      <c r="H292" s="27">
        <v>0</v>
      </c>
      <c r="I292" s="27" t="s">
        <v>29</v>
      </c>
    </row>
    <row r="293" spans="1:9" x14ac:dyDescent="0.3">
      <c r="A293" s="25"/>
      <c r="B293" s="27" t="s">
        <v>1086</v>
      </c>
      <c r="C293" s="27"/>
      <c r="D293" s="27"/>
      <c r="E293" s="27" t="s">
        <v>35</v>
      </c>
      <c r="F293" s="27">
        <v>25</v>
      </c>
      <c r="G293" s="27">
        <v>5</v>
      </c>
      <c r="H293" s="27">
        <v>5</v>
      </c>
      <c r="I293" s="27" t="s">
        <v>29</v>
      </c>
    </row>
    <row r="294" spans="1:9" x14ac:dyDescent="0.3">
      <c r="A294" s="25"/>
      <c r="B294" s="27" t="s">
        <v>1087</v>
      </c>
      <c r="C294" s="27"/>
      <c r="D294" s="27"/>
      <c r="E294" s="27" t="s">
        <v>35</v>
      </c>
      <c r="F294" s="27">
        <v>25</v>
      </c>
      <c r="G294" s="27">
        <v>13.590199999999999</v>
      </c>
      <c r="H294" s="27">
        <v>5</v>
      </c>
      <c r="I294" s="27" t="s">
        <v>29</v>
      </c>
    </row>
    <row r="295" spans="1:9" x14ac:dyDescent="0.3">
      <c r="A295" s="25"/>
      <c r="B295" s="27" t="s">
        <v>1088</v>
      </c>
      <c r="C295" s="27"/>
      <c r="D295" s="27"/>
      <c r="E295" s="27" t="s">
        <v>35</v>
      </c>
      <c r="F295" s="27">
        <v>35</v>
      </c>
      <c r="G295" s="27">
        <v>20</v>
      </c>
      <c r="H295" s="27">
        <v>0</v>
      </c>
      <c r="I295" s="27" t="s">
        <v>29</v>
      </c>
    </row>
    <row r="296" spans="1:9" x14ac:dyDescent="0.3">
      <c r="A296" s="25"/>
      <c r="B296" s="28" t="s">
        <v>1089</v>
      </c>
      <c r="C296" s="28"/>
      <c r="D296" s="28"/>
      <c r="E296" s="28" t="s">
        <v>35</v>
      </c>
      <c r="F296" s="28">
        <v>35</v>
      </c>
      <c r="G296" s="28">
        <v>18.941199999999998</v>
      </c>
      <c r="H296" s="28">
        <v>5</v>
      </c>
      <c r="I296" s="28" t="s">
        <v>29</v>
      </c>
    </row>
    <row r="297" spans="1:9" x14ac:dyDescent="0.3">
      <c r="A297" s="25"/>
      <c r="B297" s="27" t="s">
        <v>1090</v>
      </c>
      <c r="C297" s="27"/>
      <c r="D297" s="27"/>
      <c r="E297" s="27" t="s">
        <v>35</v>
      </c>
      <c r="F297" s="27">
        <v>45</v>
      </c>
      <c r="G297" s="27">
        <v>19.014900000000001</v>
      </c>
      <c r="H297" s="27">
        <v>5</v>
      </c>
      <c r="I297" s="27" t="s">
        <v>29</v>
      </c>
    </row>
    <row r="298" spans="1:9" x14ac:dyDescent="0.3">
      <c r="A298" s="25"/>
      <c r="B298" s="27" t="s">
        <v>1091</v>
      </c>
      <c r="C298" s="27"/>
      <c r="D298" s="27"/>
      <c r="E298" s="27" t="s">
        <v>35</v>
      </c>
      <c r="F298" s="27">
        <v>190</v>
      </c>
      <c r="G298" s="27">
        <v>150</v>
      </c>
      <c r="H298" s="27">
        <v>0</v>
      </c>
      <c r="I298" s="27" t="s">
        <v>29</v>
      </c>
    </row>
    <row r="299" spans="1:9" x14ac:dyDescent="0.3">
      <c r="A299" s="25"/>
      <c r="B299" s="27" t="s">
        <v>1092</v>
      </c>
      <c r="C299" s="27"/>
      <c r="D299" s="27"/>
      <c r="E299" s="27" t="s">
        <v>35</v>
      </c>
      <c r="F299" s="27">
        <v>20</v>
      </c>
      <c r="G299" s="27">
        <v>5</v>
      </c>
      <c r="H299" s="27">
        <v>10</v>
      </c>
      <c r="I299" s="27" t="s">
        <v>29</v>
      </c>
    </row>
    <row r="300" spans="1:9" x14ac:dyDescent="0.3">
      <c r="A300" s="25"/>
      <c r="B300" s="27" t="s">
        <v>1093</v>
      </c>
      <c r="C300" s="27"/>
      <c r="D300" s="27"/>
      <c r="E300" s="27" t="s">
        <v>35</v>
      </c>
      <c r="F300" s="27">
        <v>20</v>
      </c>
      <c r="G300" s="27">
        <v>0</v>
      </c>
      <c r="H300" s="27">
        <v>10</v>
      </c>
      <c r="I300" s="27" t="s">
        <v>29</v>
      </c>
    </row>
    <row r="301" spans="1:9" x14ac:dyDescent="0.3">
      <c r="A301" s="25"/>
      <c r="B301" s="27" t="s">
        <v>1094</v>
      </c>
      <c r="C301" s="27"/>
      <c r="D301" s="27"/>
      <c r="E301" s="27" t="s">
        <v>35</v>
      </c>
      <c r="F301" s="27">
        <v>45</v>
      </c>
      <c r="G301" s="27">
        <v>30.9375</v>
      </c>
      <c r="H301" s="27">
        <v>2</v>
      </c>
      <c r="I301" s="27" t="s">
        <v>29</v>
      </c>
    </row>
    <row r="302" spans="1:9" x14ac:dyDescent="0.3">
      <c r="A302" s="25"/>
      <c r="B302" s="27" t="s">
        <v>1095</v>
      </c>
      <c r="C302" s="27"/>
      <c r="D302" s="27"/>
      <c r="E302" s="27" t="s">
        <v>35</v>
      </c>
      <c r="F302" s="27">
        <v>40</v>
      </c>
      <c r="G302" s="27">
        <v>22.5</v>
      </c>
      <c r="H302" s="27">
        <v>0</v>
      </c>
      <c r="I302" s="27" t="s">
        <v>29</v>
      </c>
    </row>
    <row r="303" spans="1:9" x14ac:dyDescent="0.3">
      <c r="A303" s="25"/>
      <c r="B303" s="28" t="s">
        <v>1096</v>
      </c>
      <c r="C303" s="28"/>
      <c r="D303" s="28"/>
      <c r="E303" s="28" t="s">
        <v>35</v>
      </c>
      <c r="F303" s="28">
        <v>50</v>
      </c>
      <c r="G303" s="28">
        <v>29.5</v>
      </c>
      <c r="H303" s="28">
        <v>1</v>
      </c>
      <c r="I303" s="28" t="s">
        <v>29</v>
      </c>
    </row>
    <row r="304" spans="1:9" x14ac:dyDescent="0.3">
      <c r="A304" s="25"/>
      <c r="B304" s="28" t="s">
        <v>1097</v>
      </c>
      <c r="C304" s="28"/>
      <c r="D304" s="28"/>
      <c r="E304" s="28" t="s">
        <v>35</v>
      </c>
      <c r="F304" s="28">
        <v>15</v>
      </c>
      <c r="G304" s="28">
        <v>4.5964999999999998</v>
      </c>
      <c r="H304" s="28">
        <v>0</v>
      </c>
      <c r="I304" s="28" t="s">
        <v>29</v>
      </c>
    </row>
    <row r="305" spans="1:9" x14ac:dyDescent="0.3">
      <c r="A305" s="25"/>
      <c r="B305" s="27" t="s">
        <v>1098</v>
      </c>
      <c r="C305" s="27"/>
      <c r="D305" s="27"/>
      <c r="E305" s="27" t="s">
        <v>35</v>
      </c>
      <c r="F305" s="27">
        <v>20</v>
      </c>
      <c r="G305" s="27">
        <v>7.8258000000000001</v>
      </c>
      <c r="H305" s="27">
        <v>0</v>
      </c>
      <c r="I305" s="27" t="s">
        <v>29</v>
      </c>
    </row>
    <row r="306" spans="1:9" x14ac:dyDescent="0.3">
      <c r="A306" s="25"/>
      <c r="B306" s="27" t="s">
        <v>1099</v>
      </c>
      <c r="C306" s="27"/>
      <c r="D306" s="27"/>
      <c r="E306" s="27" t="s">
        <v>35</v>
      </c>
      <c r="F306" s="27">
        <v>95</v>
      </c>
      <c r="G306" s="27">
        <v>59</v>
      </c>
      <c r="H306" s="27">
        <v>20</v>
      </c>
      <c r="I306" s="27" t="s">
        <v>1100</v>
      </c>
    </row>
    <row r="307" spans="1:9" x14ac:dyDescent="0.3">
      <c r="A307" s="25"/>
      <c r="B307" s="28" t="s">
        <v>1101</v>
      </c>
      <c r="C307" s="28"/>
      <c r="D307" s="28"/>
      <c r="E307" s="28" t="s">
        <v>35</v>
      </c>
      <c r="F307" s="28">
        <v>250</v>
      </c>
      <c r="G307" s="28">
        <v>170</v>
      </c>
      <c r="H307" s="28">
        <v>1</v>
      </c>
      <c r="I307" s="28" t="s">
        <v>1100</v>
      </c>
    </row>
    <row r="308" spans="1:9" x14ac:dyDescent="0.3">
      <c r="A308" s="25"/>
      <c r="B308" s="27" t="s">
        <v>1102</v>
      </c>
      <c r="C308" s="27"/>
      <c r="D308" s="27"/>
      <c r="E308" s="27" t="s">
        <v>35</v>
      </c>
      <c r="F308" s="27">
        <v>45</v>
      </c>
      <c r="G308" s="27">
        <v>25</v>
      </c>
      <c r="H308" s="27">
        <v>5</v>
      </c>
      <c r="I308" s="27" t="s">
        <v>1100</v>
      </c>
    </row>
    <row r="309" spans="1:9" x14ac:dyDescent="0.3">
      <c r="A309" s="25"/>
      <c r="B309" s="28" t="s">
        <v>1103</v>
      </c>
      <c r="C309" s="28"/>
      <c r="D309" s="28"/>
      <c r="E309" s="28" t="s">
        <v>35</v>
      </c>
      <c r="F309" s="28">
        <v>0</v>
      </c>
      <c r="G309" s="28">
        <v>0</v>
      </c>
      <c r="H309" s="28">
        <v>0</v>
      </c>
      <c r="I309" s="28" t="s">
        <v>1100</v>
      </c>
    </row>
    <row r="310" spans="1:9" x14ac:dyDescent="0.3">
      <c r="A310" s="25"/>
      <c r="B310" s="27" t="s">
        <v>1104</v>
      </c>
      <c r="C310" s="27"/>
      <c r="D310" s="27"/>
      <c r="E310" s="27" t="s">
        <v>35</v>
      </c>
      <c r="F310" s="27">
        <v>50</v>
      </c>
      <c r="G310" s="27">
        <v>24.914300000000001</v>
      </c>
      <c r="H310" s="27">
        <v>20</v>
      </c>
      <c r="I310" s="27" t="s">
        <v>1100</v>
      </c>
    </row>
    <row r="311" spans="1:9" x14ac:dyDescent="0.3">
      <c r="A311" s="25"/>
      <c r="B311" s="27" t="s">
        <v>1105</v>
      </c>
      <c r="C311" s="27"/>
      <c r="D311" s="27"/>
      <c r="E311" s="27" t="s">
        <v>35</v>
      </c>
      <c r="F311" s="27">
        <v>8.5</v>
      </c>
      <c r="G311" s="27">
        <v>6</v>
      </c>
      <c r="H311" s="27">
        <v>50</v>
      </c>
      <c r="I311" s="27" t="s">
        <v>1100</v>
      </c>
    </row>
    <row r="312" spans="1:9" x14ac:dyDescent="0.3">
      <c r="A312" s="25"/>
      <c r="B312" s="27" t="s">
        <v>1106</v>
      </c>
      <c r="C312" s="27"/>
      <c r="D312" s="27"/>
      <c r="E312" s="27" t="s">
        <v>35</v>
      </c>
      <c r="F312" s="27">
        <v>25</v>
      </c>
      <c r="G312" s="27">
        <v>11.717700000000001</v>
      </c>
      <c r="H312" s="27">
        <v>20</v>
      </c>
      <c r="I312" s="27" t="s">
        <v>1100</v>
      </c>
    </row>
    <row r="313" spans="1:9" x14ac:dyDescent="0.3">
      <c r="A313" s="25"/>
      <c r="B313" s="27" t="s">
        <v>1107</v>
      </c>
      <c r="C313" s="27"/>
      <c r="D313" s="27"/>
      <c r="E313" s="27" t="s">
        <v>35</v>
      </c>
      <c r="F313" s="27">
        <v>1790</v>
      </c>
      <c r="G313" s="27">
        <v>1368</v>
      </c>
      <c r="H313" s="27">
        <v>0</v>
      </c>
      <c r="I313" s="27" t="s">
        <v>1100</v>
      </c>
    </row>
    <row r="314" spans="1:9" x14ac:dyDescent="0.3">
      <c r="A314" s="25"/>
      <c r="B314" s="27" t="s">
        <v>1108</v>
      </c>
      <c r="C314" s="27"/>
      <c r="D314" s="27"/>
      <c r="E314" s="27" t="s">
        <v>35</v>
      </c>
      <c r="F314" s="27">
        <v>40</v>
      </c>
      <c r="G314" s="27">
        <v>13.738300000000001</v>
      </c>
      <c r="H314" s="27">
        <v>20</v>
      </c>
      <c r="I314" s="27" t="s">
        <v>1100</v>
      </c>
    </row>
    <row r="315" spans="1:9" x14ac:dyDescent="0.3">
      <c r="A315" s="25"/>
      <c r="B315" s="28" t="s">
        <v>1109</v>
      </c>
      <c r="C315" s="28"/>
      <c r="D315" s="28"/>
      <c r="E315" s="28" t="s">
        <v>35</v>
      </c>
      <c r="F315" s="28">
        <v>70</v>
      </c>
      <c r="G315" s="28">
        <v>31.367999999999999</v>
      </c>
      <c r="H315" s="28">
        <v>20</v>
      </c>
      <c r="I315" s="28" t="s">
        <v>1100</v>
      </c>
    </row>
    <row r="316" spans="1:9" x14ac:dyDescent="0.3">
      <c r="A316" s="25"/>
      <c r="B316" s="28" t="s">
        <v>1110</v>
      </c>
      <c r="C316" s="28"/>
      <c r="D316" s="28"/>
      <c r="E316" s="28" t="s">
        <v>35</v>
      </c>
      <c r="F316" s="28">
        <v>195</v>
      </c>
      <c r="G316" s="28">
        <v>104.7784</v>
      </c>
      <c r="H316" s="28">
        <v>20</v>
      </c>
      <c r="I316" s="28" t="s">
        <v>1100</v>
      </c>
    </row>
    <row r="317" spans="1:9" x14ac:dyDescent="0.3">
      <c r="A317" s="25"/>
      <c r="B317" s="28" t="s">
        <v>1111</v>
      </c>
      <c r="C317" s="28"/>
      <c r="D317" s="28"/>
      <c r="E317" s="28" t="s">
        <v>35</v>
      </c>
      <c r="F317" s="28">
        <v>0</v>
      </c>
      <c r="G317" s="28">
        <v>0</v>
      </c>
      <c r="H317" s="28">
        <v>0</v>
      </c>
      <c r="I317" s="28" t="s">
        <v>1100</v>
      </c>
    </row>
    <row r="318" spans="1:9" x14ac:dyDescent="0.3">
      <c r="A318" s="25"/>
      <c r="B318" s="28" t="s">
        <v>1112</v>
      </c>
      <c r="C318" s="28"/>
      <c r="D318" s="28"/>
      <c r="E318" s="28" t="s">
        <v>35</v>
      </c>
      <c r="F318" s="28">
        <v>55</v>
      </c>
      <c r="G318" s="28">
        <v>22.377600000000001</v>
      </c>
      <c r="H318" s="28">
        <v>20</v>
      </c>
      <c r="I318" s="28" t="s">
        <v>1100</v>
      </c>
    </row>
    <row r="319" spans="1:9" x14ac:dyDescent="0.3">
      <c r="A319" s="25"/>
      <c r="B319" s="28" t="s">
        <v>1113</v>
      </c>
      <c r="C319" s="28"/>
      <c r="D319" s="28"/>
      <c r="E319" s="28" t="s">
        <v>35</v>
      </c>
      <c r="F319" s="28">
        <v>50</v>
      </c>
      <c r="G319" s="28">
        <v>33.229599999999998</v>
      </c>
      <c r="H319" s="28">
        <v>20</v>
      </c>
      <c r="I319" s="28" t="s">
        <v>1100</v>
      </c>
    </row>
    <row r="320" spans="1:9" x14ac:dyDescent="0.3">
      <c r="A320" s="25"/>
      <c r="B320" s="27" t="s">
        <v>1114</v>
      </c>
      <c r="C320" s="27"/>
      <c r="D320" s="27"/>
      <c r="E320" s="27" t="s">
        <v>35</v>
      </c>
      <c r="F320" s="27">
        <v>490</v>
      </c>
      <c r="G320" s="27">
        <v>302.5</v>
      </c>
      <c r="H320" s="27">
        <v>0</v>
      </c>
      <c r="I320" s="27" t="s">
        <v>1100</v>
      </c>
    </row>
    <row r="321" spans="1:9" x14ac:dyDescent="0.3">
      <c r="A321" s="25"/>
      <c r="B321" s="28" t="s">
        <v>1115</v>
      </c>
      <c r="C321" s="28"/>
      <c r="D321" s="28"/>
      <c r="E321" s="28" t="s">
        <v>35</v>
      </c>
      <c r="F321" s="28">
        <v>40</v>
      </c>
      <c r="G321" s="28">
        <v>14</v>
      </c>
      <c r="H321" s="28">
        <v>20</v>
      </c>
      <c r="I321" s="28" t="s">
        <v>1100</v>
      </c>
    </row>
    <row r="322" spans="1:9" x14ac:dyDescent="0.3">
      <c r="A322" s="25"/>
      <c r="B322" s="27" t="s">
        <v>1116</v>
      </c>
      <c r="C322" s="27"/>
      <c r="D322" s="27"/>
      <c r="E322" s="27" t="s">
        <v>35</v>
      </c>
      <c r="F322" s="27">
        <v>90</v>
      </c>
      <c r="G322" s="27">
        <v>69.636399999999995</v>
      </c>
      <c r="H322" s="27">
        <v>0</v>
      </c>
      <c r="I322" s="27" t="s">
        <v>1100</v>
      </c>
    </row>
    <row r="323" spans="1:9" x14ac:dyDescent="0.3">
      <c r="A323" s="25"/>
      <c r="B323" s="27" t="s">
        <v>1117</v>
      </c>
      <c r="C323" s="27"/>
      <c r="D323" s="27"/>
      <c r="E323" s="27" t="s">
        <v>35</v>
      </c>
      <c r="F323" s="27">
        <v>125</v>
      </c>
      <c r="G323" s="27">
        <v>87.666700000000006</v>
      </c>
      <c r="H323" s="27">
        <v>20</v>
      </c>
      <c r="I323" s="27" t="s">
        <v>1100</v>
      </c>
    </row>
    <row r="324" spans="1:9" x14ac:dyDescent="0.3">
      <c r="A324" s="25"/>
      <c r="B324" s="28" t="s">
        <v>1118</v>
      </c>
      <c r="C324" s="28"/>
      <c r="D324" s="28"/>
      <c r="E324" s="28" t="s">
        <v>35</v>
      </c>
      <c r="F324" s="28">
        <v>105</v>
      </c>
      <c r="G324" s="28">
        <v>72.765900000000002</v>
      </c>
      <c r="H324" s="28">
        <v>0</v>
      </c>
      <c r="I324" s="28" t="s">
        <v>1100</v>
      </c>
    </row>
    <row r="325" spans="1:9" x14ac:dyDescent="0.3">
      <c r="A325" s="25"/>
      <c r="B325" s="27" t="s">
        <v>1119</v>
      </c>
      <c r="C325" s="27"/>
      <c r="D325" s="27"/>
      <c r="E325" s="27" t="s">
        <v>35</v>
      </c>
      <c r="F325" s="27">
        <v>110</v>
      </c>
      <c r="G325" s="27">
        <v>75</v>
      </c>
      <c r="H325" s="27">
        <v>5</v>
      </c>
      <c r="I325" s="27" t="s">
        <v>1100</v>
      </c>
    </row>
    <row r="326" spans="1:9" x14ac:dyDescent="0.3">
      <c r="A326" s="25"/>
      <c r="B326" s="28" t="s">
        <v>1120</v>
      </c>
      <c r="C326" s="28"/>
      <c r="D326" s="28"/>
      <c r="E326" s="28" t="s">
        <v>35</v>
      </c>
      <c r="F326" s="28">
        <v>80</v>
      </c>
      <c r="G326" s="28">
        <v>35.807499999999997</v>
      </c>
      <c r="H326" s="28">
        <v>5</v>
      </c>
      <c r="I326" s="28" t="s">
        <v>1100</v>
      </c>
    </row>
    <row r="327" spans="1:9" x14ac:dyDescent="0.3">
      <c r="A327" s="25"/>
      <c r="B327" s="28" t="s">
        <v>1121</v>
      </c>
      <c r="C327" s="28"/>
      <c r="D327" s="28"/>
      <c r="E327" s="28" t="s">
        <v>35</v>
      </c>
      <c r="F327" s="28">
        <v>60</v>
      </c>
      <c r="G327" s="28">
        <v>28.2759</v>
      </c>
      <c r="H327" s="28">
        <v>0</v>
      </c>
      <c r="I327" s="28" t="s">
        <v>1100</v>
      </c>
    </row>
    <row r="328" spans="1:9" x14ac:dyDescent="0.3">
      <c r="A328" s="25"/>
      <c r="B328" s="28" t="s">
        <v>1122</v>
      </c>
      <c r="C328" s="28"/>
      <c r="D328" s="28"/>
      <c r="E328" s="28" t="s">
        <v>35</v>
      </c>
      <c r="F328" s="28">
        <v>2050</v>
      </c>
      <c r="G328" s="28">
        <v>1550</v>
      </c>
      <c r="H328" s="28">
        <v>3</v>
      </c>
      <c r="I328" s="28" t="s">
        <v>1100</v>
      </c>
    </row>
    <row r="329" spans="1:9" x14ac:dyDescent="0.3">
      <c r="A329" s="25"/>
      <c r="B329" s="28" t="s">
        <v>1123</v>
      </c>
      <c r="C329" s="28"/>
      <c r="D329" s="28"/>
      <c r="E329" s="28" t="s">
        <v>35</v>
      </c>
      <c r="F329" s="28">
        <v>290</v>
      </c>
      <c r="G329" s="28">
        <v>210</v>
      </c>
      <c r="H329" s="28">
        <v>0</v>
      </c>
      <c r="I329" s="28" t="s">
        <v>1100</v>
      </c>
    </row>
    <row r="330" spans="1:9" x14ac:dyDescent="0.3">
      <c r="A330" s="25"/>
      <c r="B330" s="28" t="s">
        <v>1124</v>
      </c>
      <c r="C330" s="28"/>
      <c r="D330" s="28"/>
      <c r="E330" s="28" t="s">
        <v>35</v>
      </c>
      <c r="F330" s="28">
        <v>0</v>
      </c>
      <c r="G330" s="28">
        <v>0</v>
      </c>
      <c r="H330" s="28">
        <v>0</v>
      </c>
      <c r="I330" s="28" t="s">
        <v>1100</v>
      </c>
    </row>
    <row r="331" spans="1:9" x14ac:dyDescent="0.3">
      <c r="A331" s="25"/>
      <c r="B331" s="27" t="s">
        <v>1125</v>
      </c>
      <c r="C331" s="27"/>
      <c r="D331" s="27"/>
      <c r="E331" s="27" t="s">
        <v>35</v>
      </c>
      <c r="F331" s="27">
        <v>230</v>
      </c>
      <c r="G331" s="27">
        <v>190</v>
      </c>
      <c r="H331" s="27">
        <v>0</v>
      </c>
      <c r="I331" s="27" t="s">
        <v>1100</v>
      </c>
    </row>
    <row r="332" spans="1:9" x14ac:dyDescent="0.3">
      <c r="A332" s="25"/>
      <c r="B332" s="28" t="s">
        <v>1126</v>
      </c>
      <c r="C332" s="28"/>
      <c r="D332" s="28"/>
      <c r="E332" s="28" t="s">
        <v>35</v>
      </c>
      <c r="F332" s="28">
        <v>360</v>
      </c>
      <c r="G332" s="28">
        <v>185</v>
      </c>
      <c r="H332" s="28">
        <v>0</v>
      </c>
      <c r="I332" s="28" t="s">
        <v>1100</v>
      </c>
    </row>
    <row r="333" spans="1:9" x14ac:dyDescent="0.3">
      <c r="A333" s="25"/>
      <c r="B333" s="28" t="s">
        <v>1127</v>
      </c>
      <c r="C333" s="28"/>
      <c r="D333" s="28"/>
      <c r="E333" s="28" t="s">
        <v>35</v>
      </c>
      <c r="F333" s="28">
        <v>110</v>
      </c>
      <c r="G333" s="28">
        <v>70.400000000000006</v>
      </c>
      <c r="H333" s="28">
        <v>20</v>
      </c>
      <c r="I333" s="28" t="s">
        <v>1100</v>
      </c>
    </row>
    <row r="334" spans="1:9" x14ac:dyDescent="0.3">
      <c r="A334" s="25"/>
      <c r="B334" s="27" t="s">
        <v>1128</v>
      </c>
      <c r="C334" s="27"/>
      <c r="D334" s="27"/>
      <c r="E334" s="27" t="s">
        <v>35</v>
      </c>
      <c r="F334" s="27">
        <v>70</v>
      </c>
      <c r="G334" s="27">
        <v>52</v>
      </c>
      <c r="H334" s="27">
        <v>0</v>
      </c>
      <c r="I334" s="27" t="s">
        <v>1100</v>
      </c>
    </row>
    <row r="335" spans="1:9" x14ac:dyDescent="0.3">
      <c r="A335" s="25"/>
      <c r="B335" s="27" t="s">
        <v>1129</v>
      </c>
      <c r="C335" s="27"/>
      <c r="D335" s="27"/>
      <c r="E335" s="27" t="s">
        <v>35</v>
      </c>
      <c r="F335" s="27">
        <v>70</v>
      </c>
      <c r="G335" s="27">
        <v>47.685699999999997</v>
      </c>
      <c r="H335" s="27">
        <v>20</v>
      </c>
      <c r="I335" s="27" t="s">
        <v>1100</v>
      </c>
    </row>
    <row r="336" spans="1:9" x14ac:dyDescent="0.3">
      <c r="A336" s="25"/>
      <c r="B336" s="27" t="s">
        <v>1130</v>
      </c>
      <c r="C336" s="27"/>
      <c r="D336" s="27"/>
      <c r="E336" s="27" t="s">
        <v>35</v>
      </c>
      <c r="F336" s="27">
        <v>300</v>
      </c>
      <c r="G336" s="27">
        <v>235</v>
      </c>
      <c r="H336" s="27">
        <v>5</v>
      </c>
      <c r="I336" s="27" t="s">
        <v>1100</v>
      </c>
    </row>
    <row r="337" spans="1:9" x14ac:dyDescent="0.3">
      <c r="A337" s="25"/>
      <c r="B337" s="27" t="s">
        <v>1131</v>
      </c>
      <c r="C337" s="27"/>
      <c r="D337" s="27"/>
      <c r="E337" s="27" t="s">
        <v>35</v>
      </c>
      <c r="F337" s="27">
        <v>25</v>
      </c>
      <c r="G337" s="27">
        <v>14.181900000000001</v>
      </c>
      <c r="H337" s="27">
        <v>0</v>
      </c>
      <c r="I337" s="27" t="s">
        <v>1100</v>
      </c>
    </row>
    <row r="338" spans="1:9" x14ac:dyDescent="0.3">
      <c r="A338" s="25"/>
      <c r="B338" s="28" t="s">
        <v>1132</v>
      </c>
      <c r="C338" s="28"/>
      <c r="D338" s="28"/>
      <c r="E338" s="28" t="s">
        <v>35</v>
      </c>
      <c r="F338" s="28">
        <v>245</v>
      </c>
      <c r="G338" s="28">
        <v>145</v>
      </c>
      <c r="H338" s="28">
        <v>0</v>
      </c>
      <c r="I338" s="28" t="s">
        <v>1100</v>
      </c>
    </row>
    <row r="339" spans="1:9" x14ac:dyDescent="0.3">
      <c r="A339" s="25"/>
      <c r="B339" s="27" t="s">
        <v>1133</v>
      </c>
      <c r="C339" s="27"/>
      <c r="D339" s="27"/>
      <c r="E339" s="27" t="s">
        <v>35</v>
      </c>
      <c r="F339" s="27">
        <v>1300</v>
      </c>
      <c r="G339" s="27">
        <v>880</v>
      </c>
      <c r="H339" s="27">
        <v>0</v>
      </c>
      <c r="I339" s="28" t="s">
        <v>1134</v>
      </c>
    </row>
    <row r="340" spans="1:9" x14ac:dyDescent="0.3">
      <c r="A340" s="25"/>
      <c r="B340" s="28" t="s">
        <v>1135</v>
      </c>
      <c r="C340" s="28"/>
      <c r="D340" s="28"/>
      <c r="E340" s="28" t="s">
        <v>35</v>
      </c>
      <c r="F340" s="28">
        <v>1500</v>
      </c>
      <c r="G340" s="28">
        <v>930</v>
      </c>
      <c r="H340" s="28">
        <v>0</v>
      </c>
      <c r="I340" s="28" t="s">
        <v>1134</v>
      </c>
    </row>
    <row r="341" spans="1:9" x14ac:dyDescent="0.3">
      <c r="A341" s="25"/>
      <c r="B341" s="27" t="s">
        <v>1136</v>
      </c>
      <c r="C341" s="27"/>
      <c r="D341" s="27"/>
      <c r="E341" s="27" t="s">
        <v>35</v>
      </c>
      <c r="F341" s="27">
        <v>60</v>
      </c>
      <c r="G341" s="27">
        <v>36.2517</v>
      </c>
      <c r="H341" s="27">
        <v>0</v>
      </c>
      <c r="I341" s="27" t="s">
        <v>1134</v>
      </c>
    </row>
    <row r="342" spans="1:9" x14ac:dyDescent="0.3">
      <c r="A342" s="25"/>
      <c r="B342" s="28" t="s">
        <v>1137</v>
      </c>
      <c r="C342" s="28"/>
      <c r="D342" s="28"/>
      <c r="E342" s="28" t="s">
        <v>35</v>
      </c>
      <c r="F342" s="28">
        <v>65</v>
      </c>
      <c r="G342" s="28">
        <v>45.5</v>
      </c>
      <c r="H342" s="28">
        <v>0</v>
      </c>
      <c r="I342" s="28" t="s">
        <v>1134</v>
      </c>
    </row>
    <row r="343" spans="1:9" x14ac:dyDescent="0.3">
      <c r="A343" s="25"/>
      <c r="B343" s="27" t="s">
        <v>1138</v>
      </c>
      <c r="C343" s="27"/>
      <c r="D343" s="27"/>
      <c r="E343" s="27" t="s">
        <v>35</v>
      </c>
      <c r="F343" s="27">
        <v>350</v>
      </c>
      <c r="G343" s="27">
        <v>234.52379999999999</v>
      </c>
      <c r="H343" s="27">
        <v>0</v>
      </c>
      <c r="I343" s="27" t="s">
        <v>1139</v>
      </c>
    </row>
    <row r="344" spans="1:9" x14ac:dyDescent="0.3">
      <c r="A344" s="25"/>
      <c r="B344" s="27" t="s">
        <v>1140</v>
      </c>
      <c r="C344" s="27"/>
      <c r="D344" s="27"/>
      <c r="E344" s="27" t="s">
        <v>35</v>
      </c>
      <c r="F344" s="27">
        <v>400</v>
      </c>
      <c r="G344" s="27">
        <v>290</v>
      </c>
      <c r="H344" s="27">
        <v>0</v>
      </c>
      <c r="I344" s="27" t="s">
        <v>1139</v>
      </c>
    </row>
    <row r="345" spans="1:9" x14ac:dyDescent="0.3">
      <c r="A345" s="25"/>
      <c r="B345" s="28" t="s">
        <v>1141</v>
      </c>
      <c r="C345" s="28"/>
      <c r="D345" s="28"/>
      <c r="E345" s="28" t="s">
        <v>35</v>
      </c>
      <c r="F345" s="28">
        <v>500</v>
      </c>
      <c r="G345" s="28">
        <v>385</v>
      </c>
      <c r="H345" s="28">
        <v>0</v>
      </c>
      <c r="I345" s="27" t="s">
        <v>1139</v>
      </c>
    </row>
    <row r="346" spans="1:9" x14ac:dyDescent="0.3">
      <c r="A346" s="25"/>
      <c r="B346" s="28" t="s">
        <v>1142</v>
      </c>
      <c r="C346" s="28"/>
      <c r="D346" s="28"/>
      <c r="E346" s="28" t="s">
        <v>35</v>
      </c>
      <c r="F346" s="28">
        <v>950</v>
      </c>
      <c r="G346" s="28">
        <v>577.3809</v>
      </c>
      <c r="H346" s="28">
        <v>0</v>
      </c>
      <c r="I346" s="28" t="s">
        <v>1139</v>
      </c>
    </row>
    <row r="347" spans="1:9" x14ac:dyDescent="0.3">
      <c r="A347" s="25"/>
      <c r="B347" s="27" t="s">
        <v>1143</v>
      </c>
      <c r="C347" s="27"/>
      <c r="D347" s="27"/>
      <c r="E347" s="27" t="s">
        <v>35</v>
      </c>
      <c r="F347" s="27">
        <v>1300</v>
      </c>
      <c r="G347" s="27">
        <v>625</v>
      </c>
      <c r="H347" s="27">
        <v>0</v>
      </c>
      <c r="I347" s="27" t="s">
        <v>1139</v>
      </c>
    </row>
    <row r="348" spans="1:9" x14ac:dyDescent="0.3">
      <c r="A348" s="25"/>
      <c r="B348" s="28" t="s">
        <v>1144</v>
      </c>
      <c r="C348" s="28"/>
      <c r="D348" s="28"/>
      <c r="E348" s="28" t="s">
        <v>35</v>
      </c>
      <c r="F348" s="28">
        <v>420</v>
      </c>
      <c r="G348" s="28">
        <v>227</v>
      </c>
      <c r="H348" s="28">
        <v>0</v>
      </c>
      <c r="I348" s="28" t="s">
        <v>1139</v>
      </c>
    </row>
    <row r="349" spans="1:9" x14ac:dyDescent="0.3">
      <c r="A349" s="25"/>
      <c r="B349" s="28" t="s">
        <v>1145</v>
      </c>
      <c r="C349" s="28"/>
      <c r="D349" s="28"/>
      <c r="E349" s="28" t="s">
        <v>35</v>
      </c>
      <c r="F349" s="28">
        <v>385</v>
      </c>
      <c r="G349" s="28">
        <v>295</v>
      </c>
      <c r="H349" s="28">
        <v>0</v>
      </c>
      <c r="I349" s="28" t="s">
        <v>1139</v>
      </c>
    </row>
    <row r="350" spans="1:9" x14ac:dyDescent="0.3">
      <c r="A350" s="25"/>
      <c r="B350" s="27" t="s">
        <v>1146</v>
      </c>
      <c r="C350" s="27"/>
      <c r="D350" s="27"/>
      <c r="E350" s="27" t="s">
        <v>35</v>
      </c>
      <c r="F350" s="27">
        <v>585</v>
      </c>
      <c r="G350" s="27">
        <v>415</v>
      </c>
      <c r="H350" s="27">
        <v>0</v>
      </c>
      <c r="I350" s="28" t="s">
        <v>1139</v>
      </c>
    </row>
    <row r="351" spans="1:9" x14ac:dyDescent="0.3">
      <c r="A351" s="25"/>
      <c r="B351" s="28" t="s">
        <v>1147</v>
      </c>
      <c r="C351" s="28"/>
      <c r="D351" s="28"/>
      <c r="E351" s="28" t="s">
        <v>35</v>
      </c>
      <c r="F351" s="28">
        <v>350</v>
      </c>
      <c r="G351" s="28">
        <v>205</v>
      </c>
      <c r="H351" s="28">
        <v>0</v>
      </c>
      <c r="I351" s="28" t="s">
        <v>1139</v>
      </c>
    </row>
    <row r="352" spans="1:9" x14ac:dyDescent="0.3">
      <c r="A352" s="25"/>
      <c r="B352" s="27" t="s">
        <v>1148</v>
      </c>
      <c r="C352" s="27"/>
      <c r="D352" s="27"/>
      <c r="E352" s="27" t="s">
        <v>35</v>
      </c>
      <c r="F352" s="27">
        <v>450</v>
      </c>
      <c r="G352" s="27">
        <v>335</v>
      </c>
      <c r="H352" s="27">
        <v>0</v>
      </c>
      <c r="I352" s="28" t="s">
        <v>1139</v>
      </c>
    </row>
    <row r="353" spans="1:9" x14ac:dyDescent="0.3">
      <c r="A353" s="25"/>
      <c r="B353" s="27" t="s">
        <v>1149</v>
      </c>
      <c r="C353" s="27"/>
      <c r="D353" s="27"/>
      <c r="E353" s="27" t="s">
        <v>35</v>
      </c>
      <c r="F353" s="27">
        <v>160</v>
      </c>
      <c r="G353" s="27">
        <v>65.487799999999993</v>
      </c>
      <c r="H353" s="27">
        <v>0</v>
      </c>
      <c r="I353" s="28" t="s">
        <v>1139</v>
      </c>
    </row>
    <row r="354" spans="1:9" x14ac:dyDescent="0.3">
      <c r="A354" s="25"/>
      <c r="B354" s="28" t="s">
        <v>1150</v>
      </c>
      <c r="C354" s="28"/>
      <c r="D354" s="28"/>
      <c r="E354" s="28" t="s">
        <v>35</v>
      </c>
      <c r="F354" s="28">
        <v>370</v>
      </c>
      <c r="G354" s="28">
        <v>280</v>
      </c>
      <c r="H354" s="28">
        <v>0</v>
      </c>
      <c r="I354" s="28" t="s">
        <v>1151</v>
      </c>
    </row>
    <row r="355" spans="1:9" x14ac:dyDescent="0.3">
      <c r="A355" s="25"/>
      <c r="B355" s="27" t="s">
        <v>1152</v>
      </c>
      <c r="C355" s="27"/>
      <c r="D355" s="27"/>
      <c r="E355" s="27" t="s">
        <v>35</v>
      </c>
      <c r="F355" s="27">
        <v>520</v>
      </c>
      <c r="G355" s="27">
        <v>395</v>
      </c>
      <c r="H355" s="27">
        <v>0</v>
      </c>
      <c r="I355" s="28" t="s">
        <v>1151</v>
      </c>
    </row>
    <row r="356" spans="1:9" x14ac:dyDescent="0.3">
      <c r="A356" s="25"/>
      <c r="B356" s="28" t="s">
        <v>1153</v>
      </c>
      <c r="C356" s="28"/>
      <c r="D356" s="28"/>
      <c r="E356" s="28" t="s">
        <v>35</v>
      </c>
      <c r="F356" s="28">
        <v>950</v>
      </c>
      <c r="G356" s="28">
        <v>670</v>
      </c>
      <c r="H356" s="28">
        <v>0</v>
      </c>
      <c r="I356" s="28" t="s">
        <v>1151</v>
      </c>
    </row>
    <row r="357" spans="1:9" x14ac:dyDescent="0.3">
      <c r="A357" s="25"/>
      <c r="B357" s="27" t="s">
        <v>1154</v>
      </c>
      <c r="C357" s="27"/>
      <c r="D357" s="27"/>
      <c r="E357" s="27" t="s">
        <v>35</v>
      </c>
      <c r="F357" s="27">
        <v>195</v>
      </c>
      <c r="G357" s="27">
        <v>110</v>
      </c>
      <c r="H357" s="27">
        <v>3</v>
      </c>
      <c r="I357" s="28" t="s">
        <v>1151</v>
      </c>
    </row>
    <row r="358" spans="1:9" x14ac:dyDescent="0.3">
      <c r="A358" s="25"/>
      <c r="B358" s="28" t="s">
        <v>1155</v>
      </c>
      <c r="C358" s="28"/>
      <c r="D358" s="28"/>
      <c r="E358" s="28" t="s">
        <v>35</v>
      </c>
      <c r="F358" s="28">
        <v>490</v>
      </c>
      <c r="G358" s="28">
        <v>240</v>
      </c>
      <c r="H358" s="28">
        <v>3</v>
      </c>
      <c r="I358" s="28" t="s">
        <v>1151</v>
      </c>
    </row>
    <row r="359" spans="1:9" x14ac:dyDescent="0.3">
      <c r="A359" s="25"/>
      <c r="B359" s="28" t="s">
        <v>1156</v>
      </c>
      <c r="C359" s="28"/>
      <c r="D359" s="28"/>
      <c r="E359" s="28" t="s">
        <v>35</v>
      </c>
      <c r="F359" s="28">
        <v>320</v>
      </c>
      <c r="G359" s="28">
        <v>115</v>
      </c>
      <c r="H359" s="28">
        <v>3</v>
      </c>
      <c r="I359" s="28" t="s">
        <v>1151</v>
      </c>
    </row>
    <row r="360" spans="1:9" x14ac:dyDescent="0.3">
      <c r="A360" s="25"/>
      <c r="B360" s="27" t="s">
        <v>1157</v>
      </c>
      <c r="C360" s="27"/>
      <c r="D360" s="27"/>
      <c r="E360" s="27" t="s">
        <v>35</v>
      </c>
      <c r="F360" s="27">
        <v>500</v>
      </c>
      <c r="G360" s="27">
        <v>250</v>
      </c>
      <c r="H360" s="27">
        <v>3</v>
      </c>
      <c r="I360" s="28" t="s">
        <v>1151</v>
      </c>
    </row>
    <row r="361" spans="1:9" x14ac:dyDescent="0.3">
      <c r="A361" s="25"/>
      <c r="B361" s="27" t="s">
        <v>1158</v>
      </c>
      <c r="C361" s="27"/>
      <c r="D361" s="27"/>
      <c r="E361" s="27" t="s">
        <v>35</v>
      </c>
      <c r="F361" s="27">
        <v>170</v>
      </c>
      <c r="G361" s="27">
        <v>120</v>
      </c>
      <c r="H361" s="27">
        <v>2</v>
      </c>
      <c r="I361" s="27" t="s">
        <v>1151</v>
      </c>
    </row>
    <row r="362" spans="1:9" x14ac:dyDescent="0.3">
      <c r="A362" s="25"/>
      <c r="B362" s="28" t="s">
        <v>1159</v>
      </c>
      <c r="C362" s="28"/>
      <c r="D362" s="28"/>
      <c r="E362" s="28" t="s">
        <v>35</v>
      </c>
      <c r="F362" s="28">
        <v>330</v>
      </c>
      <c r="G362" s="28">
        <v>225</v>
      </c>
      <c r="H362" s="28">
        <v>2</v>
      </c>
      <c r="I362" s="27" t="s">
        <v>1151</v>
      </c>
    </row>
    <row r="363" spans="1:9" x14ac:dyDescent="0.3">
      <c r="A363" s="25"/>
      <c r="B363" s="28" t="s">
        <v>1160</v>
      </c>
      <c r="C363" s="28"/>
      <c r="D363" s="28"/>
      <c r="E363" s="28" t="s">
        <v>35</v>
      </c>
      <c r="F363" s="28">
        <v>220</v>
      </c>
      <c r="G363" s="28">
        <v>179</v>
      </c>
      <c r="H363" s="28">
        <v>10</v>
      </c>
      <c r="I363" s="28" t="s">
        <v>1161</v>
      </c>
    </row>
    <row r="364" spans="1:9" x14ac:dyDescent="0.3">
      <c r="A364" s="25"/>
      <c r="B364" s="28" t="s">
        <v>1162</v>
      </c>
      <c r="C364" s="28"/>
      <c r="D364" s="28"/>
      <c r="E364" s="28" t="s">
        <v>35</v>
      </c>
      <c r="F364" s="28">
        <v>230</v>
      </c>
      <c r="G364" s="28">
        <v>175</v>
      </c>
      <c r="H364" s="28">
        <v>0</v>
      </c>
      <c r="I364" s="27" t="s">
        <v>1161</v>
      </c>
    </row>
    <row r="365" spans="1:9" x14ac:dyDescent="0.3">
      <c r="A365" s="25"/>
      <c r="B365" s="27" t="s">
        <v>1163</v>
      </c>
      <c r="C365" s="27"/>
      <c r="D365" s="27"/>
      <c r="E365" s="27" t="s">
        <v>35</v>
      </c>
      <c r="F365" s="27">
        <v>590</v>
      </c>
      <c r="G365" s="27">
        <v>475</v>
      </c>
      <c r="H365" s="27">
        <v>5</v>
      </c>
      <c r="I365" s="28" t="s">
        <v>1161</v>
      </c>
    </row>
    <row r="366" spans="1:9" x14ac:dyDescent="0.3">
      <c r="A366" s="25"/>
      <c r="B366" s="27" t="s">
        <v>1164</v>
      </c>
      <c r="C366" s="27"/>
      <c r="D366" s="27"/>
      <c r="E366" s="27" t="s">
        <v>35</v>
      </c>
      <c r="F366" s="27">
        <v>2600</v>
      </c>
      <c r="G366" s="27">
        <v>1950</v>
      </c>
      <c r="H366" s="27">
        <v>0</v>
      </c>
      <c r="I366" s="27" t="s">
        <v>1161</v>
      </c>
    </row>
  </sheetData>
  <pageMargins left="0.7" right="0.7" top="0.75" bottom="0.75" header="0.3" footer="0.3"/>
  <pageSetup scale="60" fitToHeight="0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CEBFE-A4A8-412A-84B7-B4721D2D9E27}">
  <dimension ref="A1:I5"/>
  <sheetViews>
    <sheetView tabSelected="1" topLeftCell="B1" workbookViewId="0">
      <selection activeCell="B9" sqref="B9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7773437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8" t="s">
        <v>1160</v>
      </c>
      <c r="C2" s="28"/>
      <c r="D2" s="28"/>
      <c r="E2" s="28" t="s">
        <v>35</v>
      </c>
      <c r="F2" s="28">
        <v>220</v>
      </c>
      <c r="G2" s="28">
        <v>179</v>
      </c>
      <c r="H2" s="28">
        <v>10</v>
      </c>
      <c r="I2" s="28" t="s">
        <v>1161</v>
      </c>
    </row>
    <row r="3" spans="1:9" x14ac:dyDescent="0.3">
      <c r="A3" s="25"/>
      <c r="B3" s="28" t="s">
        <v>1162</v>
      </c>
      <c r="C3" s="28"/>
      <c r="D3" s="28"/>
      <c r="E3" s="28" t="s">
        <v>35</v>
      </c>
      <c r="F3" s="28">
        <v>230</v>
      </c>
      <c r="G3" s="28">
        <v>175</v>
      </c>
      <c r="H3" s="28">
        <v>0</v>
      </c>
      <c r="I3" s="27" t="s">
        <v>1161</v>
      </c>
    </row>
    <row r="4" spans="1:9" x14ac:dyDescent="0.3">
      <c r="A4" s="25"/>
      <c r="B4" s="27" t="s">
        <v>1163</v>
      </c>
      <c r="C4" s="27"/>
      <c r="D4" s="27"/>
      <c r="E4" s="27" t="s">
        <v>35</v>
      </c>
      <c r="F4" s="27">
        <v>590</v>
      </c>
      <c r="G4" s="27">
        <v>475</v>
      </c>
      <c r="H4" s="27">
        <v>5</v>
      </c>
      <c r="I4" s="28" t="s">
        <v>1161</v>
      </c>
    </row>
    <row r="5" spans="1:9" x14ac:dyDescent="0.3">
      <c r="A5" s="25"/>
      <c r="B5" s="27" t="s">
        <v>1164</v>
      </c>
      <c r="C5" s="27"/>
      <c r="D5" s="27"/>
      <c r="E5" s="27" t="s">
        <v>35</v>
      </c>
      <c r="F5" s="27">
        <v>2600</v>
      </c>
      <c r="G5" s="27">
        <v>1950</v>
      </c>
      <c r="H5" s="27">
        <v>0</v>
      </c>
      <c r="I5" s="27" t="s">
        <v>1161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28326-4D4D-4A55-9A4B-3B01BC4E59E5}">
  <dimension ref="A1:I10"/>
  <sheetViews>
    <sheetView topLeftCell="B1" workbookViewId="0">
      <selection activeCell="B11" sqref="A11:XFD14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7773437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8" t="s">
        <v>1150</v>
      </c>
      <c r="C2" s="28"/>
      <c r="D2" s="28"/>
      <c r="E2" s="28" t="s">
        <v>35</v>
      </c>
      <c r="F2" s="28">
        <v>370</v>
      </c>
      <c r="G2" s="28">
        <v>280</v>
      </c>
      <c r="H2" s="28">
        <v>0</v>
      </c>
      <c r="I2" s="28" t="s">
        <v>1151</v>
      </c>
    </row>
    <row r="3" spans="1:9" x14ac:dyDescent="0.3">
      <c r="A3" s="25"/>
      <c r="B3" s="27" t="s">
        <v>1152</v>
      </c>
      <c r="C3" s="27"/>
      <c r="D3" s="27"/>
      <c r="E3" s="27" t="s">
        <v>35</v>
      </c>
      <c r="F3" s="27">
        <v>520</v>
      </c>
      <c r="G3" s="27">
        <v>395</v>
      </c>
      <c r="H3" s="27">
        <v>0</v>
      </c>
      <c r="I3" s="28" t="s">
        <v>1151</v>
      </c>
    </row>
    <row r="4" spans="1:9" x14ac:dyDescent="0.3">
      <c r="A4" s="25"/>
      <c r="B4" s="28" t="s">
        <v>1153</v>
      </c>
      <c r="C4" s="28"/>
      <c r="D4" s="28"/>
      <c r="E4" s="28" t="s">
        <v>35</v>
      </c>
      <c r="F4" s="28">
        <v>950</v>
      </c>
      <c r="G4" s="28">
        <v>670</v>
      </c>
      <c r="H4" s="28">
        <v>0</v>
      </c>
      <c r="I4" s="28" t="s">
        <v>1151</v>
      </c>
    </row>
    <row r="5" spans="1:9" x14ac:dyDescent="0.3">
      <c r="A5" s="25"/>
      <c r="B5" s="27" t="s">
        <v>1154</v>
      </c>
      <c r="C5" s="27"/>
      <c r="D5" s="27"/>
      <c r="E5" s="27" t="s">
        <v>35</v>
      </c>
      <c r="F5" s="27">
        <v>195</v>
      </c>
      <c r="G5" s="27">
        <v>110</v>
      </c>
      <c r="H5" s="27">
        <v>3</v>
      </c>
      <c r="I5" s="28" t="s">
        <v>1151</v>
      </c>
    </row>
    <row r="6" spans="1:9" x14ac:dyDescent="0.3">
      <c r="A6" s="25"/>
      <c r="B6" s="28" t="s">
        <v>1155</v>
      </c>
      <c r="C6" s="28"/>
      <c r="D6" s="28"/>
      <c r="E6" s="28" t="s">
        <v>35</v>
      </c>
      <c r="F6" s="28">
        <v>490</v>
      </c>
      <c r="G6" s="28">
        <v>240</v>
      </c>
      <c r="H6" s="28">
        <v>3</v>
      </c>
      <c r="I6" s="28" t="s">
        <v>1151</v>
      </c>
    </row>
    <row r="7" spans="1:9" x14ac:dyDescent="0.3">
      <c r="A7" s="25"/>
      <c r="B7" s="28" t="s">
        <v>1156</v>
      </c>
      <c r="C7" s="28"/>
      <c r="D7" s="28"/>
      <c r="E7" s="28" t="s">
        <v>35</v>
      </c>
      <c r="F7" s="28">
        <v>320</v>
      </c>
      <c r="G7" s="28">
        <v>115</v>
      </c>
      <c r="H7" s="28">
        <v>3</v>
      </c>
      <c r="I7" s="28" t="s">
        <v>1151</v>
      </c>
    </row>
    <row r="8" spans="1:9" x14ac:dyDescent="0.3">
      <c r="A8" s="25"/>
      <c r="B8" s="27" t="s">
        <v>1157</v>
      </c>
      <c r="C8" s="27"/>
      <c r="D8" s="27"/>
      <c r="E8" s="27" t="s">
        <v>35</v>
      </c>
      <c r="F8" s="27">
        <v>500</v>
      </c>
      <c r="G8" s="27">
        <v>250</v>
      </c>
      <c r="H8" s="27">
        <v>3</v>
      </c>
      <c r="I8" s="28" t="s">
        <v>1151</v>
      </c>
    </row>
    <row r="9" spans="1:9" x14ac:dyDescent="0.3">
      <c r="A9" s="25"/>
      <c r="B9" s="27" t="s">
        <v>1158</v>
      </c>
      <c r="C9" s="27"/>
      <c r="D9" s="27"/>
      <c r="E9" s="27" t="s">
        <v>35</v>
      </c>
      <c r="F9" s="27">
        <v>170</v>
      </c>
      <c r="G9" s="27">
        <v>120</v>
      </c>
      <c r="H9" s="27">
        <v>2</v>
      </c>
      <c r="I9" s="27" t="s">
        <v>1151</v>
      </c>
    </row>
    <row r="10" spans="1:9" x14ac:dyDescent="0.3">
      <c r="A10" s="25"/>
      <c r="B10" s="28" t="s">
        <v>1159</v>
      </c>
      <c r="C10" s="28"/>
      <c r="D10" s="28"/>
      <c r="E10" s="28" t="s">
        <v>35</v>
      </c>
      <c r="F10" s="28">
        <v>330</v>
      </c>
      <c r="G10" s="28">
        <v>225</v>
      </c>
      <c r="H10" s="28">
        <v>2</v>
      </c>
      <c r="I10" s="27" t="s">
        <v>1151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EA498-12DC-48AB-96C8-7D42B3A607DB}">
  <dimension ref="A1:I12"/>
  <sheetViews>
    <sheetView topLeftCell="B1" workbookViewId="0">
      <selection activeCell="B13" sqref="A13:XFD25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7773437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7" t="s">
        <v>1138</v>
      </c>
      <c r="C2" s="27"/>
      <c r="D2" s="27"/>
      <c r="E2" s="27" t="s">
        <v>35</v>
      </c>
      <c r="F2" s="27">
        <v>350</v>
      </c>
      <c r="G2" s="27">
        <v>234.52379999999999</v>
      </c>
      <c r="H2" s="27">
        <v>0</v>
      </c>
      <c r="I2" s="27" t="s">
        <v>1139</v>
      </c>
    </row>
    <row r="3" spans="1:9" x14ac:dyDescent="0.3">
      <c r="A3" s="25"/>
      <c r="B3" s="27" t="s">
        <v>1140</v>
      </c>
      <c r="C3" s="27"/>
      <c r="D3" s="27"/>
      <c r="E3" s="27" t="s">
        <v>35</v>
      </c>
      <c r="F3" s="27">
        <v>400</v>
      </c>
      <c r="G3" s="27">
        <v>290</v>
      </c>
      <c r="H3" s="27">
        <v>0</v>
      </c>
      <c r="I3" s="27" t="s">
        <v>1139</v>
      </c>
    </row>
    <row r="4" spans="1:9" x14ac:dyDescent="0.3">
      <c r="A4" s="25"/>
      <c r="B4" s="28" t="s">
        <v>1141</v>
      </c>
      <c r="C4" s="28"/>
      <c r="D4" s="28"/>
      <c r="E4" s="28" t="s">
        <v>35</v>
      </c>
      <c r="F4" s="28">
        <v>500</v>
      </c>
      <c r="G4" s="28">
        <v>385</v>
      </c>
      <c r="H4" s="28">
        <v>0</v>
      </c>
      <c r="I4" s="27" t="s">
        <v>1139</v>
      </c>
    </row>
    <row r="5" spans="1:9" x14ac:dyDescent="0.3">
      <c r="A5" s="25"/>
      <c r="B5" s="28" t="s">
        <v>1142</v>
      </c>
      <c r="C5" s="28"/>
      <c r="D5" s="28"/>
      <c r="E5" s="28" t="s">
        <v>35</v>
      </c>
      <c r="F5" s="28">
        <v>950</v>
      </c>
      <c r="G5" s="28">
        <v>577.3809</v>
      </c>
      <c r="H5" s="28">
        <v>0</v>
      </c>
      <c r="I5" s="28" t="s">
        <v>1139</v>
      </c>
    </row>
    <row r="6" spans="1:9" x14ac:dyDescent="0.3">
      <c r="A6" s="25"/>
      <c r="B6" s="27" t="s">
        <v>1143</v>
      </c>
      <c r="C6" s="27"/>
      <c r="D6" s="27"/>
      <c r="E6" s="27" t="s">
        <v>35</v>
      </c>
      <c r="F6" s="27">
        <v>1300</v>
      </c>
      <c r="G6" s="27">
        <v>625</v>
      </c>
      <c r="H6" s="27">
        <v>0</v>
      </c>
      <c r="I6" s="27" t="s">
        <v>1139</v>
      </c>
    </row>
    <row r="7" spans="1:9" x14ac:dyDescent="0.3">
      <c r="A7" s="25"/>
      <c r="B7" s="28" t="s">
        <v>1144</v>
      </c>
      <c r="C7" s="28"/>
      <c r="D7" s="28"/>
      <c r="E7" s="28" t="s">
        <v>35</v>
      </c>
      <c r="F7" s="28">
        <v>420</v>
      </c>
      <c r="G7" s="28">
        <v>227</v>
      </c>
      <c r="H7" s="28">
        <v>0</v>
      </c>
      <c r="I7" s="28" t="s">
        <v>1139</v>
      </c>
    </row>
    <row r="8" spans="1:9" x14ac:dyDescent="0.3">
      <c r="A8" s="25"/>
      <c r="B8" s="28" t="s">
        <v>1145</v>
      </c>
      <c r="C8" s="28"/>
      <c r="D8" s="28"/>
      <c r="E8" s="28" t="s">
        <v>35</v>
      </c>
      <c r="F8" s="28">
        <v>385</v>
      </c>
      <c r="G8" s="28">
        <v>295</v>
      </c>
      <c r="H8" s="28">
        <v>0</v>
      </c>
      <c r="I8" s="28" t="s">
        <v>1139</v>
      </c>
    </row>
    <row r="9" spans="1:9" x14ac:dyDescent="0.3">
      <c r="A9" s="25"/>
      <c r="B9" s="27" t="s">
        <v>1146</v>
      </c>
      <c r="C9" s="27"/>
      <c r="D9" s="27"/>
      <c r="E9" s="27" t="s">
        <v>35</v>
      </c>
      <c r="F9" s="27">
        <v>585</v>
      </c>
      <c r="G9" s="27">
        <v>415</v>
      </c>
      <c r="H9" s="27">
        <v>0</v>
      </c>
      <c r="I9" s="28" t="s">
        <v>1139</v>
      </c>
    </row>
    <row r="10" spans="1:9" x14ac:dyDescent="0.3">
      <c r="A10" s="25"/>
      <c r="B10" s="28" t="s">
        <v>1147</v>
      </c>
      <c r="C10" s="28"/>
      <c r="D10" s="28"/>
      <c r="E10" s="28" t="s">
        <v>35</v>
      </c>
      <c r="F10" s="28">
        <v>350</v>
      </c>
      <c r="G10" s="28">
        <v>205</v>
      </c>
      <c r="H10" s="28">
        <v>0</v>
      </c>
      <c r="I10" s="28" t="s">
        <v>1139</v>
      </c>
    </row>
    <row r="11" spans="1:9" x14ac:dyDescent="0.3">
      <c r="A11" s="25"/>
      <c r="B11" s="27" t="s">
        <v>1148</v>
      </c>
      <c r="C11" s="27"/>
      <c r="D11" s="27"/>
      <c r="E11" s="27" t="s">
        <v>35</v>
      </c>
      <c r="F11" s="27">
        <v>450</v>
      </c>
      <c r="G11" s="27">
        <v>335</v>
      </c>
      <c r="H11" s="27">
        <v>0</v>
      </c>
      <c r="I11" s="28" t="s">
        <v>1139</v>
      </c>
    </row>
    <row r="12" spans="1:9" x14ac:dyDescent="0.3">
      <c r="A12" s="25"/>
      <c r="B12" s="27" t="s">
        <v>1149</v>
      </c>
      <c r="C12" s="27"/>
      <c r="D12" s="27"/>
      <c r="E12" s="27" t="s">
        <v>35</v>
      </c>
      <c r="F12" s="27">
        <v>160</v>
      </c>
      <c r="G12" s="27">
        <v>65.487799999999993</v>
      </c>
      <c r="H12" s="27">
        <v>0</v>
      </c>
      <c r="I12" s="28" t="s">
        <v>1139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605C4-444E-4C6E-9F68-EBF09A5199AA}">
  <dimension ref="A1:I5"/>
  <sheetViews>
    <sheetView topLeftCell="B1" workbookViewId="0">
      <selection activeCell="B6" sqref="A6:XFD29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7773437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7" t="s">
        <v>1133</v>
      </c>
      <c r="C2" s="27"/>
      <c r="D2" s="27"/>
      <c r="E2" s="27" t="s">
        <v>35</v>
      </c>
      <c r="F2" s="27">
        <v>1300</v>
      </c>
      <c r="G2" s="27">
        <v>880</v>
      </c>
      <c r="H2" s="27">
        <v>0</v>
      </c>
      <c r="I2" s="28" t="s">
        <v>1134</v>
      </c>
    </row>
    <row r="3" spans="1:9" x14ac:dyDescent="0.3">
      <c r="A3" s="25"/>
      <c r="B3" s="28" t="s">
        <v>1135</v>
      </c>
      <c r="C3" s="28"/>
      <c r="D3" s="28"/>
      <c r="E3" s="28" t="s">
        <v>35</v>
      </c>
      <c r="F3" s="28">
        <v>1500</v>
      </c>
      <c r="G3" s="28">
        <v>930</v>
      </c>
      <c r="H3" s="28">
        <v>0</v>
      </c>
      <c r="I3" s="28" t="s">
        <v>1134</v>
      </c>
    </row>
    <row r="4" spans="1:9" x14ac:dyDescent="0.3">
      <c r="A4" s="25"/>
      <c r="B4" s="27" t="s">
        <v>1136</v>
      </c>
      <c r="C4" s="27"/>
      <c r="D4" s="27"/>
      <c r="E4" s="27" t="s">
        <v>35</v>
      </c>
      <c r="F4" s="27">
        <v>60</v>
      </c>
      <c r="G4" s="27">
        <v>36.2517</v>
      </c>
      <c r="H4" s="27">
        <v>0</v>
      </c>
      <c r="I4" s="27" t="s">
        <v>1134</v>
      </c>
    </row>
    <row r="5" spans="1:9" x14ac:dyDescent="0.3">
      <c r="A5" s="25"/>
      <c r="B5" s="28" t="s">
        <v>1137</v>
      </c>
      <c r="C5" s="28"/>
      <c r="D5" s="28"/>
      <c r="E5" s="28" t="s">
        <v>35</v>
      </c>
      <c r="F5" s="28">
        <v>65</v>
      </c>
      <c r="G5" s="28">
        <v>45.5</v>
      </c>
      <c r="H5" s="28">
        <v>0</v>
      </c>
      <c r="I5" s="28" t="s">
        <v>1134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C2BC3-D9A3-4D0B-86D3-12E5ED5DA4FE}">
  <dimension ref="A1:I34"/>
  <sheetViews>
    <sheetView topLeftCell="B28" workbookViewId="0">
      <selection activeCell="B35" sqref="A35:XFD62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7773437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7" t="s">
        <v>1099</v>
      </c>
      <c r="C2" s="27"/>
      <c r="D2" s="27"/>
      <c r="E2" s="27" t="s">
        <v>35</v>
      </c>
      <c r="F2" s="27">
        <v>95</v>
      </c>
      <c r="G2" s="27">
        <v>59</v>
      </c>
      <c r="H2" s="27">
        <v>20</v>
      </c>
      <c r="I2" s="27" t="s">
        <v>1100</v>
      </c>
    </row>
    <row r="3" spans="1:9" x14ac:dyDescent="0.3">
      <c r="A3" s="25"/>
      <c r="B3" s="28" t="s">
        <v>1101</v>
      </c>
      <c r="C3" s="28"/>
      <c r="D3" s="28"/>
      <c r="E3" s="28" t="s">
        <v>35</v>
      </c>
      <c r="F3" s="28">
        <v>250</v>
      </c>
      <c r="G3" s="28">
        <v>170</v>
      </c>
      <c r="H3" s="28">
        <v>1</v>
      </c>
      <c r="I3" s="28" t="s">
        <v>1100</v>
      </c>
    </row>
    <row r="4" spans="1:9" x14ac:dyDescent="0.3">
      <c r="A4" s="25"/>
      <c r="B4" s="27" t="s">
        <v>1102</v>
      </c>
      <c r="C4" s="27"/>
      <c r="D4" s="27"/>
      <c r="E4" s="27" t="s">
        <v>35</v>
      </c>
      <c r="F4" s="27">
        <v>45</v>
      </c>
      <c r="G4" s="27">
        <v>25</v>
      </c>
      <c r="H4" s="27">
        <v>5</v>
      </c>
      <c r="I4" s="27" t="s">
        <v>1100</v>
      </c>
    </row>
    <row r="5" spans="1:9" x14ac:dyDescent="0.3">
      <c r="A5" s="25"/>
      <c r="B5" s="28" t="s">
        <v>1103</v>
      </c>
      <c r="C5" s="28"/>
      <c r="D5" s="28"/>
      <c r="E5" s="28" t="s">
        <v>35</v>
      </c>
      <c r="F5" s="28">
        <v>0</v>
      </c>
      <c r="G5" s="28">
        <v>0</v>
      </c>
      <c r="H5" s="28">
        <v>0</v>
      </c>
      <c r="I5" s="28" t="s">
        <v>1100</v>
      </c>
    </row>
    <row r="6" spans="1:9" x14ac:dyDescent="0.3">
      <c r="A6" s="25"/>
      <c r="B6" s="27" t="s">
        <v>1104</v>
      </c>
      <c r="C6" s="27"/>
      <c r="D6" s="27"/>
      <c r="E6" s="27" t="s">
        <v>35</v>
      </c>
      <c r="F6" s="27">
        <v>50</v>
      </c>
      <c r="G6" s="27">
        <v>24.914300000000001</v>
      </c>
      <c r="H6" s="27">
        <v>20</v>
      </c>
      <c r="I6" s="27" t="s">
        <v>1100</v>
      </c>
    </row>
    <row r="7" spans="1:9" x14ac:dyDescent="0.3">
      <c r="A7" s="25"/>
      <c r="B7" s="27" t="s">
        <v>1105</v>
      </c>
      <c r="C7" s="27"/>
      <c r="D7" s="27"/>
      <c r="E7" s="27" t="s">
        <v>35</v>
      </c>
      <c r="F7" s="27">
        <v>8.5</v>
      </c>
      <c r="G7" s="27">
        <v>6</v>
      </c>
      <c r="H7" s="27">
        <v>50</v>
      </c>
      <c r="I7" s="27" t="s">
        <v>1100</v>
      </c>
    </row>
    <row r="8" spans="1:9" x14ac:dyDescent="0.3">
      <c r="A8" s="25"/>
      <c r="B8" s="27" t="s">
        <v>1106</v>
      </c>
      <c r="C8" s="27"/>
      <c r="D8" s="27"/>
      <c r="E8" s="27" t="s">
        <v>35</v>
      </c>
      <c r="F8" s="27">
        <v>25</v>
      </c>
      <c r="G8" s="27">
        <v>11.717700000000001</v>
      </c>
      <c r="H8" s="27">
        <v>20</v>
      </c>
      <c r="I8" s="27" t="s">
        <v>1100</v>
      </c>
    </row>
    <row r="9" spans="1:9" x14ac:dyDescent="0.3">
      <c r="A9" s="25"/>
      <c r="B9" s="27" t="s">
        <v>1107</v>
      </c>
      <c r="C9" s="27"/>
      <c r="D9" s="27"/>
      <c r="E9" s="27" t="s">
        <v>35</v>
      </c>
      <c r="F9" s="27">
        <v>1790</v>
      </c>
      <c r="G9" s="27">
        <v>1368</v>
      </c>
      <c r="H9" s="27">
        <v>0</v>
      </c>
      <c r="I9" s="27" t="s">
        <v>1100</v>
      </c>
    </row>
    <row r="10" spans="1:9" x14ac:dyDescent="0.3">
      <c r="A10" s="25"/>
      <c r="B10" s="27" t="s">
        <v>1108</v>
      </c>
      <c r="C10" s="27"/>
      <c r="D10" s="27"/>
      <c r="E10" s="27" t="s">
        <v>35</v>
      </c>
      <c r="F10" s="27">
        <v>40</v>
      </c>
      <c r="G10" s="27">
        <v>13.738300000000001</v>
      </c>
      <c r="H10" s="27">
        <v>20</v>
      </c>
      <c r="I10" s="27" t="s">
        <v>1100</v>
      </c>
    </row>
    <row r="11" spans="1:9" x14ac:dyDescent="0.3">
      <c r="A11" s="25"/>
      <c r="B11" s="28" t="s">
        <v>1109</v>
      </c>
      <c r="C11" s="28"/>
      <c r="D11" s="28"/>
      <c r="E11" s="28" t="s">
        <v>35</v>
      </c>
      <c r="F11" s="28">
        <v>70</v>
      </c>
      <c r="G11" s="28">
        <v>31.367999999999999</v>
      </c>
      <c r="H11" s="28">
        <v>20</v>
      </c>
      <c r="I11" s="28" t="s">
        <v>1100</v>
      </c>
    </row>
    <row r="12" spans="1:9" x14ac:dyDescent="0.3">
      <c r="A12" s="25"/>
      <c r="B12" s="28" t="s">
        <v>1110</v>
      </c>
      <c r="C12" s="28"/>
      <c r="D12" s="28"/>
      <c r="E12" s="28" t="s">
        <v>35</v>
      </c>
      <c r="F12" s="28">
        <v>195</v>
      </c>
      <c r="G12" s="28">
        <v>104.7784</v>
      </c>
      <c r="H12" s="28">
        <v>20</v>
      </c>
      <c r="I12" s="28" t="s">
        <v>1100</v>
      </c>
    </row>
    <row r="13" spans="1:9" x14ac:dyDescent="0.3">
      <c r="A13" s="25"/>
      <c r="B13" s="28" t="s">
        <v>1111</v>
      </c>
      <c r="C13" s="28"/>
      <c r="D13" s="28"/>
      <c r="E13" s="28" t="s">
        <v>35</v>
      </c>
      <c r="F13" s="28">
        <v>0</v>
      </c>
      <c r="G13" s="28">
        <v>0</v>
      </c>
      <c r="H13" s="28">
        <v>0</v>
      </c>
      <c r="I13" s="28" t="s">
        <v>1100</v>
      </c>
    </row>
    <row r="14" spans="1:9" x14ac:dyDescent="0.3">
      <c r="A14" s="25"/>
      <c r="B14" s="28" t="s">
        <v>1112</v>
      </c>
      <c r="C14" s="28"/>
      <c r="D14" s="28"/>
      <c r="E14" s="28" t="s">
        <v>35</v>
      </c>
      <c r="F14" s="28">
        <v>55</v>
      </c>
      <c r="G14" s="28">
        <v>22.377600000000001</v>
      </c>
      <c r="H14" s="28">
        <v>20</v>
      </c>
      <c r="I14" s="28" t="s">
        <v>1100</v>
      </c>
    </row>
    <row r="15" spans="1:9" x14ac:dyDescent="0.3">
      <c r="A15" s="25"/>
      <c r="B15" s="28" t="s">
        <v>1113</v>
      </c>
      <c r="C15" s="28"/>
      <c r="D15" s="28"/>
      <c r="E15" s="28" t="s">
        <v>35</v>
      </c>
      <c r="F15" s="28">
        <v>50</v>
      </c>
      <c r="G15" s="28">
        <v>33.229599999999998</v>
      </c>
      <c r="H15" s="28">
        <v>20</v>
      </c>
      <c r="I15" s="28" t="s">
        <v>1100</v>
      </c>
    </row>
    <row r="16" spans="1:9" x14ac:dyDescent="0.3">
      <c r="A16" s="25"/>
      <c r="B16" s="27" t="s">
        <v>1114</v>
      </c>
      <c r="C16" s="27"/>
      <c r="D16" s="27"/>
      <c r="E16" s="27" t="s">
        <v>35</v>
      </c>
      <c r="F16" s="27">
        <v>490</v>
      </c>
      <c r="G16" s="27">
        <v>302.5</v>
      </c>
      <c r="H16" s="27">
        <v>0</v>
      </c>
      <c r="I16" s="27" t="s">
        <v>1100</v>
      </c>
    </row>
    <row r="17" spans="1:9" x14ac:dyDescent="0.3">
      <c r="A17" s="25"/>
      <c r="B17" s="28" t="s">
        <v>1115</v>
      </c>
      <c r="C17" s="28"/>
      <c r="D17" s="28"/>
      <c r="E17" s="28" t="s">
        <v>35</v>
      </c>
      <c r="F17" s="28">
        <v>40</v>
      </c>
      <c r="G17" s="28">
        <v>14</v>
      </c>
      <c r="H17" s="28">
        <v>20</v>
      </c>
      <c r="I17" s="28" t="s">
        <v>1100</v>
      </c>
    </row>
    <row r="18" spans="1:9" x14ac:dyDescent="0.3">
      <c r="A18" s="25"/>
      <c r="B18" s="27" t="s">
        <v>1116</v>
      </c>
      <c r="C18" s="27"/>
      <c r="D18" s="27"/>
      <c r="E18" s="27" t="s">
        <v>35</v>
      </c>
      <c r="F18" s="27">
        <v>90</v>
      </c>
      <c r="G18" s="27">
        <v>69.636399999999995</v>
      </c>
      <c r="H18" s="27">
        <v>0</v>
      </c>
      <c r="I18" s="27" t="s">
        <v>1100</v>
      </c>
    </row>
    <row r="19" spans="1:9" x14ac:dyDescent="0.3">
      <c r="A19" s="25"/>
      <c r="B19" s="27" t="s">
        <v>1117</v>
      </c>
      <c r="C19" s="27"/>
      <c r="D19" s="27"/>
      <c r="E19" s="27" t="s">
        <v>35</v>
      </c>
      <c r="F19" s="27">
        <v>125</v>
      </c>
      <c r="G19" s="27">
        <v>87.666700000000006</v>
      </c>
      <c r="H19" s="27">
        <v>20</v>
      </c>
      <c r="I19" s="27" t="s">
        <v>1100</v>
      </c>
    </row>
    <row r="20" spans="1:9" x14ac:dyDescent="0.3">
      <c r="A20" s="25"/>
      <c r="B20" s="28" t="s">
        <v>1118</v>
      </c>
      <c r="C20" s="28"/>
      <c r="D20" s="28"/>
      <c r="E20" s="28" t="s">
        <v>35</v>
      </c>
      <c r="F20" s="28">
        <v>105</v>
      </c>
      <c r="G20" s="28">
        <v>72.765900000000002</v>
      </c>
      <c r="H20" s="28">
        <v>0</v>
      </c>
      <c r="I20" s="28" t="s">
        <v>1100</v>
      </c>
    </row>
    <row r="21" spans="1:9" x14ac:dyDescent="0.3">
      <c r="A21" s="25"/>
      <c r="B21" s="27" t="s">
        <v>1119</v>
      </c>
      <c r="C21" s="27"/>
      <c r="D21" s="27"/>
      <c r="E21" s="27" t="s">
        <v>35</v>
      </c>
      <c r="F21" s="27">
        <v>110</v>
      </c>
      <c r="G21" s="27">
        <v>75</v>
      </c>
      <c r="H21" s="27">
        <v>5</v>
      </c>
      <c r="I21" s="27" t="s">
        <v>1100</v>
      </c>
    </row>
    <row r="22" spans="1:9" x14ac:dyDescent="0.3">
      <c r="A22" s="25"/>
      <c r="B22" s="28" t="s">
        <v>1120</v>
      </c>
      <c r="C22" s="28"/>
      <c r="D22" s="28"/>
      <c r="E22" s="28" t="s">
        <v>35</v>
      </c>
      <c r="F22" s="28">
        <v>80</v>
      </c>
      <c r="G22" s="28">
        <v>35.807499999999997</v>
      </c>
      <c r="H22" s="28">
        <v>5</v>
      </c>
      <c r="I22" s="28" t="s">
        <v>1100</v>
      </c>
    </row>
    <row r="23" spans="1:9" x14ac:dyDescent="0.3">
      <c r="A23" s="25"/>
      <c r="B23" s="28" t="s">
        <v>1121</v>
      </c>
      <c r="C23" s="28"/>
      <c r="D23" s="28"/>
      <c r="E23" s="28" t="s">
        <v>35</v>
      </c>
      <c r="F23" s="28">
        <v>60</v>
      </c>
      <c r="G23" s="28">
        <v>28.2759</v>
      </c>
      <c r="H23" s="28">
        <v>0</v>
      </c>
      <c r="I23" s="28" t="s">
        <v>1100</v>
      </c>
    </row>
    <row r="24" spans="1:9" x14ac:dyDescent="0.3">
      <c r="A24" s="25"/>
      <c r="B24" s="28" t="s">
        <v>1122</v>
      </c>
      <c r="C24" s="28"/>
      <c r="D24" s="28"/>
      <c r="E24" s="28" t="s">
        <v>35</v>
      </c>
      <c r="F24" s="28">
        <v>2050</v>
      </c>
      <c r="G24" s="28">
        <v>1550</v>
      </c>
      <c r="H24" s="28">
        <v>3</v>
      </c>
      <c r="I24" s="28" t="s">
        <v>1100</v>
      </c>
    </row>
    <row r="25" spans="1:9" x14ac:dyDescent="0.3">
      <c r="A25" s="25"/>
      <c r="B25" s="28" t="s">
        <v>1123</v>
      </c>
      <c r="C25" s="28"/>
      <c r="D25" s="28"/>
      <c r="E25" s="28" t="s">
        <v>35</v>
      </c>
      <c r="F25" s="28">
        <v>290</v>
      </c>
      <c r="G25" s="28">
        <v>210</v>
      </c>
      <c r="H25" s="28">
        <v>0</v>
      </c>
      <c r="I25" s="28" t="s">
        <v>1100</v>
      </c>
    </row>
    <row r="26" spans="1:9" x14ac:dyDescent="0.3">
      <c r="A26" s="25"/>
      <c r="B26" s="28" t="s">
        <v>1124</v>
      </c>
      <c r="C26" s="28"/>
      <c r="D26" s="28"/>
      <c r="E26" s="28" t="s">
        <v>35</v>
      </c>
      <c r="F26" s="28">
        <v>0</v>
      </c>
      <c r="G26" s="28">
        <v>0</v>
      </c>
      <c r="H26" s="28">
        <v>0</v>
      </c>
      <c r="I26" s="28" t="s">
        <v>1100</v>
      </c>
    </row>
    <row r="27" spans="1:9" x14ac:dyDescent="0.3">
      <c r="A27" s="25"/>
      <c r="B27" s="27" t="s">
        <v>1125</v>
      </c>
      <c r="C27" s="27"/>
      <c r="D27" s="27"/>
      <c r="E27" s="27" t="s">
        <v>35</v>
      </c>
      <c r="F27" s="27">
        <v>230</v>
      </c>
      <c r="G27" s="27">
        <v>190</v>
      </c>
      <c r="H27" s="27">
        <v>0</v>
      </c>
      <c r="I27" s="27" t="s">
        <v>1100</v>
      </c>
    </row>
    <row r="28" spans="1:9" x14ac:dyDescent="0.3">
      <c r="A28" s="25"/>
      <c r="B28" s="28" t="s">
        <v>1126</v>
      </c>
      <c r="C28" s="28"/>
      <c r="D28" s="28"/>
      <c r="E28" s="28" t="s">
        <v>35</v>
      </c>
      <c r="F28" s="28">
        <v>360</v>
      </c>
      <c r="G28" s="28">
        <v>185</v>
      </c>
      <c r="H28" s="28">
        <v>0</v>
      </c>
      <c r="I28" s="28" t="s">
        <v>1100</v>
      </c>
    </row>
    <row r="29" spans="1:9" x14ac:dyDescent="0.3">
      <c r="A29" s="25"/>
      <c r="B29" s="28" t="s">
        <v>1127</v>
      </c>
      <c r="C29" s="28"/>
      <c r="D29" s="28"/>
      <c r="E29" s="28" t="s">
        <v>35</v>
      </c>
      <c r="F29" s="28">
        <v>110</v>
      </c>
      <c r="G29" s="28">
        <v>70.400000000000006</v>
      </c>
      <c r="H29" s="28">
        <v>20</v>
      </c>
      <c r="I29" s="28" t="s">
        <v>1100</v>
      </c>
    </row>
    <row r="30" spans="1:9" x14ac:dyDescent="0.3">
      <c r="A30" s="25"/>
      <c r="B30" s="27" t="s">
        <v>1128</v>
      </c>
      <c r="C30" s="27"/>
      <c r="D30" s="27"/>
      <c r="E30" s="27" t="s">
        <v>35</v>
      </c>
      <c r="F30" s="27">
        <v>70</v>
      </c>
      <c r="G30" s="27">
        <v>52</v>
      </c>
      <c r="H30" s="27">
        <v>0</v>
      </c>
      <c r="I30" s="27" t="s">
        <v>1100</v>
      </c>
    </row>
    <row r="31" spans="1:9" x14ac:dyDescent="0.3">
      <c r="A31" s="25"/>
      <c r="B31" s="27" t="s">
        <v>1129</v>
      </c>
      <c r="C31" s="27"/>
      <c r="D31" s="27"/>
      <c r="E31" s="27" t="s">
        <v>35</v>
      </c>
      <c r="F31" s="27">
        <v>70</v>
      </c>
      <c r="G31" s="27">
        <v>47.685699999999997</v>
      </c>
      <c r="H31" s="27">
        <v>20</v>
      </c>
      <c r="I31" s="27" t="s">
        <v>1100</v>
      </c>
    </row>
    <row r="32" spans="1:9" x14ac:dyDescent="0.3">
      <c r="A32" s="25"/>
      <c r="B32" s="27" t="s">
        <v>1130</v>
      </c>
      <c r="C32" s="27"/>
      <c r="D32" s="27"/>
      <c r="E32" s="27" t="s">
        <v>35</v>
      </c>
      <c r="F32" s="27">
        <v>300</v>
      </c>
      <c r="G32" s="27">
        <v>235</v>
      </c>
      <c r="H32" s="27">
        <v>5</v>
      </c>
      <c r="I32" s="27" t="s">
        <v>1100</v>
      </c>
    </row>
    <row r="33" spans="1:9" x14ac:dyDescent="0.3">
      <c r="A33" s="25"/>
      <c r="B33" s="27" t="s">
        <v>1131</v>
      </c>
      <c r="C33" s="27"/>
      <c r="D33" s="27"/>
      <c r="E33" s="27" t="s">
        <v>35</v>
      </c>
      <c r="F33" s="27">
        <v>25</v>
      </c>
      <c r="G33" s="27">
        <v>14.181900000000001</v>
      </c>
      <c r="H33" s="27">
        <v>0</v>
      </c>
      <c r="I33" s="27" t="s">
        <v>1100</v>
      </c>
    </row>
    <row r="34" spans="1:9" x14ac:dyDescent="0.3">
      <c r="A34" s="25"/>
      <c r="B34" s="28" t="s">
        <v>1132</v>
      </c>
      <c r="C34" s="28"/>
      <c r="D34" s="28"/>
      <c r="E34" s="28" t="s">
        <v>35</v>
      </c>
      <c r="F34" s="28">
        <v>245</v>
      </c>
      <c r="G34" s="28">
        <v>145</v>
      </c>
      <c r="H34" s="28">
        <v>0</v>
      </c>
      <c r="I34" s="28" t="s">
        <v>1100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08253-5C93-4D64-AC19-D555780D5882}">
  <dimension ref="A1:I204"/>
  <sheetViews>
    <sheetView topLeftCell="B188" workbookViewId="0">
      <selection activeCell="B205" sqref="A205:XFD360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7773437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7" t="s">
        <v>895</v>
      </c>
      <c r="C2" s="27"/>
      <c r="D2" s="27"/>
      <c r="E2" s="27" t="s">
        <v>35</v>
      </c>
      <c r="F2" s="27">
        <v>100</v>
      </c>
      <c r="G2" s="27">
        <v>48.183599999999998</v>
      </c>
      <c r="H2" s="27">
        <v>0</v>
      </c>
      <c r="I2" s="27" t="s">
        <v>29</v>
      </c>
    </row>
    <row r="3" spans="1:9" x14ac:dyDescent="0.3">
      <c r="A3" s="25"/>
      <c r="B3" s="28" t="s">
        <v>896</v>
      </c>
      <c r="C3" s="28"/>
      <c r="D3" s="28"/>
      <c r="E3" s="28" t="s">
        <v>35</v>
      </c>
      <c r="F3" s="28">
        <v>270</v>
      </c>
      <c r="G3" s="28">
        <v>182.5</v>
      </c>
      <c r="H3" s="28">
        <v>0</v>
      </c>
      <c r="I3" s="28" t="s">
        <v>29</v>
      </c>
    </row>
    <row r="4" spans="1:9" x14ac:dyDescent="0.3">
      <c r="A4" s="25"/>
      <c r="B4" s="27" t="s">
        <v>897</v>
      </c>
      <c r="C4" s="27"/>
      <c r="D4" s="27"/>
      <c r="E4" s="27" t="s">
        <v>35</v>
      </c>
      <c r="F4" s="27">
        <v>10</v>
      </c>
      <c r="G4" s="27">
        <v>1</v>
      </c>
      <c r="H4" s="27">
        <v>0</v>
      </c>
      <c r="I4" s="27" t="s">
        <v>29</v>
      </c>
    </row>
    <row r="5" spans="1:9" x14ac:dyDescent="0.3">
      <c r="A5" s="25"/>
      <c r="B5" s="28" t="s">
        <v>898</v>
      </c>
      <c r="C5" s="28"/>
      <c r="D5" s="28"/>
      <c r="E5" s="28" t="s">
        <v>35</v>
      </c>
      <c r="F5" s="28">
        <v>250</v>
      </c>
      <c r="G5" s="28">
        <v>126.3578</v>
      </c>
      <c r="H5" s="28">
        <v>5</v>
      </c>
      <c r="I5" s="28" t="s">
        <v>29</v>
      </c>
    </row>
    <row r="6" spans="1:9" x14ac:dyDescent="0.3">
      <c r="A6" s="25"/>
      <c r="B6" s="28" t="s">
        <v>899</v>
      </c>
      <c r="C6" s="28"/>
      <c r="D6" s="28"/>
      <c r="E6" s="28" t="s">
        <v>35</v>
      </c>
      <c r="F6" s="28">
        <v>50</v>
      </c>
      <c r="G6" s="28">
        <v>24.5</v>
      </c>
      <c r="H6" s="28">
        <v>5</v>
      </c>
      <c r="I6" s="28" t="s">
        <v>29</v>
      </c>
    </row>
    <row r="7" spans="1:9" x14ac:dyDescent="0.3">
      <c r="A7" s="25"/>
      <c r="B7" s="27" t="s">
        <v>900</v>
      </c>
      <c r="C7" s="27"/>
      <c r="D7" s="27"/>
      <c r="E7" s="27" t="s">
        <v>35</v>
      </c>
      <c r="F7" s="27">
        <v>10</v>
      </c>
      <c r="G7" s="27">
        <v>2.1206999999999998</v>
      </c>
      <c r="H7" s="27">
        <v>3</v>
      </c>
      <c r="I7" s="27" t="s">
        <v>29</v>
      </c>
    </row>
    <row r="8" spans="1:9" x14ac:dyDescent="0.3">
      <c r="A8" s="25"/>
      <c r="B8" s="28" t="s">
        <v>901</v>
      </c>
      <c r="C8" s="28"/>
      <c r="D8" s="28"/>
      <c r="E8" s="28" t="s">
        <v>35</v>
      </c>
      <c r="F8" s="28">
        <v>95</v>
      </c>
      <c r="G8" s="28">
        <v>40</v>
      </c>
      <c r="H8" s="28">
        <v>5</v>
      </c>
      <c r="I8" s="28" t="s">
        <v>29</v>
      </c>
    </row>
    <row r="9" spans="1:9" x14ac:dyDescent="0.3">
      <c r="A9" s="25"/>
      <c r="B9" s="27" t="s">
        <v>902</v>
      </c>
      <c r="C9" s="27"/>
      <c r="D9" s="27"/>
      <c r="E9" s="27" t="s">
        <v>35</v>
      </c>
      <c r="F9" s="27">
        <v>160</v>
      </c>
      <c r="G9" s="27">
        <v>145</v>
      </c>
      <c r="H9" s="27">
        <v>5</v>
      </c>
      <c r="I9" s="27" t="s">
        <v>29</v>
      </c>
    </row>
    <row r="10" spans="1:9" x14ac:dyDescent="0.3">
      <c r="A10" s="25"/>
      <c r="B10" s="27" t="s">
        <v>903</v>
      </c>
      <c r="C10" s="27"/>
      <c r="D10" s="27"/>
      <c r="E10" s="27" t="s">
        <v>35</v>
      </c>
      <c r="F10" s="27">
        <v>45</v>
      </c>
      <c r="G10" s="27">
        <v>26.808</v>
      </c>
      <c r="H10" s="27">
        <v>5</v>
      </c>
      <c r="I10" s="27" t="s">
        <v>29</v>
      </c>
    </row>
    <row r="11" spans="1:9" x14ac:dyDescent="0.3">
      <c r="A11" s="25"/>
      <c r="B11" s="28" t="s">
        <v>904</v>
      </c>
      <c r="C11" s="28"/>
      <c r="D11" s="28"/>
      <c r="E11" s="28" t="s">
        <v>35</v>
      </c>
      <c r="F11" s="28">
        <v>25</v>
      </c>
      <c r="G11" s="28">
        <v>24.769200000000001</v>
      </c>
      <c r="H11" s="28">
        <v>5</v>
      </c>
      <c r="I11" s="28" t="s">
        <v>29</v>
      </c>
    </row>
    <row r="12" spans="1:9" x14ac:dyDescent="0.3">
      <c r="A12" s="25"/>
      <c r="B12" s="27" t="s">
        <v>905</v>
      </c>
      <c r="C12" s="27"/>
      <c r="D12" s="27"/>
      <c r="E12" s="27" t="s">
        <v>35</v>
      </c>
      <c r="F12" s="27">
        <v>230</v>
      </c>
      <c r="G12" s="27">
        <v>84.465800000000002</v>
      </c>
      <c r="H12" s="27">
        <v>5</v>
      </c>
      <c r="I12" s="27" t="s">
        <v>29</v>
      </c>
    </row>
    <row r="13" spans="1:9" x14ac:dyDescent="0.3">
      <c r="A13" s="25"/>
      <c r="B13" s="28" t="s">
        <v>906</v>
      </c>
      <c r="C13" s="28"/>
      <c r="D13" s="28"/>
      <c r="E13" s="28" t="s">
        <v>35</v>
      </c>
      <c r="F13" s="28">
        <v>375</v>
      </c>
      <c r="G13" s="28">
        <v>280</v>
      </c>
      <c r="H13" s="28">
        <v>0</v>
      </c>
      <c r="I13" s="28" t="s">
        <v>29</v>
      </c>
    </row>
    <row r="14" spans="1:9" x14ac:dyDescent="0.3">
      <c r="A14" s="25"/>
      <c r="B14" s="27" t="s">
        <v>907</v>
      </c>
      <c r="C14" s="27"/>
      <c r="D14" s="27"/>
      <c r="E14" s="27" t="s">
        <v>35</v>
      </c>
      <c r="F14" s="27">
        <v>15</v>
      </c>
      <c r="G14" s="27">
        <v>5</v>
      </c>
      <c r="H14" s="27">
        <v>5</v>
      </c>
      <c r="I14" s="27" t="s">
        <v>29</v>
      </c>
    </row>
    <row r="15" spans="1:9" x14ac:dyDescent="0.3">
      <c r="A15" s="25"/>
      <c r="B15" s="27" t="s">
        <v>908</v>
      </c>
      <c r="C15" s="27"/>
      <c r="D15" s="27"/>
      <c r="E15" s="27" t="s">
        <v>35</v>
      </c>
      <c r="F15" s="27">
        <v>20</v>
      </c>
      <c r="G15" s="27">
        <v>5</v>
      </c>
      <c r="H15" s="27">
        <v>5</v>
      </c>
      <c r="I15" s="27" t="s">
        <v>29</v>
      </c>
    </row>
    <row r="16" spans="1:9" x14ac:dyDescent="0.3">
      <c r="A16" s="25"/>
      <c r="B16" s="28" t="s">
        <v>909</v>
      </c>
      <c r="C16" s="28"/>
      <c r="D16" s="28"/>
      <c r="E16" s="28" t="s">
        <v>35</v>
      </c>
      <c r="F16" s="28">
        <v>20</v>
      </c>
      <c r="G16" s="28">
        <v>12</v>
      </c>
      <c r="H16" s="28">
        <v>5</v>
      </c>
      <c r="I16" s="28" t="s">
        <v>29</v>
      </c>
    </row>
    <row r="17" spans="1:9" x14ac:dyDescent="0.3">
      <c r="A17" s="25"/>
      <c r="B17" s="27" t="s">
        <v>910</v>
      </c>
      <c r="C17" s="27"/>
      <c r="D17" s="27"/>
      <c r="E17" s="27" t="s">
        <v>35</v>
      </c>
      <c r="F17" s="27">
        <v>40</v>
      </c>
      <c r="G17" s="27">
        <v>18.5</v>
      </c>
      <c r="H17" s="27">
        <v>5</v>
      </c>
      <c r="I17" s="27" t="s">
        <v>29</v>
      </c>
    </row>
    <row r="18" spans="1:9" x14ac:dyDescent="0.3">
      <c r="A18" s="25"/>
      <c r="B18" s="28" t="s">
        <v>911</v>
      </c>
      <c r="C18" s="28"/>
      <c r="D18" s="28"/>
      <c r="E18" s="28" t="s">
        <v>35</v>
      </c>
      <c r="F18" s="28">
        <v>20</v>
      </c>
      <c r="G18" s="28">
        <v>3.5</v>
      </c>
      <c r="H18" s="28">
        <v>5</v>
      </c>
      <c r="I18" s="28" t="s">
        <v>29</v>
      </c>
    </row>
    <row r="19" spans="1:9" x14ac:dyDescent="0.3">
      <c r="A19" s="25"/>
      <c r="B19" s="28" t="s">
        <v>912</v>
      </c>
      <c r="C19" s="28"/>
      <c r="D19" s="28"/>
      <c r="E19" s="28" t="s">
        <v>35</v>
      </c>
      <c r="F19" s="28">
        <v>15</v>
      </c>
      <c r="G19" s="28">
        <v>7</v>
      </c>
      <c r="H19" s="28">
        <v>5</v>
      </c>
      <c r="I19" s="28" t="s">
        <v>29</v>
      </c>
    </row>
    <row r="20" spans="1:9" x14ac:dyDescent="0.3">
      <c r="A20" s="25"/>
      <c r="B20" s="27" t="s">
        <v>913</v>
      </c>
      <c r="C20" s="27"/>
      <c r="D20" s="27"/>
      <c r="E20" s="27" t="s">
        <v>35</v>
      </c>
      <c r="F20" s="27">
        <v>20</v>
      </c>
      <c r="G20" s="27">
        <v>15</v>
      </c>
      <c r="H20" s="27">
        <v>5</v>
      </c>
      <c r="I20" s="27" t="s">
        <v>29</v>
      </c>
    </row>
    <row r="21" spans="1:9" x14ac:dyDescent="0.3">
      <c r="A21" s="25"/>
      <c r="B21" s="27" t="s">
        <v>914</v>
      </c>
      <c r="C21" s="27"/>
      <c r="D21" s="27"/>
      <c r="E21" s="27" t="s">
        <v>35</v>
      </c>
      <c r="F21" s="27">
        <v>30</v>
      </c>
      <c r="G21" s="27">
        <v>10</v>
      </c>
      <c r="H21" s="27">
        <v>5</v>
      </c>
      <c r="I21" s="27" t="s">
        <v>29</v>
      </c>
    </row>
    <row r="22" spans="1:9" x14ac:dyDescent="0.3">
      <c r="A22" s="25"/>
      <c r="B22" s="28" t="s">
        <v>915</v>
      </c>
      <c r="C22" s="28"/>
      <c r="D22" s="28"/>
      <c r="E22" s="28" t="s">
        <v>35</v>
      </c>
      <c r="F22" s="28">
        <v>65</v>
      </c>
      <c r="G22" s="28">
        <v>21.714300000000001</v>
      </c>
      <c r="H22" s="28">
        <v>5</v>
      </c>
      <c r="I22" s="28" t="s">
        <v>29</v>
      </c>
    </row>
    <row r="23" spans="1:9" x14ac:dyDescent="0.3">
      <c r="A23" s="25"/>
      <c r="B23" s="28" t="s">
        <v>916</v>
      </c>
      <c r="C23" s="28"/>
      <c r="D23" s="28"/>
      <c r="E23" s="28" t="s">
        <v>35</v>
      </c>
      <c r="F23" s="28">
        <v>180</v>
      </c>
      <c r="G23" s="28">
        <v>55.780700000000003</v>
      </c>
      <c r="H23" s="28">
        <v>5</v>
      </c>
      <c r="I23" s="28" t="s">
        <v>29</v>
      </c>
    </row>
    <row r="24" spans="1:9" x14ac:dyDescent="0.3">
      <c r="A24" s="25"/>
      <c r="B24" s="27" t="s">
        <v>917</v>
      </c>
      <c r="C24" s="27"/>
      <c r="D24" s="27"/>
      <c r="E24" s="27" t="s">
        <v>35</v>
      </c>
      <c r="F24" s="27">
        <v>250</v>
      </c>
      <c r="G24" s="27">
        <v>94.29</v>
      </c>
      <c r="H24" s="27">
        <v>5</v>
      </c>
      <c r="I24" s="27" t="s">
        <v>29</v>
      </c>
    </row>
    <row r="25" spans="1:9" x14ac:dyDescent="0.3">
      <c r="A25" s="25"/>
      <c r="B25" s="28" t="s">
        <v>918</v>
      </c>
      <c r="C25" s="28"/>
      <c r="D25" s="28"/>
      <c r="E25" s="28" t="s">
        <v>35</v>
      </c>
      <c r="F25" s="28">
        <v>45</v>
      </c>
      <c r="G25" s="28">
        <v>20</v>
      </c>
      <c r="H25" s="28">
        <v>5</v>
      </c>
      <c r="I25" s="28" t="s">
        <v>29</v>
      </c>
    </row>
    <row r="26" spans="1:9" x14ac:dyDescent="0.3">
      <c r="A26" s="25"/>
      <c r="B26" s="27" t="s">
        <v>919</v>
      </c>
      <c r="C26" s="27"/>
      <c r="D26" s="27"/>
      <c r="E26" s="27" t="s">
        <v>35</v>
      </c>
      <c r="F26" s="27">
        <v>55</v>
      </c>
      <c r="G26" s="27">
        <v>27</v>
      </c>
      <c r="H26" s="27">
        <v>5</v>
      </c>
      <c r="I26" s="27" t="s">
        <v>29</v>
      </c>
    </row>
    <row r="27" spans="1:9" x14ac:dyDescent="0.3">
      <c r="A27" s="25"/>
      <c r="B27" s="28" t="s">
        <v>920</v>
      </c>
      <c r="C27" s="28"/>
      <c r="D27" s="28"/>
      <c r="E27" s="28" t="s">
        <v>35</v>
      </c>
      <c r="F27" s="28">
        <v>45</v>
      </c>
      <c r="G27" s="28">
        <v>29</v>
      </c>
      <c r="H27" s="28">
        <v>0</v>
      </c>
      <c r="I27" s="28" t="s">
        <v>29</v>
      </c>
    </row>
    <row r="28" spans="1:9" x14ac:dyDescent="0.3">
      <c r="A28" s="25"/>
      <c r="B28" s="27" t="s">
        <v>921</v>
      </c>
      <c r="C28" s="27"/>
      <c r="D28" s="27"/>
      <c r="E28" s="27" t="s">
        <v>35</v>
      </c>
      <c r="F28" s="27">
        <v>170</v>
      </c>
      <c r="G28" s="27">
        <v>90.073599999999999</v>
      </c>
      <c r="H28" s="27">
        <v>3</v>
      </c>
      <c r="I28" s="27" t="s">
        <v>29</v>
      </c>
    </row>
    <row r="29" spans="1:9" x14ac:dyDescent="0.3">
      <c r="A29" s="25"/>
      <c r="B29" s="28" t="s">
        <v>922</v>
      </c>
      <c r="C29" s="28"/>
      <c r="D29" s="28"/>
      <c r="E29" s="28" t="s">
        <v>35</v>
      </c>
      <c r="F29" s="28">
        <v>210</v>
      </c>
      <c r="G29" s="28">
        <v>118.7761</v>
      </c>
      <c r="H29" s="28">
        <v>3</v>
      </c>
      <c r="I29" s="28" t="s">
        <v>29</v>
      </c>
    </row>
    <row r="30" spans="1:9" x14ac:dyDescent="0.3">
      <c r="A30" s="25"/>
      <c r="B30" s="27" t="s">
        <v>923</v>
      </c>
      <c r="C30" s="27"/>
      <c r="D30" s="27"/>
      <c r="E30" s="27" t="s">
        <v>35</v>
      </c>
      <c r="F30" s="27">
        <v>230</v>
      </c>
      <c r="G30" s="27">
        <v>154.7021</v>
      </c>
      <c r="H30" s="27">
        <v>0</v>
      </c>
      <c r="I30" s="27" t="s">
        <v>29</v>
      </c>
    </row>
    <row r="31" spans="1:9" x14ac:dyDescent="0.3">
      <c r="A31" s="25"/>
      <c r="B31" s="28" t="s">
        <v>924</v>
      </c>
      <c r="C31" s="28"/>
      <c r="D31" s="28"/>
      <c r="E31" s="28" t="s">
        <v>35</v>
      </c>
      <c r="F31" s="28">
        <v>260</v>
      </c>
      <c r="G31" s="28">
        <v>187</v>
      </c>
      <c r="H31" s="28">
        <v>0</v>
      </c>
      <c r="I31" s="28" t="s">
        <v>29</v>
      </c>
    </row>
    <row r="32" spans="1:9" x14ac:dyDescent="0.3">
      <c r="A32" s="25"/>
      <c r="B32" s="27" t="s">
        <v>925</v>
      </c>
      <c r="C32" s="27"/>
      <c r="D32" s="27"/>
      <c r="E32" s="27" t="s">
        <v>35</v>
      </c>
      <c r="F32" s="27">
        <v>350</v>
      </c>
      <c r="G32" s="27">
        <v>215</v>
      </c>
      <c r="H32" s="27">
        <v>5</v>
      </c>
      <c r="I32" s="27" t="s">
        <v>29</v>
      </c>
    </row>
    <row r="33" spans="1:9" x14ac:dyDescent="0.3">
      <c r="A33" s="25"/>
      <c r="B33" s="27" t="s">
        <v>926</v>
      </c>
      <c r="C33" s="27"/>
      <c r="D33" s="27"/>
      <c r="E33" s="27" t="s">
        <v>35</v>
      </c>
      <c r="F33" s="27">
        <v>300</v>
      </c>
      <c r="G33" s="27">
        <v>195</v>
      </c>
      <c r="H33" s="27">
        <v>0</v>
      </c>
      <c r="I33" s="27" t="s">
        <v>29</v>
      </c>
    </row>
    <row r="34" spans="1:9" x14ac:dyDescent="0.3">
      <c r="A34" s="25"/>
      <c r="B34" s="28" t="s">
        <v>927</v>
      </c>
      <c r="C34" s="28"/>
      <c r="D34" s="28"/>
      <c r="E34" s="28" t="s">
        <v>35</v>
      </c>
      <c r="F34" s="28">
        <v>350</v>
      </c>
      <c r="G34" s="28">
        <v>235</v>
      </c>
      <c r="H34" s="28">
        <v>0</v>
      </c>
      <c r="I34" s="28" t="s">
        <v>29</v>
      </c>
    </row>
    <row r="35" spans="1:9" x14ac:dyDescent="0.3">
      <c r="A35" s="25"/>
      <c r="B35" s="28" t="s">
        <v>928</v>
      </c>
      <c r="C35" s="28"/>
      <c r="D35" s="28"/>
      <c r="E35" s="28" t="s">
        <v>35</v>
      </c>
      <c r="F35" s="28">
        <v>15</v>
      </c>
      <c r="G35" s="28">
        <v>1</v>
      </c>
      <c r="H35" s="28">
        <v>10</v>
      </c>
      <c r="I35" s="28" t="s">
        <v>29</v>
      </c>
    </row>
    <row r="36" spans="1:9" x14ac:dyDescent="0.3">
      <c r="A36" s="25"/>
      <c r="B36" s="27" t="s">
        <v>929</v>
      </c>
      <c r="C36" s="27"/>
      <c r="D36" s="27"/>
      <c r="E36" s="27" t="s">
        <v>35</v>
      </c>
      <c r="F36" s="27">
        <v>100</v>
      </c>
      <c r="G36" s="27">
        <v>62.833300000000001</v>
      </c>
      <c r="H36" s="27">
        <v>5</v>
      </c>
      <c r="I36" s="27" t="s">
        <v>29</v>
      </c>
    </row>
    <row r="37" spans="1:9" x14ac:dyDescent="0.3">
      <c r="A37" s="25"/>
      <c r="B37" s="27" t="s">
        <v>930</v>
      </c>
      <c r="C37" s="27"/>
      <c r="D37" s="27"/>
      <c r="E37" s="27" t="s">
        <v>35</v>
      </c>
      <c r="F37" s="27">
        <v>120</v>
      </c>
      <c r="G37" s="27">
        <v>50</v>
      </c>
      <c r="H37" s="27">
        <v>5</v>
      </c>
      <c r="I37" s="27" t="s">
        <v>29</v>
      </c>
    </row>
    <row r="38" spans="1:9" x14ac:dyDescent="0.3">
      <c r="A38" s="25"/>
      <c r="B38" s="28" t="s">
        <v>931</v>
      </c>
      <c r="C38" s="28"/>
      <c r="D38" s="28"/>
      <c r="E38" s="28" t="s">
        <v>35</v>
      </c>
      <c r="F38" s="28">
        <v>100</v>
      </c>
      <c r="G38" s="28">
        <v>47</v>
      </c>
      <c r="H38" s="28">
        <v>5</v>
      </c>
      <c r="I38" s="28" t="s">
        <v>29</v>
      </c>
    </row>
    <row r="39" spans="1:9" x14ac:dyDescent="0.3">
      <c r="A39" s="25"/>
      <c r="B39" s="27" t="s">
        <v>932</v>
      </c>
      <c r="C39" s="27"/>
      <c r="D39" s="27"/>
      <c r="E39" s="27" t="s">
        <v>35</v>
      </c>
      <c r="F39" s="27">
        <v>190</v>
      </c>
      <c r="G39" s="27">
        <v>118.5428</v>
      </c>
      <c r="H39" s="27">
        <v>3</v>
      </c>
      <c r="I39" s="27" t="s">
        <v>29</v>
      </c>
    </row>
    <row r="40" spans="1:9" x14ac:dyDescent="0.3">
      <c r="A40" s="25"/>
      <c r="B40" s="28" t="s">
        <v>933</v>
      </c>
      <c r="C40" s="28"/>
      <c r="D40" s="28"/>
      <c r="E40" s="28" t="s">
        <v>35</v>
      </c>
      <c r="F40" s="28">
        <v>25</v>
      </c>
      <c r="G40" s="28">
        <v>4</v>
      </c>
      <c r="H40" s="28">
        <v>0</v>
      </c>
      <c r="I40" s="28" t="s">
        <v>29</v>
      </c>
    </row>
    <row r="41" spans="1:9" x14ac:dyDescent="0.3">
      <c r="A41" s="25"/>
      <c r="B41" s="27" t="s">
        <v>934</v>
      </c>
      <c r="C41" s="27"/>
      <c r="D41" s="27"/>
      <c r="E41" s="27" t="s">
        <v>35</v>
      </c>
      <c r="F41" s="27">
        <v>50</v>
      </c>
      <c r="G41" s="27">
        <v>28.15</v>
      </c>
      <c r="H41" s="27">
        <v>0</v>
      </c>
      <c r="I41" s="27" t="s">
        <v>29</v>
      </c>
    </row>
    <row r="42" spans="1:9" x14ac:dyDescent="0.3">
      <c r="A42" s="25"/>
      <c r="B42" s="28" t="s">
        <v>935</v>
      </c>
      <c r="C42" s="28"/>
      <c r="D42" s="28"/>
      <c r="E42" s="28" t="s">
        <v>936</v>
      </c>
      <c r="F42" s="28">
        <v>20</v>
      </c>
      <c r="G42" s="28">
        <v>8.75</v>
      </c>
      <c r="H42" s="28">
        <v>0</v>
      </c>
      <c r="I42" s="28" t="s">
        <v>29</v>
      </c>
    </row>
    <row r="43" spans="1:9" x14ac:dyDescent="0.3">
      <c r="A43" s="25"/>
      <c r="B43" s="28" t="s">
        <v>937</v>
      </c>
      <c r="C43" s="28"/>
      <c r="D43" s="28"/>
      <c r="E43" s="28" t="s">
        <v>29</v>
      </c>
      <c r="F43" s="28">
        <v>120</v>
      </c>
      <c r="G43" s="28">
        <v>55</v>
      </c>
      <c r="H43" s="28">
        <v>0</v>
      </c>
      <c r="I43" s="28" t="s">
        <v>29</v>
      </c>
    </row>
    <row r="44" spans="1:9" x14ac:dyDescent="0.3">
      <c r="A44" s="25"/>
      <c r="B44" s="28" t="s">
        <v>938</v>
      </c>
      <c r="C44" s="28"/>
      <c r="D44" s="28"/>
      <c r="E44" s="28" t="s">
        <v>29</v>
      </c>
      <c r="F44" s="28">
        <v>20</v>
      </c>
      <c r="G44" s="28">
        <v>7.5</v>
      </c>
      <c r="H44" s="28">
        <v>0</v>
      </c>
      <c r="I44" s="28" t="s">
        <v>29</v>
      </c>
    </row>
    <row r="45" spans="1:9" x14ac:dyDescent="0.3">
      <c r="A45" s="25"/>
      <c r="B45" s="27" t="s">
        <v>939</v>
      </c>
      <c r="C45" s="27"/>
      <c r="D45" s="27"/>
      <c r="E45" s="27" t="s">
        <v>29</v>
      </c>
      <c r="F45" s="27">
        <v>30</v>
      </c>
      <c r="G45" s="27">
        <v>10</v>
      </c>
      <c r="H45" s="27">
        <v>0</v>
      </c>
      <c r="I45" s="27" t="s">
        <v>29</v>
      </c>
    </row>
    <row r="46" spans="1:9" x14ac:dyDescent="0.3">
      <c r="A46" s="25"/>
      <c r="B46" s="28" t="s">
        <v>940</v>
      </c>
      <c r="C46" s="28"/>
      <c r="D46" s="28"/>
      <c r="E46" s="28" t="s">
        <v>35</v>
      </c>
      <c r="F46" s="28">
        <v>15</v>
      </c>
      <c r="G46" s="28">
        <v>5</v>
      </c>
      <c r="H46" s="28">
        <v>0</v>
      </c>
      <c r="I46" s="28" t="s">
        <v>29</v>
      </c>
    </row>
    <row r="47" spans="1:9" x14ac:dyDescent="0.3">
      <c r="A47" s="25"/>
      <c r="B47" s="27" t="s">
        <v>941</v>
      </c>
      <c r="C47" s="27"/>
      <c r="D47" s="27"/>
      <c r="E47" s="27" t="s">
        <v>35</v>
      </c>
      <c r="F47" s="27">
        <v>50</v>
      </c>
      <c r="G47" s="27">
        <v>30</v>
      </c>
      <c r="H47" s="27">
        <v>5</v>
      </c>
      <c r="I47" s="27" t="s">
        <v>29</v>
      </c>
    </row>
    <row r="48" spans="1:9" x14ac:dyDescent="0.3">
      <c r="A48" s="25"/>
      <c r="B48" s="28" t="s">
        <v>942</v>
      </c>
      <c r="C48" s="28"/>
      <c r="D48" s="28"/>
      <c r="E48" s="28" t="s">
        <v>35</v>
      </c>
      <c r="F48" s="28">
        <v>15</v>
      </c>
      <c r="G48" s="28">
        <v>6.32</v>
      </c>
      <c r="H48" s="28">
        <v>5</v>
      </c>
      <c r="I48" s="28" t="s">
        <v>29</v>
      </c>
    </row>
    <row r="49" spans="1:9" x14ac:dyDescent="0.3">
      <c r="A49" s="25"/>
      <c r="B49" s="27" t="s">
        <v>943</v>
      </c>
      <c r="C49" s="27"/>
      <c r="D49" s="27"/>
      <c r="E49" s="27" t="s">
        <v>35</v>
      </c>
      <c r="F49" s="27">
        <v>10</v>
      </c>
      <c r="G49" s="27">
        <v>2.75</v>
      </c>
      <c r="H49" s="27">
        <v>10</v>
      </c>
      <c r="I49" s="27" t="s">
        <v>29</v>
      </c>
    </row>
    <row r="50" spans="1:9" x14ac:dyDescent="0.3">
      <c r="A50" s="25"/>
      <c r="B50" s="28" t="s">
        <v>944</v>
      </c>
      <c r="C50" s="28"/>
      <c r="D50" s="28"/>
      <c r="E50" s="28" t="s">
        <v>35</v>
      </c>
      <c r="F50" s="28">
        <v>15</v>
      </c>
      <c r="G50" s="28">
        <v>7.5011000000000001</v>
      </c>
      <c r="H50" s="28">
        <v>15</v>
      </c>
      <c r="I50" s="28" t="s">
        <v>29</v>
      </c>
    </row>
    <row r="51" spans="1:9" x14ac:dyDescent="0.3">
      <c r="A51" s="25"/>
      <c r="B51" s="27" t="s">
        <v>945</v>
      </c>
      <c r="C51" s="27"/>
      <c r="D51" s="27"/>
      <c r="E51" s="27" t="s">
        <v>35</v>
      </c>
      <c r="F51" s="27">
        <v>40</v>
      </c>
      <c r="G51" s="27">
        <v>10.5</v>
      </c>
      <c r="H51" s="27">
        <v>2</v>
      </c>
      <c r="I51" s="27" t="s">
        <v>29</v>
      </c>
    </row>
    <row r="52" spans="1:9" x14ac:dyDescent="0.3">
      <c r="A52" s="25"/>
      <c r="B52" s="28" t="s">
        <v>946</v>
      </c>
      <c r="C52" s="28"/>
      <c r="D52" s="28"/>
      <c r="E52" s="28" t="s">
        <v>35</v>
      </c>
      <c r="F52" s="28">
        <v>35</v>
      </c>
      <c r="G52" s="28">
        <v>17</v>
      </c>
      <c r="H52" s="28">
        <v>5</v>
      </c>
      <c r="I52" s="28" t="s">
        <v>29</v>
      </c>
    </row>
    <row r="53" spans="1:9" x14ac:dyDescent="0.3">
      <c r="A53" s="25"/>
      <c r="B53" s="27" t="s">
        <v>947</v>
      </c>
      <c r="C53" s="27"/>
      <c r="D53" s="27"/>
      <c r="E53" s="27" t="s">
        <v>35</v>
      </c>
      <c r="F53" s="27">
        <v>25</v>
      </c>
      <c r="G53" s="27">
        <v>12.328900000000001</v>
      </c>
      <c r="H53" s="27">
        <v>5</v>
      </c>
      <c r="I53" s="27" t="s">
        <v>29</v>
      </c>
    </row>
    <row r="54" spans="1:9" x14ac:dyDescent="0.3">
      <c r="A54" s="25"/>
      <c r="B54" s="28" t="s">
        <v>948</v>
      </c>
      <c r="C54" s="28"/>
      <c r="D54" s="28"/>
      <c r="E54" s="28" t="s">
        <v>35</v>
      </c>
      <c r="F54" s="28">
        <v>25</v>
      </c>
      <c r="G54" s="28">
        <v>15</v>
      </c>
      <c r="H54" s="28">
        <v>0</v>
      </c>
      <c r="I54" s="28" t="s">
        <v>29</v>
      </c>
    </row>
    <row r="55" spans="1:9" x14ac:dyDescent="0.3">
      <c r="A55" s="25"/>
      <c r="B55" s="28" t="s">
        <v>949</v>
      </c>
      <c r="C55" s="28"/>
      <c r="D55" s="28"/>
      <c r="E55" s="28" t="s">
        <v>35</v>
      </c>
      <c r="F55" s="28">
        <v>165</v>
      </c>
      <c r="G55" s="28">
        <v>100</v>
      </c>
      <c r="H55" s="28">
        <v>0</v>
      </c>
      <c r="I55" s="28" t="s">
        <v>29</v>
      </c>
    </row>
    <row r="56" spans="1:9" x14ac:dyDescent="0.3">
      <c r="A56" s="25"/>
      <c r="B56" s="28" t="s">
        <v>950</v>
      </c>
      <c r="C56" s="28"/>
      <c r="D56" s="28"/>
      <c r="E56" s="28" t="s">
        <v>35</v>
      </c>
      <c r="F56" s="28">
        <v>5</v>
      </c>
      <c r="G56" s="28">
        <v>1</v>
      </c>
      <c r="H56" s="28">
        <v>0</v>
      </c>
      <c r="I56" s="28" t="s">
        <v>29</v>
      </c>
    </row>
    <row r="57" spans="1:9" x14ac:dyDescent="0.3">
      <c r="A57" s="25"/>
      <c r="B57" s="28" t="s">
        <v>951</v>
      </c>
      <c r="C57" s="28"/>
      <c r="D57" s="28"/>
      <c r="E57" s="28" t="s">
        <v>26</v>
      </c>
      <c r="F57" s="28">
        <v>20</v>
      </c>
      <c r="G57" s="28">
        <v>7.6048999999999998</v>
      </c>
      <c r="H57" s="28">
        <v>10</v>
      </c>
      <c r="I57" s="28" t="s">
        <v>29</v>
      </c>
    </row>
    <row r="58" spans="1:9" x14ac:dyDescent="0.3">
      <c r="A58" s="25"/>
      <c r="B58" s="27" t="s">
        <v>952</v>
      </c>
      <c r="C58" s="27"/>
      <c r="D58" s="27"/>
      <c r="E58" s="27" t="s">
        <v>26</v>
      </c>
      <c r="F58" s="27">
        <v>100</v>
      </c>
      <c r="G58" s="27">
        <v>0</v>
      </c>
      <c r="H58" s="27">
        <v>10</v>
      </c>
      <c r="I58" s="27" t="s">
        <v>29</v>
      </c>
    </row>
    <row r="59" spans="1:9" x14ac:dyDescent="0.3">
      <c r="A59" s="25"/>
      <c r="B59" s="28" t="s">
        <v>953</v>
      </c>
      <c r="C59" s="28"/>
      <c r="D59" s="28"/>
      <c r="E59" s="28" t="s">
        <v>26</v>
      </c>
      <c r="F59" s="28">
        <v>125</v>
      </c>
      <c r="G59" s="28">
        <v>85</v>
      </c>
      <c r="H59" s="28">
        <v>10</v>
      </c>
      <c r="I59" s="28" t="s">
        <v>29</v>
      </c>
    </row>
    <row r="60" spans="1:9" x14ac:dyDescent="0.3">
      <c r="A60" s="25"/>
      <c r="B60" s="27" t="s">
        <v>954</v>
      </c>
      <c r="C60" s="27"/>
      <c r="D60" s="27"/>
      <c r="E60" s="27" t="s">
        <v>26</v>
      </c>
      <c r="F60" s="27">
        <v>25</v>
      </c>
      <c r="G60" s="27">
        <v>11.352399999999999</v>
      </c>
      <c r="H60" s="27">
        <v>10</v>
      </c>
      <c r="I60" s="27" t="s">
        <v>29</v>
      </c>
    </row>
    <row r="61" spans="1:9" x14ac:dyDescent="0.3">
      <c r="A61" s="25"/>
      <c r="B61" s="28" t="s">
        <v>955</v>
      </c>
      <c r="C61" s="28"/>
      <c r="D61" s="28"/>
      <c r="E61" s="28" t="s">
        <v>26</v>
      </c>
      <c r="F61" s="28">
        <v>35</v>
      </c>
      <c r="G61" s="28">
        <v>13.8371</v>
      </c>
      <c r="H61" s="28">
        <v>10</v>
      </c>
      <c r="I61" s="28" t="s">
        <v>29</v>
      </c>
    </row>
    <row r="62" spans="1:9" x14ac:dyDescent="0.3">
      <c r="A62" s="25"/>
      <c r="B62" s="27" t="s">
        <v>956</v>
      </c>
      <c r="C62" s="27"/>
      <c r="D62" s="27"/>
      <c r="E62" s="27" t="s">
        <v>26</v>
      </c>
      <c r="F62" s="27">
        <v>40</v>
      </c>
      <c r="G62" s="27">
        <v>20</v>
      </c>
      <c r="H62" s="27">
        <v>10</v>
      </c>
      <c r="I62" s="27" t="s">
        <v>29</v>
      </c>
    </row>
    <row r="63" spans="1:9" x14ac:dyDescent="0.3">
      <c r="A63" s="25"/>
      <c r="B63" s="28" t="s">
        <v>957</v>
      </c>
      <c r="C63" s="28"/>
      <c r="D63" s="28"/>
      <c r="E63" s="28" t="s">
        <v>26</v>
      </c>
      <c r="F63" s="28">
        <v>45</v>
      </c>
      <c r="G63" s="28">
        <v>20.239999999999998</v>
      </c>
      <c r="H63" s="28">
        <v>10</v>
      </c>
      <c r="I63" s="28" t="s">
        <v>29</v>
      </c>
    </row>
    <row r="64" spans="1:9" x14ac:dyDescent="0.3">
      <c r="A64" s="25"/>
      <c r="B64" s="27" t="s">
        <v>958</v>
      </c>
      <c r="C64" s="27"/>
      <c r="D64" s="27"/>
      <c r="E64" s="27" t="s">
        <v>26</v>
      </c>
      <c r="F64" s="27">
        <v>20</v>
      </c>
      <c r="G64" s="27">
        <v>4.2755000000000001</v>
      </c>
      <c r="H64" s="27">
        <v>10</v>
      </c>
      <c r="I64" s="27" t="s">
        <v>29</v>
      </c>
    </row>
    <row r="65" spans="1:9" x14ac:dyDescent="0.3">
      <c r="A65" s="25"/>
      <c r="B65" s="28" t="s">
        <v>959</v>
      </c>
      <c r="C65" s="28"/>
      <c r="D65" s="28"/>
      <c r="E65" s="28" t="s">
        <v>26</v>
      </c>
      <c r="F65" s="28">
        <v>25</v>
      </c>
      <c r="G65" s="28">
        <v>7.0744999999999996</v>
      </c>
      <c r="H65" s="28">
        <v>10</v>
      </c>
      <c r="I65" s="28" t="s">
        <v>29</v>
      </c>
    </row>
    <row r="66" spans="1:9" x14ac:dyDescent="0.3">
      <c r="A66" s="25"/>
      <c r="B66" s="28" t="s">
        <v>960</v>
      </c>
      <c r="C66" s="28"/>
      <c r="D66" s="28"/>
      <c r="E66" s="28" t="s">
        <v>26</v>
      </c>
      <c r="F66" s="28">
        <v>35</v>
      </c>
      <c r="G66" s="28">
        <v>12.142899999999999</v>
      </c>
      <c r="H66" s="28">
        <v>10</v>
      </c>
      <c r="I66" s="28" t="s">
        <v>29</v>
      </c>
    </row>
    <row r="67" spans="1:9" x14ac:dyDescent="0.3">
      <c r="A67" s="25"/>
      <c r="B67" s="27" t="s">
        <v>961</v>
      </c>
      <c r="C67" s="27"/>
      <c r="D67" s="27"/>
      <c r="E67" s="27" t="s">
        <v>26</v>
      </c>
      <c r="F67" s="27">
        <v>50</v>
      </c>
      <c r="G67" s="27">
        <v>15.9718</v>
      </c>
      <c r="H67" s="27">
        <v>10</v>
      </c>
      <c r="I67" s="27" t="s">
        <v>29</v>
      </c>
    </row>
    <row r="68" spans="1:9" x14ac:dyDescent="0.3">
      <c r="A68" s="25"/>
      <c r="B68" s="27" t="s">
        <v>962</v>
      </c>
      <c r="C68" s="27"/>
      <c r="D68" s="27"/>
      <c r="E68" s="27" t="s">
        <v>26</v>
      </c>
      <c r="F68" s="27">
        <v>30</v>
      </c>
      <c r="G68" s="27">
        <v>0</v>
      </c>
      <c r="H68" s="27">
        <v>10</v>
      </c>
      <c r="I68" s="27" t="s">
        <v>29</v>
      </c>
    </row>
    <row r="69" spans="1:9" x14ac:dyDescent="0.3">
      <c r="A69" s="25"/>
      <c r="B69" s="28" t="s">
        <v>963</v>
      </c>
      <c r="C69" s="28"/>
      <c r="D69" s="28"/>
      <c r="E69" s="28" t="s">
        <v>35</v>
      </c>
      <c r="F69" s="28">
        <v>0</v>
      </c>
      <c r="G69" s="28">
        <v>200</v>
      </c>
      <c r="H69" s="28">
        <v>0</v>
      </c>
      <c r="I69" s="27" t="s">
        <v>29</v>
      </c>
    </row>
    <row r="70" spans="1:9" x14ac:dyDescent="0.3">
      <c r="A70" s="25"/>
      <c r="B70" s="27" t="s">
        <v>964</v>
      </c>
      <c r="C70" s="27"/>
      <c r="D70" s="27"/>
      <c r="E70" s="27" t="s">
        <v>26</v>
      </c>
      <c r="F70" s="27">
        <v>55</v>
      </c>
      <c r="G70" s="27">
        <v>27.254799999999999</v>
      </c>
      <c r="H70" s="27">
        <v>0</v>
      </c>
      <c r="I70" s="27" t="s">
        <v>29</v>
      </c>
    </row>
    <row r="71" spans="1:9" x14ac:dyDescent="0.3">
      <c r="A71" s="25"/>
      <c r="B71" s="27" t="s">
        <v>965</v>
      </c>
      <c r="C71" s="27"/>
      <c r="D71" s="27"/>
      <c r="E71" s="27" t="s">
        <v>26</v>
      </c>
      <c r="F71" s="27">
        <v>85</v>
      </c>
      <c r="G71" s="27">
        <v>41.79</v>
      </c>
      <c r="H71" s="27">
        <v>20</v>
      </c>
      <c r="I71" s="27" t="s">
        <v>29</v>
      </c>
    </row>
    <row r="72" spans="1:9" x14ac:dyDescent="0.3">
      <c r="A72" s="25"/>
      <c r="B72" s="27" t="s">
        <v>966</v>
      </c>
      <c r="C72" s="27"/>
      <c r="D72" s="27"/>
      <c r="E72" s="27" t="s">
        <v>26</v>
      </c>
      <c r="F72" s="27">
        <v>10</v>
      </c>
      <c r="G72" s="27">
        <v>2.0872000000000002</v>
      </c>
      <c r="H72" s="27">
        <v>40</v>
      </c>
      <c r="I72" s="27" t="s">
        <v>29</v>
      </c>
    </row>
    <row r="73" spans="1:9" x14ac:dyDescent="0.3">
      <c r="A73" s="25"/>
      <c r="B73" s="27" t="s">
        <v>967</v>
      </c>
      <c r="C73" s="27"/>
      <c r="D73" s="27"/>
      <c r="E73" s="27" t="s">
        <v>26</v>
      </c>
      <c r="F73" s="27">
        <v>10</v>
      </c>
      <c r="G73" s="27">
        <v>4.3421000000000003</v>
      </c>
      <c r="H73" s="27">
        <v>20</v>
      </c>
      <c r="I73" s="27" t="s">
        <v>29</v>
      </c>
    </row>
    <row r="74" spans="1:9" x14ac:dyDescent="0.3">
      <c r="A74" s="25"/>
      <c r="B74" s="28" t="s">
        <v>968</v>
      </c>
      <c r="C74" s="28"/>
      <c r="D74" s="28"/>
      <c r="E74" s="28" t="s">
        <v>26</v>
      </c>
      <c r="F74" s="28">
        <v>10</v>
      </c>
      <c r="G74" s="28">
        <v>3.4365999999999999</v>
      </c>
      <c r="H74" s="28">
        <v>10</v>
      </c>
      <c r="I74" s="28" t="s">
        <v>29</v>
      </c>
    </row>
    <row r="75" spans="1:9" x14ac:dyDescent="0.3">
      <c r="A75" s="25"/>
      <c r="B75" s="28" t="s">
        <v>969</v>
      </c>
      <c r="C75" s="28"/>
      <c r="D75" s="28"/>
      <c r="E75" s="28" t="s">
        <v>26</v>
      </c>
      <c r="F75" s="28">
        <v>13</v>
      </c>
      <c r="G75" s="28">
        <v>4.2949999999999999</v>
      </c>
      <c r="H75" s="28">
        <v>20</v>
      </c>
      <c r="I75" s="28" t="s">
        <v>29</v>
      </c>
    </row>
    <row r="76" spans="1:9" x14ac:dyDescent="0.3">
      <c r="A76" s="25"/>
      <c r="B76" s="28" t="s">
        <v>970</v>
      </c>
      <c r="C76" s="28"/>
      <c r="D76" s="28"/>
      <c r="E76" s="28" t="s">
        <v>35</v>
      </c>
      <c r="F76" s="28">
        <v>25</v>
      </c>
      <c r="G76" s="28">
        <v>4.5</v>
      </c>
      <c r="H76" s="28">
        <v>30</v>
      </c>
      <c r="I76" s="28" t="s">
        <v>29</v>
      </c>
    </row>
    <row r="77" spans="1:9" x14ac:dyDescent="0.3">
      <c r="A77" s="25"/>
      <c r="B77" s="27" t="s">
        <v>971</v>
      </c>
      <c r="C77" s="27"/>
      <c r="D77" s="27"/>
      <c r="E77" s="27" t="s">
        <v>26</v>
      </c>
      <c r="F77" s="27">
        <v>15</v>
      </c>
      <c r="G77" s="27">
        <v>7.883</v>
      </c>
      <c r="H77" s="27">
        <v>20</v>
      </c>
      <c r="I77" s="27" t="s">
        <v>29</v>
      </c>
    </row>
    <row r="78" spans="1:9" x14ac:dyDescent="0.3">
      <c r="A78" s="25"/>
      <c r="B78" s="27" t="s">
        <v>972</v>
      </c>
      <c r="C78" s="27"/>
      <c r="D78" s="27"/>
      <c r="E78" s="27" t="s">
        <v>26</v>
      </c>
      <c r="F78" s="27">
        <v>25</v>
      </c>
      <c r="G78" s="27">
        <v>5.0742000000000003</v>
      </c>
      <c r="H78" s="27">
        <v>10</v>
      </c>
      <c r="I78" s="27" t="s">
        <v>29</v>
      </c>
    </row>
    <row r="79" spans="1:9" x14ac:dyDescent="0.3">
      <c r="A79" s="25"/>
      <c r="B79" s="28" t="s">
        <v>973</v>
      </c>
      <c r="C79" s="28"/>
      <c r="D79" s="28"/>
      <c r="E79" s="28" t="s">
        <v>26</v>
      </c>
      <c r="F79" s="28">
        <v>15</v>
      </c>
      <c r="G79" s="28">
        <v>4.6429</v>
      </c>
      <c r="H79" s="28">
        <v>10</v>
      </c>
      <c r="I79" s="28" t="s">
        <v>29</v>
      </c>
    </row>
    <row r="80" spans="1:9" x14ac:dyDescent="0.3">
      <c r="A80" s="25"/>
      <c r="B80" s="28" t="s">
        <v>974</v>
      </c>
      <c r="C80" s="28"/>
      <c r="D80" s="28"/>
      <c r="E80" s="28" t="s">
        <v>26</v>
      </c>
      <c r="F80" s="28">
        <v>20</v>
      </c>
      <c r="G80" s="28">
        <v>3.3353000000000002</v>
      </c>
      <c r="H80" s="28">
        <v>10</v>
      </c>
      <c r="I80" s="28" t="s">
        <v>29</v>
      </c>
    </row>
    <row r="81" spans="1:9" x14ac:dyDescent="0.3">
      <c r="A81" s="25"/>
      <c r="B81" s="27" t="s">
        <v>975</v>
      </c>
      <c r="C81" s="27"/>
      <c r="D81" s="27"/>
      <c r="E81" s="27" t="s">
        <v>26</v>
      </c>
      <c r="F81" s="27">
        <v>38</v>
      </c>
      <c r="G81" s="27">
        <v>19.645399999999999</v>
      </c>
      <c r="H81" s="27">
        <v>20</v>
      </c>
      <c r="I81" s="27" t="s">
        <v>29</v>
      </c>
    </row>
    <row r="82" spans="1:9" x14ac:dyDescent="0.3">
      <c r="A82" s="25"/>
      <c r="B82" s="28" t="s">
        <v>976</v>
      </c>
      <c r="C82" s="28"/>
      <c r="D82" s="28"/>
      <c r="E82" s="28" t="s">
        <v>35</v>
      </c>
      <c r="F82" s="28">
        <v>95</v>
      </c>
      <c r="G82" s="28">
        <v>32.8125</v>
      </c>
      <c r="H82" s="28">
        <v>3</v>
      </c>
      <c r="I82" s="28" t="s">
        <v>29</v>
      </c>
    </row>
    <row r="83" spans="1:9" x14ac:dyDescent="0.3">
      <c r="A83" s="25"/>
      <c r="B83" s="28" t="s">
        <v>977</v>
      </c>
      <c r="C83" s="28"/>
      <c r="D83" s="28"/>
      <c r="E83" s="28" t="s">
        <v>35</v>
      </c>
      <c r="F83" s="28">
        <v>95</v>
      </c>
      <c r="G83" s="28">
        <v>50</v>
      </c>
      <c r="H83" s="28">
        <v>5</v>
      </c>
      <c r="I83" s="28" t="s">
        <v>29</v>
      </c>
    </row>
    <row r="84" spans="1:9" x14ac:dyDescent="0.3">
      <c r="A84" s="25"/>
      <c r="B84" s="28" t="s">
        <v>978</v>
      </c>
      <c r="C84" s="28"/>
      <c r="D84" s="28"/>
      <c r="E84" s="28" t="s">
        <v>35</v>
      </c>
      <c r="F84" s="28">
        <v>160</v>
      </c>
      <c r="G84" s="28">
        <v>65</v>
      </c>
      <c r="H84" s="28">
        <v>3</v>
      </c>
      <c r="I84" s="28" t="s">
        <v>29</v>
      </c>
    </row>
    <row r="85" spans="1:9" x14ac:dyDescent="0.3">
      <c r="A85" s="25"/>
      <c r="B85" s="27" t="s">
        <v>979</v>
      </c>
      <c r="C85" s="27"/>
      <c r="D85" s="27"/>
      <c r="E85" s="27" t="s">
        <v>35</v>
      </c>
      <c r="F85" s="27">
        <v>170</v>
      </c>
      <c r="G85" s="27">
        <v>79</v>
      </c>
      <c r="H85" s="27">
        <v>3</v>
      </c>
      <c r="I85" s="27" t="s">
        <v>29</v>
      </c>
    </row>
    <row r="86" spans="1:9" x14ac:dyDescent="0.3">
      <c r="A86" s="25"/>
      <c r="B86" s="27" t="s">
        <v>980</v>
      </c>
      <c r="C86" s="27"/>
      <c r="D86" s="27"/>
      <c r="E86" s="27" t="s">
        <v>35</v>
      </c>
      <c r="F86" s="27">
        <v>185</v>
      </c>
      <c r="G86" s="27">
        <v>95</v>
      </c>
      <c r="H86" s="27">
        <v>3</v>
      </c>
      <c r="I86" s="27" t="s">
        <v>29</v>
      </c>
    </row>
    <row r="87" spans="1:9" x14ac:dyDescent="0.3">
      <c r="A87" s="25"/>
      <c r="B87" s="28" t="s">
        <v>981</v>
      </c>
      <c r="C87" s="28"/>
      <c r="D87" s="28"/>
      <c r="E87" s="28" t="s">
        <v>35</v>
      </c>
      <c r="F87" s="28">
        <v>170</v>
      </c>
      <c r="G87" s="28">
        <v>80</v>
      </c>
      <c r="H87" s="28">
        <v>0</v>
      </c>
      <c r="I87" s="28" t="s">
        <v>29</v>
      </c>
    </row>
    <row r="88" spans="1:9" x14ac:dyDescent="0.3">
      <c r="A88" s="25"/>
      <c r="B88" s="27" t="s">
        <v>982</v>
      </c>
      <c r="C88" s="27"/>
      <c r="D88" s="27"/>
      <c r="E88" s="27" t="s">
        <v>35</v>
      </c>
      <c r="F88" s="27">
        <v>20</v>
      </c>
      <c r="G88" s="27">
        <v>10.1503</v>
      </c>
      <c r="H88" s="27">
        <v>5</v>
      </c>
      <c r="I88" s="27" t="s">
        <v>29</v>
      </c>
    </row>
    <row r="89" spans="1:9" x14ac:dyDescent="0.3">
      <c r="A89" s="25"/>
      <c r="B89" s="28" t="s">
        <v>983</v>
      </c>
      <c r="C89" s="28"/>
      <c r="D89" s="28"/>
      <c r="E89" s="28" t="s">
        <v>35</v>
      </c>
      <c r="F89" s="28">
        <v>35</v>
      </c>
      <c r="G89" s="28">
        <v>18.625800000000002</v>
      </c>
      <c r="H89" s="28">
        <v>5</v>
      </c>
      <c r="I89" s="28" t="s">
        <v>29</v>
      </c>
    </row>
    <row r="90" spans="1:9" x14ac:dyDescent="0.3">
      <c r="A90" s="25"/>
      <c r="B90" s="28" t="s">
        <v>984</v>
      </c>
      <c r="C90" s="28"/>
      <c r="D90" s="28"/>
      <c r="E90" s="28" t="s">
        <v>26</v>
      </c>
      <c r="F90" s="28">
        <v>30</v>
      </c>
      <c r="G90" s="28">
        <v>19.621600000000001</v>
      </c>
      <c r="H90" s="28">
        <v>50</v>
      </c>
      <c r="I90" s="28" t="s">
        <v>29</v>
      </c>
    </row>
    <row r="91" spans="1:9" x14ac:dyDescent="0.3">
      <c r="A91" s="25"/>
      <c r="B91" s="27" t="s">
        <v>985</v>
      </c>
      <c r="C91" s="27"/>
      <c r="D91" s="27"/>
      <c r="E91" s="27" t="s">
        <v>26</v>
      </c>
      <c r="F91" s="27">
        <v>40</v>
      </c>
      <c r="G91" s="27">
        <v>23.0901</v>
      </c>
      <c r="H91" s="27">
        <v>0</v>
      </c>
      <c r="I91" s="27" t="s">
        <v>29</v>
      </c>
    </row>
    <row r="92" spans="1:9" x14ac:dyDescent="0.3">
      <c r="A92" s="25"/>
      <c r="B92" s="27" t="s">
        <v>986</v>
      </c>
      <c r="C92" s="27"/>
      <c r="D92" s="27"/>
      <c r="E92" s="27" t="s">
        <v>26</v>
      </c>
      <c r="F92" s="27">
        <v>20</v>
      </c>
      <c r="G92" s="27">
        <v>14.920500000000001</v>
      </c>
      <c r="H92" s="27">
        <v>50</v>
      </c>
      <c r="I92" s="27" t="s">
        <v>29</v>
      </c>
    </row>
    <row r="93" spans="1:9" x14ac:dyDescent="0.3">
      <c r="A93" s="25"/>
      <c r="B93" s="27" t="s">
        <v>987</v>
      </c>
      <c r="C93" s="27"/>
      <c r="D93" s="27"/>
      <c r="E93" s="27" t="s">
        <v>26</v>
      </c>
      <c r="F93" s="27">
        <v>30</v>
      </c>
      <c r="G93" s="27">
        <v>15.723100000000001</v>
      </c>
      <c r="H93" s="27">
        <v>0</v>
      </c>
      <c r="I93" s="27" t="s">
        <v>29</v>
      </c>
    </row>
    <row r="94" spans="1:9" x14ac:dyDescent="0.3">
      <c r="A94" s="25"/>
      <c r="B94" s="27" t="s">
        <v>988</v>
      </c>
      <c r="C94" s="27"/>
      <c r="D94" s="27"/>
      <c r="E94" s="27" t="s">
        <v>35</v>
      </c>
      <c r="F94" s="27">
        <v>250</v>
      </c>
      <c r="G94" s="27">
        <v>180</v>
      </c>
      <c r="H94" s="27">
        <v>2</v>
      </c>
      <c r="I94" s="27" t="s">
        <v>29</v>
      </c>
    </row>
    <row r="95" spans="1:9" x14ac:dyDescent="0.3">
      <c r="A95" s="25"/>
      <c r="B95" s="27" t="s">
        <v>989</v>
      </c>
      <c r="C95" s="27"/>
      <c r="D95" s="27"/>
      <c r="E95" s="27" t="s">
        <v>35</v>
      </c>
      <c r="F95" s="27">
        <v>5</v>
      </c>
      <c r="G95" s="27">
        <v>1.42</v>
      </c>
      <c r="H95" s="27">
        <v>10</v>
      </c>
      <c r="I95" s="27" t="s">
        <v>29</v>
      </c>
    </row>
    <row r="96" spans="1:9" x14ac:dyDescent="0.3">
      <c r="A96" s="25"/>
      <c r="B96" s="28" t="s">
        <v>990</v>
      </c>
      <c r="C96" s="28"/>
      <c r="D96" s="28"/>
      <c r="E96" s="28" t="s">
        <v>35</v>
      </c>
      <c r="F96" s="28">
        <v>10</v>
      </c>
      <c r="G96" s="28">
        <v>2.1162999999999998</v>
      </c>
      <c r="H96" s="28">
        <v>0</v>
      </c>
      <c r="I96" s="28" t="s">
        <v>29</v>
      </c>
    </row>
    <row r="97" spans="1:9" x14ac:dyDescent="0.3">
      <c r="A97" s="25"/>
      <c r="B97" s="28" t="s">
        <v>991</v>
      </c>
      <c r="C97" s="28"/>
      <c r="D97" s="28"/>
      <c r="E97" s="28" t="s">
        <v>35</v>
      </c>
      <c r="F97" s="28">
        <v>160</v>
      </c>
      <c r="G97" s="28">
        <v>101.12990000000001</v>
      </c>
      <c r="H97" s="28">
        <v>10</v>
      </c>
      <c r="I97" s="28" t="s">
        <v>29</v>
      </c>
    </row>
    <row r="98" spans="1:9" x14ac:dyDescent="0.3">
      <c r="A98" s="25"/>
      <c r="B98" s="28" t="s">
        <v>992</v>
      </c>
      <c r="C98" s="28"/>
      <c r="D98" s="28"/>
      <c r="E98" s="28" t="s">
        <v>29</v>
      </c>
      <c r="F98" s="28">
        <v>140</v>
      </c>
      <c r="G98" s="28">
        <v>80.172200000000004</v>
      </c>
      <c r="H98" s="28">
        <v>0</v>
      </c>
      <c r="I98" s="28" t="s">
        <v>29</v>
      </c>
    </row>
    <row r="99" spans="1:9" x14ac:dyDescent="0.3">
      <c r="A99" s="25"/>
      <c r="B99" s="27" t="s">
        <v>993</v>
      </c>
      <c r="C99" s="27"/>
      <c r="D99" s="27"/>
      <c r="E99" s="27" t="s">
        <v>35</v>
      </c>
      <c r="F99" s="27">
        <v>30</v>
      </c>
      <c r="G99" s="27">
        <v>12.395</v>
      </c>
      <c r="H99" s="27">
        <v>10</v>
      </c>
      <c r="I99" s="27" t="s">
        <v>29</v>
      </c>
    </row>
    <row r="100" spans="1:9" x14ac:dyDescent="0.3">
      <c r="A100" s="25"/>
      <c r="B100" s="28" t="s">
        <v>994</v>
      </c>
      <c r="C100" s="28"/>
      <c r="D100" s="28"/>
      <c r="E100" s="28" t="s">
        <v>35</v>
      </c>
      <c r="F100" s="28">
        <v>45</v>
      </c>
      <c r="G100" s="28">
        <v>22.494399999999999</v>
      </c>
      <c r="H100" s="28">
        <v>10</v>
      </c>
      <c r="I100" s="28" t="s">
        <v>29</v>
      </c>
    </row>
    <row r="101" spans="1:9" x14ac:dyDescent="0.3">
      <c r="A101" s="25"/>
      <c r="B101" s="27" t="s">
        <v>995</v>
      </c>
      <c r="C101" s="27"/>
      <c r="D101" s="27"/>
      <c r="E101" s="27" t="s">
        <v>35</v>
      </c>
      <c r="F101" s="27">
        <v>90</v>
      </c>
      <c r="G101" s="27">
        <v>68</v>
      </c>
      <c r="H101" s="27">
        <v>0</v>
      </c>
      <c r="I101" s="27" t="s">
        <v>29</v>
      </c>
    </row>
    <row r="102" spans="1:9" x14ac:dyDescent="0.3">
      <c r="A102" s="25"/>
      <c r="B102" s="27" t="s">
        <v>996</v>
      </c>
      <c r="C102" s="27"/>
      <c r="D102" s="27"/>
      <c r="E102" s="27" t="s">
        <v>35</v>
      </c>
      <c r="F102" s="27">
        <v>85</v>
      </c>
      <c r="G102" s="27">
        <v>52</v>
      </c>
      <c r="H102" s="27">
        <v>10</v>
      </c>
      <c r="I102" s="27" t="s">
        <v>29</v>
      </c>
    </row>
    <row r="103" spans="1:9" x14ac:dyDescent="0.3">
      <c r="A103" s="25"/>
      <c r="B103" s="28" t="s">
        <v>997</v>
      </c>
      <c r="C103" s="28"/>
      <c r="D103" s="28"/>
      <c r="E103" s="28" t="s">
        <v>35</v>
      </c>
      <c r="F103" s="28">
        <v>155</v>
      </c>
      <c r="G103" s="28">
        <v>84</v>
      </c>
      <c r="H103" s="28">
        <v>0</v>
      </c>
      <c r="I103" s="28" t="s">
        <v>29</v>
      </c>
    </row>
    <row r="104" spans="1:9" x14ac:dyDescent="0.3">
      <c r="A104" s="25"/>
      <c r="B104" s="27" t="s">
        <v>998</v>
      </c>
      <c r="C104" s="27"/>
      <c r="D104" s="27"/>
      <c r="E104" s="27" t="s">
        <v>35</v>
      </c>
      <c r="F104" s="27">
        <v>5</v>
      </c>
      <c r="G104" s="27">
        <v>4</v>
      </c>
      <c r="H104" s="27">
        <v>0</v>
      </c>
      <c r="I104" s="27" t="s">
        <v>29</v>
      </c>
    </row>
    <row r="105" spans="1:9" x14ac:dyDescent="0.3">
      <c r="A105" s="25"/>
      <c r="B105" s="27" t="s">
        <v>999</v>
      </c>
      <c r="C105" s="27"/>
      <c r="D105" s="27"/>
      <c r="E105" s="27" t="s">
        <v>35</v>
      </c>
      <c r="F105" s="27">
        <v>5</v>
      </c>
      <c r="G105" s="27">
        <v>3.0148999999999999</v>
      </c>
      <c r="H105" s="27">
        <v>15</v>
      </c>
      <c r="I105" s="27" t="s">
        <v>29</v>
      </c>
    </row>
    <row r="106" spans="1:9" x14ac:dyDescent="0.3">
      <c r="A106" s="25"/>
      <c r="B106" s="28" t="s">
        <v>1000</v>
      </c>
      <c r="C106" s="28"/>
      <c r="D106" s="28"/>
      <c r="E106" s="28" t="s">
        <v>35</v>
      </c>
      <c r="F106" s="28">
        <v>10</v>
      </c>
      <c r="G106" s="28">
        <v>5</v>
      </c>
      <c r="H106" s="28">
        <v>15</v>
      </c>
      <c r="I106" s="28" t="s">
        <v>29</v>
      </c>
    </row>
    <row r="107" spans="1:9" x14ac:dyDescent="0.3">
      <c r="A107" s="25"/>
      <c r="B107" s="27" t="s">
        <v>1001</v>
      </c>
      <c r="C107" s="27"/>
      <c r="D107" s="27"/>
      <c r="E107" s="27" t="s">
        <v>35</v>
      </c>
      <c r="F107" s="27">
        <v>20</v>
      </c>
      <c r="G107" s="27">
        <v>8.4719999999999995</v>
      </c>
      <c r="H107" s="27">
        <v>15</v>
      </c>
      <c r="I107" s="27" t="s">
        <v>29</v>
      </c>
    </row>
    <row r="108" spans="1:9" x14ac:dyDescent="0.3">
      <c r="A108" s="25"/>
      <c r="B108" s="28" t="s">
        <v>1002</v>
      </c>
      <c r="C108" s="28"/>
      <c r="D108" s="28"/>
      <c r="E108" s="28" t="s">
        <v>35</v>
      </c>
      <c r="F108" s="28">
        <v>30</v>
      </c>
      <c r="G108" s="28">
        <v>15</v>
      </c>
      <c r="H108" s="28">
        <v>5</v>
      </c>
      <c r="I108" s="28" t="s">
        <v>29</v>
      </c>
    </row>
    <row r="109" spans="1:9" x14ac:dyDescent="0.3">
      <c r="A109" s="25"/>
      <c r="B109" s="27" t="s">
        <v>1003</v>
      </c>
      <c r="C109" s="27"/>
      <c r="D109" s="27"/>
      <c r="E109" s="27" t="s">
        <v>35</v>
      </c>
      <c r="F109" s="27">
        <v>30</v>
      </c>
      <c r="G109" s="27">
        <v>13.4061</v>
      </c>
      <c r="H109" s="27">
        <v>3</v>
      </c>
      <c r="I109" s="27" t="s">
        <v>29</v>
      </c>
    </row>
    <row r="110" spans="1:9" x14ac:dyDescent="0.3">
      <c r="A110" s="25"/>
      <c r="B110" s="28" t="s">
        <v>1004</v>
      </c>
      <c r="C110" s="28"/>
      <c r="D110" s="28"/>
      <c r="E110" s="28" t="s">
        <v>35</v>
      </c>
      <c r="F110" s="28">
        <v>25</v>
      </c>
      <c r="G110" s="28">
        <v>10.1808</v>
      </c>
      <c r="H110" s="28">
        <v>5</v>
      </c>
      <c r="I110" s="28" t="s">
        <v>29</v>
      </c>
    </row>
    <row r="111" spans="1:9" x14ac:dyDescent="0.3">
      <c r="A111" s="25"/>
      <c r="B111" s="27" t="s">
        <v>1005</v>
      </c>
      <c r="C111" s="27"/>
      <c r="D111" s="27"/>
      <c r="E111" s="27" t="s">
        <v>35</v>
      </c>
      <c r="F111" s="27">
        <v>30</v>
      </c>
      <c r="G111" s="27">
        <v>17.5</v>
      </c>
      <c r="H111" s="27">
        <v>0</v>
      </c>
      <c r="I111" s="27" t="s">
        <v>29</v>
      </c>
    </row>
    <row r="112" spans="1:9" x14ac:dyDescent="0.3">
      <c r="A112" s="25"/>
      <c r="B112" s="27" t="s">
        <v>1006</v>
      </c>
      <c r="C112" s="27"/>
      <c r="D112" s="27"/>
      <c r="E112" s="27" t="s">
        <v>35</v>
      </c>
      <c r="F112" s="27">
        <v>10</v>
      </c>
      <c r="G112" s="27">
        <v>3.7757000000000001</v>
      </c>
      <c r="H112" s="27">
        <v>5</v>
      </c>
      <c r="I112" s="27" t="s">
        <v>29</v>
      </c>
    </row>
    <row r="113" spans="1:9" x14ac:dyDescent="0.3">
      <c r="A113" s="25"/>
      <c r="B113" s="28" t="s">
        <v>1007</v>
      </c>
      <c r="C113" s="28"/>
      <c r="D113" s="28"/>
      <c r="E113" s="28" t="s">
        <v>35</v>
      </c>
      <c r="F113" s="28">
        <v>25</v>
      </c>
      <c r="G113" s="28">
        <v>13.7746</v>
      </c>
      <c r="H113" s="28">
        <v>15</v>
      </c>
      <c r="I113" s="28" t="s">
        <v>29</v>
      </c>
    </row>
    <row r="114" spans="1:9" x14ac:dyDescent="0.3">
      <c r="A114" s="25"/>
      <c r="B114" s="27" t="s">
        <v>1008</v>
      </c>
      <c r="C114" s="27"/>
      <c r="D114" s="27"/>
      <c r="E114" s="27" t="s">
        <v>35</v>
      </c>
      <c r="F114" s="27">
        <v>20</v>
      </c>
      <c r="G114" s="27">
        <v>11.060600000000001</v>
      </c>
      <c r="H114" s="27">
        <v>15</v>
      </c>
      <c r="I114" s="27" t="s">
        <v>29</v>
      </c>
    </row>
    <row r="115" spans="1:9" x14ac:dyDescent="0.3">
      <c r="A115" s="25"/>
      <c r="B115" s="28" t="s">
        <v>1009</v>
      </c>
      <c r="C115" s="28"/>
      <c r="D115" s="28"/>
      <c r="E115" s="28" t="s">
        <v>35</v>
      </c>
      <c r="F115" s="28">
        <v>25</v>
      </c>
      <c r="G115" s="28">
        <v>10</v>
      </c>
      <c r="H115" s="28">
        <v>2</v>
      </c>
      <c r="I115" s="28" t="s">
        <v>29</v>
      </c>
    </row>
    <row r="116" spans="1:9" x14ac:dyDescent="0.3">
      <c r="A116" s="25"/>
      <c r="B116" s="27" t="s">
        <v>1010</v>
      </c>
      <c r="C116" s="27"/>
      <c r="D116" s="27"/>
      <c r="E116" s="27" t="s">
        <v>35</v>
      </c>
      <c r="F116" s="27">
        <v>40</v>
      </c>
      <c r="G116" s="27">
        <v>14.574999999999999</v>
      </c>
      <c r="H116" s="27">
        <v>0</v>
      </c>
      <c r="I116" s="27" t="s">
        <v>29</v>
      </c>
    </row>
    <row r="117" spans="1:9" x14ac:dyDescent="0.3">
      <c r="A117" s="25"/>
      <c r="B117" s="28" t="s">
        <v>1011</v>
      </c>
      <c r="C117" s="28"/>
      <c r="D117" s="28"/>
      <c r="E117" s="28" t="s">
        <v>35</v>
      </c>
      <c r="F117" s="28">
        <v>10</v>
      </c>
      <c r="G117" s="28">
        <v>5.5</v>
      </c>
      <c r="H117" s="28">
        <v>0</v>
      </c>
      <c r="I117" s="28" t="s">
        <v>29</v>
      </c>
    </row>
    <row r="118" spans="1:9" x14ac:dyDescent="0.3">
      <c r="A118" s="25"/>
      <c r="B118" s="28" t="s">
        <v>1012</v>
      </c>
      <c r="C118" s="28"/>
      <c r="D118" s="28"/>
      <c r="E118" s="28" t="s">
        <v>35</v>
      </c>
      <c r="F118" s="28">
        <v>85</v>
      </c>
      <c r="G118" s="28">
        <v>28</v>
      </c>
      <c r="H118" s="28">
        <v>0</v>
      </c>
      <c r="I118" s="28" t="s">
        <v>29</v>
      </c>
    </row>
    <row r="119" spans="1:9" x14ac:dyDescent="0.3">
      <c r="A119" s="25"/>
      <c r="B119" s="27" t="s">
        <v>1013</v>
      </c>
      <c r="C119" s="27"/>
      <c r="D119" s="27"/>
      <c r="E119" s="27" t="s">
        <v>35</v>
      </c>
      <c r="F119" s="27">
        <v>75</v>
      </c>
      <c r="G119" s="27">
        <v>28.75</v>
      </c>
      <c r="H119" s="27">
        <v>0</v>
      </c>
      <c r="I119" s="27" t="s">
        <v>29</v>
      </c>
    </row>
    <row r="120" spans="1:9" x14ac:dyDescent="0.3">
      <c r="A120" s="25"/>
      <c r="B120" s="27" t="s">
        <v>1014</v>
      </c>
      <c r="C120" s="27"/>
      <c r="D120" s="27"/>
      <c r="E120" s="27" t="s">
        <v>35</v>
      </c>
      <c r="F120" s="27">
        <v>140</v>
      </c>
      <c r="G120" s="27">
        <v>30</v>
      </c>
      <c r="H120" s="27">
        <v>0</v>
      </c>
      <c r="I120" s="27" t="s">
        <v>29</v>
      </c>
    </row>
    <row r="121" spans="1:9" x14ac:dyDescent="0.3">
      <c r="A121" s="25"/>
      <c r="B121" s="28" t="s">
        <v>1015</v>
      </c>
      <c r="C121" s="28"/>
      <c r="D121" s="28"/>
      <c r="E121" s="28" t="s">
        <v>35</v>
      </c>
      <c r="F121" s="28">
        <v>55</v>
      </c>
      <c r="G121" s="28">
        <v>17.363600000000002</v>
      </c>
      <c r="H121" s="28">
        <v>0</v>
      </c>
      <c r="I121" s="28" t="s">
        <v>29</v>
      </c>
    </row>
    <row r="122" spans="1:9" x14ac:dyDescent="0.3">
      <c r="A122" s="25"/>
      <c r="B122" s="28" t="s">
        <v>1016</v>
      </c>
      <c r="C122" s="28"/>
      <c r="D122" s="28"/>
      <c r="E122" s="28" t="s">
        <v>35</v>
      </c>
      <c r="F122" s="28">
        <v>320</v>
      </c>
      <c r="G122" s="28">
        <v>225</v>
      </c>
      <c r="H122" s="28">
        <v>1</v>
      </c>
      <c r="I122" s="28" t="s">
        <v>29</v>
      </c>
    </row>
    <row r="123" spans="1:9" x14ac:dyDescent="0.3">
      <c r="A123" s="25"/>
      <c r="B123" s="28" t="s">
        <v>1017</v>
      </c>
      <c r="C123" s="28"/>
      <c r="D123" s="28"/>
      <c r="E123" s="28" t="s">
        <v>35</v>
      </c>
      <c r="F123" s="28">
        <v>90</v>
      </c>
      <c r="G123" s="28">
        <v>35</v>
      </c>
      <c r="H123" s="28">
        <v>0</v>
      </c>
      <c r="I123" s="28" t="s">
        <v>29</v>
      </c>
    </row>
    <row r="124" spans="1:9" x14ac:dyDescent="0.3">
      <c r="A124" s="25"/>
      <c r="B124" s="28" t="s">
        <v>1018</v>
      </c>
      <c r="C124" s="28"/>
      <c r="D124" s="28"/>
      <c r="E124" s="28" t="s">
        <v>35</v>
      </c>
      <c r="F124" s="28">
        <v>110</v>
      </c>
      <c r="G124" s="28">
        <v>58</v>
      </c>
      <c r="H124" s="28">
        <v>0</v>
      </c>
      <c r="I124" s="28" t="s">
        <v>29</v>
      </c>
    </row>
    <row r="125" spans="1:9" x14ac:dyDescent="0.3">
      <c r="A125" s="25"/>
      <c r="B125" s="27" t="s">
        <v>1019</v>
      </c>
      <c r="C125" s="27"/>
      <c r="D125" s="27"/>
      <c r="E125" s="27" t="s">
        <v>35</v>
      </c>
      <c r="F125" s="27">
        <v>100</v>
      </c>
      <c r="G125" s="27">
        <v>48</v>
      </c>
      <c r="H125" s="27">
        <v>0</v>
      </c>
      <c r="I125" s="27" t="s">
        <v>29</v>
      </c>
    </row>
    <row r="126" spans="1:9" x14ac:dyDescent="0.3">
      <c r="A126" s="25"/>
      <c r="B126" s="27" t="s">
        <v>1020</v>
      </c>
      <c r="C126" s="27"/>
      <c r="D126" s="27"/>
      <c r="E126" s="27" t="s">
        <v>35</v>
      </c>
      <c r="F126" s="27">
        <v>1050</v>
      </c>
      <c r="G126" s="27">
        <v>401.72</v>
      </c>
      <c r="H126" s="27">
        <v>0</v>
      </c>
      <c r="I126" s="27" t="s">
        <v>29</v>
      </c>
    </row>
    <row r="127" spans="1:9" x14ac:dyDescent="0.3">
      <c r="A127" s="25"/>
      <c r="B127" s="27" t="s">
        <v>1021</v>
      </c>
      <c r="C127" s="27"/>
      <c r="D127" s="27"/>
      <c r="E127" s="27" t="s">
        <v>35</v>
      </c>
      <c r="F127" s="27">
        <v>900</v>
      </c>
      <c r="G127" s="27">
        <v>340</v>
      </c>
      <c r="H127" s="27">
        <v>0</v>
      </c>
      <c r="I127" s="27" t="s">
        <v>29</v>
      </c>
    </row>
    <row r="128" spans="1:9" x14ac:dyDescent="0.3">
      <c r="A128" s="25"/>
      <c r="B128" s="27" t="s">
        <v>1022</v>
      </c>
      <c r="C128" s="27"/>
      <c r="D128" s="27"/>
      <c r="E128" s="27" t="s">
        <v>35</v>
      </c>
      <c r="F128" s="27">
        <v>150</v>
      </c>
      <c r="G128" s="27">
        <v>42</v>
      </c>
      <c r="H128" s="27">
        <v>0</v>
      </c>
      <c r="I128" s="27" t="s">
        <v>29</v>
      </c>
    </row>
    <row r="129" spans="1:9" x14ac:dyDescent="0.3">
      <c r="A129" s="25"/>
      <c r="B129" s="27" t="s">
        <v>1023</v>
      </c>
      <c r="C129" s="27"/>
      <c r="D129" s="27"/>
      <c r="E129" s="27" t="s">
        <v>35</v>
      </c>
      <c r="F129" s="27">
        <v>170</v>
      </c>
      <c r="G129" s="27">
        <v>59</v>
      </c>
      <c r="H129" s="27">
        <v>0</v>
      </c>
      <c r="I129" s="27" t="s">
        <v>29</v>
      </c>
    </row>
    <row r="130" spans="1:9" x14ac:dyDescent="0.3">
      <c r="A130" s="25"/>
      <c r="B130" s="27" t="s">
        <v>1024</v>
      </c>
      <c r="C130" s="27"/>
      <c r="D130" s="27"/>
      <c r="E130" s="27" t="s">
        <v>35</v>
      </c>
      <c r="F130" s="27">
        <v>220</v>
      </c>
      <c r="G130" s="27">
        <v>140</v>
      </c>
      <c r="H130" s="27">
        <v>2</v>
      </c>
      <c r="I130" s="27" t="s">
        <v>29</v>
      </c>
    </row>
    <row r="131" spans="1:9" x14ac:dyDescent="0.3">
      <c r="A131" s="25"/>
      <c r="B131" s="27" t="s">
        <v>1025</v>
      </c>
      <c r="C131" s="27"/>
      <c r="D131" s="27"/>
      <c r="E131" s="27" t="s">
        <v>35</v>
      </c>
      <c r="F131" s="27">
        <v>25</v>
      </c>
      <c r="G131" s="27">
        <v>7.5</v>
      </c>
      <c r="H131" s="27">
        <v>10</v>
      </c>
      <c r="I131" s="27" t="s">
        <v>29</v>
      </c>
    </row>
    <row r="132" spans="1:9" x14ac:dyDescent="0.3">
      <c r="A132" s="25"/>
      <c r="B132" s="27" t="s">
        <v>1026</v>
      </c>
      <c r="C132" s="27"/>
      <c r="D132" s="27"/>
      <c r="E132" s="27" t="s">
        <v>35</v>
      </c>
      <c r="F132" s="27">
        <v>25</v>
      </c>
      <c r="G132" s="27">
        <v>7.3326000000000002</v>
      </c>
      <c r="H132" s="27">
        <v>3</v>
      </c>
      <c r="I132" s="27" t="s">
        <v>29</v>
      </c>
    </row>
    <row r="133" spans="1:9" x14ac:dyDescent="0.3">
      <c r="A133" s="25"/>
      <c r="B133" s="28" t="s">
        <v>1027</v>
      </c>
      <c r="C133" s="28"/>
      <c r="D133" s="28"/>
      <c r="E133" s="28" t="s">
        <v>35</v>
      </c>
      <c r="F133" s="28">
        <v>80</v>
      </c>
      <c r="G133" s="28">
        <v>24.01</v>
      </c>
      <c r="H133" s="28">
        <v>5</v>
      </c>
      <c r="I133" s="28" t="s">
        <v>29</v>
      </c>
    </row>
    <row r="134" spans="1:9" x14ac:dyDescent="0.3">
      <c r="A134" s="25"/>
      <c r="B134" s="27" t="s">
        <v>1028</v>
      </c>
      <c r="C134" s="27"/>
      <c r="D134" s="27"/>
      <c r="E134" s="27" t="s">
        <v>35</v>
      </c>
      <c r="F134" s="27">
        <v>90</v>
      </c>
      <c r="G134" s="27">
        <v>29.6</v>
      </c>
      <c r="H134" s="27">
        <v>5</v>
      </c>
      <c r="I134" s="27" t="s">
        <v>29</v>
      </c>
    </row>
    <row r="135" spans="1:9" x14ac:dyDescent="0.3">
      <c r="A135" s="25"/>
      <c r="B135" s="28" t="s">
        <v>1029</v>
      </c>
      <c r="C135" s="28"/>
      <c r="D135" s="28"/>
      <c r="E135" s="28" t="s">
        <v>35</v>
      </c>
      <c r="F135" s="28">
        <v>100</v>
      </c>
      <c r="G135" s="28">
        <v>40</v>
      </c>
      <c r="H135" s="28">
        <v>5</v>
      </c>
      <c r="I135" s="28" t="s">
        <v>29</v>
      </c>
    </row>
    <row r="136" spans="1:9" x14ac:dyDescent="0.3">
      <c r="A136" s="25"/>
      <c r="B136" s="27" t="s">
        <v>1030</v>
      </c>
      <c r="C136" s="27"/>
      <c r="D136" s="27"/>
      <c r="E136" s="27" t="s">
        <v>35</v>
      </c>
      <c r="F136" s="27">
        <v>120</v>
      </c>
      <c r="G136" s="27">
        <v>50</v>
      </c>
      <c r="H136" s="27">
        <v>5</v>
      </c>
      <c r="I136" s="27" t="s">
        <v>29</v>
      </c>
    </row>
    <row r="137" spans="1:9" x14ac:dyDescent="0.3">
      <c r="A137" s="25"/>
      <c r="B137" s="27" t="s">
        <v>1031</v>
      </c>
      <c r="C137" s="27"/>
      <c r="D137" s="27"/>
      <c r="E137" s="27" t="s">
        <v>35</v>
      </c>
      <c r="F137" s="27">
        <v>520</v>
      </c>
      <c r="G137" s="27">
        <v>300</v>
      </c>
      <c r="H137" s="27">
        <v>5</v>
      </c>
      <c r="I137" s="27" t="s">
        <v>29</v>
      </c>
    </row>
    <row r="138" spans="1:9" x14ac:dyDescent="0.3">
      <c r="A138" s="25"/>
      <c r="B138" s="28" t="s">
        <v>1032</v>
      </c>
      <c r="C138" s="28"/>
      <c r="D138" s="28"/>
      <c r="E138" s="28" t="s">
        <v>29</v>
      </c>
      <c r="F138" s="28">
        <v>900</v>
      </c>
      <c r="G138" s="28">
        <v>421.17</v>
      </c>
      <c r="H138" s="28">
        <v>0</v>
      </c>
      <c r="I138" s="28" t="s">
        <v>29</v>
      </c>
    </row>
    <row r="139" spans="1:9" x14ac:dyDescent="0.3">
      <c r="A139" s="25"/>
      <c r="B139" s="27" t="s">
        <v>1033</v>
      </c>
      <c r="C139" s="27"/>
      <c r="D139" s="27"/>
      <c r="E139" s="27" t="s">
        <v>35</v>
      </c>
      <c r="F139" s="27">
        <v>90</v>
      </c>
      <c r="G139" s="27">
        <v>50</v>
      </c>
      <c r="H139" s="27">
        <v>0</v>
      </c>
      <c r="I139" s="27" t="s">
        <v>29</v>
      </c>
    </row>
    <row r="140" spans="1:9" x14ac:dyDescent="0.3">
      <c r="A140" s="25"/>
      <c r="B140" s="28" t="s">
        <v>1034</v>
      </c>
      <c r="C140" s="28"/>
      <c r="D140" s="28"/>
      <c r="E140" s="28" t="s">
        <v>35</v>
      </c>
      <c r="F140" s="28">
        <v>120</v>
      </c>
      <c r="G140" s="28">
        <v>65</v>
      </c>
      <c r="H140" s="28">
        <v>1</v>
      </c>
      <c r="I140" s="28" t="s">
        <v>29</v>
      </c>
    </row>
    <row r="141" spans="1:9" x14ac:dyDescent="0.3">
      <c r="A141" s="25"/>
      <c r="B141" s="28" t="s">
        <v>1035</v>
      </c>
      <c r="C141" s="28"/>
      <c r="D141" s="28"/>
      <c r="E141" s="28" t="s">
        <v>35</v>
      </c>
      <c r="F141" s="28">
        <v>60</v>
      </c>
      <c r="G141" s="28">
        <v>27.5</v>
      </c>
      <c r="H141" s="28">
        <v>1</v>
      </c>
      <c r="I141" s="28" t="s">
        <v>29</v>
      </c>
    </row>
    <row r="142" spans="1:9" x14ac:dyDescent="0.3">
      <c r="A142" s="25"/>
      <c r="B142" s="28" t="s">
        <v>1036</v>
      </c>
      <c r="C142" s="28"/>
      <c r="D142" s="28"/>
      <c r="E142" s="28" t="s">
        <v>35</v>
      </c>
      <c r="F142" s="28">
        <v>165</v>
      </c>
      <c r="G142" s="28">
        <v>100</v>
      </c>
      <c r="H142" s="28">
        <v>5</v>
      </c>
      <c r="I142" s="28" t="s">
        <v>29</v>
      </c>
    </row>
    <row r="143" spans="1:9" x14ac:dyDescent="0.3">
      <c r="A143" s="25"/>
      <c r="B143" s="28" t="s">
        <v>1037</v>
      </c>
      <c r="C143" s="28"/>
      <c r="D143" s="28"/>
      <c r="E143" s="28" t="s">
        <v>35</v>
      </c>
      <c r="F143" s="28">
        <v>185</v>
      </c>
      <c r="G143" s="28">
        <v>125</v>
      </c>
      <c r="H143" s="28">
        <v>0</v>
      </c>
      <c r="I143" s="28" t="s">
        <v>29</v>
      </c>
    </row>
    <row r="144" spans="1:9" x14ac:dyDescent="0.3">
      <c r="A144" s="25"/>
      <c r="B144" s="28" t="s">
        <v>1038</v>
      </c>
      <c r="C144" s="28"/>
      <c r="D144" s="28"/>
      <c r="E144" s="28" t="s">
        <v>35</v>
      </c>
      <c r="F144" s="28">
        <v>750</v>
      </c>
      <c r="G144" s="28">
        <v>580</v>
      </c>
      <c r="H144" s="28">
        <v>0</v>
      </c>
      <c r="I144" s="28" t="s">
        <v>29</v>
      </c>
    </row>
    <row r="145" spans="1:9" x14ac:dyDescent="0.3">
      <c r="A145" s="25"/>
      <c r="B145" s="28" t="s">
        <v>1039</v>
      </c>
      <c r="C145" s="28"/>
      <c r="D145" s="28"/>
      <c r="E145" s="28" t="s">
        <v>35</v>
      </c>
      <c r="F145" s="28">
        <v>25</v>
      </c>
      <c r="G145" s="28">
        <v>8.5</v>
      </c>
      <c r="H145" s="28">
        <v>3</v>
      </c>
      <c r="I145" s="28" t="s">
        <v>29</v>
      </c>
    </row>
    <row r="146" spans="1:9" x14ac:dyDescent="0.3">
      <c r="A146" s="25"/>
      <c r="B146" s="27" t="s">
        <v>1040</v>
      </c>
      <c r="C146" s="27"/>
      <c r="D146" s="27"/>
      <c r="E146" s="27" t="s">
        <v>35</v>
      </c>
      <c r="F146" s="27">
        <v>60</v>
      </c>
      <c r="G146" s="27">
        <v>25</v>
      </c>
      <c r="H146" s="27">
        <v>3</v>
      </c>
      <c r="I146" s="27" t="s">
        <v>29</v>
      </c>
    </row>
    <row r="147" spans="1:9" x14ac:dyDescent="0.3">
      <c r="A147" s="25"/>
      <c r="B147" s="27" t="s">
        <v>1041</v>
      </c>
      <c r="C147" s="27"/>
      <c r="D147" s="27"/>
      <c r="E147" s="27" t="s">
        <v>35</v>
      </c>
      <c r="F147" s="27">
        <v>25</v>
      </c>
      <c r="G147" s="27">
        <v>10.922700000000001</v>
      </c>
      <c r="H147" s="27">
        <v>10</v>
      </c>
      <c r="I147" s="27" t="s">
        <v>29</v>
      </c>
    </row>
    <row r="148" spans="1:9" x14ac:dyDescent="0.3">
      <c r="A148" s="25"/>
      <c r="B148" s="28" t="s">
        <v>1042</v>
      </c>
      <c r="C148" s="28"/>
      <c r="D148" s="28"/>
      <c r="E148" s="28" t="s">
        <v>35</v>
      </c>
      <c r="F148" s="28">
        <v>25</v>
      </c>
      <c r="G148" s="28">
        <v>15</v>
      </c>
      <c r="H148" s="28">
        <v>3</v>
      </c>
      <c r="I148" s="28" t="s">
        <v>29</v>
      </c>
    </row>
    <row r="149" spans="1:9" x14ac:dyDescent="0.3">
      <c r="A149" s="25"/>
      <c r="B149" s="28" t="s">
        <v>1043</v>
      </c>
      <c r="C149" s="28"/>
      <c r="D149" s="28"/>
      <c r="E149" s="28" t="s">
        <v>35</v>
      </c>
      <c r="F149" s="28">
        <v>25</v>
      </c>
      <c r="G149" s="28">
        <v>15</v>
      </c>
      <c r="H149" s="28">
        <v>10</v>
      </c>
      <c r="I149" s="28" t="s">
        <v>29</v>
      </c>
    </row>
    <row r="150" spans="1:9" x14ac:dyDescent="0.3">
      <c r="A150" s="25"/>
      <c r="B150" s="28" t="s">
        <v>1044</v>
      </c>
      <c r="C150" s="28"/>
      <c r="D150" s="28"/>
      <c r="E150" s="28" t="s">
        <v>35</v>
      </c>
      <c r="F150" s="28">
        <v>40</v>
      </c>
      <c r="G150" s="28">
        <v>26.17</v>
      </c>
      <c r="H150" s="28">
        <v>5</v>
      </c>
      <c r="I150" s="28" t="s">
        <v>29</v>
      </c>
    </row>
    <row r="151" spans="1:9" x14ac:dyDescent="0.3">
      <c r="A151" s="25"/>
      <c r="B151" s="27" t="s">
        <v>1045</v>
      </c>
      <c r="C151" s="27"/>
      <c r="D151" s="27"/>
      <c r="E151" s="27" t="s">
        <v>35</v>
      </c>
      <c r="F151" s="27">
        <v>15</v>
      </c>
      <c r="G151" s="27">
        <v>7.5</v>
      </c>
      <c r="H151" s="27">
        <v>0</v>
      </c>
      <c r="I151" s="27" t="s">
        <v>29</v>
      </c>
    </row>
    <row r="152" spans="1:9" x14ac:dyDescent="0.3">
      <c r="A152" s="25"/>
      <c r="B152" s="28" t="s">
        <v>1046</v>
      </c>
      <c r="C152" s="28"/>
      <c r="D152" s="28"/>
      <c r="E152" s="28" t="s">
        <v>35</v>
      </c>
      <c r="F152" s="28">
        <v>25</v>
      </c>
      <c r="G152" s="28">
        <v>7.5378999999999996</v>
      </c>
      <c r="H152" s="28">
        <v>5</v>
      </c>
      <c r="I152" s="28" t="s">
        <v>29</v>
      </c>
    </row>
    <row r="153" spans="1:9" x14ac:dyDescent="0.3">
      <c r="A153" s="25"/>
      <c r="B153" s="27" t="s">
        <v>1047</v>
      </c>
      <c r="C153" s="27"/>
      <c r="D153" s="27"/>
      <c r="E153" s="27" t="s">
        <v>35</v>
      </c>
      <c r="F153" s="27">
        <v>80</v>
      </c>
      <c r="G153" s="27">
        <v>48</v>
      </c>
      <c r="H153" s="27">
        <v>5</v>
      </c>
      <c r="I153" s="27" t="s">
        <v>29</v>
      </c>
    </row>
    <row r="154" spans="1:9" x14ac:dyDescent="0.3">
      <c r="A154" s="25"/>
      <c r="B154" s="28" t="s">
        <v>1048</v>
      </c>
      <c r="C154" s="28"/>
      <c r="D154" s="28"/>
      <c r="E154" s="28" t="s">
        <v>35</v>
      </c>
      <c r="F154" s="28">
        <v>55</v>
      </c>
      <c r="G154" s="28">
        <v>54</v>
      </c>
      <c r="H154" s="28">
        <v>5</v>
      </c>
      <c r="I154" s="28" t="s">
        <v>29</v>
      </c>
    </row>
    <row r="155" spans="1:9" x14ac:dyDescent="0.3">
      <c r="A155" s="25"/>
      <c r="B155" s="28" t="s">
        <v>1049</v>
      </c>
      <c r="C155" s="28"/>
      <c r="D155" s="28"/>
      <c r="E155" s="28" t="s">
        <v>35</v>
      </c>
      <c r="F155" s="28">
        <v>20</v>
      </c>
      <c r="G155" s="28">
        <v>8.3390000000000004</v>
      </c>
      <c r="H155" s="28">
        <v>5</v>
      </c>
      <c r="I155" s="28" t="s">
        <v>29</v>
      </c>
    </row>
    <row r="156" spans="1:9" x14ac:dyDescent="0.3">
      <c r="A156" s="25"/>
      <c r="B156" s="28" t="s">
        <v>1050</v>
      </c>
      <c r="C156" s="28"/>
      <c r="D156" s="28"/>
      <c r="E156" s="28" t="s">
        <v>35</v>
      </c>
      <c r="F156" s="28">
        <v>90</v>
      </c>
      <c r="G156" s="28">
        <v>35</v>
      </c>
      <c r="H156" s="28">
        <v>2</v>
      </c>
      <c r="I156" s="28" t="s">
        <v>29</v>
      </c>
    </row>
    <row r="157" spans="1:9" x14ac:dyDescent="0.3">
      <c r="A157" s="25"/>
      <c r="B157" s="27" t="s">
        <v>1051</v>
      </c>
      <c r="C157" s="27"/>
      <c r="D157" s="27"/>
      <c r="E157" s="27" t="s">
        <v>35</v>
      </c>
      <c r="F157" s="27">
        <v>15</v>
      </c>
      <c r="G157" s="27">
        <v>4</v>
      </c>
      <c r="H157" s="27">
        <v>5</v>
      </c>
      <c r="I157" s="27" t="s">
        <v>29</v>
      </c>
    </row>
    <row r="158" spans="1:9" x14ac:dyDescent="0.3">
      <c r="A158" s="25"/>
      <c r="B158" s="28" t="s">
        <v>1052</v>
      </c>
      <c r="C158" s="28"/>
      <c r="D158" s="28"/>
      <c r="E158" s="28" t="s">
        <v>35</v>
      </c>
      <c r="F158" s="28">
        <v>25</v>
      </c>
      <c r="G158" s="28">
        <v>17.909099999999999</v>
      </c>
      <c r="H158" s="28">
        <v>3</v>
      </c>
      <c r="I158" s="28" t="s">
        <v>29</v>
      </c>
    </row>
    <row r="159" spans="1:9" x14ac:dyDescent="0.3">
      <c r="A159" s="25"/>
      <c r="B159" s="27" t="s">
        <v>1053</v>
      </c>
      <c r="C159" s="27"/>
      <c r="D159" s="27"/>
      <c r="E159" s="27" t="s">
        <v>35</v>
      </c>
      <c r="F159" s="27">
        <v>45</v>
      </c>
      <c r="G159" s="27">
        <v>32</v>
      </c>
      <c r="H159" s="27">
        <v>3</v>
      </c>
      <c r="I159" s="27" t="s">
        <v>29</v>
      </c>
    </row>
    <row r="160" spans="1:9" x14ac:dyDescent="0.3">
      <c r="A160" s="25"/>
      <c r="B160" s="28" t="s">
        <v>1054</v>
      </c>
      <c r="C160" s="28"/>
      <c r="D160" s="28"/>
      <c r="E160" s="28" t="s">
        <v>35</v>
      </c>
      <c r="F160" s="28">
        <v>80</v>
      </c>
      <c r="G160" s="28">
        <v>25</v>
      </c>
      <c r="H160" s="28">
        <v>2</v>
      </c>
      <c r="I160" s="28" t="s">
        <v>29</v>
      </c>
    </row>
    <row r="161" spans="1:9" x14ac:dyDescent="0.3">
      <c r="A161" s="25"/>
      <c r="B161" s="27" t="s">
        <v>1055</v>
      </c>
      <c r="C161" s="27"/>
      <c r="D161" s="27"/>
      <c r="E161" s="27" t="s">
        <v>35</v>
      </c>
      <c r="F161" s="27">
        <v>35</v>
      </c>
      <c r="G161" s="27">
        <v>10.2784</v>
      </c>
      <c r="H161" s="27">
        <v>5</v>
      </c>
      <c r="I161" s="27" t="s">
        <v>29</v>
      </c>
    </row>
    <row r="162" spans="1:9" x14ac:dyDescent="0.3">
      <c r="A162" s="25"/>
      <c r="B162" s="27" t="s">
        <v>1056</v>
      </c>
      <c r="C162" s="27"/>
      <c r="D162" s="27"/>
      <c r="E162" s="27" t="s">
        <v>35</v>
      </c>
      <c r="F162" s="27">
        <v>50</v>
      </c>
      <c r="G162" s="27">
        <v>16</v>
      </c>
      <c r="H162" s="27">
        <v>5</v>
      </c>
      <c r="I162" s="27" t="s">
        <v>29</v>
      </c>
    </row>
    <row r="163" spans="1:9" x14ac:dyDescent="0.3">
      <c r="A163" s="25"/>
      <c r="B163" s="27" t="s">
        <v>1057</v>
      </c>
      <c r="C163" s="27"/>
      <c r="D163" s="27"/>
      <c r="E163" s="27" t="s">
        <v>35</v>
      </c>
      <c r="F163" s="27">
        <v>20</v>
      </c>
      <c r="G163" s="27">
        <v>7.5</v>
      </c>
      <c r="H163" s="27">
        <v>5</v>
      </c>
      <c r="I163" s="27" t="s">
        <v>29</v>
      </c>
    </row>
    <row r="164" spans="1:9" x14ac:dyDescent="0.3">
      <c r="A164" s="25"/>
      <c r="B164" s="28" t="s">
        <v>1058</v>
      </c>
      <c r="C164" s="28"/>
      <c r="D164" s="28"/>
      <c r="E164" s="28" t="s">
        <v>35</v>
      </c>
      <c r="F164" s="28">
        <v>60</v>
      </c>
      <c r="G164" s="28">
        <v>28</v>
      </c>
      <c r="H164" s="28">
        <v>2</v>
      </c>
      <c r="I164" s="28" t="s">
        <v>29</v>
      </c>
    </row>
    <row r="165" spans="1:9" x14ac:dyDescent="0.3">
      <c r="A165" s="25"/>
      <c r="B165" s="28" t="s">
        <v>1059</v>
      </c>
      <c r="C165" s="28"/>
      <c r="D165" s="28"/>
      <c r="E165" s="28" t="s">
        <v>35</v>
      </c>
      <c r="F165" s="28">
        <v>65</v>
      </c>
      <c r="G165" s="28">
        <v>30</v>
      </c>
      <c r="H165" s="28">
        <v>2</v>
      </c>
      <c r="I165" s="28" t="s">
        <v>29</v>
      </c>
    </row>
    <row r="166" spans="1:9" x14ac:dyDescent="0.3">
      <c r="A166" s="25"/>
      <c r="B166" s="27" t="s">
        <v>1060</v>
      </c>
      <c r="C166" s="27"/>
      <c r="D166" s="27"/>
      <c r="E166" s="27" t="s">
        <v>35</v>
      </c>
      <c r="F166" s="27">
        <v>85</v>
      </c>
      <c r="G166" s="27">
        <v>43.75</v>
      </c>
      <c r="H166" s="27">
        <v>5</v>
      </c>
      <c r="I166" s="27" t="s">
        <v>29</v>
      </c>
    </row>
    <row r="167" spans="1:9" x14ac:dyDescent="0.3">
      <c r="A167" s="25"/>
      <c r="B167" s="28" t="s">
        <v>1061</v>
      </c>
      <c r="C167" s="28"/>
      <c r="D167" s="28"/>
      <c r="E167" s="28" t="s">
        <v>35</v>
      </c>
      <c r="F167" s="28">
        <v>100</v>
      </c>
      <c r="G167" s="28">
        <v>57.177199999999999</v>
      </c>
      <c r="H167" s="28">
        <v>0</v>
      </c>
      <c r="I167" s="28" t="s">
        <v>29</v>
      </c>
    </row>
    <row r="168" spans="1:9" x14ac:dyDescent="0.3">
      <c r="A168" s="25"/>
      <c r="B168" s="28" t="s">
        <v>1062</v>
      </c>
      <c r="C168" s="28"/>
      <c r="D168" s="28"/>
      <c r="E168" s="28" t="s">
        <v>35</v>
      </c>
      <c r="F168" s="28">
        <v>25</v>
      </c>
      <c r="G168" s="28">
        <v>9.2188999999999997</v>
      </c>
      <c r="H168" s="28">
        <v>3</v>
      </c>
      <c r="I168" s="28" t="s">
        <v>29</v>
      </c>
    </row>
    <row r="169" spans="1:9" x14ac:dyDescent="0.3">
      <c r="A169" s="25"/>
      <c r="B169" s="27" t="s">
        <v>1063</v>
      </c>
      <c r="C169" s="27"/>
      <c r="D169" s="27"/>
      <c r="E169" s="27" t="s">
        <v>35</v>
      </c>
      <c r="F169" s="27">
        <v>25</v>
      </c>
      <c r="G169" s="27">
        <v>9.6641999999999992</v>
      </c>
      <c r="H169" s="27">
        <v>5</v>
      </c>
      <c r="I169" s="27" t="s">
        <v>29</v>
      </c>
    </row>
    <row r="170" spans="1:9" x14ac:dyDescent="0.3">
      <c r="A170" s="25"/>
      <c r="B170" s="27" t="s">
        <v>1064</v>
      </c>
      <c r="C170" s="27"/>
      <c r="D170" s="27"/>
      <c r="E170" s="27" t="s">
        <v>35</v>
      </c>
      <c r="F170" s="27">
        <v>65</v>
      </c>
      <c r="G170" s="27">
        <v>40</v>
      </c>
      <c r="H170" s="27">
        <v>0</v>
      </c>
      <c r="I170" s="27" t="s">
        <v>29</v>
      </c>
    </row>
    <row r="171" spans="1:9" x14ac:dyDescent="0.3">
      <c r="A171" s="25"/>
      <c r="B171" s="27" t="s">
        <v>1065</v>
      </c>
      <c r="C171" s="27"/>
      <c r="D171" s="27"/>
      <c r="E171" s="27" t="s">
        <v>35</v>
      </c>
      <c r="F171" s="27">
        <v>250</v>
      </c>
      <c r="G171" s="27">
        <v>170</v>
      </c>
      <c r="H171" s="27">
        <v>3</v>
      </c>
      <c r="I171" s="27" t="s">
        <v>29</v>
      </c>
    </row>
    <row r="172" spans="1:9" x14ac:dyDescent="0.3">
      <c r="A172" s="25"/>
      <c r="B172" s="27" t="s">
        <v>1066</v>
      </c>
      <c r="C172" s="27"/>
      <c r="D172" s="27"/>
      <c r="E172" s="27" t="s">
        <v>35</v>
      </c>
      <c r="F172" s="27">
        <v>100</v>
      </c>
      <c r="G172" s="27">
        <v>60</v>
      </c>
      <c r="H172" s="27">
        <v>5</v>
      </c>
      <c r="I172" s="27" t="s">
        <v>29</v>
      </c>
    </row>
    <row r="173" spans="1:9" x14ac:dyDescent="0.3">
      <c r="A173" s="25"/>
      <c r="B173" s="28" t="s">
        <v>1067</v>
      </c>
      <c r="C173" s="28"/>
      <c r="D173" s="28"/>
      <c r="E173" s="28" t="s">
        <v>35</v>
      </c>
      <c r="F173" s="28">
        <v>145</v>
      </c>
      <c r="G173" s="28">
        <v>70</v>
      </c>
      <c r="H173" s="28">
        <v>5</v>
      </c>
      <c r="I173" s="28" t="s">
        <v>29</v>
      </c>
    </row>
    <row r="174" spans="1:9" x14ac:dyDescent="0.3">
      <c r="A174" s="25"/>
      <c r="B174" s="28" t="s">
        <v>1068</v>
      </c>
      <c r="C174" s="28"/>
      <c r="D174" s="28"/>
      <c r="E174" s="28" t="s">
        <v>35</v>
      </c>
      <c r="F174" s="28">
        <v>350</v>
      </c>
      <c r="G174" s="28">
        <v>140</v>
      </c>
      <c r="H174" s="28">
        <v>3</v>
      </c>
      <c r="I174" s="28" t="s">
        <v>29</v>
      </c>
    </row>
    <row r="175" spans="1:9" x14ac:dyDescent="0.3">
      <c r="A175" s="25"/>
      <c r="B175" s="27" t="s">
        <v>1069</v>
      </c>
      <c r="C175" s="27"/>
      <c r="D175" s="27"/>
      <c r="E175" s="27" t="s">
        <v>35</v>
      </c>
      <c r="F175" s="27">
        <v>440</v>
      </c>
      <c r="G175" s="27">
        <v>180</v>
      </c>
      <c r="H175" s="27">
        <v>3</v>
      </c>
      <c r="I175" s="27" t="s">
        <v>29</v>
      </c>
    </row>
    <row r="176" spans="1:9" x14ac:dyDescent="0.3">
      <c r="A176" s="25"/>
      <c r="B176" s="28" t="s">
        <v>1070</v>
      </c>
      <c r="C176" s="28"/>
      <c r="D176" s="28"/>
      <c r="E176" s="28" t="s">
        <v>35</v>
      </c>
      <c r="F176" s="28">
        <v>500</v>
      </c>
      <c r="G176" s="28">
        <v>250</v>
      </c>
      <c r="H176" s="28">
        <v>2</v>
      </c>
      <c r="I176" s="28" t="s">
        <v>29</v>
      </c>
    </row>
    <row r="177" spans="1:9" x14ac:dyDescent="0.3">
      <c r="A177" s="25"/>
      <c r="B177" s="27" t="s">
        <v>1071</v>
      </c>
      <c r="C177" s="27"/>
      <c r="D177" s="27"/>
      <c r="E177" s="27" t="s">
        <v>35</v>
      </c>
      <c r="F177" s="27">
        <v>15</v>
      </c>
      <c r="G177" s="27">
        <v>6.5</v>
      </c>
      <c r="H177" s="27">
        <v>15</v>
      </c>
      <c r="I177" s="27" t="s">
        <v>29</v>
      </c>
    </row>
    <row r="178" spans="1:9" x14ac:dyDescent="0.3">
      <c r="A178" s="25"/>
      <c r="B178" s="27" t="s">
        <v>1072</v>
      </c>
      <c r="C178" s="27"/>
      <c r="D178" s="27"/>
      <c r="E178" s="27" t="s">
        <v>35</v>
      </c>
      <c r="F178" s="27">
        <v>7</v>
      </c>
      <c r="G178" s="27">
        <v>3</v>
      </c>
      <c r="H178" s="27">
        <v>50</v>
      </c>
      <c r="I178" s="27" t="s">
        <v>29</v>
      </c>
    </row>
    <row r="179" spans="1:9" x14ac:dyDescent="0.3">
      <c r="A179" s="25"/>
      <c r="B179" s="28" t="s">
        <v>1073</v>
      </c>
      <c r="C179" s="28"/>
      <c r="D179" s="28"/>
      <c r="E179" s="28" t="s">
        <v>35</v>
      </c>
      <c r="F179" s="28">
        <v>10</v>
      </c>
      <c r="G179" s="28">
        <v>3</v>
      </c>
      <c r="H179" s="28">
        <v>25</v>
      </c>
      <c r="I179" s="28" t="s">
        <v>29</v>
      </c>
    </row>
    <row r="180" spans="1:9" x14ac:dyDescent="0.3">
      <c r="A180" s="25"/>
      <c r="B180" s="27" t="s">
        <v>1074</v>
      </c>
      <c r="C180" s="27"/>
      <c r="D180" s="27"/>
      <c r="E180" s="27" t="s">
        <v>29</v>
      </c>
      <c r="F180" s="27">
        <v>1400</v>
      </c>
      <c r="G180" s="27">
        <v>885</v>
      </c>
      <c r="H180" s="27">
        <v>0</v>
      </c>
      <c r="I180" s="27" t="s">
        <v>29</v>
      </c>
    </row>
    <row r="181" spans="1:9" x14ac:dyDescent="0.3">
      <c r="A181" s="25"/>
      <c r="B181" s="27" t="s">
        <v>1075</v>
      </c>
      <c r="C181" s="27"/>
      <c r="D181" s="27"/>
      <c r="E181" s="27" t="s">
        <v>35</v>
      </c>
      <c r="F181" s="27">
        <v>280</v>
      </c>
      <c r="G181" s="27">
        <v>168</v>
      </c>
      <c r="H181" s="27">
        <v>0</v>
      </c>
      <c r="I181" s="27" t="s">
        <v>29</v>
      </c>
    </row>
    <row r="182" spans="1:9" x14ac:dyDescent="0.3">
      <c r="A182" s="25"/>
      <c r="B182" s="28" t="s">
        <v>1076</v>
      </c>
      <c r="C182" s="28"/>
      <c r="D182" s="28"/>
      <c r="E182" s="28" t="s">
        <v>35</v>
      </c>
      <c r="F182" s="28">
        <v>210</v>
      </c>
      <c r="G182" s="28">
        <v>160</v>
      </c>
      <c r="H182" s="28">
        <v>2</v>
      </c>
      <c r="I182" s="28" t="s">
        <v>29</v>
      </c>
    </row>
    <row r="183" spans="1:9" x14ac:dyDescent="0.3">
      <c r="A183" s="25"/>
      <c r="B183" s="28" t="s">
        <v>1077</v>
      </c>
      <c r="C183" s="28"/>
      <c r="D183" s="28"/>
      <c r="E183" s="28" t="s">
        <v>35</v>
      </c>
      <c r="F183" s="28">
        <v>300</v>
      </c>
      <c r="G183" s="28">
        <v>200</v>
      </c>
      <c r="H183" s="28">
        <v>3</v>
      </c>
      <c r="I183" s="28" t="s">
        <v>29</v>
      </c>
    </row>
    <row r="184" spans="1:9" x14ac:dyDescent="0.3">
      <c r="A184" s="25"/>
      <c r="B184" s="28" t="s">
        <v>1078</v>
      </c>
      <c r="C184" s="28"/>
      <c r="D184" s="28"/>
      <c r="E184" s="28" t="s">
        <v>35</v>
      </c>
      <c r="F184" s="28">
        <v>100</v>
      </c>
      <c r="G184" s="28">
        <v>45</v>
      </c>
      <c r="H184" s="28">
        <v>5</v>
      </c>
      <c r="I184" s="28" t="s">
        <v>29</v>
      </c>
    </row>
    <row r="185" spans="1:9" x14ac:dyDescent="0.3">
      <c r="A185" s="25"/>
      <c r="B185" s="28" t="s">
        <v>1079</v>
      </c>
      <c r="C185" s="28"/>
      <c r="D185" s="28"/>
      <c r="E185" s="28" t="s">
        <v>35</v>
      </c>
      <c r="F185" s="28">
        <v>200</v>
      </c>
      <c r="G185" s="28">
        <v>250</v>
      </c>
      <c r="H185" s="28">
        <v>3</v>
      </c>
      <c r="I185" s="28" t="s">
        <v>29</v>
      </c>
    </row>
    <row r="186" spans="1:9" x14ac:dyDescent="0.3">
      <c r="A186" s="25"/>
      <c r="B186" s="28" t="s">
        <v>1080</v>
      </c>
      <c r="C186" s="28"/>
      <c r="D186" s="28"/>
      <c r="E186" s="28" t="s">
        <v>35</v>
      </c>
      <c r="F186" s="28">
        <v>35</v>
      </c>
      <c r="G186" s="28">
        <v>13.7235</v>
      </c>
      <c r="H186" s="28">
        <v>5</v>
      </c>
      <c r="I186" s="28" t="s">
        <v>29</v>
      </c>
    </row>
    <row r="187" spans="1:9" x14ac:dyDescent="0.3">
      <c r="A187" s="25"/>
      <c r="B187" s="27" t="s">
        <v>1081</v>
      </c>
      <c r="C187" s="27"/>
      <c r="D187" s="27"/>
      <c r="E187" s="27" t="s">
        <v>35</v>
      </c>
      <c r="F187" s="27">
        <v>25</v>
      </c>
      <c r="G187" s="27">
        <v>10</v>
      </c>
      <c r="H187" s="27">
        <v>5</v>
      </c>
      <c r="I187" s="27" t="s">
        <v>29</v>
      </c>
    </row>
    <row r="188" spans="1:9" x14ac:dyDescent="0.3">
      <c r="A188" s="25"/>
      <c r="B188" s="27" t="s">
        <v>1082</v>
      </c>
      <c r="C188" s="27"/>
      <c r="D188" s="27"/>
      <c r="E188" s="27" t="s">
        <v>29</v>
      </c>
      <c r="F188" s="27">
        <v>140</v>
      </c>
      <c r="G188" s="27">
        <v>84</v>
      </c>
      <c r="H188" s="27">
        <v>0</v>
      </c>
      <c r="I188" s="27" t="s">
        <v>29</v>
      </c>
    </row>
    <row r="189" spans="1:9" x14ac:dyDescent="0.3">
      <c r="A189" s="25"/>
      <c r="B189" s="27" t="s">
        <v>1083</v>
      </c>
      <c r="C189" s="27"/>
      <c r="D189" s="27"/>
      <c r="E189" s="27" t="s">
        <v>29</v>
      </c>
      <c r="F189" s="27">
        <v>365</v>
      </c>
      <c r="G189" s="27">
        <v>175</v>
      </c>
      <c r="H189" s="27">
        <v>0</v>
      </c>
      <c r="I189" s="27" t="s">
        <v>29</v>
      </c>
    </row>
    <row r="190" spans="1:9" x14ac:dyDescent="0.3">
      <c r="A190" s="25"/>
      <c r="B190" s="28" t="s">
        <v>1084</v>
      </c>
      <c r="C190" s="28"/>
      <c r="D190" s="28"/>
      <c r="E190" s="28" t="s">
        <v>29</v>
      </c>
      <c r="F190" s="28">
        <v>200</v>
      </c>
      <c r="G190" s="28">
        <v>60</v>
      </c>
      <c r="H190" s="28">
        <v>0</v>
      </c>
      <c r="I190" s="28" t="s">
        <v>29</v>
      </c>
    </row>
    <row r="191" spans="1:9" x14ac:dyDescent="0.3">
      <c r="A191" s="25"/>
      <c r="B191" s="27" t="s">
        <v>1085</v>
      </c>
      <c r="C191" s="27"/>
      <c r="D191" s="27"/>
      <c r="E191" s="27" t="s">
        <v>35</v>
      </c>
      <c r="F191" s="27">
        <v>170</v>
      </c>
      <c r="G191" s="27">
        <v>120</v>
      </c>
      <c r="H191" s="27">
        <v>0</v>
      </c>
      <c r="I191" s="27" t="s">
        <v>29</v>
      </c>
    </row>
    <row r="192" spans="1:9" x14ac:dyDescent="0.3">
      <c r="A192" s="25"/>
      <c r="B192" s="27" t="s">
        <v>1086</v>
      </c>
      <c r="C192" s="27"/>
      <c r="D192" s="27"/>
      <c r="E192" s="27" t="s">
        <v>35</v>
      </c>
      <c r="F192" s="27">
        <v>25</v>
      </c>
      <c r="G192" s="27">
        <v>5</v>
      </c>
      <c r="H192" s="27">
        <v>5</v>
      </c>
      <c r="I192" s="27" t="s">
        <v>29</v>
      </c>
    </row>
    <row r="193" spans="1:9" x14ac:dyDescent="0.3">
      <c r="A193" s="25"/>
      <c r="B193" s="27" t="s">
        <v>1087</v>
      </c>
      <c r="C193" s="27"/>
      <c r="D193" s="27"/>
      <c r="E193" s="27" t="s">
        <v>35</v>
      </c>
      <c r="F193" s="27">
        <v>25</v>
      </c>
      <c r="G193" s="27">
        <v>13.590199999999999</v>
      </c>
      <c r="H193" s="27">
        <v>5</v>
      </c>
      <c r="I193" s="27" t="s">
        <v>29</v>
      </c>
    </row>
    <row r="194" spans="1:9" x14ac:dyDescent="0.3">
      <c r="A194" s="25"/>
      <c r="B194" s="27" t="s">
        <v>1088</v>
      </c>
      <c r="C194" s="27"/>
      <c r="D194" s="27"/>
      <c r="E194" s="27" t="s">
        <v>35</v>
      </c>
      <c r="F194" s="27">
        <v>35</v>
      </c>
      <c r="G194" s="27">
        <v>20</v>
      </c>
      <c r="H194" s="27">
        <v>0</v>
      </c>
      <c r="I194" s="27" t="s">
        <v>29</v>
      </c>
    </row>
    <row r="195" spans="1:9" x14ac:dyDescent="0.3">
      <c r="A195" s="25"/>
      <c r="B195" s="28" t="s">
        <v>1089</v>
      </c>
      <c r="C195" s="28"/>
      <c r="D195" s="28"/>
      <c r="E195" s="28" t="s">
        <v>35</v>
      </c>
      <c r="F195" s="28">
        <v>35</v>
      </c>
      <c r="G195" s="28">
        <v>18.941199999999998</v>
      </c>
      <c r="H195" s="28">
        <v>5</v>
      </c>
      <c r="I195" s="28" t="s">
        <v>29</v>
      </c>
    </row>
    <row r="196" spans="1:9" x14ac:dyDescent="0.3">
      <c r="A196" s="25"/>
      <c r="B196" s="27" t="s">
        <v>1090</v>
      </c>
      <c r="C196" s="27"/>
      <c r="D196" s="27"/>
      <c r="E196" s="27" t="s">
        <v>35</v>
      </c>
      <c r="F196" s="27">
        <v>45</v>
      </c>
      <c r="G196" s="27">
        <v>19.014900000000001</v>
      </c>
      <c r="H196" s="27">
        <v>5</v>
      </c>
      <c r="I196" s="27" t="s">
        <v>29</v>
      </c>
    </row>
    <row r="197" spans="1:9" x14ac:dyDescent="0.3">
      <c r="A197" s="25"/>
      <c r="B197" s="27" t="s">
        <v>1091</v>
      </c>
      <c r="C197" s="27"/>
      <c r="D197" s="27"/>
      <c r="E197" s="27" t="s">
        <v>35</v>
      </c>
      <c r="F197" s="27">
        <v>190</v>
      </c>
      <c r="G197" s="27">
        <v>150</v>
      </c>
      <c r="H197" s="27">
        <v>0</v>
      </c>
      <c r="I197" s="27" t="s">
        <v>29</v>
      </c>
    </row>
    <row r="198" spans="1:9" x14ac:dyDescent="0.3">
      <c r="A198" s="25"/>
      <c r="B198" s="27" t="s">
        <v>1092</v>
      </c>
      <c r="C198" s="27"/>
      <c r="D198" s="27"/>
      <c r="E198" s="27" t="s">
        <v>35</v>
      </c>
      <c r="F198" s="27">
        <v>20</v>
      </c>
      <c r="G198" s="27">
        <v>5</v>
      </c>
      <c r="H198" s="27">
        <v>10</v>
      </c>
      <c r="I198" s="27" t="s">
        <v>29</v>
      </c>
    </row>
    <row r="199" spans="1:9" x14ac:dyDescent="0.3">
      <c r="A199" s="25"/>
      <c r="B199" s="27" t="s">
        <v>1093</v>
      </c>
      <c r="C199" s="27"/>
      <c r="D199" s="27"/>
      <c r="E199" s="27" t="s">
        <v>35</v>
      </c>
      <c r="F199" s="27">
        <v>20</v>
      </c>
      <c r="G199" s="27">
        <v>0</v>
      </c>
      <c r="H199" s="27">
        <v>10</v>
      </c>
      <c r="I199" s="27" t="s">
        <v>29</v>
      </c>
    </row>
    <row r="200" spans="1:9" x14ac:dyDescent="0.3">
      <c r="A200" s="25"/>
      <c r="B200" s="27" t="s">
        <v>1094</v>
      </c>
      <c r="C200" s="27"/>
      <c r="D200" s="27"/>
      <c r="E200" s="27" t="s">
        <v>35</v>
      </c>
      <c r="F200" s="27">
        <v>45</v>
      </c>
      <c r="G200" s="27">
        <v>30.9375</v>
      </c>
      <c r="H200" s="27">
        <v>2</v>
      </c>
      <c r="I200" s="27" t="s">
        <v>29</v>
      </c>
    </row>
    <row r="201" spans="1:9" x14ac:dyDescent="0.3">
      <c r="A201" s="25"/>
      <c r="B201" s="27" t="s">
        <v>1095</v>
      </c>
      <c r="C201" s="27"/>
      <c r="D201" s="27"/>
      <c r="E201" s="27" t="s">
        <v>35</v>
      </c>
      <c r="F201" s="27">
        <v>40</v>
      </c>
      <c r="G201" s="27">
        <v>22.5</v>
      </c>
      <c r="H201" s="27">
        <v>0</v>
      </c>
      <c r="I201" s="27" t="s">
        <v>29</v>
      </c>
    </row>
    <row r="202" spans="1:9" x14ac:dyDescent="0.3">
      <c r="A202" s="25"/>
      <c r="B202" s="28" t="s">
        <v>1096</v>
      </c>
      <c r="C202" s="28"/>
      <c r="D202" s="28"/>
      <c r="E202" s="28" t="s">
        <v>35</v>
      </c>
      <c r="F202" s="28">
        <v>50</v>
      </c>
      <c r="G202" s="28">
        <v>29.5</v>
      </c>
      <c r="H202" s="28">
        <v>1</v>
      </c>
      <c r="I202" s="28" t="s">
        <v>29</v>
      </c>
    </row>
    <row r="203" spans="1:9" x14ac:dyDescent="0.3">
      <c r="A203" s="25"/>
      <c r="B203" s="28" t="s">
        <v>1097</v>
      </c>
      <c r="C203" s="28"/>
      <c r="D203" s="28"/>
      <c r="E203" s="28" t="s">
        <v>35</v>
      </c>
      <c r="F203" s="28">
        <v>15</v>
      </c>
      <c r="G203" s="28">
        <v>4.5964999999999998</v>
      </c>
      <c r="H203" s="28">
        <v>0</v>
      </c>
      <c r="I203" s="28" t="s">
        <v>29</v>
      </c>
    </row>
    <row r="204" spans="1:9" x14ac:dyDescent="0.3">
      <c r="A204" s="25"/>
      <c r="B204" s="27" t="s">
        <v>1098</v>
      </c>
      <c r="C204" s="27"/>
      <c r="D204" s="27"/>
      <c r="E204" s="27" t="s">
        <v>35</v>
      </c>
      <c r="F204" s="27">
        <v>20</v>
      </c>
      <c r="G204" s="27">
        <v>7.8258000000000001</v>
      </c>
      <c r="H204" s="27">
        <v>0</v>
      </c>
      <c r="I204" s="27" t="s">
        <v>29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527E3-72C4-4211-A099-2DC44376A2A1}">
  <dimension ref="A1:I6"/>
  <sheetViews>
    <sheetView topLeftCell="B1" workbookViewId="0">
      <selection activeCell="B7" sqref="A7:XFD270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7773437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7" t="s">
        <v>889</v>
      </c>
      <c r="C2" s="27"/>
      <c r="D2" s="27"/>
      <c r="E2" s="27" t="s">
        <v>35</v>
      </c>
      <c r="F2" s="27">
        <v>20</v>
      </c>
      <c r="G2" s="27">
        <v>11</v>
      </c>
      <c r="H2" s="27">
        <v>10</v>
      </c>
      <c r="I2" s="27" t="s">
        <v>865</v>
      </c>
    </row>
    <row r="3" spans="1:9" x14ac:dyDescent="0.3">
      <c r="A3" s="25"/>
      <c r="B3" s="27" t="s">
        <v>890</v>
      </c>
      <c r="C3" s="27"/>
      <c r="D3" s="27"/>
      <c r="E3" s="27" t="s">
        <v>35</v>
      </c>
      <c r="F3" s="27">
        <v>515</v>
      </c>
      <c r="G3" s="27">
        <v>410</v>
      </c>
      <c r="H3" s="27">
        <v>5</v>
      </c>
      <c r="I3" s="28" t="s">
        <v>891</v>
      </c>
    </row>
    <row r="4" spans="1:9" x14ac:dyDescent="0.3">
      <c r="A4" s="25"/>
      <c r="B4" s="28" t="s">
        <v>892</v>
      </c>
      <c r="C4" s="28"/>
      <c r="D4" s="28"/>
      <c r="E4" s="28" t="s">
        <v>35</v>
      </c>
      <c r="F4" s="28">
        <v>205</v>
      </c>
      <c r="G4" s="28">
        <v>166.51400000000001</v>
      </c>
      <c r="H4" s="28">
        <v>5</v>
      </c>
      <c r="I4" s="28" t="s">
        <v>891</v>
      </c>
    </row>
    <row r="5" spans="1:9" x14ac:dyDescent="0.3">
      <c r="A5" s="25"/>
      <c r="B5" s="27" t="s">
        <v>893</v>
      </c>
      <c r="C5" s="27"/>
      <c r="D5" s="27"/>
      <c r="E5" s="27" t="s">
        <v>35</v>
      </c>
      <c r="F5" s="27">
        <v>3900</v>
      </c>
      <c r="G5" s="27">
        <v>2750</v>
      </c>
      <c r="H5" s="27">
        <v>0</v>
      </c>
      <c r="I5" s="27" t="s">
        <v>891</v>
      </c>
    </row>
    <row r="6" spans="1:9" x14ac:dyDescent="0.3">
      <c r="A6" s="25"/>
      <c r="B6" s="27" t="s">
        <v>894</v>
      </c>
      <c r="C6" s="27"/>
      <c r="D6" s="27"/>
      <c r="E6" s="27" t="s">
        <v>35</v>
      </c>
      <c r="F6" s="27">
        <v>2300</v>
      </c>
      <c r="G6" s="27">
        <v>1825</v>
      </c>
      <c r="H6" s="27">
        <v>5</v>
      </c>
      <c r="I6" s="27" t="s">
        <v>891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5085F-C6E1-42E0-9B31-957AE83F536E}">
  <dimension ref="A1:I26"/>
  <sheetViews>
    <sheetView topLeftCell="B1" workbookViewId="0">
      <selection activeCell="B27" sqref="A27:XFD294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7773437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8" t="s">
        <v>864</v>
      </c>
      <c r="C2" s="28"/>
      <c r="D2" s="28"/>
      <c r="E2" s="28" t="s">
        <v>35</v>
      </c>
      <c r="F2" s="28">
        <v>225</v>
      </c>
      <c r="G2" s="28">
        <v>90</v>
      </c>
      <c r="H2" s="28">
        <v>5</v>
      </c>
      <c r="I2" s="28" t="s">
        <v>865</v>
      </c>
    </row>
    <row r="3" spans="1:9" x14ac:dyDescent="0.3">
      <c r="A3" s="25"/>
      <c r="B3" s="28" t="s">
        <v>866</v>
      </c>
      <c r="C3" s="28"/>
      <c r="D3" s="28"/>
      <c r="E3" s="28" t="s">
        <v>35</v>
      </c>
      <c r="F3" s="28">
        <v>35</v>
      </c>
      <c r="G3" s="28">
        <v>15</v>
      </c>
      <c r="H3" s="28">
        <v>20</v>
      </c>
      <c r="I3" s="28" t="s">
        <v>865</v>
      </c>
    </row>
    <row r="4" spans="1:9" x14ac:dyDescent="0.3">
      <c r="A4" s="25"/>
      <c r="B4" s="28" t="s">
        <v>867</v>
      </c>
      <c r="C4" s="28"/>
      <c r="D4" s="28"/>
      <c r="E4" s="28" t="s">
        <v>35</v>
      </c>
      <c r="F4" s="28">
        <v>165</v>
      </c>
      <c r="G4" s="28">
        <v>110</v>
      </c>
      <c r="H4" s="28">
        <v>20</v>
      </c>
      <c r="I4" s="28" t="s">
        <v>865</v>
      </c>
    </row>
    <row r="5" spans="1:9" x14ac:dyDescent="0.3">
      <c r="A5" s="25"/>
      <c r="B5" s="27" t="s">
        <v>868</v>
      </c>
      <c r="C5" s="27"/>
      <c r="D5" s="27"/>
      <c r="E5" s="27" t="s">
        <v>35</v>
      </c>
      <c r="F5" s="27">
        <v>45</v>
      </c>
      <c r="G5" s="27">
        <v>25.348299999999998</v>
      </c>
      <c r="H5" s="27">
        <v>20</v>
      </c>
      <c r="I5" s="27" t="s">
        <v>865</v>
      </c>
    </row>
    <row r="6" spans="1:9" x14ac:dyDescent="0.3">
      <c r="A6" s="25"/>
      <c r="B6" s="28" t="s">
        <v>869</v>
      </c>
      <c r="C6" s="28"/>
      <c r="D6" s="28"/>
      <c r="E6" s="28" t="s">
        <v>35</v>
      </c>
      <c r="F6" s="28">
        <v>7.5</v>
      </c>
      <c r="G6" s="28">
        <v>1.5359</v>
      </c>
      <c r="H6" s="28">
        <v>20</v>
      </c>
      <c r="I6" s="28" t="s">
        <v>865</v>
      </c>
    </row>
    <row r="7" spans="1:9" x14ac:dyDescent="0.3">
      <c r="A7" s="25"/>
      <c r="B7" s="27" t="s">
        <v>870</v>
      </c>
      <c r="C7" s="27"/>
      <c r="D7" s="27"/>
      <c r="E7" s="27" t="s">
        <v>35</v>
      </c>
      <c r="F7" s="27">
        <v>15</v>
      </c>
      <c r="G7" s="27">
        <v>10.8307</v>
      </c>
      <c r="H7" s="27">
        <v>20</v>
      </c>
      <c r="I7" s="27" t="s">
        <v>865</v>
      </c>
    </row>
    <row r="8" spans="1:9" x14ac:dyDescent="0.3">
      <c r="A8" s="25"/>
      <c r="B8" s="28" t="s">
        <v>871</v>
      </c>
      <c r="C8" s="28"/>
      <c r="D8" s="28"/>
      <c r="E8" s="28" t="s">
        <v>35</v>
      </c>
      <c r="F8" s="28">
        <v>30</v>
      </c>
      <c r="G8" s="28">
        <v>16.103400000000001</v>
      </c>
      <c r="H8" s="28">
        <v>20</v>
      </c>
      <c r="I8" s="28" t="s">
        <v>865</v>
      </c>
    </row>
    <row r="9" spans="1:9" x14ac:dyDescent="0.3">
      <c r="A9" s="25"/>
      <c r="B9" s="27" t="s">
        <v>872</v>
      </c>
      <c r="C9" s="27"/>
      <c r="D9" s="27"/>
      <c r="E9" s="27" t="s">
        <v>35</v>
      </c>
      <c r="F9" s="27">
        <v>45</v>
      </c>
      <c r="G9" s="27">
        <v>25</v>
      </c>
      <c r="H9" s="27">
        <v>20</v>
      </c>
      <c r="I9" s="27" t="s">
        <v>865</v>
      </c>
    </row>
    <row r="10" spans="1:9" x14ac:dyDescent="0.3">
      <c r="A10" s="25"/>
      <c r="B10" s="27" t="s">
        <v>873</v>
      </c>
      <c r="C10" s="27"/>
      <c r="D10" s="27"/>
      <c r="E10" s="27" t="s">
        <v>35</v>
      </c>
      <c r="F10" s="27">
        <v>80</v>
      </c>
      <c r="G10" s="27">
        <v>39.5</v>
      </c>
      <c r="H10" s="27">
        <v>25</v>
      </c>
      <c r="I10" s="27" t="s">
        <v>865</v>
      </c>
    </row>
    <row r="11" spans="1:9" x14ac:dyDescent="0.3">
      <c r="A11" s="25"/>
      <c r="B11" s="28" t="s">
        <v>874</v>
      </c>
      <c r="C11" s="28"/>
      <c r="D11" s="28"/>
      <c r="E11" s="28" t="s">
        <v>35</v>
      </c>
      <c r="F11" s="28">
        <v>70</v>
      </c>
      <c r="G11" s="28">
        <v>25</v>
      </c>
      <c r="H11" s="28">
        <v>20</v>
      </c>
      <c r="I11" s="28" t="s">
        <v>865</v>
      </c>
    </row>
    <row r="12" spans="1:9" x14ac:dyDescent="0.3">
      <c r="A12" s="25"/>
      <c r="B12" s="28" t="s">
        <v>875</v>
      </c>
      <c r="C12" s="28"/>
      <c r="D12" s="28"/>
      <c r="E12" s="28" t="s">
        <v>35</v>
      </c>
      <c r="F12" s="28">
        <v>45</v>
      </c>
      <c r="G12" s="28">
        <v>20.75</v>
      </c>
      <c r="H12" s="28">
        <v>20</v>
      </c>
      <c r="I12" s="28" t="s">
        <v>865</v>
      </c>
    </row>
    <row r="13" spans="1:9" x14ac:dyDescent="0.3">
      <c r="A13" s="25"/>
      <c r="B13" s="27" t="s">
        <v>876</v>
      </c>
      <c r="C13" s="27"/>
      <c r="D13" s="27"/>
      <c r="E13" s="27" t="s">
        <v>35</v>
      </c>
      <c r="F13" s="27">
        <v>50</v>
      </c>
      <c r="G13" s="27">
        <v>25.2286</v>
      </c>
      <c r="H13" s="27">
        <v>20</v>
      </c>
      <c r="I13" s="27" t="s">
        <v>865</v>
      </c>
    </row>
    <row r="14" spans="1:9" x14ac:dyDescent="0.3">
      <c r="A14" s="25"/>
      <c r="B14" s="28" t="s">
        <v>877</v>
      </c>
      <c r="C14" s="28"/>
      <c r="D14" s="28"/>
      <c r="E14" s="28" t="s">
        <v>35</v>
      </c>
      <c r="F14" s="28">
        <v>240</v>
      </c>
      <c r="G14" s="28">
        <v>149</v>
      </c>
      <c r="H14" s="28">
        <v>20</v>
      </c>
      <c r="I14" s="28" t="s">
        <v>865</v>
      </c>
    </row>
    <row r="15" spans="1:9" x14ac:dyDescent="0.3">
      <c r="A15" s="25"/>
      <c r="B15" s="27" t="s">
        <v>878</v>
      </c>
      <c r="C15" s="27"/>
      <c r="D15" s="27"/>
      <c r="E15" s="27" t="s">
        <v>35</v>
      </c>
      <c r="F15" s="27">
        <v>25</v>
      </c>
      <c r="G15" s="27">
        <v>11.5732</v>
      </c>
      <c r="H15" s="27">
        <v>20</v>
      </c>
      <c r="I15" s="27" t="s">
        <v>865</v>
      </c>
    </row>
    <row r="16" spans="1:9" x14ac:dyDescent="0.3">
      <c r="A16" s="25"/>
      <c r="B16" s="28" t="s">
        <v>879</v>
      </c>
      <c r="C16" s="28"/>
      <c r="D16" s="28"/>
      <c r="E16" s="28" t="s">
        <v>35</v>
      </c>
      <c r="F16" s="28">
        <v>90</v>
      </c>
      <c r="G16" s="28">
        <v>60</v>
      </c>
      <c r="H16" s="28">
        <v>20</v>
      </c>
      <c r="I16" s="28" t="s">
        <v>865</v>
      </c>
    </row>
    <row r="17" spans="1:9" x14ac:dyDescent="0.3">
      <c r="A17" s="25"/>
      <c r="B17" s="27" t="s">
        <v>880</v>
      </c>
      <c r="C17" s="27"/>
      <c r="D17" s="27"/>
      <c r="E17" s="27" t="s">
        <v>35</v>
      </c>
      <c r="F17" s="27">
        <v>100</v>
      </c>
      <c r="G17" s="27">
        <v>0</v>
      </c>
      <c r="H17" s="27">
        <v>20</v>
      </c>
      <c r="I17" s="27" t="s">
        <v>865</v>
      </c>
    </row>
    <row r="18" spans="1:9" x14ac:dyDescent="0.3">
      <c r="A18" s="25"/>
      <c r="B18" s="27" t="s">
        <v>881</v>
      </c>
      <c r="C18" s="27"/>
      <c r="D18" s="27"/>
      <c r="E18" s="27" t="s">
        <v>35</v>
      </c>
      <c r="F18" s="27">
        <v>175</v>
      </c>
      <c r="G18" s="27">
        <v>95</v>
      </c>
      <c r="H18" s="27">
        <v>20</v>
      </c>
      <c r="I18" s="27" t="s">
        <v>865</v>
      </c>
    </row>
    <row r="19" spans="1:9" x14ac:dyDescent="0.3">
      <c r="A19" s="25"/>
      <c r="B19" s="28" t="s">
        <v>882</v>
      </c>
      <c r="C19" s="28"/>
      <c r="D19" s="28"/>
      <c r="E19" s="28" t="s">
        <v>35</v>
      </c>
      <c r="F19" s="28">
        <v>95</v>
      </c>
      <c r="G19" s="28">
        <v>55.933100000000003</v>
      </c>
      <c r="H19" s="28">
        <v>20</v>
      </c>
      <c r="I19" s="28" t="s">
        <v>865</v>
      </c>
    </row>
    <row r="20" spans="1:9" x14ac:dyDescent="0.3">
      <c r="A20" s="25"/>
      <c r="B20" s="28" t="s">
        <v>883</v>
      </c>
      <c r="C20" s="28"/>
      <c r="D20" s="28"/>
      <c r="E20" s="28" t="s">
        <v>35</v>
      </c>
      <c r="F20" s="28">
        <v>150</v>
      </c>
      <c r="G20" s="28">
        <v>90</v>
      </c>
      <c r="H20" s="28">
        <v>5</v>
      </c>
      <c r="I20" s="28" t="s">
        <v>865</v>
      </c>
    </row>
    <row r="21" spans="1:9" x14ac:dyDescent="0.3">
      <c r="A21" s="25"/>
      <c r="B21" s="28" t="s">
        <v>884</v>
      </c>
      <c r="C21" s="28"/>
      <c r="D21" s="28"/>
      <c r="E21" s="28" t="s">
        <v>35</v>
      </c>
      <c r="F21" s="28">
        <v>275</v>
      </c>
      <c r="G21" s="28">
        <v>205</v>
      </c>
      <c r="H21" s="28">
        <v>3</v>
      </c>
      <c r="I21" s="28" t="s">
        <v>865</v>
      </c>
    </row>
    <row r="22" spans="1:9" x14ac:dyDescent="0.3">
      <c r="A22" s="25"/>
      <c r="B22" s="28" t="s">
        <v>885</v>
      </c>
      <c r="C22" s="28"/>
      <c r="D22" s="28"/>
      <c r="E22" s="28" t="s">
        <v>35</v>
      </c>
      <c r="F22" s="28">
        <v>800</v>
      </c>
      <c r="G22" s="28">
        <v>650</v>
      </c>
      <c r="H22" s="28">
        <v>5</v>
      </c>
      <c r="I22" s="28" t="s">
        <v>865</v>
      </c>
    </row>
    <row r="23" spans="1:9" x14ac:dyDescent="0.3">
      <c r="A23" s="25"/>
      <c r="B23" s="28" t="s">
        <v>886</v>
      </c>
      <c r="C23" s="28"/>
      <c r="D23" s="28"/>
      <c r="E23" s="28" t="s">
        <v>35</v>
      </c>
      <c r="F23" s="28">
        <v>55</v>
      </c>
      <c r="G23" s="28">
        <v>36.941200000000002</v>
      </c>
      <c r="H23" s="28">
        <v>20</v>
      </c>
      <c r="I23" s="28" t="s">
        <v>865</v>
      </c>
    </row>
    <row r="24" spans="1:9" x14ac:dyDescent="0.3">
      <c r="A24" s="25"/>
      <c r="B24" s="27" t="s">
        <v>887</v>
      </c>
      <c r="C24" s="27"/>
      <c r="D24" s="27"/>
      <c r="E24" s="27" t="s">
        <v>35</v>
      </c>
      <c r="F24" s="27">
        <v>5</v>
      </c>
      <c r="G24" s="27">
        <v>2</v>
      </c>
      <c r="H24" s="27">
        <v>50</v>
      </c>
      <c r="I24" s="27" t="s">
        <v>865</v>
      </c>
    </row>
    <row r="25" spans="1:9" x14ac:dyDescent="0.3">
      <c r="A25" s="25"/>
      <c r="B25" s="28" t="s">
        <v>888</v>
      </c>
      <c r="C25" s="28"/>
      <c r="D25" s="28"/>
      <c r="E25" s="28" t="s">
        <v>35</v>
      </c>
      <c r="F25" s="28">
        <v>20</v>
      </c>
      <c r="G25" s="28">
        <v>10.4223</v>
      </c>
      <c r="H25" s="28">
        <v>10</v>
      </c>
      <c r="I25" s="27" t="s">
        <v>865</v>
      </c>
    </row>
    <row r="26" spans="1:9" x14ac:dyDescent="0.3">
      <c r="A26" s="25"/>
      <c r="B26" s="27" t="s">
        <v>889</v>
      </c>
      <c r="C26" s="27"/>
      <c r="D26" s="27"/>
      <c r="E26" s="27" t="s">
        <v>35</v>
      </c>
      <c r="F26" s="27">
        <v>20</v>
      </c>
      <c r="G26" s="27">
        <v>11</v>
      </c>
      <c r="H26" s="27">
        <v>10</v>
      </c>
      <c r="I26" s="27" t="s">
        <v>865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A8C30-48E3-49C4-BA06-99DC22BE7768}">
  <dimension ref="A1:I20"/>
  <sheetViews>
    <sheetView topLeftCell="B1" workbookViewId="0">
      <selection activeCell="B21" sqref="A21:XFD313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7773437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8" t="s">
        <v>844</v>
      </c>
      <c r="C2" s="28"/>
      <c r="D2" s="28"/>
      <c r="E2" s="28" t="s">
        <v>35</v>
      </c>
      <c r="F2" s="28">
        <v>5</v>
      </c>
      <c r="G2" s="28">
        <v>0.52680000000000005</v>
      </c>
      <c r="H2" s="28">
        <v>10</v>
      </c>
      <c r="I2" s="28" t="s">
        <v>845</v>
      </c>
    </row>
    <row r="3" spans="1:9" x14ac:dyDescent="0.3">
      <c r="A3" s="25"/>
      <c r="B3" s="28" t="s">
        <v>846</v>
      </c>
      <c r="C3" s="28"/>
      <c r="D3" s="28"/>
      <c r="E3" s="28" t="s">
        <v>35</v>
      </c>
      <c r="F3" s="28">
        <v>250</v>
      </c>
      <c r="G3" s="28">
        <v>85</v>
      </c>
      <c r="H3" s="28">
        <v>3</v>
      </c>
      <c r="I3" s="28" t="s">
        <v>845</v>
      </c>
    </row>
    <row r="4" spans="1:9" x14ac:dyDescent="0.3">
      <c r="A4" s="25"/>
      <c r="B4" s="28" t="s">
        <v>847</v>
      </c>
      <c r="C4" s="28"/>
      <c r="D4" s="28"/>
      <c r="E4" s="28" t="s">
        <v>35</v>
      </c>
      <c r="F4" s="28">
        <v>350</v>
      </c>
      <c r="G4" s="28">
        <v>124.8571</v>
      </c>
      <c r="H4" s="28">
        <v>0</v>
      </c>
      <c r="I4" s="28" t="s">
        <v>845</v>
      </c>
    </row>
    <row r="5" spans="1:9" x14ac:dyDescent="0.3">
      <c r="A5" s="25"/>
      <c r="B5" s="28" t="s">
        <v>848</v>
      </c>
      <c r="C5" s="28"/>
      <c r="D5" s="28"/>
      <c r="E5" s="28" t="s">
        <v>35</v>
      </c>
      <c r="F5" s="28">
        <v>400</v>
      </c>
      <c r="G5" s="28">
        <v>169.28569999999999</v>
      </c>
      <c r="H5" s="28">
        <v>0</v>
      </c>
      <c r="I5" s="28" t="s">
        <v>845</v>
      </c>
    </row>
    <row r="6" spans="1:9" x14ac:dyDescent="0.3">
      <c r="A6" s="25"/>
      <c r="B6" s="27" t="s">
        <v>849</v>
      </c>
      <c r="C6" s="27"/>
      <c r="D6" s="27"/>
      <c r="E6" s="27" t="s">
        <v>35</v>
      </c>
      <c r="F6" s="27">
        <v>650</v>
      </c>
      <c r="G6" s="27">
        <v>430</v>
      </c>
      <c r="H6" s="27">
        <v>0</v>
      </c>
      <c r="I6" s="27" t="s">
        <v>845</v>
      </c>
    </row>
    <row r="7" spans="1:9" x14ac:dyDescent="0.3">
      <c r="A7" s="25"/>
      <c r="B7" s="28" t="s">
        <v>850</v>
      </c>
      <c r="C7" s="28"/>
      <c r="D7" s="28"/>
      <c r="E7" s="28" t="s">
        <v>29</v>
      </c>
      <c r="F7" s="28">
        <v>550</v>
      </c>
      <c r="G7" s="28">
        <v>300</v>
      </c>
      <c r="H7" s="28">
        <v>0</v>
      </c>
      <c r="I7" s="27" t="s">
        <v>845</v>
      </c>
    </row>
    <row r="8" spans="1:9" x14ac:dyDescent="0.3">
      <c r="A8" s="25"/>
      <c r="B8" s="28" t="s">
        <v>851</v>
      </c>
      <c r="C8" s="28"/>
      <c r="D8" s="28"/>
      <c r="E8" s="28" t="s">
        <v>35</v>
      </c>
      <c r="F8" s="28">
        <v>0</v>
      </c>
      <c r="G8" s="28">
        <v>0</v>
      </c>
      <c r="H8" s="28">
        <v>0</v>
      </c>
      <c r="I8" s="27" t="s">
        <v>845</v>
      </c>
    </row>
    <row r="9" spans="1:9" x14ac:dyDescent="0.3">
      <c r="A9" s="25"/>
      <c r="B9" s="28" t="s">
        <v>852</v>
      </c>
      <c r="C9" s="28"/>
      <c r="D9" s="28"/>
      <c r="E9" s="28" t="s">
        <v>35</v>
      </c>
      <c r="F9" s="28">
        <v>420</v>
      </c>
      <c r="G9" s="28">
        <v>300.57150000000001</v>
      </c>
      <c r="H9" s="28">
        <v>2</v>
      </c>
      <c r="I9" s="27" t="s">
        <v>845</v>
      </c>
    </row>
    <row r="10" spans="1:9" x14ac:dyDescent="0.3">
      <c r="A10" s="25"/>
      <c r="B10" s="27" t="s">
        <v>853</v>
      </c>
      <c r="C10" s="27"/>
      <c r="D10" s="27"/>
      <c r="E10" s="27" t="s">
        <v>35</v>
      </c>
      <c r="F10" s="27">
        <v>95</v>
      </c>
      <c r="G10" s="27">
        <v>25</v>
      </c>
      <c r="H10" s="27">
        <v>2</v>
      </c>
      <c r="I10" s="27" t="s">
        <v>845</v>
      </c>
    </row>
    <row r="11" spans="1:9" x14ac:dyDescent="0.3">
      <c r="A11" s="25"/>
      <c r="B11" s="28" t="s">
        <v>854</v>
      </c>
      <c r="C11" s="28"/>
      <c r="D11" s="28"/>
      <c r="E11" s="28" t="s">
        <v>35</v>
      </c>
      <c r="F11" s="28">
        <v>200</v>
      </c>
      <c r="G11" s="28">
        <v>70</v>
      </c>
      <c r="H11" s="28">
        <v>2</v>
      </c>
      <c r="I11" s="27" t="s">
        <v>845</v>
      </c>
    </row>
    <row r="12" spans="1:9" x14ac:dyDescent="0.3">
      <c r="A12" s="25"/>
      <c r="B12" s="27" t="s">
        <v>855</v>
      </c>
      <c r="C12" s="27"/>
      <c r="D12" s="27"/>
      <c r="E12" s="27" t="s">
        <v>35</v>
      </c>
      <c r="F12" s="27">
        <v>280</v>
      </c>
      <c r="G12" s="27">
        <v>175</v>
      </c>
      <c r="H12" s="27">
        <v>2</v>
      </c>
      <c r="I12" s="27" t="s">
        <v>845</v>
      </c>
    </row>
    <row r="13" spans="1:9" x14ac:dyDescent="0.3">
      <c r="A13" s="25"/>
      <c r="B13" s="28" t="s">
        <v>856</v>
      </c>
      <c r="C13" s="28"/>
      <c r="D13" s="28"/>
      <c r="E13" s="28" t="s">
        <v>35</v>
      </c>
      <c r="F13" s="28">
        <v>90</v>
      </c>
      <c r="G13" s="28">
        <v>45</v>
      </c>
      <c r="H13" s="28">
        <v>2</v>
      </c>
      <c r="I13" s="28" t="s">
        <v>845</v>
      </c>
    </row>
    <row r="14" spans="1:9" x14ac:dyDescent="0.3">
      <c r="A14" s="25"/>
      <c r="B14" s="27" t="s">
        <v>857</v>
      </c>
      <c r="C14" s="27"/>
      <c r="D14" s="27"/>
      <c r="E14" s="27" t="s">
        <v>35</v>
      </c>
      <c r="F14" s="27">
        <v>150</v>
      </c>
      <c r="G14" s="27">
        <v>75</v>
      </c>
      <c r="H14" s="27">
        <v>2</v>
      </c>
      <c r="I14" s="28" t="s">
        <v>845</v>
      </c>
    </row>
    <row r="15" spans="1:9" x14ac:dyDescent="0.3">
      <c r="A15" s="25"/>
      <c r="B15" s="28" t="s">
        <v>858</v>
      </c>
      <c r="C15" s="28"/>
      <c r="D15" s="28"/>
      <c r="E15" s="28" t="s">
        <v>35</v>
      </c>
      <c r="F15" s="28">
        <v>250</v>
      </c>
      <c r="G15" s="28">
        <v>136.125</v>
      </c>
      <c r="H15" s="28">
        <v>2</v>
      </c>
      <c r="I15" s="28" t="s">
        <v>845</v>
      </c>
    </row>
    <row r="16" spans="1:9" x14ac:dyDescent="0.3">
      <c r="A16" s="25"/>
      <c r="B16" s="28" t="s">
        <v>859</v>
      </c>
      <c r="C16" s="28"/>
      <c r="D16" s="28"/>
      <c r="E16" s="28" t="s">
        <v>35</v>
      </c>
      <c r="F16" s="28">
        <v>900</v>
      </c>
      <c r="G16" s="28">
        <v>550</v>
      </c>
      <c r="H16" s="28">
        <v>0</v>
      </c>
      <c r="I16" s="28" t="s">
        <v>845</v>
      </c>
    </row>
    <row r="17" spans="1:9" x14ac:dyDescent="0.3">
      <c r="A17" s="25"/>
      <c r="B17" s="27" t="s">
        <v>860</v>
      </c>
      <c r="C17" s="27"/>
      <c r="D17" s="27"/>
      <c r="E17" s="27" t="s">
        <v>35</v>
      </c>
      <c r="F17" s="27">
        <v>850</v>
      </c>
      <c r="G17" s="27">
        <v>661.5</v>
      </c>
      <c r="H17" s="27">
        <v>0</v>
      </c>
      <c r="I17" s="27" t="s">
        <v>845</v>
      </c>
    </row>
    <row r="18" spans="1:9" x14ac:dyDescent="0.3">
      <c r="A18" s="25"/>
      <c r="B18" s="27" t="s">
        <v>861</v>
      </c>
      <c r="C18" s="27"/>
      <c r="D18" s="27"/>
      <c r="E18" s="27" t="s">
        <v>35</v>
      </c>
      <c r="F18" s="27">
        <v>150</v>
      </c>
      <c r="G18" s="27">
        <v>75</v>
      </c>
      <c r="H18" s="27">
        <v>0</v>
      </c>
      <c r="I18" s="27" t="s">
        <v>845</v>
      </c>
    </row>
    <row r="19" spans="1:9" x14ac:dyDescent="0.3">
      <c r="A19" s="25"/>
      <c r="B19" s="28" t="s">
        <v>862</v>
      </c>
      <c r="C19" s="28"/>
      <c r="D19" s="28"/>
      <c r="E19" s="28" t="s">
        <v>35</v>
      </c>
      <c r="F19" s="28">
        <v>170</v>
      </c>
      <c r="G19" s="28">
        <v>22.5</v>
      </c>
      <c r="H19" s="28">
        <v>5</v>
      </c>
      <c r="I19" s="28" t="s">
        <v>845</v>
      </c>
    </row>
    <row r="20" spans="1:9" x14ac:dyDescent="0.3">
      <c r="A20" s="25"/>
      <c r="B20" s="28" t="s">
        <v>863</v>
      </c>
      <c r="C20" s="28"/>
      <c r="D20" s="28"/>
      <c r="E20" s="28" t="s">
        <v>35</v>
      </c>
      <c r="F20" s="28">
        <v>35</v>
      </c>
      <c r="G20" s="28">
        <v>14</v>
      </c>
      <c r="H20" s="28">
        <v>5</v>
      </c>
      <c r="I20" s="28" t="s">
        <v>845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52083-ADC4-4728-AC36-44F56443994A}">
  <dimension ref="A1:I11"/>
  <sheetViews>
    <sheetView topLeftCell="B1" workbookViewId="0">
      <selection activeCell="B12" sqref="A12:XFD324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7773437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7" t="s">
        <v>833</v>
      </c>
      <c r="C2" s="27"/>
      <c r="D2" s="27"/>
      <c r="E2" s="27" t="s">
        <v>35</v>
      </c>
      <c r="F2" s="27">
        <v>30</v>
      </c>
      <c r="G2" s="27">
        <v>16.45</v>
      </c>
      <c r="H2" s="27">
        <v>0</v>
      </c>
      <c r="I2" s="27" t="s">
        <v>834</v>
      </c>
    </row>
    <row r="3" spans="1:9" x14ac:dyDescent="0.3">
      <c r="A3" s="25"/>
      <c r="B3" s="28" t="s">
        <v>835</v>
      </c>
      <c r="C3" s="28"/>
      <c r="D3" s="28"/>
      <c r="E3" s="28" t="s">
        <v>35</v>
      </c>
      <c r="F3" s="28">
        <v>0</v>
      </c>
      <c r="G3" s="28">
        <v>0</v>
      </c>
      <c r="H3" s="28">
        <v>0</v>
      </c>
      <c r="I3" s="28" t="s">
        <v>834</v>
      </c>
    </row>
    <row r="4" spans="1:9" x14ac:dyDescent="0.3">
      <c r="A4" s="25"/>
      <c r="B4" s="28" t="s">
        <v>836</v>
      </c>
      <c r="C4" s="28"/>
      <c r="D4" s="28"/>
      <c r="E4" s="28" t="s">
        <v>35</v>
      </c>
      <c r="F4" s="28">
        <v>40</v>
      </c>
      <c r="G4" s="28">
        <v>20.36</v>
      </c>
      <c r="H4" s="28">
        <v>0</v>
      </c>
      <c r="I4" s="28" t="s">
        <v>834</v>
      </c>
    </row>
    <row r="5" spans="1:9" x14ac:dyDescent="0.3">
      <c r="A5" s="25"/>
      <c r="B5" s="27" t="s">
        <v>837</v>
      </c>
      <c r="C5" s="27"/>
      <c r="D5" s="27"/>
      <c r="E5" s="27" t="s">
        <v>35</v>
      </c>
      <c r="F5" s="27">
        <v>35</v>
      </c>
      <c r="G5" s="27">
        <v>18.8</v>
      </c>
      <c r="H5" s="27">
        <v>0</v>
      </c>
      <c r="I5" s="27" t="s">
        <v>834</v>
      </c>
    </row>
    <row r="6" spans="1:9" x14ac:dyDescent="0.3">
      <c r="A6" s="25"/>
      <c r="B6" s="28" t="s">
        <v>838</v>
      </c>
      <c r="C6" s="28"/>
      <c r="D6" s="28"/>
      <c r="E6" s="28" t="s">
        <v>35</v>
      </c>
      <c r="F6" s="28">
        <v>45</v>
      </c>
      <c r="G6" s="28">
        <v>24.67</v>
      </c>
      <c r="H6" s="28">
        <v>0</v>
      </c>
      <c r="I6" s="28" t="s">
        <v>834</v>
      </c>
    </row>
    <row r="7" spans="1:9" x14ac:dyDescent="0.3">
      <c r="A7" s="25"/>
      <c r="B7" s="28" t="s">
        <v>839</v>
      </c>
      <c r="C7" s="28"/>
      <c r="D7" s="28"/>
      <c r="E7" s="28" t="s">
        <v>35</v>
      </c>
      <c r="F7" s="28">
        <v>0</v>
      </c>
      <c r="G7" s="28">
        <v>0</v>
      </c>
      <c r="H7" s="28">
        <v>0</v>
      </c>
      <c r="I7" s="28" t="s">
        <v>834</v>
      </c>
    </row>
    <row r="8" spans="1:9" x14ac:dyDescent="0.3">
      <c r="A8" s="25"/>
      <c r="B8" s="28" t="s">
        <v>840</v>
      </c>
      <c r="C8" s="28"/>
      <c r="D8" s="28"/>
      <c r="E8" s="28" t="s">
        <v>35</v>
      </c>
      <c r="F8" s="28">
        <v>0</v>
      </c>
      <c r="G8" s="28">
        <v>0</v>
      </c>
      <c r="H8" s="28">
        <v>0</v>
      </c>
      <c r="I8" s="28" t="s">
        <v>834</v>
      </c>
    </row>
    <row r="9" spans="1:9" x14ac:dyDescent="0.3">
      <c r="A9" s="25"/>
      <c r="B9" s="27" t="s">
        <v>841</v>
      </c>
      <c r="C9" s="27"/>
      <c r="D9" s="27"/>
      <c r="E9" s="27" t="s">
        <v>35</v>
      </c>
      <c r="F9" s="27">
        <v>75</v>
      </c>
      <c r="G9" s="27">
        <v>42.3</v>
      </c>
      <c r="H9" s="27">
        <v>0</v>
      </c>
      <c r="I9" s="27" t="s">
        <v>834</v>
      </c>
    </row>
    <row r="10" spans="1:9" x14ac:dyDescent="0.3">
      <c r="A10" s="25"/>
      <c r="B10" s="28" t="s">
        <v>842</v>
      </c>
      <c r="C10" s="28"/>
      <c r="D10" s="28"/>
      <c r="E10" s="28" t="s">
        <v>35</v>
      </c>
      <c r="F10" s="28">
        <v>75</v>
      </c>
      <c r="G10" s="28">
        <v>46.21</v>
      </c>
      <c r="H10" s="28">
        <v>0</v>
      </c>
      <c r="I10" s="28" t="s">
        <v>834</v>
      </c>
    </row>
    <row r="11" spans="1:9" x14ac:dyDescent="0.3">
      <c r="A11" s="25"/>
      <c r="B11" s="28" t="s">
        <v>843</v>
      </c>
      <c r="C11" s="28"/>
      <c r="D11" s="28"/>
      <c r="E11" s="28" t="s">
        <v>35</v>
      </c>
      <c r="F11" s="28">
        <v>75</v>
      </c>
      <c r="G11" s="28">
        <v>40.729999999999997</v>
      </c>
      <c r="H11" s="28">
        <v>0</v>
      </c>
      <c r="I11" s="28" t="s">
        <v>834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1CAB-9C19-4AB8-AA1B-59E66624809B}">
  <dimension ref="A1:I5"/>
  <sheetViews>
    <sheetView topLeftCell="B1" workbookViewId="0">
      <selection activeCell="B6" sqref="B6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7773437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7" t="s">
        <v>828</v>
      </c>
      <c r="C2" s="27"/>
      <c r="D2" s="27"/>
      <c r="E2" s="27" t="s">
        <v>35</v>
      </c>
      <c r="F2" s="27">
        <v>250</v>
      </c>
      <c r="G2" s="27">
        <v>215</v>
      </c>
      <c r="H2" s="27">
        <v>0</v>
      </c>
      <c r="I2" s="27" t="s">
        <v>829</v>
      </c>
    </row>
    <row r="3" spans="1:9" x14ac:dyDescent="0.3">
      <c r="A3" s="25"/>
      <c r="B3" s="27" t="s">
        <v>830</v>
      </c>
      <c r="C3" s="27"/>
      <c r="D3" s="27"/>
      <c r="E3" s="27" t="s">
        <v>35</v>
      </c>
      <c r="F3" s="27">
        <v>320</v>
      </c>
      <c r="G3" s="27">
        <v>210</v>
      </c>
      <c r="H3" s="27">
        <v>5</v>
      </c>
      <c r="I3" s="28" t="s">
        <v>829</v>
      </c>
    </row>
    <row r="4" spans="1:9" x14ac:dyDescent="0.3">
      <c r="A4" s="25"/>
      <c r="B4" s="28" t="s">
        <v>831</v>
      </c>
      <c r="C4" s="28"/>
      <c r="D4" s="28"/>
      <c r="E4" s="28" t="s">
        <v>35</v>
      </c>
      <c r="F4" s="28">
        <v>230</v>
      </c>
      <c r="G4" s="28">
        <v>170</v>
      </c>
      <c r="H4" s="28">
        <v>5</v>
      </c>
      <c r="I4" s="28" t="s">
        <v>829</v>
      </c>
    </row>
    <row r="5" spans="1:9" x14ac:dyDescent="0.3">
      <c r="A5" s="25"/>
      <c r="B5" s="28" t="s">
        <v>832</v>
      </c>
      <c r="C5" s="28"/>
      <c r="D5" s="28"/>
      <c r="E5" s="28" t="s">
        <v>35</v>
      </c>
      <c r="F5" s="28">
        <v>215</v>
      </c>
      <c r="G5" s="28">
        <v>105</v>
      </c>
      <c r="H5" s="28">
        <v>5</v>
      </c>
      <c r="I5" s="28" t="s">
        <v>829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FA63E-57F2-4599-A92D-B8A8A93B0609}">
  <dimension ref="A1:I11"/>
  <sheetViews>
    <sheetView topLeftCell="B1" workbookViewId="0">
      <selection activeCell="B12" sqref="A12:XFD338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7773437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8" t="s">
        <v>817</v>
      </c>
      <c r="C2" s="28"/>
      <c r="D2" s="28"/>
      <c r="E2" s="28" t="s">
        <v>35</v>
      </c>
      <c r="F2" s="28">
        <v>280</v>
      </c>
      <c r="G2" s="28">
        <v>200</v>
      </c>
      <c r="H2" s="28">
        <v>0</v>
      </c>
      <c r="I2" s="27" t="s">
        <v>818</v>
      </c>
    </row>
    <row r="3" spans="1:9" x14ac:dyDescent="0.3">
      <c r="A3" s="25"/>
      <c r="B3" s="27" t="s">
        <v>819</v>
      </c>
      <c r="C3" s="27"/>
      <c r="D3" s="27"/>
      <c r="E3" s="27" t="s">
        <v>35</v>
      </c>
      <c r="F3" s="27">
        <v>17</v>
      </c>
      <c r="G3" s="27">
        <v>12.5</v>
      </c>
      <c r="H3" s="27">
        <v>0</v>
      </c>
      <c r="I3" s="27" t="s">
        <v>818</v>
      </c>
    </row>
    <row r="4" spans="1:9" x14ac:dyDescent="0.3">
      <c r="A4" s="25"/>
      <c r="B4" s="28" t="s">
        <v>820</v>
      </c>
      <c r="C4" s="28"/>
      <c r="D4" s="28"/>
      <c r="E4" s="28" t="s">
        <v>35</v>
      </c>
      <c r="F4" s="28">
        <v>85</v>
      </c>
      <c r="G4" s="28">
        <v>64.807699999999997</v>
      </c>
      <c r="H4" s="28">
        <v>0</v>
      </c>
      <c r="I4" s="27" t="s">
        <v>818</v>
      </c>
    </row>
    <row r="5" spans="1:9" x14ac:dyDescent="0.3">
      <c r="A5" s="25"/>
      <c r="B5" s="28" t="s">
        <v>821</v>
      </c>
      <c r="C5" s="28"/>
      <c r="D5" s="28"/>
      <c r="E5" s="28" t="s">
        <v>35</v>
      </c>
      <c r="F5" s="28">
        <v>75</v>
      </c>
      <c r="G5" s="28">
        <v>52</v>
      </c>
      <c r="H5" s="28">
        <v>0</v>
      </c>
      <c r="I5" s="28" t="s">
        <v>818</v>
      </c>
    </row>
    <row r="6" spans="1:9" x14ac:dyDescent="0.3">
      <c r="A6" s="25"/>
      <c r="B6" s="27" t="s">
        <v>822</v>
      </c>
      <c r="C6" s="27"/>
      <c r="D6" s="27"/>
      <c r="E6" s="27" t="s">
        <v>35</v>
      </c>
      <c r="F6" s="27">
        <v>110</v>
      </c>
      <c r="G6" s="27">
        <v>78</v>
      </c>
      <c r="H6" s="27">
        <v>5</v>
      </c>
      <c r="I6" s="28" t="s">
        <v>818</v>
      </c>
    </row>
    <row r="7" spans="1:9" x14ac:dyDescent="0.3">
      <c r="A7" s="25"/>
      <c r="B7" s="28" t="s">
        <v>823</v>
      </c>
      <c r="C7" s="28"/>
      <c r="D7" s="28"/>
      <c r="E7" s="28" t="s">
        <v>35</v>
      </c>
      <c r="F7" s="28">
        <v>120</v>
      </c>
      <c r="G7" s="28">
        <v>78</v>
      </c>
      <c r="H7" s="28">
        <v>5</v>
      </c>
      <c r="I7" s="28" t="s">
        <v>818</v>
      </c>
    </row>
    <row r="8" spans="1:9" x14ac:dyDescent="0.3">
      <c r="A8" s="25"/>
      <c r="B8" s="27" t="s">
        <v>824</v>
      </c>
      <c r="C8" s="27"/>
      <c r="D8" s="27"/>
      <c r="E8" s="27" t="s">
        <v>35</v>
      </c>
      <c r="F8" s="27">
        <v>140</v>
      </c>
      <c r="G8" s="27">
        <v>83</v>
      </c>
      <c r="H8" s="27">
        <v>0</v>
      </c>
      <c r="I8" s="27" t="s">
        <v>818</v>
      </c>
    </row>
    <row r="9" spans="1:9" x14ac:dyDescent="0.3">
      <c r="A9" s="25"/>
      <c r="B9" s="28" t="s">
        <v>825</v>
      </c>
      <c r="C9" s="28"/>
      <c r="D9" s="28"/>
      <c r="E9" s="28" t="s">
        <v>35</v>
      </c>
      <c r="F9" s="28">
        <v>190</v>
      </c>
      <c r="G9" s="28">
        <v>129.5</v>
      </c>
      <c r="H9" s="28">
        <v>0</v>
      </c>
      <c r="I9" s="28" t="s">
        <v>818</v>
      </c>
    </row>
    <row r="10" spans="1:9" x14ac:dyDescent="0.3">
      <c r="A10" s="25"/>
      <c r="B10" s="27" t="s">
        <v>826</v>
      </c>
      <c r="C10" s="27"/>
      <c r="D10" s="27"/>
      <c r="E10" s="27" t="s">
        <v>35</v>
      </c>
      <c r="F10" s="27">
        <v>85</v>
      </c>
      <c r="G10" s="27">
        <v>58</v>
      </c>
      <c r="H10" s="27">
        <v>5</v>
      </c>
      <c r="I10" s="28" t="s">
        <v>818</v>
      </c>
    </row>
    <row r="11" spans="1:9" x14ac:dyDescent="0.3">
      <c r="A11" s="25"/>
      <c r="B11" s="28" t="s">
        <v>827</v>
      </c>
      <c r="C11" s="28"/>
      <c r="D11" s="28"/>
      <c r="E11" s="28" t="s">
        <v>35</v>
      </c>
      <c r="F11" s="28">
        <v>90</v>
      </c>
      <c r="G11" s="28">
        <v>57.954900000000002</v>
      </c>
      <c r="H11" s="28">
        <v>5</v>
      </c>
      <c r="I11" s="28" t="s">
        <v>818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9EEAF-B017-4D3A-95A9-11BA6D6924D7}">
  <dimension ref="A1:I8"/>
  <sheetViews>
    <sheetView topLeftCell="B1" workbookViewId="0">
      <selection activeCell="B9" sqref="A9:XFD345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7773437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7" t="s">
        <v>809</v>
      </c>
      <c r="C2" s="27"/>
      <c r="D2" s="27"/>
      <c r="E2" s="27" t="s">
        <v>35</v>
      </c>
      <c r="F2" s="27">
        <v>1650</v>
      </c>
      <c r="G2" s="27">
        <v>1545</v>
      </c>
      <c r="H2" s="27">
        <v>10</v>
      </c>
      <c r="I2" s="27" t="s">
        <v>810</v>
      </c>
    </row>
    <row r="3" spans="1:9" x14ac:dyDescent="0.3">
      <c r="A3" s="25"/>
      <c r="B3" s="28" t="s">
        <v>811</v>
      </c>
      <c r="C3" s="28"/>
      <c r="D3" s="28"/>
      <c r="E3" s="28" t="s">
        <v>35</v>
      </c>
      <c r="F3" s="28">
        <v>10300</v>
      </c>
      <c r="G3" s="28">
        <v>9401</v>
      </c>
      <c r="H3" s="28">
        <v>10</v>
      </c>
      <c r="I3" s="28" t="s">
        <v>810</v>
      </c>
    </row>
    <row r="4" spans="1:9" x14ac:dyDescent="0.3">
      <c r="A4" s="25"/>
      <c r="B4" s="27" t="s">
        <v>812</v>
      </c>
      <c r="C4" s="27"/>
      <c r="D4" s="27"/>
      <c r="E4" s="27" t="s">
        <v>35</v>
      </c>
      <c r="F4" s="27">
        <v>16000</v>
      </c>
      <c r="G4" s="27">
        <v>13000</v>
      </c>
      <c r="H4" s="27">
        <v>10</v>
      </c>
      <c r="I4" s="27" t="s">
        <v>810</v>
      </c>
    </row>
    <row r="5" spans="1:9" x14ac:dyDescent="0.3">
      <c r="A5" s="25"/>
      <c r="B5" s="28" t="s">
        <v>813</v>
      </c>
      <c r="C5" s="28"/>
      <c r="D5" s="28"/>
      <c r="E5" s="28" t="s">
        <v>35</v>
      </c>
      <c r="F5" s="28">
        <v>2220</v>
      </c>
      <c r="G5" s="28">
        <v>1365</v>
      </c>
      <c r="H5" s="28">
        <v>10</v>
      </c>
      <c r="I5" s="28" t="s">
        <v>810</v>
      </c>
    </row>
    <row r="6" spans="1:9" x14ac:dyDescent="0.3">
      <c r="A6" s="25"/>
      <c r="B6" s="27" t="s">
        <v>814</v>
      </c>
      <c r="C6" s="27"/>
      <c r="D6" s="27"/>
      <c r="E6" s="27" t="s">
        <v>35</v>
      </c>
      <c r="F6" s="27">
        <v>3165</v>
      </c>
      <c r="G6" s="27">
        <v>2294.1320000000001</v>
      </c>
      <c r="H6" s="27">
        <v>10</v>
      </c>
      <c r="I6" s="27" t="s">
        <v>810</v>
      </c>
    </row>
    <row r="7" spans="1:9" x14ac:dyDescent="0.3">
      <c r="A7" s="25"/>
      <c r="B7" s="28" t="s">
        <v>815</v>
      </c>
      <c r="C7" s="28"/>
      <c r="D7" s="28"/>
      <c r="E7" s="28" t="s">
        <v>35</v>
      </c>
      <c r="F7" s="28">
        <v>4115</v>
      </c>
      <c r="G7" s="28">
        <v>3382.6727999999998</v>
      </c>
      <c r="H7" s="28">
        <v>10</v>
      </c>
      <c r="I7" s="28" t="s">
        <v>810</v>
      </c>
    </row>
    <row r="8" spans="1:9" x14ac:dyDescent="0.3">
      <c r="A8" s="25"/>
      <c r="B8" s="27" t="s">
        <v>816</v>
      </c>
      <c r="C8" s="27"/>
      <c r="D8" s="27"/>
      <c r="E8" s="27" t="s">
        <v>35</v>
      </c>
      <c r="F8" s="27">
        <v>6020</v>
      </c>
      <c r="G8" s="27">
        <v>4160.1625999999997</v>
      </c>
      <c r="H8" s="27">
        <v>10</v>
      </c>
      <c r="I8" s="27" t="s">
        <v>810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E54C5-C1E9-4D3B-B6C9-D8D4E528B969}">
  <dimension ref="A1:I4"/>
  <sheetViews>
    <sheetView topLeftCell="B1" workbookViewId="0">
      <selection activeCell="B5" sqref="A5:XFD348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77734375" style="24" customWidth="1"/>
    <col min="9" max="9" width="19.21875" style="24" customWidth="1"/>
  </cols>
  <sheetData>
    <row r="1" spans="1:9" x14ac:dyDescent="0.3">
      <c r="A1" s="25"/>
      <c r="B1" s="27" t="s">
        <v>804</v>
      </c>
      <c r="C1" s="27"/>
      <c r="D1" s="27"/>
      <c r="E1" s="27" t="s">
        <v>35</v>
      </c>
      <c r="F1" s="27">
        <v>10</v>
      </c>
      <c r="G1" s="27">
        <v>2</v>
      </c>
      <c r="H1" s="27">
        <v>5</v>
      </c>
      <c r="I1" s="27" t="s">
        <v>805</v>
      </c>
    </row>
    <row r="2" spans="1:9" x14ac:dyDescent="0.3">
      <c r="A2" s="25"/>
      <c r="B2" s="27" t="s">
        <v>806</v>
      </c>
      <c r="C2" s="27"/>
      <c r="D2" s="27"/>
      <c r="E2" s="27" t="s">
        <v>35</v>
      </c>
      <c r="F2" s="27">
        <v>10</v>
      </c>
      <c r="G2" s="27">
        <v>2.3757999999999999</v>
      </c>
      <c r="H2" s="27">
        <v>5</v>
      </c>
      <c r="I2" s="27" t="s">
        <v>805</v>
      </c>
    </row>
    <row r="3" spans="1:9" x14ac:dyDescent="0.3">
      <c r="A3" s="25"/>
      <c r="B3" s="28" t="s">
        <v>807</v>
      </c>
      <c r="C3" s="28"/>
      <c r="D3" s="28"/>
      <c r="E3" s="28" t="s">
        <v>35</v>
      </c>
      <c r="F3" s="28">
        <v>13</v>
      </c>
      <c r="G3" s="28">
        <v>3.5</v>
      </c>
      <c r="H3" s="28">
        <v>0</v>
      </c>
      <c r="I3" s="28" t="s">
        <v>805</v>
      </c>
    </row>
    <row r="4" spans="1:9" x14ac:dyDescent="0.3">
      <c r="A4" s="25"/>
      <c r="B4" s="28" t="s">
        <v>808</v>
      </c>
      <c r="C4" s="28"/>
      <c r="D4" s="28"/>
      <c r="E4" s="28" t="s">
        <v>35</v>
      </c>
      <c r="F4" s="28">
        <v>45</v>
      </c>
      <c r="G4" s="28">
        <v>22.754300000000001</v>
      </c>
      <c r="H4" s="28">
        <v>5</v>
      </c>
      <c r="I4" s="27" t="s">
        <v>805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90A26-FFCE-40DA-8495-0FA7531997E9}">
  <dimension ref="A1:I19"/>
  <sheetViews>
    <sheetView topLeftCell="B1" workbookViewId="0">
      <selection activeCell="B20" sqref="A20:XFD366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7773437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7" t="s">
        <v>785</v>
      </c>
      <c r="C2" s="27"/>
      <c r="D2" s="27"/>
      <c r="E2" s="27" t="s">
        <v>35</v>
      </c>
      <c r="F2" s="27">
        <v>350</v>
      </c>
      <c r="G2" s="27">
        <v>267.28129999999999</v>
      </c>
      <c r="H2" s="27">
        <v>0</v>
      </c>
      <c r="I2" s="27" t="s">
        <v>786</v>
      </c>
    </row>
    <row r="3" spans="1:9" x14ac:dyDescent="0.3">
      <c r="A3" s="25"/>
      <c r="B3" s="27" t="s">
        <v>787</v>
      </c>
      <c r="C3" s="27"/>
      <c r="D3" s="27"/>
      <c r="E3" s="27" t="s">
        <v>35</v>
      </c>
      <c r="F3" s="27">
        <v>270</v>
      </c>
      <c r="G3" s="27">
        <v>222.44</v>
      </c>
      <c r="H3" s="27">
        <v>0</v>
      </c>
      <c r="I3" s="28" t="s">
        <v>786</v>
      </c>
    </row>
    <row r="4" spans="1:9" x14ac:dyDescent="0.3">
      <c r="A4" s="25"/>
      <c r="B4" s="28" t="s">
        <v>788</v>
      </c>
      <c r="C4" s="28"/>
      <c r="D4" s="28"/>
      <c r="E4" s="28" t="s">
        <v>35</v>
      </c>
      <c r="F4" s="28">
        <v>320</v>
      </c>
      <c r="G4" s="28">
        <v>253.9</v>
      </c>
      <c r="H4" s="28">
        <v>0</v>
      </c>
      <c r="I4" s="28" t="s">
        <v>786</v>
      </c>
    </row>
    <row r="5" spans="1:9" x14ac:dyDescent="0.3">
      <c r="A5" s="25"/>
      <c r="B5" s="28" t="s">
        <v>789</v>
      </c>
      <c r="C5" s="28"/>
      <c r="D5" s="28"/>
      <c r="E5" s="28" t="s">
        <v>35</v>
      </c>
      <c r="F5" s="28">
        <v>370</v>
      </c>
      <c r="G5" s="28">
        <v>289.5</v>
      </c>
      <c r="H5" s="28">
        <v>0</v>
      </c>
      <c r="I5" s="28" t="s">
        <v>786</v>
      </c>
    </row>
    <row r="6" spans="1:9" x14ac:dyDescent="0.3">
      <c r="A6" s="25"/>
      <c r="B6" s="27" t="s">
        <v>790</v>
      </c>
      <c r="C6" s="27"/>
      <c r="D6" s="27"/>
      <c r="E6" s="27" t="s">
        <v>35</v>
      </c>
      <c r="F6" s="27">
        <v>420</v>
      </c>
      <c r="G6" s="27">
        <v>359.5</v>
      </c>
      <c r="H6" s="27">
        <v>0</v>
      </c>
      <c r="I6" s="28" t="s">
        <v>786</v>
      </c>
    </row>
    <row r="7" spans="1:9" x14ac:dyDescent="0.3">
      <c r="A7" s="25"/>
      <c r="B7" s="28" t="s">
        <v>791</v>
      </c>
      <c r="C7" s="28"/>
      <c r="D7" s="28"/>
      <c r="E7" s="28" t="s">
        <v>35</v>
      </c>
      <c r="F7" s="28">
        <v>470</v>
      </c>
      <c r="G7" s="28">
        <v>411.6</v>
      </c>
      <c r="H7" s="28">
        <v>0</v>
      </c>
      <c r="I7" s="28" t="s">
        <v>786</v>
      </c>
    </row>
    <row r="8" spans="1:9" x14ac:dyDescent="0.3">
      <c r="A8" s="25"/>
      <c r="B8" s="28" t="s">
        <v>792</v>
      </c>
      <c r="C8" s="28"/>
      <c r="D8" s="28"/>
      <c r="E8" s="28" t="s">
        <v>35</v>
      </c>
      <c r="F8" s="28">
        <v>220</v>
      </c>
      <c r="G8" s="28">
        <v>172</v>
      </c>
      <c r="H8" s="28">
        <v>0</v>
      </c>
      <c r="I8" s="28" t="s">
        <v>786</v>
      </c>
    </row>
    <row r="9" spans="1:9" x14ac:dyDescent="0.3">
      <c r="A9" s="25"/>
      <c r="B9" s="27" t="s">
        <v>793</v>
      </c>
      <c r="C9" s="27"/>
      <c r="D9" s="27"/>
      <c r="E9" s="27" t="s">
        <v>35</v>
      </c>
      <c r="F9" s="27">
        <v>5</v>
      </c>
      <c r="G9" s="27">
        <v>2.65</v>
      </c>
      <c r="H9" s="27">
        <v>0</v>
      </c>
      <c r="I9" s="28" t="s">
        <v>786</v>
      </c>
    </row>
    <row r="10" spans="1:9" x14ac:dyDescent="0.3">
      <c r="A10" s="25"/>
      <c r="B10" s="28" t="s">
        <v>794</v>
      </c>
      <c r="C10" s="28"/>
      <c r="D10" s="28"/>
      <c r="E10" s="28" t="s">
        <v>26</v>
      </c>
      <c r="F10" s="28">
        <v>65</v>
      </c>
      <c r="G10" s="28">
        <v>43.56</v>
      </c>
      <c r="H10" s="28">
        <v>0</v>
      </c>
      <c r="I10" s="28" t="s">
        <v>786</v>
      </c>
    </row>
    <row r="11" spans="1:9" x14ac:dyDescent="0.3">
      <c r="A11" s="25"/>
      <c r="B11" s="27" t="s">
        <v>795</v>
      </c>
      <c r="C11" s="27"/>
      <c r="D11" s="27"/>
      <c r="E11" s="27" t="s">
        <v>26</v>
      </c>
      <c r="F11" s="27">
        <v>55</v>
      </c>
      <c r="G11" s="27">
        <v>35.700000000000003</v>
      </c>
      <c r="H11" s="27">
        <v>0</v>
      </c>
      <c r="I11" s="28" t="s">
        <v>786</v>
      </c>
    </row>
    <row r="12" spans="1:9" x14ac:dyDescent="0.3">
      <c r="A12" s="25"/>
      <c r="B12" s="27" t="s">
        <v>796</v>
      </c>
      <c r="C12" s="27"/>
      <c r="D12" s="27"/>
      <c r="E12" s="27" t="s">
        <v>35</v>
      </c>
      <c r="F12" s="27">
        <v>50</v>
      </c>
      <c r="G12" s="27">
        <v>22.314599999999999</v>
      </c>
      <c r="H12" s="27">
        <v>0</v>
      </c>
      <c r="I12" s="27" t="s">
        <v>786</v>
      </c>
    </row>
    <row r="13" spans="1:9" x14ac:dyDescent="0.3">
      <c r="A13" s="25"/>
      <c r="B13" s="28" t="s">
        <v>797</v>
      </c>
      <c r="C13" s="28"/>
      <c r="D13" s="28"/>
      <c r="E13" s="28" t="s">
        <v>35</v>
      </c>
      <c r="F13" s="28">
        <v>40</v>
      </c>
      <c r="G13" s="28">
        <v>12.6</v>
      </c>
      <c r="H13" s="28">
        <v>0</v>
      </c>
      <c r="I13" s="28" t="s">
        <v>786</v>
      </c>
    </row>
    <row r="14" spans="1:9" x14ac:dyDescent="0.3">
      <c r="A14" s="25"/>
      <c r="B14" s="28" t="s">
        <v>798</v>
      </c>
      <c r="C14" s="28"/>
      <c r="D14" s="28"/>
      <c r="E14" s="28" t="s">
        <v>35</v>
      </c>
      <c r="F14" s="28">
        <v>60</v>
      </c>
      <c r="G14" s="28">
        <v>48</v>
      </c>
      <c r="H14" s="28">
        <v>0</v>
      </c>
      <c r="I14" s="28" t="s">
        <v>786</v>
      </c>
    </row>
    <row r="15" spans="1:9" x14ac:dyDescent="0.3">
      <c r="A15" s="25"/>
      <c r="B15" s="28" t="s">
        <v>799</v>
      </c>
      <c r="C15" s="28"/>
      <c r="D15" s="28"/>
      <c r="E15" s="28" t="s">
        <v>29</v>
      </c>
      <c r="F15" s="28">
        <v>280</v>
      </c>
      <c r="G15" s="28">
        <v>147</v>
      </c>
      <c r="H15" s="28">
        <v>0</v>
      </c>
      <c r="I15" s="28" t="s">
        <v>786</v>
      </c>
    </row>
    <row r="16" spans="1:9" x14ac:dyDescent="0.3">
      <c r="A16" s="25"/>
      <c r="B16" s="28" t="s">
        <v>800</v>
      </c>
      <c r="C16" s="28"/>
      <c r="D16" s="28"/>
      <c r="E16" s="28" t="s">
        <v>35</v>
      </c>
      <c r="F16" s="28">
        <v>50</v>
      </c>
      <c r="G16" s="28">
        <v>29.795100000000001</v>
      </c>
      <c r="H16" s="28">
        <v>0</v>
      </c>
      <c r="I16" s="27" t="s">
        <v>786</v>
      </c>
    </row>
    <row r="17" spans="1:9" x14ac:dyDescent="0.3">
      <c r="A17" s="25"/>
      <c r="B17" s="27" t="s">
        <v>801</v>
      </c>
      <c r="C17" s="27"/>
      <c r="D17" s="27"/>
      <c r="E17" s="27" t="s">
        <v>35</v>
      </c>
      <c r="F17" s="27">
        <v>70</v>
      </c>
      <c r="G17" s="27">
        <v>42.5</v>
      </c>
      <c r="H17" s="27">
        <v>0</v>
      </c>
      <c r="I17" s="27" t="s">
        <v>786</v>
      </c>
    </row>
    <row r="18" spans="1:9" x14ac:dyDescent="0.3">
      <c r="A18" s="25"/>
      <c r="B18" s="27" t="s">
        <v>802</v>
      </c>
      <c r="C18" s="27"/>
      <c r="D18" s="27"/>
      <c r="E18" s="27" t="s">
        <v>35</v>
      </c>
      <c r="F18" s="27">
        <v>50</v>
      </c>
      <c r="G18" s="27">
        <v>31.729800000000001</v>
      </c>
      <c r="H18" s="27">
        <v>3</v>
      </c>
      <c r="I18" s="27" t="s">
        <v>786</v>
      </c>
    </row>
    <row r="19" spans="1:9" x14ac:dyDescent="0.3">
      <c r="A19" s="25"/>
      <c r="B19" s="27" t="s">
        <v>803</v>
      </c>
      <c r="C19" s="27"/>
      <c r="D19" s="27"/>
      <c r="E19" s="27" t="s">
        <v>35</v>
      </c>
      <c r="F19" s="27">
        <v>380</v>
      </c>
      <c r="G19" s="27">
        <v>250</v>
      </c>
      <c r="H19" s="27">
        <v>0</v>
      </c>
      <c r="I19" s="27" t="s">
        <v>786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D8DEB-4B06-4E27-8412-7E13F62B7D04}">
  <dimension ref="A1:H434"/>
  <sheetViews>
    <sheetView workbookViewId="0">
      <selection sqref="A1:H1048576"/>
    </sheetView>
  </sheetViews>
  <sheetFormatPr defaultRowHeight="14.4" x14ac:dyDescent="0.3"/>
  <cols>
    <col min="1" max="1" width="15.44140625" style="59" customWidth="1"/>
    <col min="2" max="3" width="58.109375" style="59" customWidth="1"/>
    <col min="4" max="4" width="32.77734375" style="59" customWidth="1"/>
    <col min="5" max="5" width="17.6640625" style="59" customWidth="1"/>
    <col min="6" max="7" width="16.6640625" style="59" customWidth="1"/>
    <col min="8" max="8" width="15.5546875" style="59" customWidth="1"/>
  </cols>
  <sheetData>
    <row r="1" spans="1:8" ht="21" x14ac:dyDescent="0.3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3">
      <c r="A2" s="58"/>
      <c r="B2" s="51" t="s">
        <v>1337</v>
      </c>
      <c r="C2" s="51"/>
      <c r="D2" s="51"/>
      <c r="E2" s="52">
        <v>15</v>
      </c>
      <c r="F2" s="52">
        <v>10.66</v>
      </c>
      <c r="G2" s="52"/>
      <c r="H2" s="51" t="s">
        <v>1338</v>
      </c>
    </row>
    <row r="3" spans="1:8" ht="21" x14ac:dyDescent="0.3">
      <c r="A3" s="58"/>
      <c r="B3" s="53" t="s">
        <v>1339</v>
      </c>
      <c r="C3" s="53"/>
      <c r="D3" s="53"/>
      <c r="E3" s="52">
        <v>95</v>
      </c>
      <c r="F3" s="52">
        <v>61.56</v>
      </c>
      <c r="G3" s="52"/>
      <c r="H3" s="53" t="s">
        <v>1338</v>
      </c>
    </row>
    <row r="4" spans="1:8" ht="21" x14ac:dyDescent="0.3">
      <c r="A4" s="58"/>
      <c r="B4" s="51" t="s">
        <v>1340</v>
      </c>
      <c r="C4" s="51"/>
      <c r="D4" s="51"/>
      <c r="E4" s="54">
        <v>230</v>
      </c>
      <c r="F4" s="54">
        <v>195</v>
      </c>
      <c r="G4" s="54"/>
      <c r="H4" s="51" t="s">
        <v>1338</v>
      </c>
    </row>
    <row r="5" spans="1:8" ht="21" x14ac:dyDescent="0.3">
      <c r="A5" s="58"/>
      <c r="B5" s="53" t="s">
        <v>1341</v>
      </c>
      <c r="C5" s="53"/>
      <c r="D5" s="53"/>
      <c r="E5" s="52">
        <v>630</v>
      </c>
      <c r="F5" s="52">
        <v>570</v>
      </c>
      <c r="G5" s="52"/>
      <c r="H5" s="53" t="s">
        <v>1338</v>
      </c>
    </row>
    <row r="6" spans="1:8" ht="21" x14ac:dyDescent="0.3">
      <c r="A6" s="58"/>
      <c r="B6" s="51" t="s">
        <v>1342</v>
      </c>
      <c r="C6" s="51"/>
      <c r="D6" s="51"/>
      <c r="E6" s="54">
        <v>1100</v>
      </c>
      <c r="F6" s="54">
        <v>989.52</v>
      </c>
      <c r="G6" s="54"/>
      <c r="H6" s="51" t="s">
        <v>1338</v>
      </c>
    </row>
    <row r="7" spans="1:8" ht="21" x14ac:dyDescent="0.3">
      <c r="A7" s="58"/>
      <c r="B7" s="51" t="s">
        <v>1343</v>
      </c>
      <c r="C7" s="51"/>
      <c r="D7" s="51"/>
      <c r="E7" s="52">
        <v>130</v>
      </c>
      <c r="F7" s="52">
        <v>107.16</v>
      </c>
      <c r="G7" s="52"/>
      <c r="H7" s="51" t="s">
        <v>1338</v>
      </c>
    </row>
    <row r="8" spans="1:8" ht="21" x14ac:dyDescent="0.3">
      <c r="A8" s="58"/>
      <c r="B8" s="53" t="s">
        <v>1344</v>
      </c>
      <c r="C8" s="53"/>
      <c r="D8" s="53"/>
      <c r="E8" s="52">
        <v>120</v>
      </c>
      <c r="F8" s="52">
        <v>82.1</v>
      </c>
      <c r="G8" s="52"/>
      <c r="H8" s="53" t="s">
        <v>1338</v>
      </c>
    </row>
    <row r="9" spans="1:8" ht="21" x14ac:dyDescent="0.3">
      <c r="A9" s="58"/>
      <c r="B9" s="51" t="s">
        <v>1345</v>
      </c>
      <c r="C9" s="51"/>
      <c r="D9" s="51"/>
      <c r="E9" s="54">
        <v>425</v>
      </c>
      <c r="F9" s="54">
        <v>342</v>
      </c>
      <c r="G9" s="54"/>
      <c r="H9" s="51" t="s">
        <v>1338</v>
      </c>
    </row>
    <row r="10" spans="1:8" ht="21" x14ac:dyDescent="0.3">
      <c r="A10" s="58"/>
      <c r="B10" s="53" t="s">
        <v>1346</v>
      </c>
      <c r="C10" s="53"/>
      <c r="D10" s="53"/>
      <c r="E10" s="54">
        <v>400</v>
      </c>
      <c r="F10" s="54">
        <v>253.1</v>
      </c>
      <c r="G10" s="54"/>
      <c r="H10" s="53" t="s">
        <v>1338</v>
      </c>
    </row>
    <row r="11" spans="1:8" ht="21" x14ac:dyDescent="0.3">
      <c r="A11" s="58"/>
      <c r="B11" s="53" t="s">
        <v>1347</v>
      </c>
      <c r="C11" s="53"/>
      <c r="D11" s="53"/>
      <c r="E11" s="54">
        <v>1200</v>
      </c>
      <c r="F11" s="54">
        <v>1122.9000000000001</v>
      </c>
      <c r="G11" s="54"/>
      <c r="H11" s="53" t="s">
        <v>1338</v>
      </c>
    </row>
    <row r="12" spans="1:8" ht="21" x14ac:dyDescent="0.3">
      <c r="A12" s="58"/>
      <c r="B12" s="51" t="s">
        <v>1348</v>
      </c>
      <c r="C12" s="51"/>
      <c r="D12" s="51"/>
      <c r="E12" s="52">
        <v>1100</v>
      </c>
      <c r="F12" s="52">
        <v>906.3</v>
      </c>
      <c r="G12" s="52"/>
      <c r="H12" s="51" t="s">
        <v>1338</v>
      </c>
    </row>
    <row r="13" spans="1:8" ht="21" x14ac:dyDescent="0.3">
      <c r="A13" s="58"/>
      <c r="B13" s="51" t="s">
        <v>1349</v>
      </c>
      <c r="C13" s="51"/>
      <c r="D13" s="51"/>
      <c r="E13" s="52">
        <v>70</v>
      </c>
      <c r="F13" s="52">
        <v>51.3</v>
      </c>
      <c r="G13" s="52"/>
      <c r="H13" s="51" t="s">
        <v>1338</v>
      </c>
    </row>
    <row r="14" spans="1:8" ht="21" x14ac:dyDescent="0.3">
      <c r="A14" s="58"/>
      <c r="B14" s="51" t="s">
        <v>1350</v>
      </c>
      <c r="C14" s="51"/>
      <c r="D14" s="51"/>
      <c r="E14" s="52">
        <v>180</v>
      </c>
      <c r="F14" s="52">
        <v>156.19999999999999</v>
      </c>
      <c r="G14" s="52"/>
      <c r="H14" s="51" t="s">
        <v>1338</v>
      </c>
    </row>
    <row r="15" spans="1:8" ht="21" x14ac:dyDescent="0.3">
      <c r="A15" s="58"/>
      <c r="B15" s="53" t="s">
        <v>1351</v>
      </c>
      <c r="C15" s="53"/>
      <c r="D15" s="53"/>
      <c r="E15" s="52">
        <v>450</v>
      </c>
      <c r="F15" s="52">
        <v>414</v>
      </c>
      <c r="G15" s="52"/>
      <c r="H15" s="53" t="s">
        <v>1338</v>
      </c>
    </row>
    <row r="16" spans="1:8" ht="21" x14ac:dyDescent="0.3">
      <c r="A16" s="58"/>
      <c r="B16" s="53" t="s">
        <v>1352</v>
      </c>
      <c r="C16" s="53"/>
      <c r="D16" s="53"/>
      <c r="E16" s="52">
        <v>50</v>
      </c>
      <c r="F16" s="52">
        <v>33.1</v>
      </c>
      <c r="G16" s="52"/>
      <c r="H16" s="53" t="s">
        <v>1338</v>
      </c>
    </row>
    <row r="17" spans="1:8" ht="21" x14ac:dyDescent="0.3">
      <c r="A17" s="58"/>
      <c r="B17" s="51" t="s">
        <v>1353</v>
      </c>
      <c r="C17" s="51"/>
      <c r="D17" s="51"/>
      <c r="E17" s="52">
        <v>130</v>
      </c>
      <c r="F17" s="52">
        <v>107.2</v>
      </c>
      <c r="G17" s="52"/>
      <c r="H17" s="51" t="s">
        <v>1338</v>
      </c>
    </row>
    <row r="18" spans="1:8" ht="21" x14ac:dyDescent="0.3">
      <c r="A18" s="58"/>
      <c r="B18" s="53" t="s">
        <v>1354</v>
      </c>
      <c r="C18" s="53"/>
      <c r="D18" s="53"/>
      <c r="E18" s="52">
        <v>210</v>
      </c>
      <c r="F18" s="52">
        <v>192.7</v>
      </c>
      <c r="G18" s="52"/>
      <c r="H18" s="53" t="s">
        <v>1338</v>
      </c>
    </row>
    <row r="19" spans="1:8" ht="21" x14ac:dyDescent="0.3">
      <c r="A19" s="58"/>
      <c r="B19" s="53" t="s">
        <v>1355</v>
      </c>
      <c r="C19" s="53"/>
      <c r="D19" s="53"/>
      <c r="E19" s="54">
        <v>275</v>
      </c>
      <c r="F19" s="54">
        <v>250.8</v>
      </c>
      <c r="G19" s="54"/>
      <c r="H19" s="53" t="s">
        <v>1338</v>
      </c>
    </row>
    <row r="20" spans="1:8" ht="21" x14ac:dyDescent="0.3">
      <c r="A20" s="58"/>
      <c r="B20" s="51" t="s">
        <v>1356</v>
      </c>
      <c r="C20" s="51"/>
      <c r="D20" s="51"/>
      <c r="E20" s="54">
        <v>300</v>
      </c>
      <c r="F20" s="54">
        <v>224.6</v>
      </c>
      <c r="G20" s="54"/>
      <c r="H20" s="51" t="s">
        <v>1338</v>
      </c>
    </row>
    <row r="21" spans="1:8" ht="21" x14ac:dyDescent="0.3">
      <c r="A21" s="58"/>
      <c r="B21" s="53" t="s">
        <v>1357</v>
      </c>
      <c r="C21" s="53"/>
      <c r="D21" s="53"/>
      <c r="E21" s="52">
        <v>560</v>
      </c>
      <c r="F21" s="52">
        <v>493.62</v>
      </c>
      <c r="G21" s="52"/>
      <c r="H21" s="53" t="s">
        <v>1338</v>
      </c>
    </row>
    <row r="22" spans="1:8" ht="21" x14ac:dyDescent="0.3">
      <c r="A22" s="58"/>
      <c r="B22" s="51" t="s">
        <v>1358</v>
      </c>
      <c r="C22" s="51"/>
      <c r="D22" s="51"/>
      <c r="E22" s="54">
        <v>440</v>
      </c>
      <c r="F22" s="54">
        <v>411.6</v>
      </c>
      <c r="G22" s="54"/>
      <c r="H22" s="51" t="s">
        <v>1338</v>
      </c>
    </row>
    <row r="23" spans="1:8" ht="21" x14ac:dyDescent="0.3">
      <c r="A23" s="58"/>
      <c r="B23" s="51" t="s">
        <v>1359</v>
      </c>
      <c r="C23" s="51"/>
      <c r="D23" s="51"/>
      <c r="E23" s="54">
        <v>210</v>
      </c>
      <c r="F23" s="54">
        <v>165.2</v>
      </c>
      <c r="G23" s="54"/>
      <c r="H23" s="51" t="s">
        <v>1338</v>
      </c>
    </row>
    <row r="24" spans="1:8" ht="21" x14ac:dyDescent="0.3">
      <c r="A24" s="58"/>
      <c r="B24" s="53" t="s">
        <v>1360</v>
      </c>
      <c r="C24" s="53"/>
      <c r="D24" s="53"/>
      <c r="E24" s="54">
        <v>200</v>
      </c>
      <c r="F24" s="54">
        <v>140.30000000000001</v>
      </c>
      <c r="G24" s="54"/>
      <c r="H24" s="53" t="s">
        <v>1338</v>
      </c>
    </row>
    <row r="25" spans="1:8" ht="21" x14ac:dyDescent="0.3">
      <c r="A25" s="58"/>
      <c r="B25" s="51" t="s">
        <v>1361</v>
      </c>
      <c r="C25" s="51"/>
      <c r="D25" s="51"/>
      <c r="E25" s="52">
        <v>600</v>
      </c>
      <c r="F25" s="52">
        <v>484.5</v>
      </c>
      <c r="G25" s="52"/>
      <c r="H25" s="51" t="s">
        <v>1338</v>
      </c>
    </row>
    <row r="26" spans="1:8" ht="21" x14ac:dyDescent="0.3">
      <c r="A26" s="58"/>
      <c r="B26" s="51" t="s">
        <v>1362</v>
      </c>
      <c r="C26" s="51"/>
      <c r="D26" s="51"/>
      <c r="E26" s="52">
        <v>1650</v>
      </c>
      <c r="F26" s="52">
        <v>1553.9</v>
      </c>
      <c r="G26" s="52"/>
      <c r="H26" s="51" t="s">
        <v>1338</v>
      </c>
    </row>
    <row r="27" spans="1:8" ht="21" x14ac:dyDescent="0.3">
      <c r="A27" s="58"/>
      <c r="B27" s="53" t="s">
        <v>1363</v>
      </c>
      <c r="C27" s="53"/>
      <c r="D27" s="53"/>
      <c r="E27" s="52">
        <v>550</v>
      </c>
      <c r="F27" s="52">
        <v>446.2</v>
      </c>
      <c r="G27" s="52"/>
      <c r="H27" s="53" t="s">
        <v>1338</v>
      </c>
    </row>
    <row r="28" spans="1:8" ht="21" x14ac:dyDescent="0.3">
      <c r="A28" s="58"/>
      <c r="B28" s="51" t="s">
        <v>1364</v>
      </c>
      <c r="C28" s="51"/>
      <c r="D28" s="51"/>
      <c r="E28" s="54">
        <v>1550</v>
      </c>
      <c r="F28" s="54">
        <v>1427.5</v>
      </c>
      <c r="G28" s="54"/>
      <c r="H28" s="51" t="s">
        <v>1338</v>
      </c>
    </row>
    <row r="29" spans="1:8" ht="21" x14ac:dyDescent="0.3">
      <c r="A29" s="58"/>
      <c r="B29" s="53" t="s">
        <v>1365</v>
      </c>
      <c r="C29" s="53"/>
      <c r="D29" s="53"/>
      <c r="E29" s="52">
        <v>560</v>
      </c>
      <c r="F29" s="52">
        <v>526.70000000000005</v>
      </c>
      <c r="G29" s="52"/>
      <c r="H29" s="53" t="s">
        <v>1338</v>
      </c>
    </row>
    <row r="30" spans="1:8" ht="21" x14ac:dyDescent="0.3">
      <c r="A30" s="58"/>
      <c r="B30" s="51" t="s">
        <v>1366</v>
      </c>
      <c r="C30" s="51"/>
      <c r="D30" s="51"/>
      <c r="E30" s="52">
        <v>1820</v>
      </c>
      <c r="F30" s="52">
        <v>1725.9</v>
      </c>
      <c r="G30" s="52"/>
      <c r="H30" s="51" t="s">
        <v>1338</v>
      </c>
    </row>
    <row r="31" spans="1:8" ht="21" x14ac:dyDescent="0.3">
      <c r="A31" s="58"/>
      <c r="B31" s="53" t="s">
        <v>1367</v>
      </c>
      <c r="C31" s="53"/>
      <c r="D31" s="53"/>
      <c r="E31" s="54">
        <v>400</v>
      </c>
      <c r="F31" s="54">
        <v>377.5</v>
      </c>
      <c r="G31" s="54"/>
      <c r="H31" s="53" t="s">
        <v>1338</v>
      </c>
    </row>
    <row r="32" spans="1:8" ht="21" x14ac:dyDescent="0.3">
      <c r="A32" s="58"/>
      <c r="B32" s="53" t="s">
        <v>1368</v>
      </c>
      <c r="C32" s="53"/>
      <c r="D32" s="53"/>
      <c r="E32" s="52">
        <v>350</v>
      </c>
      <c r="F32" s="52">
        <v>319.2</v>
      </c>
      <c r="G32" s="52"/>
      <c r="H32" s="53" t="s">
        <v>1338</v>
      </c>
    </row>
    <row r="33" spans="1:8" ht="21" x14ac:dyDescent="0.3">
      <c r="A33" s="58"/>
      <c r="B33" s="51" t="s">
        <v>1369</v>
      </c>
      <c r="C33" s="51"/>
      <c r="D33" s="51"/>
      <c r="E33" s="54">
        <v>620</v>
      </c>
      <c r="F33" s="54">
        <v>570</v>
      </c>
      <c r="G33" s="54"/>
      <c r="H33" s="51" t="s">
        <v>1338</v>
      </c>
    </row>
    <row r="34" spans="1:8" ht="21" x14ac:dyDescent="0.3">
      <c r="A34" s="58"/>
      <c r="B34" s="53" t="s">
        <v>1370</v>
      </c>
      <c r="C34" s="53"/>
      <c r="D34" s="53"/>
      <c r="E34" s="52">
        <v>550</v>
      </c>
      <c r="F34" s="52">
        <v>538.1</v>
      </c>
      <c r="G34" s="52"/>
      <c r="H34" s="53" t="s">
        <v>1338</v>
      </c>
    </row>
    <row r="35" spans="1:8" ht="21" x14ac:dyDescent="0.3">
      <c r="A35" s="58"/>
      <c r="B35" s="53" t="s">
        <v>1371</v>
      </c>
      <c r="C35" s="53"/>
      <c r="D35" s="53"/>
      <c r="E35" s="52">
        <v>120</v>
      </c>
      <c r="F35" s="52">
        <v>87</v>
      </c>
      <c r="G35" s="52"/>
      <c r="H35" s="53" t="s">
        <v>1338</v>
      </c>
    </row>
    <row r="36" spans="1:8" ht="21" x14ac:dyDescent="0.3">
      <c r="A36" s="58"/>
      <c r="B36" s="51" t="s">
        <v>1372</v>
      </c>
      <c r="C36" s="51"/>
      <c r="D36" s="51"/>
      <c r="E36" s="54">
        <v>275</v>
      </c>
      <c r="F36" s="54">
        <v>220</v>
      </c>
      <c r="G36" s="54"/>
      <c r="H36" s="51" t="s">
        <v>1338</v>
      </c>
    </row>
    <row r="37" spans="1:8" ht="21" x14ac:dyDescent="0.3">
      <c r="A37" s="58"/>
      <c r="B37" s="53" t="s">
        <v>1373</v>
      </c>
      <c r="C37" s="53"/>
      <c r="D37" s="53"/>
      <c r="E37" s="52">
        <v>900</v>
      </c>
      <c r="F37" s="52">
        <v>770.92</v>
      </c>
      <c r="G37" s="52"/>
      <c r="H37" s="53" t="s">
        <v>1338</v>
      </c>
    </row>
    <row r="38" spans="1:8" ht="21" x14ac:dyDescent="0.3">
      <c r="A38" s="58"/>
      <c r="B38" s="51" t="s">
        <v>1374</v>
      </c>
      <c r="C38" s="51"/>
      <c r="D38" s="51"/>
      <c r="E38" s="54">
        <v>300</v>
      </c>
      <c r="F38" s="54">
        <v>262.2</v>
      </c>
      <c r="G38" s="54"/>
      <c r="H38" s="51" t="s">
        <v>1338</v>
      </c>
    </row>
    <row r="39" spans="1:8" ht="21" x14ac:dyDescent="0.3">
      <c r="A39" s="58"/>
      <c r="B39" s="53" t="s">
        <v>1375</v>
      </c>
      <c r="C39" s="53"/>
      <c r="D39" s="53"/>
      <c r="E39" s="52">
        <v>950</v>
      </c>
      <c r="F39" s="52">
        <v>852.1</v>
      </c>
      <c r="G39" s="52"/>
      <c r="H39" s="53" t="s">
        <v>1338</v>
      </c>
    </row>
    <row r="40" spans="1:8" ht="21" x14ac:dyDescent="0.3">
      <c r="A40" s="58"/>
      <c r="B40" s="53" t="s">
        <v>1376</v>
      </c>
      <c r="C40" s="53"/>
      <c r="D40" s="53"/>
      <c r="E40" s="52">
        <v>6100</v>
      </c>
      <c r="F40" s="52">
        <v>5368</v>
      </c>
      <c r="G40" s="52"/>
      <c r="H40" s="53" t="s">
        <v>1338</v>
      </c>
    </row>
    <row r="41" spans="1:8" ht="21" x14ac:dyDescent="0.3">
      <c r="A41" s="58"/>
      <c r="B41" s="53" t="s">
        <v>1377</v>
      </c>
      <c r="C41" s="53"/>
      <c r="D41" s="53"/>
      <c r="E41" s="52">
        <v>180</v>
      </c>
      <c r="F41" s="52">
        <v>146.6</v>
      </c>
      <c r="G41" s="52"/>
      <c r="H41" s="53" t="s">
        <v>1338</v>
      </c>
    </row>
    <row r="42" spans="1:8" ht="21" x14ac:dyDescent="0.3">
      <c r="A42" s="58"/>
      <c r="B42" s="53" t="s">
        <v>1378</v>
      </c>
      <c r="C42" s="53"/>
      <c r="D42" s="53"/>
      <c r="E42" s="54">
        <v>230</v>
      </c>
      <c r="F42" s="54">
        <v>186.3</v>
      </c>
      <c r="G42" s="54"/>
      <c r="H42" s="53" t="s">
        <v>1338</v>
      </c>
    </row>
    <row r="43" spans="1:8" ht="21" x14ac:dyDescent="0.3">
      <c r="A43" s="58"/>
      <c r="B43" s="53" t="s">
        <v>1379</v>
      </c>
      <c r="C43" s="53"/>
      <c r="D43" s="53"/>
      <c r="E43" s="54">
        <v>120</v>
      </c>
      <c r="F43" s="54">
        <v>92.34</v>
      </c>
      <c r="G43" s="54"/>
      <c r="H43" s="53" t="s">
        <v>1338</v>
      </c>
    </row>
    <row r="44" spans="1:8" ht="21" x14ac:dyDescent="0.3">
      <c r="A44" s="58"/>
      <c r="B44" s="51" t="s">
        <v>1380</v>
      </c>
      <c r="C44" s="51"/>
      <c r="D44" s="51"/>
      <c r="E44" s="52">
        <v>100</v>
      </c>
      <c r="F44" s="52">
        <v>72.959999999999994</v>
      </c>
      <c r="G44" s="52"/>
      <c r="H44" s="51" t="s">
        <v>1338</v>
      </c>
    </row>
    <row r="45" spans="1:8" ht="21" x14ac:dyDescent="0.3">
      <c r="A45" s="58"/>
      <c r="B45" s="51" t="s">
        <v>1381</v>
      </c>
      <c r="C45" s="51"/>
      <c r="D45" s="51"/>
      <c r="E45" s="52">
        <v>220</v>
      </c>
      <c r="F45" s="52">
        <v>180.12</v>
      </c>
      <c r="G45" s="52"/>
      <c r="H45" s="51" t="s">
        <v>1338</v>
      </c>
    </row>
    <row r="46" spans="1:8" ht="21" x14ac:dyDescent="0.3">
      <c r="A46" s="58"/>
      <c r="B46" s="51" t="s">
        <v>1382</v>
      </c>
      <c r="C46" s="51"/>
      <c r="D46" s="51"/>
      <c r="E46" s="52">
        <v>150</v>
      </c>
      <c r="F46" s="52">
        <v>116.23</v>
      </c>
      <c r="G46" s="52"/>
      <c r="H46" s="51" t="s">
        <v>1338</v>
      </c>
    </row>
    <row r="47" spans="1:8" ht="21" x14ac:dyDescent="0.3">
      <c r="A47" s="58"/>
      <c r="B47" s="53" t="s">
        <v>1383</v>
      </c>
      <c r="C47" s="53"/>
      <c r="D47" s="53"/>
      <c r="E47" s="52">
        <v>600</v>
      </c>
      <c r="F47" s="52">
        <v>501.6</v>
      </c>
      <c r="G47" s="52"/>
      <c r="H47" s="53" t="s">
        <v>1338</v>
      </c>
    </row>
    <row r="48" spans="1:8" ht="21" x14ac:dyDescent="0.3">
      <c r="A48" s="58"/>
      <c r="B48" s="53" t="s">
        <v>1384</v>
      </c>
      <c r="C48" s="53"/>
      <c r="D48" s="53"/>
      <c r="E48" s="54">
        <v>375</v>
      </c>
      <c r="F48" s="54">
        <v>325</v>
      </c>
      <c r="G48" s="54"/>
      <c r="H48" s="53" t="s">
        <v>1338</v>
      </c>
    </row>
    <row r="49" spans="1:8" ht="21" x14ac:dyDescent="0.3">
      <c r="A49" s="58"/>
      <c r="B49" s="51" t="s">
        <v>1385</v>
      </c>
      <c r="C49" s="51"/>
      <c r="D49" s="51"/>
      <c r="E49" s="52">
        <v>1050</v>
      </c>
      <c r="F49" s="52">
        <v>864.2</v>
      </c>
      <c r="G49" s="52"/>
      <c r="H49" s="51" t="s">
        <v>1338</v>
      </c>
    </row>
    <row r="50" spans="1:8" ht="21" x14ac:dyDescent="0.3">
      <c r="A50" s="58"/>
      <c r="B50" s="51" t="s">
        <v>1386</v>
      </c>
      <c r="C50" s="51"/>
      <c r="D50" s="51"/>
      <c r="E50" s="54">
        <v>220</v>
      </c>
      <c r="F50" s="54">
        <v>201.8</v>
      </c>
      <c r="G50" s="54"/>
      <c r="H50" s="51" t="s">
        <v>1338</v>
      </c>
    </row>
    <row r="51" spans="1:8" ht="21" x14ac:dyDescent="0.3">
      <c r="A51" s="58"/>
      <c r="B51" s="53" t="s">
        <v>1387</v>
      </c>
      <c r="C51" s="53"/>
      <c r="D51" s="53"/>
      <c r="E51" s="54">
        <v>600</v>
      </c>
      <c r="F51" s="54">
        <v>534.66</v>
      </c>
      <c r="G51" s="54"/>
      <c r="H51" s="53" t="s">
        <v>1338</v>
      </c>
    </row>
    <row r="52" spans="1:8" ht="21" x14ac:dyDescent="0.3">
      <c r="A52" s="58"/>
      <c r="B52" s="53" t="s">
        <v>1388</v>
      </c>
      <c r="C52" s="53"/>
      <c r="D52" s="53"/>
      <c r="E52" s="52">
        <v>1000</v>
      </c>
      <c r="F52" s="52">
        <v>893.1</v>
      </c>
      <c r="G52" s="52"/>
      <c r="H52" s="53" t="s">
        <v>1338</v>
      </c>
    </row>
    <row r="53" spans="1:8" ht="21" x14ac:dyDescent="0.3">
      <c r="A53" s="58"/>
      <c r="B53" s="51" t="s">
        <v>1389</v>
      </c>
      <c r="C53" s="51"/>
      <c r="D53" s="51"/>
      <c r="E53" s="52">
        <v>150</v>
      </c>
      <c r="F53" s="52">
        <v>110.7</v>
      </c>
      <c r="G53" s="52"/>
      <c r="H53" s="51" t="s">
        <v>1338</v>
      </c>
    </row>
    <row r="54" spans="1:8" ht="21" x14ac:dyDescent="0.3">
      <c r="A54" s="58"/>
      <c r="B54" s="53" t="s">
        <v>1390</v>
      </c>
      <c r="C54" s="53"/>
      <c r="D54" s="53"/>
      <c r="E54" s="54">
        <v>475</v>
      </c>
      <c r="F54" s="54">
        <v>407.7</v>
      </c>
      <c r="G54" s="54"/>
      <c r="H54" s="53" t="s">
        <v>1338</v>
      </c>
    </row>
    <row r="55" spans="1:8" ht="21" x14ac:dyDescent="0.3">
      <c r="A55" s="58"/>
      <c r="B55" s="51" t="s">
        <v>1391</v>
      </c>
      <c r="C55" s="51"/>
      <c r="D55" s="51"/>
      <c r="E55" s="52">
        <v>2900</v>
      </c>
      <c r="F55" s="52">
        <v>2442</v>
      </c>
      <c r="G55" s="52"/>
      <c r="H55" s="51" t="s">
        <v>1338</v>
      </c>
    </row>
    <row r="56" spans="1:8" ht="21" x14ac:dyDescent="0.3">
      <c r="A56" s="58"/>
      <c r="B56" s="53" t="s">
        <v>1392</v>
      </c>
      <c r="C56" s="53"/>
      <c r="D56" s="53"/>
      <c r="E56" s="54">
        <v>60</v>
      </c>
      <c r="F56" s="54">
        <v>46.8</v>
      </c>
      <c r="G56" s="54"/>
      <c r="H56" s="53" t="s">
        <v>1338</v>
      </c>
    </row>
    <row r="57" spans="1:8" ht="21" x14ac:dyDescent="0.3">
      <c r="A57" s="58"/>
      <c r="B57" s="53" t="s">
        <v>1393</v>
      </c>
      <c r="C57" s="53"/>
      <c r="D57" s="53"/>
      <c r="E57" s="52">
        <v>100</v>
      </c>
      <c r="F57" s="52">
        <v>87</v>
      </c>
      <c r="G57" s="52"/>
      <c r="H57" s="53" t="s">
        <v>1338</v>
      </c>
    </row>
    <row r="58" spans="1:8" ht="21" x14ac:dyDescent="0.3">
      <c r="A58" s="58"/>
      <c r="B58" s="51" t="s">
        <v>1394</v>
      </c>
      <c r="C58" s="51"/>
      <c r="D58" s="51"/>
      <c r="E58" s="52">
        <v>100</v>
      </c>
      <c r="F58" s="52">
        <v>70</v>
      </c>
      <c r="G58" s="52"/>
      <c r="H58" s="51" t="s">
        <v>1338</v>
      </c>
    </row>
    <row r="59" spans="1:8" ht="21" x14ac:dyDescent="0.3">
      <c r="A59" s="58"/>
      <c r="B59" s="53" t="s">
        <v>1395</v>
      </c>
      <c r="C59" s="53"/>
      <c r="D59" s="53"/>
      <c r="E59" s="52">
        <v>150</v>
      </c>
      <c r="F59" s="52">
        <v>133.4</v>
      </c>
      <c r="G59" s="52"/>
      <c r="H59" s="53" t="s">
        <v>1338</v>
      </c>
    </row>
    <row r="60" spans="1:8" ht="21" x14ac:dyDescent="0.3">
      <c r="A60" s="58"/>
      <c r="B60" s="51" t="s">
        <v>1396</v>
      </c>
      <c r="C60" s="51"/>
      <c r="D60" s="51"/>
      <c r="E60" s="54">
        <v>150</v>
      </c>
      <c r="F60" s="54">
        <v>103.8</v>
      </c>
      <c r="G60" s="54"/>
      <c r="H60" s="51" t="s">
        <v>1338</v>
      </c>
    </row>
    <row r="61" spans="1:8" ht="21" x14ac:dyDescent="0.3">
      <c r="A61" s="58"/>
      <c r="B61" s="53" t="s">
        <v>1397</v>
      </c>
      <c r="C61" s="53"/>
      <c r="D61" s="53"/>
      <c r="E61" s="52">
        <v>475</v>
      </c>
      <c r="F61" s="52">
        <v>359.1</v>
      </c>
      <c r="G61" s="52"/>
      <c r="H61" s="53" t="s">
        <v>1338</v>
      </c>
    </row>
    <row r="62" spans="1:8" ht="21" x14ac:dyDescent="0.3">
      <c r="A62" s="58"/>
      <c r="B62" s="51" t="s">
        <v>1398</v>
      </c>
      <c r="C62" s="51"/>
      <c r="D62" s="51"/>
      <c r="E62" s="52">
        <v>350</v>
      </c>
      <c r="F62" s="52">
        <v>297.60000000000002</v>
      </c>
      <c r="G62" s="52"/>
      <c r="H62" s="51" t="s">
        <v>1338</v>
      </c>
    </row>
    <row r="63" spans="1:8" ht="21" x14ac:dyDescent="0.3">
      <c r="A63" s="58"/>
      <c r="B63" s="51" t="s">
        <v>1399</v>
      </c>
      <c r="C63" s="51"/>
      <c r="D63" s="51"/>
      <c r="E63" s="54">
        <v>800</v>
      </c>
      <c r="F63" s="54">
        <v>673.8</v>
      </c>
      <c r="G63" s="54"/>
      <c r="H63" s="51" t="s">
        <v>1338</v>
      </c>
    </row>
    <row r="64" spans="1:8" ht="21" x14ac:dyDescent="0.3">
      <c r="A64" s="58"/>
      <c r="B64" s="53" t="s">
        <v>1400</v>
      </c>
      <c r="C64" s="53"/>
      <c r="D64" s="53"/>
      <c r="E64" s="52">
        <v>135</v>
      </c>
      <c r="F64" s="52">
        <v>106.1</v>
      </c>
      <c r="G64" s="52"/>
      <c r="H64" s="53" t="s">
        <v>1338</v>
      </c>
    </row>
    <row r="65" spans="1:8" ht="21" x14ac:dyDescent="0.3">
      <c r="A65" s="58"/>
      <c r="B65" s="51" t="s">
        <v>1401</v>
      </c>
      <c r="C65" s="51"/>
      <c r="D65" s="51"/>
      <c r="E65" s="54">
        <v>130</v>
      </c>
      <c r="F65" s="54">
        <v>77.3</v>
      </c>
      <c r="G65" s="54"/>
      <c r="H65" s="51" t="s">
        <v>1338</v>
      </c>
    </row>
    <row r="66" spans="1:8" ht="21" x14ac:dyDescent="0.3">
      <c r="A66" s="58"/>
      <c r="B66" s="53" t="s">
        <v>1402</v>
      </c>
      <c r="C66" s="53"/>
      <c r="D66" s="53"/>
      <c r="E66" s="52">
        <v>350</v>
      </c>
      <c r="F66" s="52">
        <v>311.3</v>
      </c>
      <c r="G66" s="52"/>
      <c r="H66" s="53" t="s">
        <v>1338</v>
      </c>
    </row>
    <row r="67" spans="1:8" ht="21" x14ac:dyDescent="0.3">
      <c r="A67" s="58"/>
      <c r="B67" s="51" t="s">
        <v>1403</v>
      </c>
      <c r="C67" s="51"/>
      <c r="D67" s="51"/>
      <c r="E67" s="54">
        <v>325</v>
      </c>
      <c r="F67" s="54">
        <v>276.39999999999998</v>
      </c>
      <c r="G67" s="54"/>
      <c r="H67" s="51" t="s">
        <v>1338</v>
      </c>
    </row>
    <row r="68" spans="1:8" ht="21" x14ac:dyDescent="0.3">
      <c r="A68" s="58"/>
      <c r="B68" s="51" t="s">
        <v>1404</v>
      </c>
      <c r="C68" s="51"/>
      <c r="D68" s="51"/>
      <c r="E68" s="52">
        <v>650</v>
      </c>
      <c r="F68" s="52">
        <v>519.84</v>
      </c>
      <c r="G68" s="52"/>
      <c r="H68" s="51" t="s">
        <v>1338</v>
      </c>
    </row>
    <row r="69" spans="1:8" ht="21" x14ac:dyDescent="0.3">
      <c r="A69" s="58"/>
      <c r="B69" s="51" t="s">
        <v>1405</v>
      </c>
      <c r="C69" s="51"/>
      <c r="D69" s="51"/>
      <c r="E69" s="54">
        <v>180</v>
      </c>
      <c r="F69" s="54">
        <v>117.5</v>
      </c>
      <c r="G69" s="54"/>
      <c r="H69" s="51" t="s">
        <v>1338</v>
      </c>
    </row>
    <row r="70" spans="1:8" ht="21" x14ac:dyDescent="0.3">
      <c r="A70" s="58"/>
      <c r="B70" s="53" t="s">
        <v>1406</v>
      </c>
      <c r="C70" s="53"/>
      <c r="D70" s="53"/>
      <c r="E70" s="52">
        <v>275</v>
      </c>
      <c r="F70" s="52">
        <v>221.8</v>
      </c>
      <c r="G70" s="52"/>
      <c r="H70" s="53" t="s">
        <v>1338</v>
      </c>
    </row>
    <row r="71" spans="1:8" ht="21" x14ac:dyDescent="0.3">
      <c r="A71" s="58"/>
      <c r="B71" s="51" t="s">
        <v>1407</v>
      </c>
      <c r="C71" s="51"/>
      <c r="D71" s="51"/>
      <c r="E71" s="54">
        <v>200</v>
      </c>
      <c r="F71" s="54">
        <v>163.1</v>
      </c>
      <c r="G71" s="54"/>
      <c r="H71" s="51" t="s">
        <v>1338</v>
      </c>
    </row>
    <row r="72" spans="1:8" ht="21" x14ac:dyDescent="0.3">
      <c r="A72" s="58"/>
      <c r="B72" s="51" t="s">
        <v>1408</v>
      </c>
      <c r="C72" s="51"/>
      <c r="D72" s="51"/>
      <c r="E72" s="52">
        <v>240</v>
      </c>
      <c r="F72" s="52">
        <v>197.22</v>
      </c>
      <c r="G72" s="52"/>
      <c r="H72" s="51" t="s">
        <v>1338</v>
      </c>
    </row>
    <row r="73" spans="1:8" ht="21" x14ac:dyDescent="0.3">
      <c r="A73" s="58"/>
      <c r="B73" s="53" t="s">
        <v>1409</v>
      </c>
      <c r="C73" s="53"/>
      <c r="D73" s="53"/>
      <c r="E73" s="54">
        <v>625</v>
      </c>
      <c r="F73" s="54">
        <v>525.6</v>
      </c>
      <c r="G73" s="54"/>
      <c r="H73" s="53" t="s">
        <v>1338</v>
      </c>
    </row>
    <row r="74" spans="1:8" ht="21" x14ac:dyDescent="0.3">
      <c r="A74" s="58"/>
      <c r="B74" s="53" t="s">
        <v>1410</v>
      </c>
      <c r="C74" s="53"/>
      <c r="D74" s="53"/>
      <c r="E74" s="54">
        <v>650</v>
      </c>
      <c r="F74" s="54">
        <v>564.29999999999995</v>
      </c>
      <c r="G74" s="54"/>
      <c r="H74" s="53" t="s">
        <v>1338</v>
      </c>
    </row>
    <row r="75" spans="1:8" ht="21" x14ac:dyDescent="0.3">
      <c r="A75" s="58"/>
      <c r="B75" s="51" t="s">
        <v>1411</v>
      </c>
      <c r="C75" s="51"/>
      <c r="D75" s="51"/>
      <c r="E75" s="52">
        <v>100</v>
      </c>
      <c r="F75" s="52">
        <v>82.1</v>
      </c>
      <c r="G75" s="52"/>
      <c r="H75" s="51" t="s">
        <v>1338</v>
      </c>
    </row>
    <row r="76" spans="1:8" ht="21" x14ac:dyDescent="0.3">
      <c r="A76" s="58"/>
      <c r="B76" s="51" t="s">
        <v>1412</v>
      </c>
      <c r="C76" s="51"/>
      <c r="D76" s="51"/>
      <c r="E76" s="54">
        <v>200</v>
      </c>
      <c r="F76" s="54">
        <v>133.4</v>
      </c>
      <c r="G76" s="54"/>
      <c r="H76" s="51" t="s">
        <v>1338</v>
      </c>
    </row>
    <row r="77" spans="1:8" ht="21" x14ac:dyDescent="0.3">
      <c r="A77" s="58"/>
      <c r="B77" s="53" t="s">
        <v>1413</v>
      </c>
      <c r="C77" s="53"/>
      <c r="D77" s="53"/>
      <c r="E77" s="54">
        <v>550</v>
      </c>
      <c r="F77" s="54">
        <v>456</v>
      </c>
      <c r="G77" s="54"/>
      <c r="H77" s="53" t="s">
        <v>1338</v>
      </c>
    </row>
    <row r="78" spans="1:8" ht="21" x14ac:dyDescent="0.3">
      <c r="A78" s="58"/>
      <c r="B78" s="51" t="s">
        <v>1414</v>
      </c>
      <c r="C78" s="51"/>
      <c r="D78" s="51"/>
      <c r="E78" s="54">
        <v>275</v>
      </c>
      <c r="F78" s="54">
        <v>214</v>
      </c>
      <c r="G78" s="54"/>
      <c r="H78" s="51" t="s">
        <v>1338</v>
      </c>
    </row>
    <row r="79" spans="1:8" ht="21" x14ac:dyDescent="0.3">
      <c r="A79" s="58"/>
      <c r="B79" s="53" t="s">
        <v>1415</v>
      </c>
      <c r="C79" s="53"/>
      <c r="D79" s="53"/>
      <c r="E79" s="52">
        <v>800</v>
      </c>
      <c r="F79" s="52">
        <v>655</v>
      </c>
      <c r="G79" s="52"/>
      <c r="H79" s="53" t="s">
        <v>1338</v>
      </c>
    </row>
    <row r="80" spans="1:8" ht="21" x14ac:dyDescent="0.3">
      <c r="A80" s="58"/>
      <c r="B80" s="51" t="s">
        <v>1416</v>
      </c>
      <c r="C80" s="51"/>
      <c r="D80" s="51"/>
      <c r="E80" s="52">
        <v>75</v>
      </c>
      <c r="F80" s="52">
        <v>48.2</v>
      </c>
      <c r="G80" s="52"/>
      <c r="H80" s="51" t="s">
        <v>1338</v>
      </c>
    </row>
    <row r="81" spans="1:8" ht="21" x14ac:dyDescent="0.3">
      <c r="A81" s="58"/>
      <c r="B81" s="53" t="s">
        <v>1417</v>
      </c>
      <c r="C81" s="53"/>
      <c r="D81" s="53"/>
      <c r="E81" s="52">
        <v>150</v>
      </c>
      <c r="F81" s="52">
        <v>83.8</v>
      </c>
      <c r="G81" s="52"/>
      <c r="H81" s="53" t="s">
        <v>1338</v>
      </c>
    </row>
    <row r="82" spans="1:8" ht="21" x14ac:dyDescent="0.3">
      <c r="A82" s="58"/>
      <c r="B82" s="53" t="s">
        <v>1418</v>
      </c>
      <c r="C82" s="53"/>
      <c r="D82" s="53"/>
      <c r="E82" s="52">
        <v>250</v>
      </c>
      <c r="F82" s="52">
        <v>158</v>
      </c>
      <c r="G82" s="52"/>
      <c r="H82" s="53" t="s">
        <v>1338</v>
      </c>
    </row>
    <row r="83" spans="1:8" ht="21" x14ac:dyDescent="0.3">
      <c r="A83" s="58"/>
      <c r="B83" s="51" t="s">
        <v>1419</v>
      </c>
      <c r="C83" s="51"/>
      <c r="D83" s="51"/>
      <c r="E83" s="54">
        <v>1500</v>
      </c>
      <c r="F83" s="54">
        <v>950</v>
      </c>
      <c r="G83" s="54"/>
      <c r="H83" s="51" t="s">
        <v>1338</v>
      </c>
    </row>
    <row r="84" spans="1:8" ht="21" x14ac:dyDescent="0.3">
      <c r="A84" s="58"/>
      <c r="B84" s="53" t="s">
        <v>1420</v>
      </c>
      <c r="C84" s="53"/>
      <c r="D84" s="53"/>
      <c r="E84" s="52">
        <v>700</v>
      </c>
      <c r="F84" s="52">
        <v>579.12</v>
      </c>
      <c r="G84" s="52"/>
      <c r="H84" s="53" t="s">
        <v>1338</v>
      </c>
    </row>
    <row r="85" spans="1:8" ht="21" x14ac:dyDescent="0.3">
      <c r="A85" s="58"/>
      <c r="B85" s="51" t="s">
        <v>1421</v>
      </c>
      <c r="C85" s="51"/>
      <c r="D85" s="51"/>
      <c r="E85" s="52">
        <v>395</v>
      </c>
      <c r="F85" s="52">
        <v>355</v>
      </c>
      <c r="G85" s="52"/>
      <c r="H85" s="51" t="s">
        <v>1422</v>
      </c>
    </row>
    <row r="86" spans="1:8" ht="21" x14ac:dyDescent="0.3">
      <c r="A86" s="58"/>
      <c r="B86" s="51" t="s">
        <v>1423</v>
      </c>
      <c r="C86" s="51"/>
      <c r="D86" s="51"/>
      <c r="E86" s="54">
        <v>350</v>
      </c>
      <c r="F86" s="54">
        <v>250</v>
      </c>
      <c r="G86" s="54"/>
      <c r="H86" s="51" t="s">
        <v>1422</v>
      </c>
    </row>
    <row r="87" spans="1:8" ht="21" x14ac:dyDescent="0.3">
      <c r="A87" s="58"/>
      <c r="B87" s="53" t="s">
        <v>1424</v>
      </c>
      <c r="C87" s="53"/>
      <c r="D87" s="53"/>
      <c r="E87" s="52">
        <v>185</v>
      </c>
      <c r="F87" s="52">
        <v>157.55250000000001</v>
      </c>
      <c r="G87" s="52"/>
      <c r="H87" s="53" t="s">
        <v>1422</v>
      </c>
    </row>
    <row r="88" spans="1:8" ht="21" x14ac:dyDescent="0.3">
      <c r="A88" s="58"/>
      <c r="B88" s="51" t="s">
        <v>1425</v>
      </c>
      <c r="C88" s="51"/>
      <c r="D88" s="51"/>
      <c r="E88" s="54">
        <v>890</v>
      </c>
      <c r="F88" s="54">
        <v>752.84900000000005</v>
      </c>
      <c r="G88" s="54"/>
      <c r="H88" s="51" t="s">
        <v>1422</v>
      </c>
    </row>
    <row r="89" spans="1:8" ht="21" x14ac:dyDescent="0.3">
      <c r="A89" s="58"/>
      <c r="B89" s="53" t="s">
        <v>1426</v>
      </c>
      <c r="C89" s="53"/>
      <c r="D89" s="53"/>
      <c r="E89" s="54">
        <v>3300</v>
      </c>
      <c r="F89" s="54">
        <v>2900</v>
      </c>
      <c r="G89" s="54"/>
      <c r="H89" s="53" t="s">
        <v>1422</v>
      </c>
    </row>
    <row r="90" spans="1:8" ht="21" x14ac:dyDescent="0.3">
      <c r="A90" s="58"/>
      <c r="B90" s="51" t="s">
        <v>1427</v>
      </c>
      <c r="C90" s="51"/>
      <c r="D90" s="51"/>
      <c r="E90" s="54">
        <v>120</v>
      </c>
      <c r="F90" s="54">
        <v>70</v>
      </c>
      <c r="G90" s="54"/>
      <c r="H90" s="51" t="s">
        <v>1422</v>
      </c>
    </row>
    <row r="91" spans="1:8" ht="21" x14ac:dyDescent="0.3">
      <c r="A91" s="58"/>
      <c r="B91" s="53" t="s">
        <v>1428</v>
      </c>
      <c r="C91" s="53"/>
      <c r="D91" s="53"/>
      <c r="E91" s="52">
        <v>330</v>
      </c>
      <c r="F91" s="52">
        <v>250</v>
      </c>
      <c r="G91" s="52"/>
      <c r="H91" s="53" t="s">
        <v>1422</v>
      </c>
    </row>
    <row r="92" spans="1:8" ht="21" x14ac:dyDescent="0.3">
      <c r="A92" s="58"/>
      <c r="B92" s="53" t="s">
        <v>1429</v>
      </c>
      <c r="C92" s="53"/>
      <c r="D92" s="53"/>
      <c r="E92" s="52">
        <v>330</v>
      </c>
      <c r="F92" s="52">
        <v>290</v>
      </c>
      <c r="G92" s="52"/>
      <c r="H92" s="53" t="s">
        <v>1422</v>
      </c>
    </row>
    <row r="93" spans="1:8" ht="21" x14ac:dyDescent="0.3">
      <c r="A93" s="58"/>
      <c r="B93" s="51" t="s">
        <v>1430</v>
      </c>
      <c r="C93" s="51"/>
      <c r="D93" s="51"/>
      <c r="E93" s="52">
        <v>150</v>
      </c>
      <c r="F93" s="52">
        <v>80</v>
      </c>
      <c r="G93" s="52"/>
      <c r="H93" s="51" t="s">
        <v>1422</v>
      </c>
    </row>
    <row r="94" spans="1:8" ht="21" x14ac:dyDescent="0.3">
      <c r="A94" s="58"/>
      <c r="B94" s="53" t="s">
        <v>1431</v>
      </c>
      <c r="C94" s="53"/>
      <c r="D94" s="53"/>
      <c r="E94" s="54">
        <v>500</v>
      </c>
      <c r="F94" s="54">
        <v>360</v>
      </c>
      <c r="G94" s="54"/>
      <c r="H94" s="53" t="s">
        <v>1422</v>
      </c>
    </row>
    <row r="95" spans="1:8" ht="21" x14ac:dyDescent="0.3">
      <c r="A95" s="58"/>
      <c r="B95" s="51" t="s">
        <v>1432</v>
      </c>
      <c r="C95" s="51"/>
      <c r="D95" s="51"/>
      <c r="E95" s="54">
        <v>1350</v>
      </c>
      <c r="F95" s="54">
        <v>1050</v>
      </c>
      <c r="G95" s="54"/>
      <c r="H95" s="51" t="s">
        <v>1422</v>
      </c>
    </row>
    <row r="96" spans="1:8" ht="21" x14ac:dyDescent="0.3">
      <c r="A96" s="58"/>
      <c r="B96" s="51" t="s">
        <v>1433</v>
      </c>
      <c r="C96" s="51"/>
      <c r="D96" s="51"/>
      <c r="E96" s="52">
        <v>220</v>
      </c>
      <c r="F96" s="52">
        <v>169</v>
      </c>
      <c r="G96" s="52"/>
      <c r="H96" s="51" t="s">
        <v>1422</v>
      </c>
    </row>
    <row r="97" spans="1:8" ht="21" x14ac:dyDescent="0.3">
      <c r="A97" s="58"/>
      <c r="B97" s="51" t="s">
        <v>1434</v>
      </c>
      <c r="C97" s="51"/>
      <c r="D97" s="51"/>
      <c r="E97" s="54">
        <v>240</v>
      </c>
      <c r="F97" s="54">
        <v>190</v>
      </c>
      <c r="G97" s="54"/>
      <c r="H97" s="51" t="s">
        <v>1422</v>
      </c>
    </row>
    <row r="98" spans="1:8" ht="21" x14ac:dyDescent="0.3">
      <c r="A98" s="58"/>
      <c r="B98" s="51" t="s">
        <v>1435</v>
      </c>
      <c r="C98" s="51"/>
      <c r="D98" s="51"/>
      <c r="E98" s="52">
        <v>260</v>
      </c>
      <c r="F98" s="52">
        <v>185</v>
      </c>
      <c r="G98" s="52"/>
      <c r="H98" s="51" t="s">
        <v>1422</v>
      </c>
    </row>
    <row r="99" spans="1:8" ht="21" x14ac:dyDescent="0.3">
      <c r="A99" s="58"/>
      <c r="B99" s="51" t="s">
        <v>1436</v>
      </c>
      <c r="C99" s="51"/>
      <c r="D99" s="51"/>
      <c r="E99" s="52">
        <v>250</v>
      </c>
      <c r="F99" s="52">
        <v>195</v>
      </c>
      <c r="G99" s="52"/>
      <c r="H99" s="51" t="s">
        <v>1422</v>
      </c>
    </row>
    <row r="100" spans="1:8" ht="21" x14ac:dyDescent="0.3">
      <c r="A100" s="58"/>
      <c r="B100" s="53" t="s">
        <v>1437</v>
      </c>
      <c r="C100" s="53"/>
      <c r="D100" s="53"/>
      <c r="E100" s="52">
        <v>550</v>
      </c>
      <c r="F100" s="52">
        <v>260</v>
      </c>
      <c r="G100" s="52"/>
      <c r="H100" s="53" t="s">
        <v>1422</v>
      </c>
    </row>
    <row r="101" spans="1:8" ht="21" x14ac:dyDescent="0.3">
      <c r="A101" s="58"/>
      <c r="B101" s="53" t="s">
        <v>1438</v>
      </c>
      <c r="C101" s="53"/>
      <c r="D101" s="53"/>
      <c r="E101" s="54">
        <v>750</v>
      </c>
      <c r="F101" s="54">
        <v>400</v>
      </c>
      <c r="G101" s="54"/>
      <c r="H101" s="53" t="s">
        <v>1422</v>
      </c>
    </row>
    <row r="102" spans="1:8" ht="21" x14ac:dyDescent="0.3">
      <c r="A102" s="58"/>
      <c r="B102" s="53" t="s">
        <v>1439</v>
      </c>
      <c r="C102" s="53"/>
      <c r="D102" s="53"/>
      <c r="E102" s="54">
        <v>750</v>
      </c>
      <c r="F102" s="54">
        <v>630</v>
      </c>
      <c r="G102" s="54"/>
      <c r="H102" s="53" t="s">
        <v>1422</v>
      </c>
    </row>
    <row r="103" spans="1:8" ht="21" x14ac:dyDescent="0.3">
      <c r="A103" s="58"/>
      <c r="B103" s="53" t="s">
        <v>1440</v>
      </c>
      <c r="C103" s="53"/>
      <c r="D103" s="53"/>
      <c r="E103" s="54">
        <v>600</v>
      </c>
      <c r="F103" s="54">
        <v>390</v>
      </c>
      <c r="G103" s="54"/>
      <c r="H103" s="53" t="s">
        <v>1422</v>
      </c>
    </row>
    <row r="104" spans="1:8" ht="21" x14ac:dyDescent="0.3">
      <c r="A104" s="58"/>
      <c r="B104" s="51" t="s">
        <v>1441</v>
      </c>
      <c r="C104" s="51"/>
      <c r="D104" s="51"/>
      <c r="E104" s="54">
        <v>75</v>
      </c>
      <c r="F104" s="54">
        <v>45.6</v>
      </c>
      <c r="G104" s="54"/>
      <c r="H104" s="51" t="s">
        <v>1442</v>
      </c>
    </row>
    <row r="105" spans="1:8" ht="21" x14ac:dyDescent="0.3">
      <c r="A105" s="58"/>
      <c r="B105" s="53" t="s">
        <v>1443</v>
      </c>
      <c r="C105" s="53"/>
      <c r="D105" s="53"/>
      <c r="E105" s="52">
        <v>70</v>
      </c>
      <c r="F105" s="52">
        <v>37.700000000000003</v>
      </c>
      <c r="G105" s="52"/>
      <c r="H105" s="53" t="s">
        <v>1442</v>
      </c>
    </row>
    <row r="106" spans="1:8" ht="21" x14ac:dyDescent="0.3">
      <c r="A106" s="58"/>
      <c r="B106" s="51" t="s">
        <v>1444</v>
      </c>
      <c r="C106" s="51"/>
      <c r="D106" s="51"/>
      <c r="E106" s="54">
        <v>100</v>
      </c>
      <c r="F106" s="54">
        <v>80</v>
      </c>
      <c r="G106" s="54"/>
      <c r="H106" s="51" t="s">
        <v>1442</v>
      </c>
    </row>
    <row r="107" spans="1:8" ht="21" x14ac:dyDescent="0.3">
      <c r="A107" s="58"/>
      <c r="B107" s="53" t="s">
        <v>1445</v>
      </c>
      <c r="C107" s="53"/>
      <c r="D107" s="53"/>
      <c r="E107" s="54">
        <v>90</v>
      </c>
      <c r="F107" s="54">
        <v>66.2</v>
      </c>
      <c r="G107" s="54"/>
      <c r="H107" s="53" t="s">
        <v>1442</v>
      </c>
    </row>
    <row r="108" spans="1:8" ht="21" x14ac:dyDescent="0.3">
      <c r="A108" s="58"/>
      <c r="B108" s="53" t="s">
        <v>1446</v>
      </c>
      <c r="C108" s="53"/>
      <c r="D108" s="53"/>
      <c r="E108" s="54">
        <v>180</v>
      </c>
      <c r="F108" s="54">
        <v>130</v>
      </c>
      <c r="G108" s="54"/>
      <c r="H108" s="53" t="s">
        <v>1442</v>
      </c>
    </row>
    <row r="109" spans="1:8" ht="21" x14ac:dyDescent="0.3">
      <c r="A109" s="58"/>
      <c r="B109" s="53" t="s">
        <v>1447</v>
      </c>
      <c r="C109" s="53"/>
      <c r="D109" s="53"/>
      <c r="E109" s="54">
        <v>150</v>
      </c>
      <c r="F109" s="54">
        <v>99.2</v>
      </c>
      <c r="G109" s="54"/>
      <c r="H109" s="53" t="s">
        <v>1442</v>
      </c>
    </row>
    <row r="110" spans="1:8" ht="21" x14ac:dyDescent="0.3">
      <c r="A110" s="58"/>
      <c r="B110" s="51" t="s">
        <v>1448</v>
      </c>
      <c r="C110" s="51"/>
      <c r="D110" s="51"/>
      <c r="E110" s="52">
        <v>400</v>
      </c>
      <c r="F110" s="52">
        <v>356.9</v>
      </c>
      <c r="G110" s="52"/>
      <c r="H110" s="51" t="s">
        <v>1442</v>
      </c>
    </row>
    <row r="111" spans="1:8" ht="21" x14ac:dyDescent="0.3">
      <c r="A111" s="58"/>
      <c r="B111" s="51" t="s">
        <v>1449</v>
      </c>
      <c r="C111" s="51"/>
      <c r="D111" s="51"/>
      <c r="E111" s="52">
        <v>350</v>
      </c>
      <c r="F111" s="52">
        <v>283.89999999999998</v>
      </c>
      <c r="G111" s="52"/>
      <c r="H111" s="51" t="s">
        <v>1442</v>
      </c>
    </row>
    <row r="112" spans="1:8" ht="21" x14ac:dyDescent="0.3">
      <c r="A112" s="58"/>
      <c r="B112" s="51" t="s">
        <v>1450</v>
      </c>
      <c r="C112" s="51"/>
      <c r="D112" s="51"/>
      <c r="E112" s="54">
        <v>800</v>
      </c>
      <c r="F112" s="54">
        <v>643</v>
      </c>
      <c r="G112" s="54"/>
      <c r="H112" s="51" t="s">
        <v>1442</v>
      </c>
    </row>
    <row r="113" spans="1:8" ht="21" x14ac:dyDescent="0.3">
      <c r="A113" s="58"/>
      <c r="B113" s="53" t="s">
        <v>1451</v>
      </c>
      <c r="C113" s="53"/>
      <c r="D113" s="53"/>
      <c r="E113" s="52">
        <v>700</v>
      </c>
      <c r="F113" s="52">
        <v>570</v>
      </c>
      <c r="G113" s="52"/>
      <c r="H113" s="53" t="s">
        <v>1442</v>
      </c>
    </row>
    <row r="114" spans="1:8" ht="21" x14ac:dyDescent="0.3">
      <c r="A114" s="58"/>
      <c r="B114" s="53" t="s">
        <v>1452</v>
      </c>
      <c r="C114" s="53"/>
      <c r="D114" s="53"/>
      <c r="E114" s="52">
        <v>100</v>
      </c>
      <c r="F114" s="52">
        <v>87.8</v>
      </c>
      <c r="G114" s="52"/>
      <c r="H114" s="53" t="s">
        <v>1442</v>
      </c>
    </row>
    <row r="115" spans="1:8" ht="21" x14ac:dyDescent="0.3">
      <c r="A115" s="58"/>
      <c r="B115" s="51" t="s">
        <v>1453</v>
      </c>
      <c r="C115" s="51"/>
      <c r="D115" s="51"/>
      <c r="E115" s="52">
        <v>90</v>
      </c>
      <c r="F115" s="52">
        <v>71.900000000000006</v>
      </c>
      <c r="G115" s="52"/>
      <c r="H115" s="51" t="s">
        <v>1442</v>
      </c>
    </row>
    <row r="116" spans="1:8" ht="21" x14ac:dyDescent="0.3">
      <c r="A116" s="58"/>
      <c r="B116" s="53" t="s">
        <v>1454</v>
      </c>
      <c r="C116" s="53"/>
      <c r="D116" s="53"/>
      <c r="E116" s="54">
        <v>190</v>
      </c>
      <c r="F116" s="54">
        <v>171</v>
      </c>
      <c r="G116" s="54"/>
      <c r="H116" s="53" t="s">
        <v>1442</v>
      </c>
    </row>
    <row r="117" spans="1:8" ht="21" x14ac:dyDescent="0.3">
      <c r="A117" s="58"/>
      <c r="B117" s="53" t="s">
        <v>1455</v>
      </c>
      <c r="C117" s="53"/>
      <c r="D117" s="53"/>
      <c r="E117" s="54">
        <v>150</v>
      </c>
      <c r="F117" s="54">
        <v>114</v>
      </c>
      <c r="G117" s="54"/>
      <c r="H117" s="53" t="s">
        <v>1442</v>
      </c>
    </row>
    <row r="118" spans="1:8" ht="21" x14ac:dyDescent="0.3">
      <c r="A118" s="58"/>
      <c r="B118" s="51" t="s">
        <v>1456</v>
      </c>
      <c r="C118" s="51"/>
      <c r="D118" s="51"/>
      <c r="E118" s="52">
        <v>540</v>
      </c>
      <c r="F118" s="52">
        <v>476.6</v>
      </c>
      <c r="G118" s="52"/>
      <c r="H118" s="51" t="s">
        <v>1442</v>
      </c>
    </row>
    <row r="119" spans="1:8" ht="21" x14ac:dyDescent="0.3">
      <c r="A119" s="58"/>
      <c r="B119" s="51" t="s">
        <v>1457</v>
      </c>
      <c r="C119" s="51"/>
      <c r="D119" s="51"/>
      <c r="E119" s="52">
        <v>385</v>
      </c>
      <c r="F119" s="52">
        <v>314.7</v>
      </c>
      <c r="G119" s="52"/>
      <c r="H119" s="51" t="s">
        <v>1442</v>
      </c>
    </row>
    <row r="120" spans="1:8" ht="21" x14ac:dyDescent="0.3">
      <c r="A120" s="58"/>
      <c r="B120" s="51" t="s">
        <v>1458</v>
      </c>
      <c r="C120" s="51"/>
      <c r="D120" s="51"/>
      <c r="E120" s="52">
        <v>930</v>
      </c>
      <c r="F120" s="52">
        <v>820.8</v>
      </c>
      <c r="G120" s="52"/>
      <c r="H120" s="51" t="s">
        <v>1442</v>
      </c>
    </row>
    <row r="121" spans="1:8" ht="21" x14ac:dyDescent="0.3">
      <c r="A121" s="58"/>
      <c r="B121" s="53" t="s">
        <v>1459</v>
      </c>
      <c r="C121" s="53"/>
      <c r="D121" s="53"/>
      <c r="E121" s="52">
        <v>120</v>
      </c>
      <c r="F121" s="52">
        <v>109.44</v>
      </c>
      <c r="G121" s="52"/>
      <c r="H121" s="53" t="s">
        <v>1442</v>
      </c>
    </row>
    <row r="122" spans="1:8" ht="21" x14ac:dyDescent="0.3">
      <c r="A122" s="58"/>
      <c r="B122" s="51" t="s">
        <v>1460</v>
      </c>
      <c r="C122" s="51"/>
      <c r="D122" s="51"/>
      <c r="E122" s="52">
        <v>120</v>
      </c>
      <c r="F122" s="52">
        <v>82.1</v>
      </c>
      <c r="G122" s="52"/>
      <c r="H122" s="51" t="s">
        <v>1442</v>
      </c>
    </row>
    <row r="123" spans="1:8" ht="21" x14ac:dyDescent="0.3">
      <c r="A123" s="58"/>
      <c r="B123" s="53" t="s">
        <v>1461</v>
      </c>
      <c r="C123" s="53"/>
      <c r="D123" s="53"/>
      <c r="E123" s="54">
        <v>220</v>
      </c>
      <c r="F123" s="54">
        <v>205.2</v>
      </c>
      <c r="G123" s="54"/>
      <c r="H123" s="53" t="s">
        <v>1442</v>
      </c>
    </row>
    <row r="124" spans="1:8" ht="21" x14ac:dyDescent="0.3">
      <c r="A124" s="58"/>
      <c r="B124" s="53" t="s">
        <v>1462</v>
      </c>
      <c r="C124" s="53"/>
      <c r="D124" s="53"/>
      <c r="E124" s="54">
        <v>180</v>
      </c>
      <c r="F124" s="54">
        <v>138</v>
      </c>
      <c r="G124" s="54"/>
      <c r="H124" s="53" t="s">
        <v>1442</v>
      </c>
    </row>
    <row r="125" spans="1:8" ht="21" x14ac:dyDescent="0.3">
      <c r="A125" s="58"/>
      <c r="B125" s="51" t="s">
        <v>1463</v>
      </c>
      <c r="C125" s="51"/>
      <c r="D125" s="51"/>
      <c r="E125" s="52">
        <v>650</v>
      </c>
      <c r="F125" s="52">
        <v>540.4</v>
      </c>
      <c r="G125" s="52"/>
      <c r="H125" s="51" t="s">
        <v>1442</v>
      </c>
    </row>
    <row r="126" spans="1:8" ht="21" x14ac:dyDescent="0.3">
      <c r="A126" s="58"/>
      <c r="B126" s="51" t="s">
        <v>1464</v>
      </c>
      <c r="C126" s="51"/>
      <c r="D126" s="51"/>
      <c r="E126" s="52">
        <v>400</v>
      </c>
      <c r="F126" s="52">
        <v>355.7</v>
      </c>
      <c r="G126" s="52"/>
      <c r="H126" s="51" t="s">
        <v>1442</v>
      </c>
    </row>
    <row r="127" spans="1:8" ht="21" x14ac:dyDescent="0.3">
      <c r="A127" s="58"/>
      <c r="B127" s="51" t="s">
        <v>1465</v>
      </c>
      <c r="C127" s="51"/>
      <c r="D127" s="51"/>
      <c r="E127" s="52">
        <v>1100</v>
      </c>
      <c r="F127" s="52">
        <v>969</v>
      </c>
      <c r="G127" s="52"/>
      <c r="H127" s="51" t="s">
        <v>1442</v>
      </c>
    </row>
    <row r="128" spans="1:8" ht="21" x14ac:dyDescent="0.3">
      <c r="A128" s="58"/>
      <c r="B128" s="53" t="s">
        <v>1466</v>
      </c>
      <c r="C128" s="53"/>
      <c r="D128" s="53"/>
      <c r="E128" s="54">
        <v>140</v>
      </c>
      <c r="F128" s="54">
        <v>116.3</v>
      </c>
      <c r="G128" s="54"/>
      <c r="H128" s="53" t="s">
        <v>1442</v>
      </c>
    </row>
    <row r="129" spans="1:8" ht="21" x14ac:dyDescent="0.3">
      <c r="A129" s="58"/>
      <c r="B129" s="51" t="s">
        <v>1467</v>
      </c>
      <c r="C129" s="51"/>
      <c r="D129" s="51"/>
      <c r="E129" s="52">
        <v>130</v>
      </c>
      <c r="F129" s="52">
        <v>98.1</v>
      </c>
      <c r="G129" s="52"/>
      <c r="H129" s="51" t="s">
        <v>1442</v>
      </c>
    </row>
    <row r="130" spans="1:8" ht="21" x14ac:dyDescent="0.3">
      <c r="A130" s="58"/>
      <c r="B130" s="53" t="s">
        <v>1468</v>
      </c>
      <c r="C130" s="53"/>
      <c r="D130" s="53"/>
      <c r="E130" s="52">
        <v>375</v>
      </c>
      <c r="F130" s="52">
        <v>340.9</v>
      </c>
      <c r="G130" s="52"/>
      <c r="H130" s="53" t="s">
        <v>1442</v>
      </c>
    </row>
    <row r="131" spans="1:8" ht="21" x14ac:dyDescent="0.3">
      <c r="A131" s="58"/>
      <c r="B131" s="51" t="s">
        <v>1469</v>
      </c>
      <c r="C131" s="51"/>
      <c r="D131" s="51"/>
      <c r="E131" s="54">
        <v>300</v>
      </c>
      <c r="F131" s="54">
        <v>282.8</v>
      </c>
      <c r="G131" s="54"/>
      <c r="H131" s="51" t="s">
        <v>1442</v>
      </c>
    </row>
    <row r="132" spans="1:8" ht="21" x14ac:dyDescent="0.3">
      <c r="A132" s="58"/>
      <c r="B132" s="53" t="s">
        <v>1470</v>
      </c>
      <c r="C132" s="53"/>
      <c r="D132" s="53"/>
      <c r="E132" s="54">
        <v>650</v>
      </c>
      <c r="F132" s="54">
        <v>578</v>
      </c>
      <c r="G132" s="54"/>
      <c r="H132" s="53" t="s">
        <v>1442</v>
      </c>
    </row>
    <row r="133" spans="1:8" ht="21" x14ac:dyDescent="0.3">
      <c r="A133" s="58"/>
      <c r="B133" s="53" t="s">
        <v>1471</v>
      </c>
      <c r="C133" s="53"/>
      <c r="D133" s="53"/>
      <c r="E133" s="54">
        <v>125</v>
      </c>
      <c r="F133" s="54">
        <v>93.5</v>
      </c>
      <c r="G133" s="54"/>
      <c r="H133" s="53" t="s">
        <v>1442</v>
      </c>
    </row>
    <row r="134" spans="1:8" ht="21" x14ac:dyDescent="0.3">
      <c r="A134" s="58"/>
      <c r="B134" s="51" t="s">
        <v>1472</v>
      </c>
      <c r="C134" s="51"/>
      <c r="D134" s="51"/>
      <c r="E134" s="52">
        <v>300</v>
      </c>
      <c r="F134" s="52">
        <v>284</v>
      </c>
      <c r="G134" s="52"/>
      <c r="H134" s="51" t="s">
        <v>1442</v>
      </c>
    </row>
    <row r="135" spans="1:8" ht="21" x14ac:dyDescent="0.3">
      <c r="A135" s="58"/>
      <c r="B135" s="51" t="s">
        <v>1473</v>
      </c>
      <c r="C135" s="51"/>
      <c r="D135" s="51"/>
      <c r="E135" s="52">
        <v>600</v>
      </c>
      <c r="F135" s="52">
        <v>477.7</v>
      </c>
      <c r="G135" s="52"/>
      <c r="H135" s="51" t="s">
        <v>1442</v>
      </c>
    </row>
    <row r="136" spans="1:8" ht="21" x14ac:dyDescent="0.3">
      <c r="A136" s="58"/>
      <c r="B136" s="53" t="s">
        <v>1474</v>
      </c>
      <c r="C136" s="53"/>
      <c r="D136" s="53"/>
      <c r="E136" s="52">
        <v>74</v>
      </c>
      <c r="F136" s="52">
        <v>67.5</v>
      </c>
      <c r="G136" s="52"/>
      <c r="H136" s="53" t="s">
        <v>1442</v>
      </c>
    </row>
    <row r="137" spans="1:8" ht="21" x14ac:dyDescent="0.3">
      <c r="A137" s="58"/>
      <c r="B137" s="51" t="s">
        <v>1475</v>
      </c>
      <c r="C137" s="51"/>
      <c r="D137" s="51"/>
      <c r="E137" s="54">
        <v>200</v>
      </c>
      <c r="F137" s="54">
        <v>134.6</v>
      </c>
      <c r="G137" s="54"/>
      <c r="H137" s="51" t="s">
        <v>1442</v>
      </c>
    </row>
    <row r="138" spans="1:8" ht="21" x14ac:dyDescent="0.3">
      <c r="A138" s="58"/>
      <c r="B138" s="53" t="s">
        <v>1476</v>
      </c>
      <c r="C138" s="53"/>
      <c r="D138" s="53"/>
      <c r="E138" s="52">
        <v>575</v>
      </c>
      <c r="F138" s="52">
        <v>489</v>
      </c>
      <c r="G138" s="52"/>
      <c r="H138" s="53" t="s">
        <v>1442</v>
      </c>
    </row>
    <row r="139" spans="1:8" ht="21" x14ac:dyDescent="0.3">
      <c r="A139" s="58"/>
      <c r="B139" s="51" t="s">
        <v>1477</v>
      </c>
      <c r="C139" s="51"/>
      <c r="D139" s="51"/>
      <c r="E139" s="54">
        <v>175</v>
      </c>
      <c r="F139" s="54">
        <v>117.5</v>
      </c>
      <c r="G139" s="54"/>
      <c r="H139" s="51" t="s">
        <v>1442</v>
      </c>
    </row>
    <row r="140" spans="1:8" ht="21" x14ac:dyDescent="0.3">
      <c r="A140" s="58"/>
      <c r="B140" s="53" t="s">
        <v>1478</v>
      </c>
      <c r="C140" s="53"/>
      <c r="D140" s="53"/>
      <c r="E140" s="52">
        <v>500</v>
      </c>
      <c r="F140" s="52">
        <v>403.6</v>
      </c>
      <c r="G140" s="52"/>
      <c r="H140" s="53" t="s">
        <v>1442</v>
      </c>
    </row>
    <row r="141" spans="1:8" ht="21" x14ac:dyDescent="0.3">
      <c r="A141" s="58"/>
      <c r="B141" s="51" t="s">
        <v>1479</v>
      </c>
      <c r="C141" s="51"/>
      <c r="D141" s="51"/>
      <c r="E141" s="52">
        <v>230</v>
      </c>
      <c r="F141" s="52">
        <v>175</v>
      </c>
      <c r="G141" s="52"/>
      <c r="H141" s="51" t="s">
        <v>1442</v>
      </c>
    </row>
    <row r="142" spans="1:8" ht="21" x14ac:dyDescent="0.3">
      <c r="A142" s="58"/>
      <c r="B142" s="53" t="s">
        <v>1480</v>
      </c>
      <c r="C142" s="53"/>
      <c r="D142" s="53"/>
      <c r="E142" s="54">
        <v>700</v>
      </c>
      <c r="F142" s="54">
        <v>585</v>
      </c>
      <c r="G142" s="54"/>
      <c r="H142" s="53" t="s">
        <v>1442</v>
      </c>
    </row>
    <row r="143" spans="1:8" ht="21" x14ac:dyDescent="0.3">
      <c r="A143" s="58"/>
      <c r="B143" s="51" t="s">
        <v>1481</v>
      </c>
      <c r="C143" s="51"/>
      <c r="D143" s="51"/>
      <c r="E143" s="54">
        <v>110</v>
      </c>
      <c r="F143" s="54">
        <v>59.3</v>
      </c>
      <c r="G143" s="54"/>
      <c r="H143" s="51" t="s">
        <v>1442</v>
      </c>
    </row>
    <row r="144" spans="1:8" ht="21" x14ac:dyDescent="0.3">
      <c r="A144" s="58"/>
      <c r="B144" s="53" t="s">
        <v>1482</v>
      </c>
      <c r="C144" s="53"/>
      <c r="D144" s="53"/>
      <c r="E144" s="52">
        <v>350</v>
      </c>
      <c r="F144" s="52">
        <v>180.6</v>
      </c>
      <c r="G144" s="52"/>
      <c r="H144" s="53" t="s">
        <v>1442</v>
      </c>
    </row>
    <row r="145" spans="1:8" ht="21" x14ac:dyDescent="0.3">
      <c r="A145" s="58"/>
      <c r="B145" s="53" t="s">
        <v>1483</v>
      </c>
      <c r="C145" s="53"/>
      <c r="D145" s="53"/>
      <c r="E145" s="52">
        <v>2500</v>
      </c>
      <c r="F145" s="52">
        <v>1449</v>
      </c>
      <c r="G145" s="52"/>
      <c r="H145" s="53" t="s">
        <v>1442</v>
      </c>
    </row>
    <row r="146" spans="1:8" ht="21" x14ac:dyDescent="0.3">
      <c r="A146" s="58"/>
      <c r="B146" s="53" t="s">
        <v>1484</v>
      </c>
      <c r="C146" s="53"/>
      <c r="D146" s="53"/>
      <c r="E146" s="54">
        <v>150</v>
      </c>
      <c r="F146" s="54">
        <v>65.8</v>
      </c>
      <c r="G146" s="54"/>
      <c r="H146" s="53" t="s">
        <v>1442</v>
      </c>
    </row>
    <row r="147" spans="1:8" ht="21" x14ac:dyDescent="0.3">
      <c r="A147" s="58"/>
      <c r="B147" s="51" t="s">
        <v>1485</v>
      </c>
      <c r="C147" s="51"/>
      <c r="D147" s="51"/>
      <c r="E147" s="52">
        <v>350</v>
      </c>
      <c r="F147" s="52">
        <v>293</v>
      </c>
      <c r="G147" s="52"/>
      <c r="H147" s="51" t="s">
        <v>1442</v>
      </c>
    </row>
    <row r="148" spans="1:8" ht="21" x14ac:dyDescent="0.3">
      <c r="A148" s="58"/>
      <c r="B148" s="51" t="s">
        <v>1486</v>
      </c>
      <c r="C148" s="51"/>
      <c r="D148" s="51"/>
      <c r="E148" s="54">
        <v>215</v>
      </c>
      <c r="F148" s="54">
        <v>154</v>
      </c>
      <c r="G148" s="54"/>
      <c r="H148" s="51" t="s">
        <v>1442</v>
      </c>
    </row>
    <row r="149" spans="1:8" ht="21" x14ac:dyDescent="0.3">
      <c r="A149" s="58"/>
      <c r="B149" s="53" t="s">
        <v>1487</v>
      </c>
      <c r="C149" s="53"/>
      <c r="D149" s="53"/>
      <c r="E149" s="52">
        <v>880</v>
      </c>
      <c r="F149" s="52">
        <v>726</v>
      </c>
      <c r="G149" s="52"/>
      <c r="H149" s="53" t="s">
        <v>1442</v>
      </c>
    </row>
    <row r="150" spans="1:8" ht="21" x14ac:dyDescent="0.3">
      <c r="A150" s="58"/>
      <c r="B150" s="51" t="s">
        <v>1488</v>
      </c>
      <c r="C150" s="51"/>
      <c r="D150" s="51"/>
      <c r="E150" s="54">
        <v>190</v>
      </c>
      <c r="F150" s="54">
        <v>148.30000000000001</v>
      </c>
      <c r="G150" s="54"/>
      <c r="H150" s="51" t="s">
        <v>1442</v>
      </c>
    </row>
    <row r="151" spans="1:8" ht="21" x14ac:dyDescent="0.3">
      <c r="A151" s="58"/>
      <c r="B151" s="53" t="s">
        <v>1489</v>
      </c>
      <c r="C151" s="53"/>
      <c r="D151" s="53"/>
      <c r="E151" s="52">
        <v>600</v>
      </c>
      <c r="F151" s="52">
        <v>545</v>
      </c>
      <c r="G151" s="52"/>
      <c r="H151" s="53" t="s">
        <v>1442</v>
      </c>
    </row>
    <row r="152" spans="1:8" ht="21" x14ac:dyDescent="0.3">
      <c r="A152" s="58"/>
      <c r="B152" s="53" t="s">
        <v>1490</v>
      </c>
      <c r="C152" s="53"/>
      <c r="D152" s="53"/>
      <c r="E152" s="52">
        <v>140</v>
      </c>
      <c r="F152" s="52">
        <v>97.7</v>
      </c>
      <c r="G152" s="52"/>
      <c r="H152" s="53" t="s">
        <v>1442</v>
      </c>
    </row>
    <row r="153" spans="1:8" ht="21" x14ac:dyDescent="0.3">
      <c r="A153" s="58"/>
      <c r="B153" s="53" t="s">
        <v>1491</v>
      </c>
      <c r="C153" s="53"/>
      <c r="D153" s="53"/>
      <c r="E153" s="52">
        <v>110</v>
      </c>
      <c r="F153" s="52">
        <v>74.099999999999994</v>
      </c>
      <c r="G153" s="52"/>
      <c r="H153" s="53" t="s">
        <v>1442</v>
      </c>
    </row>
    <row r="154" spans="1:8" ht="21" x14ac:dyDescent="0.3">
      <c r="A154" s="58"/>
      <c r="B154" s="51" t="s">
        <v>1492</v>
      </c>
      <c r="C154" s="51"/>
      <c r="D154" s="51"/>
      <c r="E154" s="54">
        <v>370</v>
      </c>
      <c r="F154" s="54">
        <v>330.1</v>
      </c>
      <c r="G154" s="54"/>
      <c r="H154" s="51" t="s">
        <v>1442</v>
      </c>
    </row>
    <row r="155" spans="1:8" ht="21" x14ac:dyDescent="0.3">
      <c r="A155" s="58"/>
      <c r="B155" s="51" t="s">
        <v>1493</v>
      </c>
      <c r="C155" s="51"/>
      <c r="D155" s="51"/>
      <c r="E155" s="54">
        <v>340</v>
      </c>
      <c r="F155" s="54">
        <v>250.8</v>
      </c>
      <c r="G155" s="54"/>
      <c r="H155" s="51" t="s">
        <v>1442</v>
      </c>
    </row>
    <row r="156" spans="1:8" ht="21" x14ac:dyDescent="0.3">
      <c r="A156" s="58"/>
      <c r="B156" s="51" t="s">
        <v>1494</v>
      </c>
      <c r="C156" s="51"/>
      <c r="D156" s="51"/>
      <c r="E156" s="54">
        <v>1150</v>
      </c>
      <c r="F156" s="54">
        <v>1068</v>
      </c>
      <c r="G156" s="54"/>
      <c r="H156" s="51" t="s">
        <v>1442</v>
      </c>
    </row>
    <row r="157" spans="1:8" ht="21" x14ac:dyDescent="0.3">
      <c r="A157" s="58"/>
      <c r="B157" s="51" t="s">
        <v>1495</v>
      </c>
      <c r="C157" s="51"/>
      <c r="D157" s="51"/>
      <c r="E157" s="52">
        <v>600</v>
      </c>
      <c r="F157" s="52">
        <v>455</v>
      </c>
      <c r="G157" s="52"/>
      <c r="H157" s="51" t="s">
        <v>1442</v>
      </c>
    </row>
    <row r="158" spans="1:8" ht="21" x14ac:dyDescent="0.3">
      <c r="A158" s="58"/>
      <c r="B158" s="53" t="s">
        <v>1496</v>
      </c>
      <c r="C158" s="53"/>
      <c r="D158" s="53"/>
      <c r="E158" s="52">
        <v>1600</v>
      </c>
      <c r="F158" s="52">
        <v>1482</v>
      </c>
      <c r="G158" s="52"/>
      <c r="H158" s="53" t="s">
        <v>1442</v>
      </c>
    </row>
    <row r="159" spans="1:8" ht="21" x14ac:dyDescent="0.3">
      <c r="A159" s="58"/>
      <c r="B159" s="53" t="s">
        <v>1497</v>
      </c>
      <c r="C159" s="53"/>
      <c r="D159" s="53"/>
      <c r="E159" s="54">
        <v>450</v>
      </c>
      <c r="F159" s="54">
        <v>336.3</v>
      </c>
      <c r="G159" s="54"/>
      <c r="H159" s="53" t="s">
        <v>1442</v>
      </c>
    </row>
    <row r="160" spans="1:8" ht="21" x14ac:dyDescent="0.3">
      <c r="A160" s="58"/>
      <c r="B160" s="53" t="s">
        <v>1498</v>
      </c>
      <c r="C160" s="53"/>
      <c r="D160" s="53"/>
      <c r="E160" s="54">
        <v>4200</v>
      </c>
      <c r="F160" s="54">
        <v>2152.2399999999998</v>
      </c>
      <c r="G160" s="54"/>
      <c r="H160" s="53" t="s">
        <v>1442</v>
      </c>
    </row>
    <row r="161" spans="1:8" ht="21" x14ac:dyDescent="0.3">
      <c r="A161" s="58"/>
      <c r="B161" s="51" t="s">
        <v>1499</v>
      </c>
      <c r="C161" s="51"/>
      <c r="D161" s="51"/>
      <c r="E161" s="54">
        <v>95</v>
      </c>
      <c r="F161" s="54">
        <v>0</v>
      </c>
      <c r="G161" s="54"/>
      <c r="H161" s="51" t="s">
        <v>1442</v>
      </c>
    </row>
    <row r="162" spans="1:8" ht="21" x14ac:dyDescent="0.3">
      <c r="A162" s="58"/>
      <c r="B162" s="53" t="s">
        <v>1500</v>
      </c>
      <c r="C162" s="53"/>
      <c r="D162" s="53"/>
      <c r="E162" s="52">
        <v>270</v>
      </c>
      <c r="F162" s="52">
        <v>114.59</v>
      </c>
      <c r="G162" s="52"/>
      <c r="H162" s="53" t="s">
        <v>1442</v>
      </c>
    </row>
    <row r="163" spans="1:8" ht="21" x14ac:dyDescent="0.3">
      <c r="A163" s="58"/>
      <c r="B163" s="51" t="s">
        <v>1501</v>
      </c>
      <c r="C163" s="51"/>
      <c r="D163" s="51"/>
      <c r="E163" s="54">
        <v>150</v>
      </c>
      <c r="F163" s="54">
        <v>116.1</v>
      </c>
      <c r="G163" s="54"/>
      <c r="H163" s="51" t="s">
        <v>1502</v>
      </c>
    </row>
    <row r="164" spans="1:8" ht="21" x14ac:dyDescent="0.3">
      <c r="A164" s="58"/>
      <c r="B164" s="53" t="s">
        <v>1503</v>
      </c>
      <c r="C164" s="53"/>
      <c r="D164" s="53"/>
      <c r="E164" s="54">
        <v>410</v>
      </c>
      <c r="F164" s="54">
        <v>340.9</v>
      </c>
      <c r="G164" s="54"/>
      <c r="H164" s="53" t="s">
        <v>1502</v>
      </c>
    </row>
    <row r="165" spans="1:8" ht="21" x14ac:dyDescent="0.3">
      <c r="A165" s="58"/>
      <c r="B165" s="51" t="s">
        <v>1504</v>
      </c>
      <c r="C165" s="51"/>
      <c r="D165" s="51"/>
      <c r="E165" s="52">
        <v>1200</v>
      </c>
      <c r="F165" s="52">
        <v>1117.0999999999999</v>
      </c>
      <c r="G165" s="52"/>
      <c r="H165" s="51" t="s">
        <v>1502</v>
      </c>
    </row>
    <row r="166" spans="1:8" ht="21" x14ac:dyDescent="0.3">
      <c r="A166" s="58"/>
      <c r="B166" s="51" t="s">
        <v>1505</v>
      </c>
      <c r="C166" s="51"/>
      <c r="D166" s="51"/>
      <c r="E166" s="52">
        <v>470</v>
      </c>
      <c r="F166" s="52">
        <v>412.2</v>
      </c>
      <c r="G166" s="52"/>
      <c r="H166" s="51" t="s">
        <v>1502</v>
      </c>
    </row>
    <row r="167" spans="1:8" ht="21" x14ac:dyDescent="0.3">
      <c r="A167" s="58"/>
      <c r="B167" s="51" t="s">
        <v>1506</v>
      </c>
      <c r="C167" s="51"/>
      <c r="D167" s="51"/>
      <c r="E167" s="52">
        <v>70</v>
      </c>
      <c r="F167" s="52">
        <v>46.8</v>
      </c>
      <c r="G167" s="52"/>
      <c r="H167" s="51" t="s">
        <v>1502</v>
      </c>
    </row>
    <row r="168" spans="1:8" ht="21" x14ac:dyDescent="0.3">
      <c r="A168" s="58"/>
      <c r="B168" s="51" t="s">
        <v>1507</v>
      </c>
      <c r="C168" s="51"/>
      <c r="D168" s="51"/>
      <c r="E168" s="54">
        <v>170</v>
      </c>
      <c r="F168" s="54">
        <v>139.6</v>
      </c>
      <c r="G168" s="54"/>
      <c r="H168" s="51" t="s">
        <v>1502</v>
      </c>
    </row>
    <row r="169" spans="1:8" ht="21" x14ac:dyDescent="0.3">
      <c r="A169" s="58"/>
      <c r="B169" s="53" t="s">
        <v>1508</v>
      </c>
      <c r="C169" s="53"/>
      <c r="D169" s="53"/>
      <c r="E169" s="52">
        <v>440</v>
      </c>
      <c r="F169" s="52">
        <v>397.1</v>
      </c>
      <c r="G169" s="52"/>
      <c r="H169" s="53" t="s">
        <v>1502</v>
      </c>
    </row>
    <row r="170" spans="1:8" ht="21" x14ac:dyDescent="0.3">
      <c r="A170" s="58"/>
      <c r="B170" s="53" t="s">
        <v>1509</v>
      </c>
      <c r="C170" s="53"/>
      <c r="D170" s="53"/>
      <c r="E170" s="52">
        <v>330</v>
      </c>
      <c r="F170" s="52">
        <v>273.60000000000002</v>
      </c>
      <c r="G170" s="52"/>
      <c r="H170" s="53" t="s">
        <v>1502</v>
      </c>
    </row>
    <row r="171" spans="1:8" ht="21" x14ac:dyDescent="0.3">
      <c r="A171" s="58"/>
      <c r="B171" s="53" t="s">
        <v>1510</v>
      </c>
      <c r="C171" s="53"/>
      <c r="D171" s="53"/>
      <c r="E171" s="52">
        <v>180</v>
      </c>
      <c r="F171" s="52">
        <v>145.6</v>
      </c>
      <c r="G171" s="52"/>
      <c r="H171" s="53" t="s">
        <v>1502</v>
      </c>
    </row>
    <row r="172" spans="1:8" ht="21" x14ac:dyDescent="0.3">
      <c r="A172" s="58"/>
      <c r="B172" s="51" t="s">
        <v>1511</v>
      </c>
      <c r="C172" s="51"/>
      <c r="D172" s="51"/>
      <c r="E172" s="52">
        <v>1625</v>
      </c>
      <c r="F172" s="52">
        <v>1526</v>
      </c>
      <c r="G172" s="52"/>
      <c r="H172" s="51" t="s">
        <v>1502</v>
      </c>
    </row>
    <row r="173" spans="1:8" ht="21" x14ac:dyDescent="0.3">
      <c r="A173" s="58"/>
      <c r="B173" s="53" t="s">
        <v>1512</v>
      </c>
      <c r="C173" s="53"/>
      <c r="D173" s="53"/>
      <c r="E173" s="54">
        <v>615</v>
      </c>
      <c r="F173" s="54">
        <v>513.6</v>
      </c>
      <c r="G173" s="54"/>
      <c r="H173" s="53" t="s">
        <v>1502</v>
      </c>
    </row>
    <row r="174" spans="1:8" ht="21" x14ac:dyDescent="0.3">
      <c r="A174" s="58"/>
      <c r="B174" s="51" t="s">
        <v>1513</v>
      </c>
      <c r="C174" s="51"/>
      <c r="D174" s="51"/>
      <c r="E174" s="54">
        <v>650</v>
      </c>
      <c r="F174" s="54">
        <v>577</v>
      </c>
      <c r="G174" s="54"/>
      <c r="H174" s="51" t="s">
        <v>1502</v>
      </c>
    </row>
    <row r="175" spans="1:8" ht="21" x14ac:dyDescent="0.3">
      <c r="A175" s="58"/>
      <c r="B175" s="53" t="s">
        <v>1514</v>
      </c>
      <c r="C175" s="53"/>
      <c r="D175" s="53"/>
      <c r="E175" s="54">
        <v>220</v>
      </c>
      <c r="F175" s="54">
        <v>182.5</v>
      </c>
      <c r="G175" s="54"/>
      <c r="H175" s="53" t="s">
        <v>1502</v>
      </c>
    </row>
    <row r="176" spans="1:8" ht="21" x14ac:dyDescent="0.3">
      <c r="A176" s="58"/>
      <c r="B176" s="51" t="s">
        <v>1515</v>
      </c>
      <c r="C176" s="51"/>
      <c r="D176" s="51"/>
      <c r="E176" s="52">
        <v>577</v>
      </c>
      <c r="F176" s="52">
        <v>509.4</v>
      </c>
      <c r="G176" s="52"/>
      <c r="H176" s="51" t="s">
        <v>1502</v>
      </c>
    </row>
    <row r="177" spans="1:8" ht="21" x14ac:dyDescent="0.3">
      <c r="A177" s="58"/>
      <c r="B177" s="55" t="s">
        <v>1516</v>
      </c>
      <c r="C177" s="55"/>
      <c r="D177" s="55"/>
      <c r="E177" s="56">
        <v>1050</v>
      </c>
      <c r="F177" s="56">
        <v>887</v>
      </c>
      <c r="G177" s="56"/>
      <c r="H177" s="55" t="s">
        <v>1502</v>
      </c>
    </row>
    <row r="178" spans="1:8" ht="21" x14ac:dyDescent="0.3">
      <c r="A178" s="58"/>
      <c r="B178" s="53" t="s">
        <v>1517</v>
      </c>
      <c r="C178" s="53"/>
      <c r="D178" s="53"/>
      <c r="E178" s="54">
        <v>350</v>
      </c>
      <c r="F178" s="54">
        <v>305</v>
      </c>
      <c r="G178" s="54"/>
      <c r="H178" s="53" t="s">
        <v>1518</v>
      </c>
    </row>
    <row r="179" spans="1:8" ht="21" x14ac:dyDescent="0.3">
      <c r="A179" s="58"/>
      <c r="B179" s="51" t="s">
        <v>1519</v>
      </c>
      <c r="C179" s="51"/>
      <c r="D179" s="51"/>
      <c r="E179" s="54">
        <v>1080</v>
      </c>
      <c r="F179" s="54">
        <v>937</v>
      </c>
      <c r="G179" s="54"/>
      <c r="H179" s="51" t="s">
        <v>1518</v>
      </c>
    </row>
    <row r="180" spans="1:8" ht="21" x14ac:dyDescent="0.3">
      <c r="A180" s="58"/>
      <c r="B180" s="51" t="s">
        <v>1520</v>
      </c>
      <c r="C180" s="51"/>
      <c r="D180" s="51"/>
      <c r="E180" s="52">
        <v>6400</v>
      </c>
      <c r="F180" s="52">
        <v>5950</v>
      </c>
      <c r="G180" s="52"/>
      <c r="H180" s="51" t="s">
        <v>1518</v>
      </c>
    </row>
    <row r="181" spans="1:8" ht="21" x14ac:dyDescent="0.3">
      <c r="A181" s="58"/>
      <c r="B181" s="53" t="s">
        <v>1521</v>
      </c>
      <c r="C181" s="53"/>
      <c r="D181" s="53"/>
      <c r="E181" s="52">
        <v>1050</v>
      </c>
      <c r="F181" s="52">
        <v>954</v>
      </c>
      <c r="G181" s="52"/>
      <c r="H181" s="53" t="s">
        <v>1518</v>
      </c>
    </row>
    <row r="182" spans="1:8" ht="21" x14ac:dyDescent="0.3">
      <c r="A182" s="58"/>
      <c r="B182" s="53" t="s">
        <v>1522</v>
      </c>
      <c r="C182" s="53"/>
      <c r="D182" s="53"/>
      <c r="E182" s="52">
        <v>470</v>
      </c>
      <c r="F182" s="52">
        <v>433</v>
      </c>
      <c r="G182" s="52"/>
      <c r="H182" s="53" t="s">
        <v>1518</v>
      </c>
    </row>
    <row r="183" spans="1:8" ht="21" x14ac:dyDescent="0.3">
      <c r="A183" s="58"/>
      <c r="B183" s="53" t="s">
        <v>1523</v>
      </c>
      <c r="C183" s="53"/>
      <c r="D183" s="53"/>
      <c r="E183" s="54">
        <v>335</v>
      </c>
      <c r="F183" s="54">
        <v>305</v>
      </c>
      <c r="G183" s="54"/>
      <c r="H183" s="53" t="s">
        <v>1518</v>
      </c>
    </row>
    <row r="184" spans="1:8" ht="21" x14ac:dyDescent="0.3">
      <c r="A184" s="58"/>
      <c r="B184" s="51" t="s">
        <v>1524</v>
      </c>
      <c r="C184" s="51"/>
      <c r="D184" s="51"/>
      <c r="E184" s="52">
        <v>600</v>
      </c>
      <c r="F184" s="52">
        <v>520</v>
      </c>
      <c r="G184" s="52"/>
      <c r="H184" s="51" t="s">
        <v>1518</v>
      </c>
    </row>
    <row r="185" spans="1:8" ht="21" x14ac:dyDescent="0.3">
      <c r="A185" s="58"/>
      <c r="B185" s="53" t="s">
        <v>1525</v>
      </c>
      <c r="C185" s="53"/>
      <c r="D185" s="53"/>
      <c r="E185" s="54">
        <v>2275</v>
      </c>
      <c r="F185" s="54">
        <v>2010</v>
      </c>
      <c r="G185" s="54"/>
      <c r="H185" s="53" t="s">
        <v>1518</v>
      </c>
    </row>
    <row r="186" spans="1:8" ht="21" x14ac:dyDescent="0.3">
      <c r="A186" s="58"/>
      <c r="B186" s="53" t="s">
        <v>1526</v>
      </c>
      <c r="C186" s="53"/>
      <c r="D186" s="53"/>
      <c r="E186" s="52">
        <v>2700</v>
      </c>
      <c r="F186" s="52">
        <v>2431</v>
      </c>
      <c r="G186" s="52"/>
      <c r="H186" s="53" t="s">
        <v>1518</v>
      </c>
    </row>
    <row r="187" spans="1:8" ht="21" x14ac:dyDescent="0.3">
      <c r="A187" s="58"/>
      <c r="B187" s="51" t="s">
        <v>1527</v>
      </c>
      <c r="C187" s="51"/>
      <c r="D187" s="51"/>
      <c r="E187" s="54">
        <v>750</v>
      </c>
      <c r="F187" s="54">
        <v>675</v>
      </c>
      <c r="G187" s="54"/>
      <c r="H187" s="51" t="s">
        <v>1518</v>
      </c>
    </row>
    <row r="188" spans="1:8" ht="21" x14ac:dyDescent="0.3">
      <c r="A188" s="58"/>
      <c r="B188" s="53" t="s">
        <v>1528</v>
      </c>
      <c r="C188" s="53"/>
      <c r="D188" s="53"/>
      <c r="E188" s="52">
        <v>400</v>
      </c>
      <c r="F188" s="52">
        <v>384</v>
      </c>
      <c r="G188" s="52"/>
      <c r="H188" s="53" t="s">
        <v>1518</v>
      </c>
    </row>
    <row r="189" spans="1:8" ht="21" x14ac:dyDescent="0.3">
      <c r="A189" s="58"/>
      <c r="B189" s="51" t="s">
        <v>1529</v>
      </c>
      <c r="C189" s="51"/>
      <c r="D189" s="51"/>
      <c r="E189" s="54">
        <v>1400</v>
      </c>
      <c r="F189" s="54">
        <v>1318</v>
      </c>
      <c r="G189" s="54"/>
      <c r="H189" s="51" t="s">
        <v>1518</v>
      </c>
    </row>
    <row r="190" spans="1:8" ht="21" x14ac:dyDescent="0.3">
      <c r="A190" s="58"/>
      <c r="B190" s="51" t="s">
        <v>1530</v>
      </c>
      <c r="C190" s="51"/>
      <c r="D190" s="51"/>
      <c r="E190" s="54">
        <v>0</v>
      </c>
      <c r="F190" s="54">
        <v>0</v>
      </c>
      <c r="G190" s="54"/>
      <c r="H190" s="51" t="s">
        <v>1518</v>
      </c>
    </row>
    <row r="191" spans="1:8" ht="21" x14ac:dyDescent="0.3">
      <c r="A191" s="58"/>
      <c r="B191" s="53" t="s">
        <v>1531</v>
      </c>
      <c r="C191" s="53"/>
      <c r="D191" s="53"/>
      <c r="E191" s="54">
        <v>50</v>
      </c>
      <c r="F191" s="54">
        <v>27</v>
      </c>
      <c r="G191" s="54"/>
      <c r="H191" s="53" t="s">
        <v>1532</v>
      </c>
    </row>
    <row r="192" spans="1:8" ht="21" x14ac:dyDescent="0.3">
      <c r="A192" s="58"/>
      <c r="B192" s="53" t="s">
        <v>1533</v>
      </c>
      <c r="C192" s="53"/>
      <c r="D192" s="53"/>
      <c r="E192" s="54">
        <v>200</v>
      </c>
      <c r="F192" s="54">
        <v>168.2</v>
      </c>
      <c r="G192" s="54"/>
      <c r="H192" s="53" t="s">
        <v>1532</v>
      </c>
    </row>
    <row r="193" spans="1:8" ht="21" x14ac:dyDescent="0.3">
      <c r="A193" s="58"/>
      <c r="B193" s="51" t="s">
        <v>1534</v>
      </c>
      <c r="C193" s="51"/>
      <c r="D193" s="51"/>
      <c r="E193" s="54">
        <v>275</v>
      </c>
      <c r="F193" s="54">
        <v>250</v>
      </c>
      <c r="G193" s="54"/>
      <c r="H193" s="51" t="s">
        <v>1532</v>
      </c>
    </row>
    <row r="194" spans="1:8" ht="21" x14ac:dyDescent="0.3">
      <c r="A194" s="58"/>
      <c r="B194" s="51" t="s">
        <v>1535</v>
      </c>
      <c r="C194" s="51"/>
      <c r="D194" s="51"/>
      <c r="E194" s="52">
        <v>440</v>
      </c>
      <c r="F194" s="52">
        <v>405.05</v>
      </c>
      <c r="G194" s="52"/>
      <c r="H194" s="51" t="s">
        <v>1532</v>
      </c>
    </row>
    <row r="195" spans="1:8" ht="21" x14ac:dyDescent="0.3">
      <c r="A195" s="58"/>
      <c r="B195" s="53" t="s">
        <v>1536</v>
      </c>
      <c r="C195" s="53"/>
      <c r="D195" s="53"/>
      <c r="E195" s="54">
        <v>625</v>
      </c>
      <c r="F195" s="54">
        <v>499</v>
      </c>
      <c r="G195" s="54"/>
      <c r="H195" s="53" t="s">
        <v>1532</v>
      </c>
    </row>
    <row r="196" spans="1:8" ht="21" x14ac:dyDescent="0.3">
      <c r="A196" s="58"/>
      <c r="B196" s="53" t="s">
        <v>1537</v>
      </c>
      <c r="C196" s="53"/>
      <c r="D196" s="53"/>
      <c r="E196" s="52">
        <v>250</v>
      </c>
      <c r="F196" s="52">
        <v>220</v>
      </c>
      <c r="G196" s="52"/>
      <c r="H196" s="53" t="s">
        <v>1532</v>
      </c>
    </row>
    <row r="197" spans="1:8" ht="21" x14ac:dyDescent="0.3">
      <c r="A197" s="58"/>
      <c r="B197" s="51" t="s">
        <v>1538</v>
      </c>
      <c r="C197" s="51"/>
      <c r="D197" s="51"/>
      <c r="E197" s="52">
        <v>60</v>
      </c>
      <c r="F197" s="52">
        <v>41.231099999999998</v>
      </c>
      <c r="G197" s="52"/>
      <c r="H197" s="51" t="s">
        <v>29</v>
      </c>
    </row>
    <row r="198" spans="1:8" ht="21" x14ac:dyDescent="0.3">
      <c r="A198" s="58"/>
      <c r="B198" s="51" t="s">
        <v>1539</v>
      </c>
      <c r="C198" s="51"/>
      <c r="D198" s="51"/>
      <c r="E198" s="54">
        <v>130</v>
      </c>
      <c r="F198" s="54">
        <v>75</v>
      </c>
      <c r="G198" s="54"/>
      <c r="H198" s="51" t="s">
        <v>29</v>
      </c>
    </row>
    <row r="199" spans="1:8" ht="21" x14ac:dyDescent="0.3">
      <c r="A199" s="58"/>
      <c r="B199" s="53" t="s">
        <v>1540</v>
      </c>
      <c r="C199" s="53"/>
      <c r="D199" s="53"/>
      <c r="E199" s="54">
        <v>160</v>
      </c>
      <c r="F199" s="54">
        <v>94.293499999999995</v>
      </c>
      <c r="G199" s="54"/>
      <c r="H199" s="53" t="s">
        <v>29</v>
      </c>
    </row>
    <row r="200" spans="1:8" ht="21" x14ac:dyDescent="0.3">
      <c r="A200" s="58"/>
      <c r="B200" s="51" t="s">
        <v>1541</v>
      </c>
      <c r="C200" s="51"/>
      <c r="D200" s="51"/>
      <c r="E200" s="52">
        <v>100</v>
      </c>
      <c r="F200" s="52">
        <v>59.591200000000001</v>
      </c>
      <c r="G200" s="52"/>
      <c r="H200" s="51" t="s">
        <v>29</v>
      </c>
    </row>
    <row r="201" spans="1:8" ht="21" x14ac:dyDescent="0.3">
      <c r="A201" s="58"/>
      <c r="B201" s="53" t="s">
        <v>1542</v>
      </c>
      <c r="C201" s="53"/>
      <c r="D201" s="53"/>
      <c r="E201" s="54">
        <v>140</v>
      </c>
      <c r="F201" s="54">
        <v>85</v>
      </c>
      <c r="G201" s="54"/>
      <c r="H201" s="53" t="s">
        <v>29</v>
      </c>
    </row>
    <row r="202" spans="1:8" ht="21" x14ac:dyDescent="0.3">
      <c r="A202" s="58"/>
      <c r="B202" s="53" t="s">
        <v>1543</v>
      </c>
      <c r="C202" s="53"/>
      <c r="D202" s="53"/>
      <c r="E202" s="54">
        <v>75</v>
      </c>
      <c r="F202" s="54">
        <v>39.580399999999997</v>
      </c>
      <c r="G202" s="54"/>
      <c r="H202" s="53" t="s">
        <v>29</v>
      </c>
    </row>
    <row r="203" spans="1:8" ht="21" x14ac:dyDescent="0.3">
      <c r="A203" s="58"/>
      <c r="B203" s="51" t="s">
        <v>1544</v>
      </c>
      <c r="C203" s="51"/>
      <c r="D203" s="51"/>
      <c r="E203" s="54">
        <v>100</v>
      </c>
      <c r="F203" s="54">
        <v>54.166699999999999</v>
      </c>
      <c r="G203" s="54"/>
      <c r="H203" s="51" t="s">
        <v>29</v>
      </c>
    </row>
    <row r="204" spans="1:8" ht="21" x14ac:dyDescent="0.3">
      <c r="A204" s="58"/>
      <c r="B204" s="53" t="s">
        <v>1545</v>
      </c>
      <c r="C204" s="53"/>
      <c r="D204" s="53"/>
      <c r="E204" s="54">
        <v>10</v>
      </c>
      <c r="F204" s="54">
        <v>3.3</v>
      </c>
      <c r="G204" s="54"/>
      <c r="H204" s="53" t="s">
        <v>29</v>
      </c>
    </row>
    <row r="205" spans="1:8" ht="21" x14ac:dyDescent="0.3">
      <c r="A205" s="58"/>
      <c r="B205" s="51" t="s">
        <v>1546</v>
      </c>
      <c r="C205" s="51"/>
      <c r="D205" s="51"/>
      <c r="E205" s="52">
        <v>10</v>
      </c>
      <c r="F205" s="52">
        <v>4</v>
      </c>
      <c r="G205" s="52"/>
      <c r="H205" s="51" t="s">
        <v>29</v>
      </c>
    </row>
    <row r="206" spans="1:8" ht="21" x14ac:dyDescent="0.3">
      <c r="A206" s="58"/>
      <c r="B206" s="53" t="s">
        <v>1547</v>
      </c>
      <c r="C206" s="53"/>
      <c r="D206" s="53"/>
      <c r="E206" s="54">
        <v>10</v>
      </c>
      <c r="F206" s="54">
        <v>6.375</v>
      </c>
      <c r="G206" s="54"/>
      <c r="H206" s="53" t="s">
        <v>29</v>
      </c>
    </row>
    <row r="207" spans="1:8" ht="21" x14ac:dyDescent="0.3">
      <c r="A207" s="58"/>
      <c r="B207" s="51" t="s">
        <v>1548</v>
      </c>
      <c r="C207" s="51"/>
      <c r="D207" s="51"/>
      <c r="E207" s="54">
        <v>10</v>
      </c>
      <c r="F207" s="54">
        <v>5.9340000000000002</v>
      </c>
      <c r="G207" s="54"/>
      <c r="H207" s="51" t="s">
        <v>29</v>
      </c>
    </row>
    <row r="208" spans="1:8" ht="21" x14ac:dyDescent="0.3">
      <c r="A208" s="58"/>
      <c r="B208" s="51" t="s">
        <v>1549</v>
      </c>
      <c r="C208" s="51"/>
      <c r="D208" s="51"/>
      <c r="E208" s="52">
        <v>10</v>
      </c>
      <c r="F208" s="52">
        <v>1.8817999999999999</v>
      </c>
      <c r="G208" s="52"/>
      <c r="H208" s="51" t="s">
        <v>29</v>
      </c>
    </row>
    <row r="209" spans="1:8" ht="21" x14ac:dyDescent="0.3">
      <c r="A209" s="58"/>
      <c r="B209" s="53" t="s">
        <v>1550</v>
      </c>
      <c r="C209" s="53"/>
      <c r="D209" s="53"/>
      <c r="E209" s="52">
        <v>10</v>
      </c>
      <c r="F209" s="52">
        <v>2.6402999999999999</v>
      </c>
      <c r="G209" s="52"/>
      <c r="H209" s="53" t="s">
        <v>29</v>
      </c>
    </row>
    <row r="210" spans="1:8" ht="21" x14ac:dyDescent="0.3">
      <c r="A210" s="58"/>
      <c r="B210" s="53" t="s">
        <v>1551</v>
      </c>
      <c r="C210" s="53"/>
      <c r="D210" s="53"/>
      <c r="E210" s="54">
        <v>30</v>
      </c>
      <c r="F210" s="54">
        <v>20.007100000000001</v>
      </c>
      <c r="G210" s="54"/>
      <c r="H210" s="53" t="s">
        <v>29</v>
      </c>
    </row>
    <row r="211" spans="1:8" ht="21" x14ac:dyDescent="0.3">
      <c r="A211" s="58"/>
      <c r="B211" s="53" t="s">
        <v>1552</v>
      </c>
      <c r="C211" s="53"/>
      <c r="D211" s="53"/>
      <c r="E211" s="52">
        <v>50</v>
      </c>
      <c r="F211" s="52">
        <v>28.75</v>
      </c>
      <c r="G211" s="52"/>
      <c r="H211" s="53" t="s">
        <v>29</v>
      </c>
    </row>
    <row r="212" spans="1:8" ht="21" x14ac:dyDescent="0.3">
      <c r="A212" s="58"/>
      <c r="B212" s="51" t="s">
        <v>1553</v>
      </c>
      <c r="C212" s="51"/>
      <c r="D212" s="51"/>
      <c r="E212" s="52">
        <v>100</v>
      </c>
      <c r="F212" s="52">
        <v>95.8</v>
      </c>
      <c r="G212" s="52"/>
      <c r="H212" s="51" t="s">
        <v>29</v>
      </c>
    </row>
    <row r="213" spans="1:8" ht="21" x14ac:dyDescent="0.3">
      <c r="A213" s="58"/>
      <c r="B213" s="53" t="s">
        <v>1554</v>
      </c>
      <c r="C213" s="53"/>
      <c r="D213" s="53"/>
      <c r="E213" s="54">
        <v>75</v>
      </c>
      <c r="F213" s="54">
        <v>45</v>
      </c>
      <c r="G213" s="54"/>
      <c r="H213" s="53" t="s">
        <v>29</v>
      </c>
    </row>
    <row r="214" spans="1:8" ht="21" x14ac:dyDescent="0.3">
      <c r="A214" s="58"/>
      <c r="B214" s="51" t="s">
        <v>1555</v>
      </c>
      <c r="C214" s="51"/>
      <c r="D214" s="51"/>
      <c r="E214" s="52">
        <v>130</v>
      </c>
      <c r="F214" s="52">
        <v>85.043199999999999</v>
      </c>
      <c r="G214" s="52"/>
      <c r="H214" s="51" t="s">
        <v>29</v>
      </c>
    </row>
    <row r="215" spans="1:8" ht="21" x14ac:dyDescent="0.3">
      <c r="A215" s="58"/>
      <c r="B215" s="53" t="s">
        <v>1556</v>
      </c>
      <c r="C215" s="53"/>
      <c r="D215" s="53"/>
      <c r="E215" s="54">
        <v>35</v>
      </c>
      <c r="F215" s="54">
        <v>15.6745</v>
      </c>
      <c r="G215" s="54"/>
      <c r="H215" s="53" t="s">
        <v>29</v>
      </c>
    </row>
    <row r="216" spans="1:8" ht="21" x14ac:dyDescent="0.3">
      <c r="A216" s="58"/>
      <c r="B216" s="51" t="s">
        <v>1557</v>
      </c>
      <c r="C216" s="51"/>
      <c r="D216" s="51"/>
      <c r="E216" s="54">
        <v>35</v>
      </c>
      <c r="F216" s="54">
        <v>16.3933</v>
      </c>
      <c r="G216" s="54"/>
      <c r="H216" s="51" t="s">
        <v>29</v>
      </c>
    </row>
    <row r="217" spans="1:8" ht="21" x14ac:dyDescent="0.3">
      <c r="A217" s="58"/>
      <c r="B217" s="51" t="s">
        <v>1558</v>
      </c>
      <c r="C217" s="51"/>
      <c r="D217" s="51"/>
      <c r="E217" s="52">
        <v>35</v>
      </c>
      <c r="F217" s="52">
        <v>5</v>
      </c>
      <c r="G217" s="52"/>
      <c r="H217" s="51" t="s">
        <v>29</v>
      </c>
    </row>
    <row r="218" spans="1:8" ht="21" x14ac:dyDescent="0.3">
      <c r="A218" s="58"/>
      <c r="B218" s="51" t="s">
        <v>1559</v>
      </c>
      <c r="C218" s="51"/>
      <c r="D218" s="51"/>
      <c r="E218" s="54">
        <v>35</v>
      </c>
      <c r="F218" s="54">
        <v>22.92</v>
      </c>
      <c r="G218" s="54"/>
      <c r="H218" s="51" t="s">
        <v>29</v>
      </c>
    </row>
    <row r="219" spans="1:8" ht="21" x14ac:dyDescent="0.3">
      <c r="A219" s="58"/>
      <c r="B219" s="53" t="s">
        <v>1560</v>
      </c>
      <c r="C219" s="53"/>
      <c r="D219" s="53"/>
      <c r="E219" s="54">
        <v>95</v>
      </c>
      <c r="F219" s="54">
        <v>65.844899999999996</v>
      </c>
      <c r="G219" s="54"/>
      <c r="H219" s="53" t="s">
        <v>29</v>
      </c>
    </row>
    <row r="220" spans="1:8" ht="21" x14ac:dyDescent="0.3">
      <c r="A220" s="58"/>
      <c r="B220" s="51" t="s">
        <v>1561</v>
      </c>
      <c r="C220" s="51"/>
      <c r="D220" s="51"/>
      <c r="E220" s="52">
        <v>95</v>
      </c>
      <c r="F220" s="52">
        <v>55</v>
      </c>
      <c r="G220" s="52"/>
      <c r="H220" s="51" t="s">
        <v>29</v>
      </c>
    </row>
    <row r="221" spans="1:8" ht="21" x14ac:dyDescent="0.3">
      <c r="A221" s="58"/>
      <c r="B221" s="53" t="s">
        <v>1562</v>
      </c>
      <c r="C221" s="53"/>
      <c r="D221" s="53"/>
      <c r="E221" s="54">
        <v>135</v>
      </c>
      <c r="F221" s="54">
        <v>81.25</v>
      </c>
      <c r="G221" s="54"/>
      <c r="H221" s="53" t="s">
        <v>29</v>
      </c>
    </row>
    <row r="222" spans="1:8" ht="21" x14ac:dyDescent="0.3">
      <c r="A222" s="58"/>
      <c r="B222" s="51" t="s">
        <v>1563</v>
      </c>
      <c r="C222" s="51"/>
      <c r="D222" s="51"/>
      <c r="E222" s="54">
        <v>190</v>
      </c>
      <c r="F222" s="54">
        <v>160</v>
      </c>
      <c r="G222" s="54"/>
      <c r="H222" s="51" t="s">
        <v>29</v>
      </c>
    </row>
    <row r="223" spans="1:8" ht="21" x14ac:dyDescent="0.3">
      <c r="A223" s="58"/>
      <c r="B223" s="53" t="s">
        <v>1564</v>
      </c>
      <c r="C223" s="53"/>
      <c r="D223" s="53"/>
      <c r="E223" s="52">
        <v>150</v>
      </c>
      <c r="F223" s="52">
        <v>115.3865</v>
      </c>
      <c r="G223" s="52"/>
      <c r="H223" s="53" t="s">
        <v>29</v>
      </c>
    </row>
    <row r="224" spans="1:8" ht="21" x14ac:dyDescent="0.3">
      <c r="A224" s="58"/>
      <c r="B224" s="51" t="s">
        <v>1565</v>
      </c>
      <c r="C224" s="51"/>
      <c r="D224" s="51"/>
      <c r="E224" s="54">
        <v>360</v>
      </c>
      <c r="F224" s="54">
        <v>307.8537</v>
      </c>
      <c r="G224" s="54"/>
      <c r="H224" s="51" t="s">
        <v>29</v>
      </c>
    </row>
    <row r="225" spans="1:8" ht="21" x14ac:dyDescent="0.3">
      <c r="A225" s="58"/>
      <c r="B225" s="53" t="s">
        <v>1566</v>
      </c>
      <c r="C225" s="53"/>
      <c r="D225" s="53"/>
      <c r="E225" s="54">
        <v>1300</v>
      </c>
      <c r="F225" s="54">
        <v>1140</v>
      </c>
      <c r="G225" s="54"/>
      <c r="H225" s="53" t="s">
        <v>29</v>
      </c>
    </row>
    <row r="226" spans="1:8" ht="21" x14ac:dyDescent="0.3">
      <c r="A226" s="58"/>
      <c r="B226" s="53" t="s">
        <v>1567</v>
      </c>
      <c r="C226" s="53"/>
      <c r="D226" s="53"/>
      <c r="E226" s="54">
        <v>60</v>
      </c>
      <c r="F226" s="54">
        <v>40</v>
      </c>
      <c r="G226" s="54"/>
      <c r="H226" s="53" t="s">
        <v>29</v>
      </c>
    </row>
    <row r="227" spans="1:8" ht="21" x14ac:dyDescent="0.3">
      <c r="A227" s="58"/>
      <c r="B227" s="53" t="s">
        <v>1568</v>
      </c>
      <c r="C227" s="53"/>
      <c r="D227" s="53"/>
      <c r="E227" s="54">
        <v>160</v>
      </c>
      <c r="F227" s="54">
        <v>90</v>
      </c>
      <c r="G227" s="54"/>
      <c r="H227" s="53" t="s">
        <v>29</v>
      </c>
    </row>
    <row r="228" spans="1:8" ht="21" x14ac:dyDescent="0.3">
      <c r="A228" s="58"/>
      <c r="B228" s="51" t="s">
        <v>1569</v>
      </c>
      <c r="C228" s="51"/>
      <c r="D228" s="51"/>
      <c r="E228" s="52">
        <v>250</v>
      </c>
      <c r="F228" s="52">
        <v>110</v>
      </c>
      <c r="G228" s="52"/>
      <c r="H228" s="51" t="s">
        <v>29</v>
      </c>
    </row>
    <row r="229" spans="1:8" ht="21" x14ac:dyDescent="0.3">
      <c r="A229" s="58"/>
      <c r="B229" s="53" t="s">
        <v>1570</v>
      </c>
      <c r="C229" s="53"/>
      <c r="D229" s="53"/>
      <c r="E229" s="54">
        <v>180</v>
      </c>
      <c r="F229" s="54">
        <v>92.5</v>
      </c>
      <c r="G229" s="54"/>
      <c r="H229" s="53" t="s">
        <v>29</v>
      </c>
    </row>
    <row r="230" spans="1:8" ht="21" x14ac:dyDescent="0.3">
      <c r="A230" s="58"/>
      <c r="B230" s="53" t="s">
        <v>1571</v>
      </c>
      <c r="C230" s="53"/>
      <c r="D230" s="53"/>
      <c r="E230" s="52">
        <v>375</v>
      </c>
      <c r="F230" s="52">
        <v>265.00310000000002</v>
      </c>
      <c r="G230" s="52"/>
      <c r="H230" s="53" t="s">
        <v>29</v>
      </c>
    </row>
    <row r="231" spans="1:8" ht="21" x14ac:dyDescent="0.3">
      <c r="A231" s="58"/>
      <c r="B231" s="53" t="s">
        <v>1572</v>
      </c>
      <c r="C231" s="53"/>
      <c r="D231" s="53"/>
      <c r="E231" s="52">
        <v>100</v>
      </c>
      <c r="F231" s="52">
        <v>79</v>
      </c>
      <c r="G231" s="52"/>
      <c r="H231" s="53" t="s">
        <v>29</v>
      </c>
    </row>
    <row r="232" spans="1:8" ht="21" x14ac:dyDescent="0.3">
      <c r="A232" s="58"/>
      <c r="B232" s="51" t="s">
        <v>1573</v>
      </c>
      <c r="C232" s="51"/>
      <c r="D232" s="51"/>
      <c r="E232" s="52">
        <v>320</v>
      </c>
      <c r="F232" s="52">
        <v>286</v>
      </c>
      <c r="G232" s="52"/>
      <c r="H232" s="51" t="s">
        <v>29</v>
      </c>
    </row>
    <row r="233" spans="1:8" ht="21" x14ac:dyDescent="0.3">
      <c r="A233" s="58"/>
      <c r="B233" s="53" t="s">
        <v>1574</v>
      </c>
      <c r="C233" s="53"/>
      <c r="D233" s="53"/>
      <c r="E233" s="52">
        <v>1050</v>
      </c>
      <c r="F233" s="52">
        <v>720</v>
      </c>
      <c r="G233" s="52"/>
      <c r="H233" s="53" t="s">
        <v>29</v>
      </c>
    </row>
    <row r="234" spans="1:8" ht="21" x14ac:dyDescent="0.3">
      <c r="A234" s="58"/>
      <c r="B234" s="51" t="s">
        <v>1575</v>
      </c>
      <c r="C234" s="51"/>
      <c r="D234" s="51"/>
      <c r="E234" s="52">
        <v>10</v>
      </c>
      <c r="F234" s="52">
        <v>5.1056999999999997</v>
      </c>
      <c r="G234" s="52"/>
      <c r="H234" s="51" t="s">
        <v>29</v>
      </c>
    </row>
    <row r="235" spans="1:8" ht="21" x14ac:dyDescent="0.3">
      <c r="A235" s="58"/>
      <c r="B235" s="51" t="s">
        <v>1576</v>
      </c>
      <c r="C235" s="51"/>
      <c r="D235" s="51"/>
      <c r="E235" s="52">
        <v>70</v>
      </c>
      <c r="F235" s="52">
        <v>38.35</v>
      </c>
      <c r="G235" s="52"/>
      <c r="H235" s="51" t="s">
        <v>29</v>
      </c>
    </row>
    <row r="236" spans="1:8" ht="21" x14ac:dyDescent="0.3">
      <c r="A236" s="58"/>
      <c r="B236" s="51" t="s">
        <v>1577</v>
      </c>
      <c r="C236" s="51"/>
      <c r="D236" s="51"/>
      <c r="E236" s="52">
        <v>100</v>
      </c>
      <c r="F236" s="52">
        <v>44.714300000000001</v>
      </c>
      <c r="G236" s="52"/>
      <c r="H236" s="51" t="s">
        <v>29</v>
      </c>
    </row>
    <row r="237" spans="1:8" ht="21" x14ac:dyDescent="0.3">
      <c r="A237" s="58"/>
      <c r="B237" s="53" t="s">
        <v>1578</v>
      </c>
      <c r="C237" s="53"/>
      <c r="D237" s="53"/>
      <c r="E237" s="52">
        <v>100</v>
      </c>
      <c r="F237" s="52">
        <v>46</v>
      </c>
      <c r="G237" s="52"/>
      <c r="H237" s="53" t="s">
        <v>29</v>
      </c>
    </row>
    <row r="238" spans="1:8" ht="21" x14ac:dyDescent="0.3">
      <c r="A238" s="58"/>
      <c r="B238" s="53" t="s">
        <v>1579</v>
      </c>
      <c r="C238" s="53"/>
      <c r="D238" s="53"/>
      <c r="E238" s="54">
        <v>135</v>
      </c>
      <c r="F238" s="54">
        <v>87.87</v>
      </c>
      <c r="G238" s="54"/>
      <c r="H238" s="53" t="s">
        <v>29</v>
      </c>
    </row>
    <row r="239" spans="1:8" ht="21" x14ac:dyDescent="0.3">
      <c r="A239" s="58"/>
      <c r="B239" s="51" t="s">
        <v>1580</v>
      </c>
      <c r="C239" s="51"/>
      <c r="D239" s="51"/>
      <c r="E239" s="54">
        <v>130</v>
      </c>
      <c r="F239" s="54">
        <v>75</v>
      </c>
      <c r="G239" s="54"/>
      <c r="H239" s="51" t="s">
        <v>29</v>
      </c>
    </row>
    <row r="240" spans="1:8" ht="21" x14ac:dyDescent="0.3">
      <c r="A240" s="58"/>
      <c r="B240" s="51" t="s">
        <v>1581</v>
      </c>
      <c r="C240" s="51"/>
      <c r="D240" s="51"/>
      <c r="E240" s="54">
        <v>125</v>
      </c>
      <c r="F240" s="54">
        <v>74</v>
      </c>
      <c r="G240" s="54"/>
      <c r="H240" s="51" t="s">
        <v>29</v>
      </c>
    </row>
    <row r="241" spans="1:8" ht="21" x14ac:dyDescent="0.3">
      <c r="A241" s="58"/>
      <c r="B241" s="53" t="s">
        <v>1582</v>
      </c>
      <c r="C241" s="53"/>
      <c r="D241" s="53"/>
      <c r="E241" s="52">
        <v>80</v>
      </c>
      <c r="F241" s="52">
        <v>30</v>
      </c>
      <c r="G241" s="52"/>
      <c r="H241" s="53" t="s">
        <v>29</v>
      </c>
    </row>
    <row r="242" spans="1:8" ht="21" x14ac:dyDescent="0.3">
      <c r="A242" s="58"/>
      <c r="B242" s="51" t="s">
        <v>1583</v>
      </c>
      <c r="C242" s="51"/>
      <c r="D242" s="51"/>
      <c r="E242" s="52">
        <v>200</v>
      </c>
      <c r="F242" s="52">
        <v>64.7059</v>
      </c>
      <c r="G242" s="52"/>
      <c r="H242" s="51" t="s">
        <v>29</v>
      </c>
    </row>
    <row r="243" spans="1:8" ht="21" x14ac:dyDescent="0.3">
      <c r="A243" s="58"/>
      <c r="B243" s="51" t="s">
        <v>1584</v>
      </c>
      <c r="C243" s="51"/>
      <c r="D243" s="51"/>
      <c r="E243" s="54">
        <v>40</v>
      </c>
      <c r="F243" s="54">
        <v>24</v>
      </c>
      <c r="G243" s="54"/>
      <c r="H243" s="51" t="s">
        <v>29</v>
      </c>
    </row>
    <row r="244" spans="1:8" ht="21" x14ac:dyDescent="0.3">
      <c r="A244" s="58"/>
      <c r="B244" s="51" t="s">
        <v>1585</v>
      </c>
      <c r="C244" s="51"/>
      <c r="D244" s="51"/>
      <c r="E244" s="52">
        <v>85</v>
      </c>
      <c r="F244" s="52">
        <v>43.75</v>
      </c>
      <c r="G244" s="52"/>
      <c r="H244" s="51" t="s">
        <v>29</v>
      </c>
    </row>
    <row r="245" spans="1:8" ht="21" x14ac:dyDescent="0.3">
      <c r="A245" s="58"/>
      <c r="B245" s="53" t="s">
        <v>1586</v>
      </c>
      <c r="C245" s="53"/>
      <c r="D245" s="53"/>
      <c r="E245" s="52">
        <v>170</v>
      </c>
      <c r="F245" s="52">
        <v>112.5</v>
      </c>
      <c r="G245" s="52"/>
      <c r="H245" s="53" t="s">
        <v>29</v>
      </c>
    </row>
    <row r="246" spans="1:8" ht="21" x14ac:dyDescent="0.3">
      <c r="A246" s="58"/>
      <c r="B246" s="53" t="s">
        <v>1587</v>
      </c>
      <c r="C246" s="53"/>
      <c r="D246" s="53"/>
      <c r="E246" s="54">
        <v>270</v>
      </c>
      <c r="F246" s="54">
        <v>220</v>
      </c>
      <c r="G246" s="54"/>
      <c r="H246" s="53" t="s">
        <v>29</v>
      </c>
    </row>
    <row r="247" spans="1:8" ht="21" x14ac:dyDescent="0.3">
      <c r="A247" s="58"/>
      <c r="B247" s="53" t="s">
        <v>1588</v>
      </c>
      <c r="C247" s="53"/>
      <c r="D247" s="53"/>
      <c r="E247" s="54">
        <v>20</v>
      </c>
      <c r="F247" s="54">
        <v>15</v>
      </c>
      <c r="G247" s="54"/>
      <c r="H247" s="53" t="s">
        <v>29</v>
      </c>
    </row>
    <row r="248" spans="1:8" ht="21" x14ac:dyDescent="0.3">
      <c r="A248" s="58"/>
      <c r="B248" s="51" t="s">
        <v>1589</v>
      </c>
      <c r="C248" s="51"/>
      <c r="D248" s="51"/>
      <c r="E248" s="52">
        <v>100</v>
      </c>
      <c r="F248" s="52">
        <v>85</v>
      </c>
      <c r="G248" s="52"/>
      <c r="H248" s="51" t="s">
        <v>29</v>
      </c>
    </row>
    <row r="249" spans="1:8" ht="21" x14ac:dyDescent="0.3">
      <c r="A249" s="58"/>
      <c r="B249" s="53" t="s">
        <v>1590</v>
      </c>
      <c r="C249" s="53"/>
      <c r="D249" s="53"/>
      <c r="E249" s="52">
        <v>35</v>
      </c>
      <c r="F249" s="52">
        <v>18.5</v>
      </c>
      <c r="G249" s="52"/>
      <c r="H249" s="53" t="s">
        <v>29</v>
      </c>
    </row>
    <row r="250" spans="1:8" ht="21" x14ac:dyDescent="0.3">
      <c r="A250" s="58"/>
      <c r="B250" s="53" t="s">
        <v>1591</v>
      </c>
      <c r="C250" s="53"/>
      <c r="D250" s="53"/>
      <c r="E250" s="52">
        <v>90</v>
      </c>
      <c r="F250" s="52">
        <v>82.8</v>
      </c>
      <c r="G250" s="52"/>
      <c r="H250" s="53" t="s">
        <v>29</v>
      </c>
    </row>
    <row r="251" spans="1:8" ht="21" x14ac:dyDescent="0.3">
      <c r="A251" s="58"/>
      <c r="B251" s="51" t="s">
        <v>1592</v>
      </c>
      <c r="C251" s="51"/>
      <c r="D251" s="51"/>
      <c r="E251" s="52">
        <v>380</v>
      </c>
      <c r="F251" s="52">
        <v>325</v>
      </c>
      <c r="G251" s="52"/>
      <c r="H251" s="51" t="s">
        <v>29</v>
      </c>
    </row>
    <row r="252" spans="1:8" ht="21" x14ac:dyDescent="0.3">
      <c r="A252" s="58"/>
      <c r="B252" s="58"/>
      <c r="C252" s="58"/>
      <c r="D252" s="58"/>
      <c r="E252" s="58"/>
      <c r="F252" s="58"/>
      <c r="G252" s="58"/>
      <c r="H252" s="58"/>
    </row>
    <row r="253" spans="1:8" ht="21" x14ac:dyDescent="0.3">
      <c r="A253" s="58"/>
      <c r="B253" s="58"/>
      <c r="C253" s="58"/>
      <c r="D253" s="58"/>
      <c r="E253" s="58"/>
      <c r="F253" s="58"/>
      <c r="G253" s="58"/>
      <c r="H253" s="58"/>
    </row>
    <row r="254" spans="1:8" ht="21" x14ac:dyDescent="0.3">
      <c r="A254" s="58"/>
      <c r="B254" s="58"/>
      <c r="C254" s="58"/>
      <c r="D254" s="58"/>
      <c r="E254" s="58"/>
      <c r="F254" s="58"/>
      <c r="G254" s="58"/>
      <c r="H254" s="58"/>
    </row>
    <row r="255" spans="1:8" ht="21" x14ac:dyDescent="0.3">
      <c r="A255" s="58"/>
      <c r="B255" s="58"/>
      <c r="C255" s="58"/>
      <c r="D255" s="58"/>
      <c r="E255" s="58"/>
      <c r="F255" s="58"/>
      <c r="G255" s="58"/>
      <c r="H255" s="58"/>
    </row>
    <row r="256" spans="1:8" ht="21" x14ac:dyDescent="0.3">
      <c r="A256" s="58"/>
      <c r="B256" s="58"/>
      <c r="C256" s="58"/>
      <c r="D256" s="58"/>
      <c r="E256" s="58"/>
      <c r="F256" s="58"/>
      <c r="G256" s="58"/>
      <c r="H256" s="58"/>
    </row>
    <row r="257" spans="1:8" ht="21" x14ac:dyDescent="0.3">
      <c r="A257" s="58"/>
      <c r="B257" s="58"/>
      <c r="C257" s="58"/>
      <c r="D257" s="58"/>
      <c r="E257" s="58"/>
      <c r="F257" s="58"/>
      <c r="G257" s="58"/>
      <c r="H257" s="58"/>
    </row>
    <row r="258" spans="1:8" ht="21" x14ac:dyDescent="0.3">
      <c r="A258" s="58"/>
      <c r="B258" s="58"/>
      <c r="C258" s="58"/>
      <c r="D258" s="58"/>
      <c r="E258" s="58"/>
      <c r="F258" s="58"/>
      <c r="G258" s="58"/>
      <c r="H258" s="58"/>
    </row>
    <row r="259" spans="1:8" ht="21" x14ac:dyDescent="0.3">
      <c r="A259" s="58"/>
      <c r="B259" s="58"/>
      <c r="C259" s="58"/>
      <c r="D259" s="58"/>
      <c r="E259" s="58"/>
      <c r="F259" s="58"/>
      <c r="G259" s="58"/>
      <c r="H259" s="58"/>
    </row>
    <row r="260" spans="1:8" ht="21" x14ac:dyDescent="0.3">
      <c r="A260" s="58"/>
      <c r="B260" s="58"/>
      <c r="C260" s="58"/>
      <c r="D260" s="58"/>
      <c r="E260" s="58"/>
      <c r="F260" s="58"/>
      <c r="G260" s="58"/>
      <c r="H260" s="58"/>
    </row>
    <row r="261" spans="1:8" ht="21" x14ac:dyDescent="0.3">
      <c r="A261" s="58"/>
      <c r="B261" s="58"/>
      <c r="C261" s="58"/>
      <c r="D261" s="58"/>
      <c r="E261" s="58"/>
      <c r="F261" s="58"/>
      <c r="G261" s="58"/>
      <c r="H261" s="58"/>
    </row>
    <row r="262" spans="1:8" ht="21" x14ac:dyDescent="0.3">
      <c r="A262" s="58"/>
      <c r="B262" s="58"/>
      <c r="C262" s="58"/>
      <c r="D262" s="58"/>
      <c r="E262" s="58"/>
      <c r="F262" s="58"/>
      <c r="G262" s="58"/>
      <c r="H262" s="58"/>
    </row>
    <row r="263" spans="1:8" ht="21" x14ac:dyDescent="0.3">
      <c r="A263" s="58"/>
      <c r="B263" s="53" t="s">
        <v>1593</v>
      </c>
      <c r="C263" s="53"/>
      <c r="D263" s="53"/>
      <c r="E263" s="54">
        <v>180</v>
      </c>
      <c r="F263" s="54">
        <v>90</v>
      </c>
      <c r="G263" s="54"/>
      <c r="H263" s="53" t="s">
        <v>29</v>
      </c>
    </row>
    <row r="264" spans="1:8" ht="21" x14ac:dyDescent="0.3">
      <c r="A264" s="58"/>
      <c r="B264" s="53" t="s">
        <v>1594</v>
      </c>
      <c r="C264" s="53"/>
      <c r="D264" s="53"/>
      <c r="E264" s="52">
        <v>40</v>
      </c>
      <c r="F264" s="52">
        <v>15</v>
      </c>
      <c r="G264" s="52"/>
      <c r="H264" s="53" t="s">
        <v>29</v>
      </c>
    </row>
    <row r="265" spans="1:8" ht="21" x14ac:dyDescent="0.3">
      <c r="A265" s="58"/>
      <c r="B265" s="51" t="s">
        <v>1595</v>
      </c>
      <c r="C265" s="51"/>
      <c r="D265" s="51"/>
      <c r="E265" s="54">
        <v>250</v>
      </c>
      <c r="F265" s="54">
        <v>162.98699999999999</v>
      </c>
      <c r="G265" s="54"/>
      <c r="H265" s="51" t="s">
        <v>29</v>
      </c>
    </row>
    <row r="266" spans="1:8" ht="21" x14ac:dyDescent="0.3">
      <c r="A266" s="58"/>
      <c r="B266" s="53" t="s">
        <v>1596</v>
      </c>
      <c r="C266" s="53"/>
      <c r="D266" s="53"/>
      <c r="E266" s="54">
        <v>2700</v>
      </c>
      <c r="F266" s="54">
        <v>1250</v>
      </c>
      <c r="G266" s="54"/>
      <c r="H266" s="53" t="s">
        <v>29</v>
      </c>
    </row>
    <row r="267" spans="1:8" ht="21" x14ac:dyDescent="0.3">
      <c r="A267" s="58"/>
      <c r="B267" s="51" t="s">
        <v>1597</v>
      </c>
      <c r="C267" s="51"/>
      <c r="D267" s="51"/>
      <c r="E267" s="52">
        <v>30</v>
      </c>
      <c r="F267" s="52">
        <v>0</v>
      </c>
      <c r="G267" s="52"/>
      <c r="H267" s="51" t="s">
        <v>29</v>
      </c>
    </row>
    <row r="268" spans="1:8" ht="21" x14ac:dyDescent="0.3">
      <c r="A268" s="58"/>
      <c r="B268" s="58"/>
      <c r="C268" s="58"/>
      <c r="D268" s="58"/>
      <c r="E268" s="58"/>
      <c r="F268" s="58"/>
      <c r="G268" s="58"/>
      <c r="H268" s="58"/>
    </row>
    <row r="269" spans="1:8" ht="21" x14ac:dyDescent="0.3">
      <c r="A269" s="58"/>
      <c r="B269" s="58"/>
      <c r="C269" s="58"/>
      <c r="D269" s="58"/>
      <c r="E269" s="58"/>
      <c r="F269" s="58"/>
      <c r="G269" s="58"/>
      <c r="H269" s="58"/>
    </row>
    <row r="270" spans="1:8" ht="21" x14ac:dyDescent="0.3">
      <c r="A270" s="58"/>
      <c r="B270" s="58"/>
      <c r="C270" s="58"/>
      <c r="D270" s="58"/>
      <c r="E270" s="58"/>
      <c r="F270" s="58"/>
      <c r="G270" s="58"/>
      <c r="H270" s="58"/>
    </row>
    <row r="271" spans="1:8" ht="21" x14ac:dyDescent="0.3">
      <c r="A271" s="58"/>
      <c r="B271" s="51" t="s">
        <v>1598</v>
      </c>
      <c r="C271" s="51"/>
      <c r="D271" s="51"/>
      <c r="E271" s="54">
        <v>180</v>
      </c>
      <c r="F271" s="54">
        <v>120</v>
      </c>
      <c r="G271" s="54"/>
      <c r="H271" s="51" t="s">
        <v>29</v>
      </c>
    </row>
    <row r="272" spans="1:8" ht="21" x14ac:dyDescent="0.3">
      <c r="A272" s="58"/>
      <c r="B272" s="53" t="s">
        <v>1599</v>
      </c>
      <c r="C272" s="53"/>
      <c r="D272" s="53"/>
      <c r="E272" s="52">
        <v>250</v>
      </c>
      <c r="F272" s="52">
        <v>220</v>
      </c>
      <c r="G272" s="52"/>
      <c r="H272" s="53" t="s">
        <v>29</v>
      </c>
    </row>
    <row r="273" spans="1:8" ht="21" x14ac:dyDescent="0.3">
      <c r="A273" s="58"/>
      <c r="B273" s="53" t="s">
        <v>1600</v>
      </c>
      <c r="C273" s="53"/>
      <c r="D273" s="53"/>
      <c r="E273" s="52">
        <v>180</v>
      </c>
      <c r="F273" s="52">
        <v>115</v>
      </c>
      <c r="G273" s="52"/>
      <c r="H273" s="53" t="s">
        <v>29</v>
      </c>
    </row>
    <row r="274" spans="1:8" ht="21" x14ac:dyDescent="0.3">
      <c r="A274" s="58"/>
      <c r="B274" s="51" t="s">
        <v>1601</v>
      </c>
      <c r="C274" s="51"/>
      <c r="D274" s="51"/>
      <c r="E274" s="54">
        <v>3.5</v>
      </c>
      <c r="F274" s="54">
        <v>3.15</v>
      </c>
      <c r="G274" s="54"/>
      <c r="H274" s="51" t="s">
        <v>29</v>
      </c>
    </row>
    <row r="275" spans="1:8" ht="21" x14ac:dyDescent="0.3">
      <c r="A275" s="58"/>
      <c r="B275" s="53" t="s">
        <v>1602</v>
      </c>
      <c r="C275" s="53"/>
      <c r="D275" s="53"/>
      <c r="E275" s="52">
        <v>4.4000000000000004</v>
      </c>
      <c r="F275" s="52">
        <v>3.2</v>
      </c>
      <c r="G275" s="52"/>
      <c r="H275" s="53" t="s">
        <v>29</v>
      </c>
    </row>
    <row r="276" spans="1:8" ht="21" x14ac:dyDescent="0.3">
      <c r="A276" s="58"/>
      <c r="B276" s="53" t="s">
        <v>1603</v>
      </c>
      <c r="C276" s="53"/>
      <c r="D276" s="53"/>
      <c r="E276" s="54">
        <v>350</v>
      </c>
      <c r="F276" s="54">
        <v>310</v>
      </c>
      <c r="G276" s="54"/>
      <c r="H276" s="53" t="s">
        <v>29</v>
      </c>
    </row>
    <row r="277" spans="1:8" ht="21" x14ac:dyDescent="0.3">
      <c r="A277" s="58"/>
      <c r="B277" s="51" t="s">
        <v>1604</v>
      </c>
      <c r="C277" s="51"/>
      <c r="D277" s="51"/>
      <c r="E277" s="52">
        <v>650</v>
      </c>
      <c r="F277" s="52">
        <v>360</v>
      </c>
      <c r="G277" s="52"/>
      <c r="H277" s="51" t="s">
        <v>29</v>
      </c>
    </row>
    <row r="278" spans="1:8" ht="21" x14ac:dyDescent="0.3">
      <c r="A278" s="58"/>
      <c r="B278" s="53" t="s">
        <v>1605</v>
      </c>
      <c r="C278" s="53"/>
      <c r="D278" s="53"/>
      <c r="E278" s="54">
        <v>700</v>
      </c>
      <c r="F278" s="54">
        <v>400</v>
      </c>
      <c r="G278" s="54"/>
      <c r="H278" s="53" t="s">
        <v>29</v>
      </c>
    </row>
    <row r="279" spans="1:8" ht="21" x14ac:dyDescent="0.3">
      <c r="A279" s="58"/>
      <c r="B279" s="51" t="s">
        <v>1606</v>
      </c>
      <c r="C279" s="51"/>
      <c r="D279" s="51"/>
      <c r="E279" s="52">
        <v>400</v>
      </c>
      <c r="F279" s="52">
        <v>75.05</v>
      </c>
      <c r="G279" s="52"/>
      <c r="H279" s="51" t="s">
        <v>29</v>
      </c>
    </row>
    <row r="280" spans="1:8" ht="21" x14ac:dyDescent="0.3">
      <c r="A280" s="58"/>
      <c r="B280" s="51" t="s">
        <v>1607</v>
      </c>
      <c r="C280" s="51"/>
      <c r="D280" s="51"/>
      <c r="E280" s="54">
        <v>800</v>
      </c>
      <c r="F280" s="54">
        <v>430</v>
      </c>
      <c r="G280" s="54"/>
      <c r="H280" s="51" t="s">
        <v>29</v>
      </c>
    </row>
    <row r="281" spans="1:8" ht="21" x14ac:dyDescent="0.3">
      <c r="A281" s="58"/>
      <c r="B281" s="53" t="s">
        <v>1608</v>
      </c>
      <c r="C281" s="53"/>
      <c r="D281" s="53"/>
      <c r="E281" s="52">
        <v>295</v>
      </c>
      <c r="F281" s="52">
        <v>130</v>
      </c>
      <c r="G281" s="52"/>
      <c r="H281" s="53" t="s">
        <v>29</v>
      </c>
    </row>
    <row r="282" spans="1:8" ht="21" x14ac:dyDescent="0.3">
      <c r="A282" s="58"/>
      <c r="B282" s="53" t="s">
        <v>1609</v>
      </c>
      <c r="C282" s="53"/>
      <c r="D282" s="53"/>
      <c r="E282" s="54">
        <v>90</v>
      </c>
      <c r="F282" s="54">
        <v>60</v>
      </c>
      <c r="G282" s="54"/>
      <c r="H282" s="53" t="s">
        <v>29</v>
      </c>
    </row>
    <row r="283" spans="1:8" ht="21" x14ac:dyDescent="0.3">
      <c r="A283" s="58"/>
      <c r="B283" s="51" t="s">
        <v>1610</v>
      </c>
      <c r="C283" s="51"/>
      <c r="D283" s="51"/>
      <c r="E283" s="54">
        <v>70</v>
      </c>
      <c r="F283" s="54">
        <v>50</v>
      </c>
      <c r="G283" s="54"/>
      <c r="H283" s="51" t="s">
        <v>29</v>
      </c>
    </row>
    <row r="284" spans="1:8" ht="21" x14ac:dyDescent="0.3">
      <c r="A284" s="58"/>
      <c r="B284" s="53" t="s">
        <v>1611</v>
      </c>
      <c r="C284" s="53"/>
      <c r="D284" s="53"/>
      <c r="E284" s="54">
        <v>55</v>
      </c>
      <c r="F284" s="54">
        <v>40</v>
      </c>
      <c r="G284" s="54"/>
      <c r="H284" s="53" t="s">
        <v>29</v>
      </c>
    </row>
    <row r="285" spans="1:8" ht="21" x14ac:dyDescent="0.3">
      <c r="A285" s="58"/>
      <c r="B285" s="51" t="s">
        <v>1612</v>
      </c>
      <c r="C285" s="51"/>
      <c r="D285" s="51"/>
      <c r="E285" s="54">
        <v>180</v>
      </c>
      <c r="F285" s="54">
        <v>0</v>
      </c>
      <c r="G285" s="54"/>
      <c r="H285" s="51" t="s">
        <v>29</v>
      </c>
    </row>
    <row r="286" spans="1:8" ht="21" x14ac:dyDescent="0.3">
      <c r="A286" s="58"/>
      <c r="B286" s="53" t="s">
        <v>1613</v>
      </c>
      <c r="C286" s="53"/>
      <c r="D286" s="53"/>
      <c r="E286" s="54">
        <v>60</v>
      </c>
      <c r="F286" s="54">
        <v>20.7</v>
      </c>
      <c r="G286" s="54"/>
      <c r="H286" s="53" t="s">
        <v>29</v>
      </c>
    </row>
    <row r="287" spans="1:8" ht="21" x14ac:dyDescent="0.3">
      <c r="A287" s="58"/>
      <c r="B287" s="51" t="s">
        <v>1614</v>
      </c>
      <c r="C287" s="51"/>
      <c r="D287" s="51"/>
      <c r="E287" s="52">
        <v>3500</v>
      </c>
      <c r="F287" s="52">
        <v>2300</v>
      </c>
      <c r="G287" s="52"/>
      <c r="H287" s="51" t="s">
        <v>29</v>
      </c>
    </row>
    <row r="288" spans="1:8" ht="21" x14ac:dyDescent="0.3">
      <c r="A288" s="58"/>
      <c r="B288" s="53" t="s">
        <v>1615</v>
      </c>
      <c r="C288" s="53"/>
      <c r="D288" s="53"/>
      <c r="E288" s="54">
        <v>1800</v>
      </c>
      <c r="F288" s="54">
        <v>827</v>
      </c>
      <c r="G288" s="54"/>
      <c r="H288" s="53" t="s">
        <v>1616</v>
      </c>
    </row>
    <row r="289" spans="1:8" ht="21" x14ac:dyDescent="0.3">
      <c r="A289" s="58"/>
      <c r="B289" s="51" t="s">
        <v>1617</v>
      </c>
      <c r="C289" s="51"/>
      <c r="D289" s="51"/>
      <c r="E289" s="54">
        <v>1900</v>
      </c>
      <c r="F289" s="54">
        <v>790</v>
      </c>
      <c r="G289" s="54"/>
      <c r="H289" s="53" t="s">
        <v>1616</v>
      </c>
    </row>
    <row r="290" spans="1:8" ht="21" x14ac:dyDescent="0.3">
      <c r="A290" s="58"/>
      <c r="B290" s="58"/>
      <c r="C290" s="58"/>
      <c r="D290" s="58"/>
      <c r="E290" s="58"/>
      <c r="F290" s="58"/>
      <c r="G290" s="58"/>
      <c r="H290" s="58"/>
    </row>
    <row r="291" spans="1:8" ht="21" x14ac:dyDescent="0.3">
      <c r="A291" s="58"/>
      <c r="B291" s="58"/>
      <c r="C291" s="58"/>
      <c r="D291" s="58"/>
      <c r="E291" s="58"/>
      <c r="F291" s="58"/>
      <c r="G291" s="58"/>
      <c r="H291" s="58"/>
    </row>
    <row r="292" spans="1:8" ht="21" x14ac:dyDescent="0.3">
      <c r="A292" s="58"/>
      <c r="B292" s="58"/>
      <c r="C292" s="58"/>
      <c r="D292" s="58"/>
      <c r="E292" s="58"/>
      <c r="F292" s="58"/>
      <c r="G292" s="58"/>
      <c r="H292" s="58"/>
    </row>
    <row r="293" spans="1:8" ht="21" x14ac:dyDescent="0.3">
      <c r="A293" s="58"/>
      <c r="B293" s="51"/>
      <c r="C293" s="51"/>
      <c r="D293" s="51"/>
      <c r="E293" s="54"/>
      <c r="F293" s="54"/>
      <c r="G293" s="54"/>
      <c r="H293" s="51"/>
    </row>
    <row r="294" spans="1:8" ht="21" x14ac:dyDescent="0.3">
      <c r="A294" s="58"/>
      <c r="B294" s="58"/>
      <c r="C294" s="58"/>
      <c r="D294" s="58"/>
      <c r="E294" s="58"/>
      <c r="F294" s="58"/>
      <c r="G294" s="58"/>
      <c r="H294" s="58"/>
    </row>
    <row r="295" spans="1:8" ht="21" x14ac:dyDescent="0.3">
      <c r="A295" s="58"/>
      <c r="B295" s="56" t="s">
        <v>1618</v>
      </c>
      <c r="C295" s="56"/>
      <c r="D295" s="56"/>
      <c r="E295" s="56">
        <v>130</v>
      </c>
      <c r="F295" s="56">
        <v>89.942899999999995</v>
      </c>
      <c r="G295" s="56"/>
      <c r="H295" s="56" t="s">
        <v>29</v>
      </c>
    </row>
    <row r="296" spans="1:8" ht="21" x14ac:dyDescent="0.3">
      <c r="A296" s="58"/>
      <c r="B296" s="58"/>
      <c r="C296" s="58"/>
      <c r="D296" s="58"/>
      <c r="E296" s="58"/>
      <c r="F296" s="58"/>
      <c r="G296" s="58"/>
      <c r="H296" s="58"/>
    </row>
    <row r="297" spans="1:8" ht="21" x14ac:dyDescent="0.3">
      <c r="A297" s="58"/>
      <c r="B297" s="58"/>
      <c r="C297" s="58"/>
      <c r="D297" s="58"/>
      <c r="E297" s="58"/>
      <c r="F297" s="58"/>
      <c r="G297" s="58"/>
      <c r="H297" s="58"/>
    </row>
    <row r="298" spans="1:8" ht="21" x14ac:dyDescent="0.3">
      <c r="A298" s="58"/>
      <c r="B298" s="58"/>
      <c r="C298" s="58"/>
      <c r="D298" s="58"/>
      <c r="E298" s="58"/>
      <c r="F298" s="58"/>
      <c r="G298" s="58"/>
      <c r="H298" s="58"/>
    </row>
    <row r="299" spans="1:8" ht="21" x14ac:dyDescent="0.3">
      <c r="A299" s="58"/>
      <c r="B299" s="58"/>
      <c r="C299" s="58"/>
      <c r="D299" s="58"/>
      <c r="E299" s="58"/>
      <c r="F299" s="58"/>
      <c r="G299" s="58"/>
      <c r="H299" s="58"/>
    </row>
    <row r="300" spans="1:8" ht="21" x14ac:dyDescent="0.3">
      <c r="A300" s="58"/>
      <c r="B300" s="58"/>
      <c r="C300" s="58"/>
      <c r="D300" s="58"/>
      <c r="E300" s="58"/>
      <c r="F300" s="58"/>
      <c r="G300" s="58"/>
      <c r="H300" s="58"/>
    </row>
    <row r="301" spans="1:8" ht="21" x14ac:dyDescent="0.3">
      <c r="A301" s="58"/>
      <c r="B301" s="58"/>
      <c r="C301" s="58"/>
      <c r="D301" s="58"/>
      <c r="E301" s="58"/>
      <c r="F301" s="58"/>
      <c r="G301" s="58"/>
      <c r="H301" s="58"/>
    </row>
    <row r="302" spans="1:8" ht="21" x14ac:dyDescent="0.3">
      <c r="A302" s="58"/>
      <c r="B302" s="53" t="s">
        <v>1619</v>
      </c>
      <c r="C302" s="53"/>
      <c r="D302" s="53"/>
      <c r="E302" s="54">
        <v>240</v>
      </c>
      <c r="F302" s="54">
        <v>199.14490000000001</v>
      </c>
      <c r="G302" s="54"/>
      <c r="H302" s="53" t="s">
        <v>1620</v>
      </c>
    </row>
    <row r="303" spans="1:8" ht="21" x14ac:dyDescent="0.3">
      <c r="A303" s="58"/>
      <c r="B303" s="51" t="s">
        <v>1621</v>
      </c>
      <c r="C303" s="51"/>
      <c r="D303" s="51"/>
      <c r="E303" s="52">
        <v>250</v>
      </c>
      <c r="F303" s="52">
        <v>205</v>
      </c>
      <c r="G303" s="52"/>
      <c r="H303" s="51" t="s">
        <v>1620</v>
      </c>
    </row>
    <row r="304" spans="1:8" ht="21" x14ac:dyDescent="0.3">
      <c r="A304" s="58"/>
      <c r="B304" s="53" t="s">
        <v>1622</v>
      </c>
      <c r="C304" s="53"/>
      <c r="D304" s="53"/>
      <c r="E304" s="52">
        <v>190</v>
      </c>
      <c r="F304" s="52">
        <v>144.08510000000001</v>
      </c>
      <c r="G304" s="52"/>
      <c r="H304" s="53" t="s">
        <v>1620</v>
      </c>
    </row>
    <row r="305" spans="1:8" ht="21" x14ac:dyDescent="0.3">
      <c r="A305" s="58"/>
      <c r="B305" s="51" t="s">
        <v>1623</v>
      </c>
      <c r="C305" s="51"/>
      <c r="D305" s="51"/>
      <c r="E305" s="52">
        <v>175</v>
      </c>
      <c r="F305" s="52">
        <v>110</v>
      </c>
      <c r="G305" s="52"/>
      <c r="H305" s="51" t="s">
        <v>1620</v>
      </c>
    </row>
    <row r="306" spans="1:8" ht="21" x14ac:dyDescent="0.3">
      <c r="A306" s="58"/>
      <c r="B306" s="51" t="s">
        <v>1624</v>
      </c>
      <c r="C306" s="51"/>
      <c r="D306" s="51"/>
      <c r="E306" s="52">
        <v>130</v>
      </c>
      <c r="F306" s="52">
        <v>88.210800000000006</v>
      </c>
      <c r="G306" s="52"/>
      <c r="H306" s="51" t="s">
        <v>1620</v>
      </c>
    </row>
    <row r="307" spans="1:8" ht="21" x14ac:dyDescent="0.3">
      <c r="A307" s="58"/>
      <c r="B307" s="53" t="s">
        <v>1625</v>
      </c>
      <c r="C307" s="53"/>
      <c r="D307" s="53"/>
      <c r="E307" s="52">
        <v>325</v>
      </c>
      <c r="F307" s="52">
        <v>190</v>
      </c>
      <c r="G307" s="52"/>
      <c r="H307" s="53" t="s">
        <v>1620</v>
      </c>
    </row>
    <row r="398" spans="2:8" ht="21" x14ac:dyDescent="0.3">
      <c r="B398" s="53" t="s">
        <v>1626</v>
      </c>
      <c r="C398" s="53"/>
      <c r="D398" s="53"/>
      <c r="E398" s="52">
        <v>450</v>
      </c>
      <c r="F398" s="52">
        <v>220</v>
      </c>
      <c r="G398" s="52"/>
      <c r="H398" s="53" t="s">
        <v>1616</v>
      </c>
    </row>
    <row r="399" spans="2:8" ht="21" x14ac:dyDescent="0.3">
      <c r="B399" s="51" t="s">
        <v>1627</v>
      </c>
      <c r="C399" s="51"/>
      <c r="D399" s="51"/>
      <c r="E399" s="54">
        <v>225</v>
      </c>
      <c r="F399" s="54">
        <v>172.5</v>
      </c>
      <c r="G399" s="54"/>
      <c r="H399" s="51" t="s">
        <v>1616</v>
      </c>
    </row>
    <row r="407" spans="2:8" ht="21" x14ac:dyDescent="0.3">
      <c r="B407" s="51" t="s">
        <v>1628</v>
      </c>
      <c r="C407" s="51"/>
      <c r="D407" s="51"/>
      <c r="E407" s="54">
        <v>140</v>
      </c>
      <c r="F407" s="54">
        <v>57.02</v>
      </c>
      <c r="G407" s="54"/>
      <c r="H407" s="51" t="s">
        <v>1629</v>
      </c>
    </row>
    <row r="408" spans="2:8" ht="21" x14ac:dyDescent="0.3">
      <c r="B408" s="53" t="s">
        <v>1630</v>
      </c>
      <c r="C408" s="53"/>
      <c r="D408" s="53"/>
      <c r="E408" s="54">
        <v>250</v>
      </c>
      <c r="F408" s="54">
        <v>170</v>
      </c>
      <c r="G408" s="54"/>
      <c r="H408" s="53" t="s">
        <v>1629</v>
      </c>
    </row>
    <row r="409" spans="2:8" ht="21" x14ac:dyDescent="0.3">
      <c r="B409" s="51" t="s">
        <v>1631</v>
      </c>
      <c r="C409" s="51"/>
      <c r="D409" s="51"/>
      <c r="E409" s="52">
        <v>180</v>
      </c>
      <c r="F409" s="52">
        <v>99.12</v>
      </c>
      <c r="G409" s="52"/>
      <c r="H409" s="51" t="s">
        <v>1629</v>
      </c>
    </row>
    <row r="410" spans="2:8" ht="21" x14ac:dyDescent="0.3">
      <c r="B410" s="53" t="s">
        <v>1632</v>
      </c>
      <c r="C410" s="53"/>
      <c r="D410" s="53"/>
      <c r="E410" s="54">
        <v>60</v>
      </c>
      <c r="F410" s="54">
        <v>35</v>
      </c>
      <c r="G410" s="54"/>
      <c r="H410" s="53" t="s">
        <v>1629</v>
      </c>
    </row>
    <row r="411" spans="2:8" ht="21" x14ac:dyDescent="0.3">
      <c r="B411" s="51" t="s">
        <v>1633</v>
      </c>
      <c r="C411" s="51"/>
      <c r="D411" s="51"/>
      <c r="E411" s="54">
        <v>400</v>
      </c>
      <c r="F411" s="54">
        <v>220</v>
      </c>
      <c r="G411" s="54"/>
      <c r="H411" s="51" t="s">
        <v>1629</v>
      </c>
    </row>
    <row r="412" spans="2:8" ht="21" x14ac:dyDescent="0.3">
      <c r="B412" s="53" t="s">
        <v>1634</v>
      </c>
      <c r="C412" s="53"/>
      <c r="D412" s="53"/>
      <c r="E412" s="54">
        <v>1000</v>
      </c>
      <c r="F412" s="54">
        <v>665</v>
      </c>
      <c r="G412" s="54"/>
      <c r="H412" s="53" t="s">
        <v>1635</v>
      </c>
    </row>
    <row r="413" spans="2:8" ht="21" x14ac:dyDescent="0.3">
      <c r="B413" s="51" t="s">
        <v>1636</v>
      </c>
      <c r="C413" s="51"/>
      <c r="D413" s="51"/>
      <c r="E413" s="54">
        <v>1400</v>
      </c>
      <c r="F413" s="54">
        <v>1190</v>
      </c>
      <c r="G413" s="54"/>
      <c r="H413" s="51" t="s">
        <v>1635</v>
      </c>
    </row>
    <row r="414" spans="2:8" ht="21" x14ac:dyDescent="0.3">
      <c r="B414" s="53" t="s">
        <v>1637</v>
      </c>
      <c r="C414" s="53"/>
      <c r="D414" s="53"/>
      <c r="E414" s="52">
        <v>275</v>
      </c>
      <c r="F414" s="52">
        <v>210</v>
      </c>
      <c r="G414" s="52"/>
      <c r="H414" s="53" t="s">
        <v>1635</v>
      </c>
    </row>
    <row r="415" spans="2:8" ht="21" x14ac:dyDescent="0.3">
      <c r="B415" s="51" t="s">
        <v>1638</v>
      </c>
      <c r="C415" s="51"/>
      <c r="D415" s="51"/>
      <c r="E415" s="54">
        <v>320</v>
      </c>
      <c r="F415" s="54">
        <v>177.34</v>
      </c>
      <c r="G415" s="54"/>
      <c r="H415" s="51" t="s">
        <v>1635</v>
      </c>
    </row>
    <row r="416" spans="2:8" ht="21" x14ac:dyDescent="0.3">
      <c r="B416" s="53" t="s">
        <v>1639</v>
      </c>
      <c r="C416" s="53"/>
      <c r="D416" s="53"/>
      <c r="E416" s="54">
        <v>850</v>
      </c>
      <c r="F416" s="54">
        <v>612.27</v>
      </c>
      <c r="G416" s="54"/>
      <c r="H416" s="53" t="s">
        <v>1635</v>
      </c>
    </row>
    <row r="417" spans="2:8" ht="21" x14ac:dyDescent="0.3">
      <c r="B417" s="51" t="s">
        <v>1640</v>
      </c>
      <c r="C417" s="51"/>
      <c r="D417" s="51"/>
      <c r="E417" s="54">
        <v>850</v>
      </c>
      <c r="F417" s="54">
        <v>710.29</v>
      </c>
      <c r="G417" s="54"/>
      <c r="H417" s="51" t="s">
        <v>1635</v>
      </c>
    </row>
    <row r="418" spans="2:8" ht="21" x14ac:dyDescent="0.3">
      <c r="B418" s="53" t="s">
        <v>1641</v>
      </c>
      <c r="C418" s="53"/>
      <c r="D418" s="53"/>
      <c r="E418" s="54">
        <v>140</v>
      </c>
      <c r="F418" s="54">
        <v>98.532200000000003</v>
      </c>
      <c r="G418" s="54"/>
      <c r="H418" s="53" t="s">
        <v>1635</v>
      </c>
    </row>
    <row r="419" spans="2:8" ht="21" x14ac:dyDescent="0.3">
      <c r="B419" s="51" t="s">
        <v>1642</v>
      </c>
      <c r="C419" s="51"/>
      <c r="D419" s="51"/>
      <c r="E419" s="54">
        <v>230</v>
      </c>
      <c r="F419" s="54">
        <v>160</v>
      </c>
      <c r="G419" s="54"/>
      <c r="H419" s="51" t="s">
        <v>1635</v>
      </c>
    </row>
    <row r="420" spans="2:8" ht="21" x14ac:dyDescent="0.3">
      <c r="B420" s="53" t="s">
        <v>1643</v>
      </c>
      <c r="C420" s="53"/>
      <c r="D420" s="53"/>
      <c r="E420" s="54">
        <v>850</v>
      </c>
      <c r="F420" s="54">
        <v>607</v>
      </c>
      <c r="G420" s="54"/>
      <c r="H420" s="53" t="s">
        <v>1635</v>
      </c>
    </row>
    <row r="421" spans="2:8" ht="21" x14ac:dyDescent="0.3">
      <c r="B421" s="51" t="s">
        <v>1644</v>
      </c>
      <c r="C421" s="51"/>
      <c r="D421" s="51"/>
      <c r="E421" s="52">
        <v>330</v>
      </c>
      <c r="F421" s="52">
        <v>210.42</v>
      </c>
      <c r="G421" s="52"/>
      <c r="H421" s="51" t="s">
        <v>1635</v>
      </c>
    </row>
    <row r="422" spans="2:8" ht="21" x14ac:dyDescent="0.3">
      <c r="B422" s="53" t="s">
        <v>1645</v>
      </c>
      <c r="C422" s="53"/>
      <c r="D422" s="53"/>
      <c r="E422" s="52">
        <v>275</v>
      </c>
      <c r="F422" s="52">
        <v>179.4</v>
      </c>
      <c r="G422" s="52"/>
      <c r="H422" s="53" t="s">
        <v>1635</v>
      </c>
    </row>
    <row r="423" spans="2:8" ht="21" x14ac:dyDescent="0.3">
      <c r="B423" s="51" t="s">
        <v>1646</v>
      </c>
      <c r="C423" s="51"/>
      <c r="D423" s="51"/>
      <c r="E423" s="54">
        <v>275</v>
      </c>
      <c r="F423" s="54">
        <v>179.4</v>
      </c>
      <c r="G423" s="54"/>
      <c r="H423" s="51" t="s">
        <v>1635</v>
      </c>
    </row>
    <row r="424" spans="2:8" ht="21" x14ac:dyDescent="0.3">
      <c r="B424" s="53" t="s">
        <v>1647</v>
      </c>
      <c r="C424" s="53"/>
      <c r="D424" s="53"/>
      <c r="E424" s="54">
        <v>210</v>
      </c>
      <c r="F424" s="54">
        <v>173</v>
      </c>
      <c r="G424" s="54"/>
      <c r="H424" s="53" t="s">
        <v>1635</v>
      </c>
    </row>
    <row r="425" spans="2:8" ht="21" x14ac:dyDescent="0.3">
      <c r="B425" s="51" t="s">
        <v>1648</v>
      </c>
      <c r="C425" s="51"/>
      <c r="D425" s="51"/>
      <c r="E425" s="52">
        <v>190</v>
      </c>
      <c r="F425" s="52">
        <v>179.4</v>
      </c>
      <c r="G425" s="52"/>
      <c r="H425" s="51" t="s">
        <v>1635</v>
      </c>
    </row>
    <row r="426" spans="2:8" ht="21" x14ac:dyDescent="0.3">
      <c r="B426" s="53" t="s">
        <v>1649</v>
      </c>
      <c r="C426" s="53"/>
      <c r="D426" s="53"/>
      <c r="E426" s="54">
        <v>380</v>
      </c>
      <c r="F426" s="54">
        <v>328.18720000000002</v>
      </c>
      <c r="G426" s="54"/>
      <c r="H426" s="53" t="s">
        <v>1635</v>
      </c>
    </row>
    <row r="427" spans="2:8" ht="21" x14ac:dyDescent="0.3">
      <c r="B427" s="51" t="s">
        <v>1650</v>
      </c>
      <c r="C427" s="51"/>
      <c r="D427" s="51"/>
      <c r="E427" s="52">
        <v>290</v>
      </c>
      <c r="F427" s="52">
        <v>218.3</v>
      </c>
      <c r="G427" s="52"/>
      <c r="H427" s="51" t="s">
        <v>1635</v>
      </c>
    </row>
    <row r="428" spans="2:8" ht="21" x14ac:dyDescent="0.3">
      <c r="B428" s="53" t="s">
        <v>1651</v>
      </c>
      <c r="C428" s="53"/>
      <c r="D428" s="53"/>
      <c r="E428" s="54">
        <v>185</v>
      </c>
      <c r="F428" s="54">
        <v>157.88839999999999</v>
      </c>
      <c r="G428" s="54"/>
      <c r="H428" s="53" t="s">
        <v>1635</v>
      </c>
    </row>
    <row r="429" spans="2:8" ht="21" x14ac:dyDescent="0.3">
      <c r="B429" s="51" t="s">
        <v>1652</v>
      </c>
      <c r="C429" s="51"/>
      <c r="D429" s="51"/>
      <c r="E429" s="54">
        <v>1050</v>
      </c>
      <c r="F429" s="54">
        <v>841</v>
      </c>
      <c r="G429" s="54"/>
      <c r="H429" s="51" t="s">
        <v>1653</v>
      </c>
    </row>
    <row r="430" spans="2:8" ht="21" x14ac:dyDescent="0.3">
      <c r="B430" s="53" t="s">
        <v>1654</v>
      </c>
      <c r="C430" s="53"/>
      <c r="D430" s="53"/>
      <c r="E430" s="54">
        <v>325</v>
      </c>
      <c r="F430" s="54">
        <v>250</v>
      </c>
      <c r="G430" s="54"/>
      <c r="H430" s="53" t="s">
        <v>1653</v>
      </c>
    </row>
    <row r="431" spans="2:8" ht="21" x14ac:dyDescent="0.3">
      <c r="B431" s="51" t="s">
        <v>1655</v>
      </c>
      <c r="C431" s="51"/>
      <c r="D431" s="51"/>
      <c r="E431" s="54">
        <v>215</v>
      </c>
      <c r="F431" s="54">
        <v>150.1</v>
      </c>
      <c r="G431" s="54"/>
      <c r="H431" s="51" t="s">
        <v>1653</v>
      </c>
    </row>
    <row r="432" spans="2:8" ht="21" x14ac:dyDescent="0.3">
      <c r="B432" s="53" t="s">
        <v>1656</v>
      </c>
      <c r="C432" s="53"/>
      <c r="D432" s="53"/>
      <c r="E432" s="54">
        <v>630</v>
      </c>
      <c r="F432" s="54">
        <v>627</v>
      </c>
      <c r="G432" s="54"/>
      <c r="H432" s="53" t="s">
        <v>1653</v>
      </c>
    </row>
    <row r="433" spans="2:8" ht="21" x14ac:dyDescent="0.3">
      <c r="B433" s="51" t="s">
        <v>1657</v>
      </c>
      <c r="C433" s="51"/>
      <c r="D433" s="51"/>
      <c r="E433" s="52">
        <v>190</v>
      </c>
      <c r="F433" s="52">
        <v>181</v>
      </c>
      <c r="G433" s="52"/>
      <c r="H433" s="51" t="s">
        <v>1653</v>
      </c>
    </row>
    <row r="434" spans="2:8" ht="21" x14ac:dyDescent="0.3">
      <c r="B434" s="51" t="s">
        <v>1658</v>
      </c>
      <c r="C434" s="51"/>
      <c r="D434" s="51"/>
      <c r="E434" s="52">
        <v>90</v>
      </c>
      <c r="F434" s="52">
        <v>73</v>
      </c>
      <c r="G434" s="52"/>
      <c r="H434" s="51" t="s">
        <v>1653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A0CF3-3ED6-42B9-A41E-8A6CF1C04ECC}">
  <dimension ref="A1:H7"/>
  <sheetViews>
    <sheetView workbookViewId="0">
      <selection activeCell="B11" sqref="B11"/>
    </sheetView>
  </sheetViews>
  <sheetFormatPr defaultRowHeight="14.4" x14ac:dyDescent="0.3"/>
  <cols>
    <col min="1" max="1" width="15.44140625" style="59" customWidth="1"/>
    <col min="2" max="2" width="58.109375" style="59" customWidth="1"/>
    <col min="3" max="3" width="34.88671875" style="59" customWidth="1"/>
    <col min="4" max="4" width="32.77734375" style="59" customWidth="1"/>
    <col min="5" max="5" width="17.6640625" style="59" customWidth="1"/>
    <col min="6" max="7" width="16.6640625" style="59" customWidth="1"/>
    <col min="8" max="8" width="15.5546875" style="59" customWidth="1"/>
  </cols>
  <sheetData>
    <row r="1" spans="1:8" ht="21" x14ac:dyDescent="0.3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3">
      <c r="B2" s="51" t="s">
        <v>1652</v>
      </c>
      <c r="C2" s="51"/>
      <c r="D2" s="51"/>
      <c r="E2" s="54">
        <v>1050</v>
      </c>
      <c r="F2" s="54">
        <v>841</v>
      </c>
      <c r="G2" s="54"/>
      <c r="H2" s="51" t="s">
        <v>1653</v>
      </c>
    </row>
    <row r="3" spans="1:8" ht="21" x14ac:dyDescent="0.3">
      <c r="B3" s="53" t="s">
        <v>1654</v>
      </c>
      <c r="C3" s="53"/>
      <c r="D3" s="53"/>
      <c r="E3" s="54">
        <v>325</v>
      </c>
      <c r="F3" s="54">
        <v>250</v>
      </c>
      <c r="G3" s="54"/>
      <c r="H3" s="53" t="s">
        <v>1653</v>
      </c>
    </row>
    <row r="4" spans="1:8" ht="21" x14ac:dyDescent="0.3">
      <c r="B4" s="51" t="s">
        <v>1655</v>
      </c>
      <c r="C4" s="51"/>
      <c r="D4" s="51"/>
      <c r="E4" s="54">
        <v>215</v>
      </c>
      <c r="F4" s="54">
        <v>150.1</v>
      </c>
      <c r="G4" s="54"/>
      <c r="H4" s="51" t="s">
        <v>1653</v>
      </c>
    </row>
    <row r="5" spans="1:8" ht="21" x14ac:dyDescent="0.3">
      <c r="B5" s="53" t="s">
        <v>1656</v>
      </c>
      <c r="C5" s="53"/>
      <c r="D5" s="53"/>
      <c r="E5" s="54">
        <v>630</v>
      </c>
      <c r="F5" s="54">
        <v>627</v>
      </c>
      <c r="G5" s="54"/>
      <c r="H5" s="53" t="s">
        <v>1653</v>
      </c>
    </row>
    <row r="6" spans="1:8" ht="21" x14ac:dyDescent="0.3">
      <c r="B6" s="51" t="s">
        <v>1657</v>
      </c>
      <c r="C6" s="51"/>
      <c r="D6" s="51"/>
      <c r="E6" s="52">
        <v>190</v>
      </c>
      <c r="F6" s="52">
        <v>181</v>
      </c>
      <c r="G6" s="52"/>
      <c r="H6" s="51" t="s">
        <v>1653</v>
      </c>
    </row>
    <row r="7" spans="1:8" ht="21" x14ac:dyDescent="0.3">
      <c r="B7" s="51" t="s">
        <v>1658</v>
      </c>
      <c r="C7" s="51"/>
      <c r="D7" s="51"/>
      <c r="E7" s="52">
        <v>90</v>
      </c>
      <c r="F7" s="52">
        <v>73</v>
      </c>
      <c r="G7" s="52"/>
      <c r="H7" s="51" t="s">
        <v>1653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3A721-C590-4578-A9C4-B44D20AEF3EC}">
  <dimension ref="A1:H18"/>
  <sheetViews>
    <sheetView workbookViewId="0">
      <selection activeCell="A19" sqref="A19:XFD24"/>
    </sheetView>
  </sheetViews>
  <sheetFormatPr defaultRowHeight="14.4" x14ac:dyDescent="0.3"/>
  <cols>
    <col min="1" max="1" width="15.44140625" style="59" customWidth="1"/>
    <col min="2" max="2" width="58.109375" style="59" customWidth="1"/>
    <col min="3" max="3" width="36.109375" style="59" customWidth="1"/>
    <col min="4" max="4" width="32.77734375" style="59" customWidth="1"/>
    <col min="5" max="5" width="17.6640625" style="59" customWidth="1"/>
    <col min="6" max="7" width="16.6640625" style="59" customWidth="1"/>
    <col min="8" max="8" width="15.5546875" style="59" customWidth="1"/>
  </cols>
  <sheetData>
    <row r="1" spans="1:8" ht="21" x14ac:dyDescent="0.3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3">
      <c r="B2" s="53" t="s">
        <v>1634</v>
      </c>
      <c r="C2" s="53"/>
      <c r="D2" s="53"/>
      <c r="E2" s="54">
        <v>1000</v>
      </c>
      <c r="F2" s="54">
        <v>665</v>
      </c>
      <c r="G2" s="54"/>
      <c r="H2" s="53" t="s">
        <v>1635</v>
      </c>
    </row>
    <row r="3" spans="1:8" ht="21" x14ac:dyDescent="0.3">
      <c r="B3" s="51" t="s">
        <v>1636</v>
      </c>
      <c r="C3" s="51"/>
      <c r="D3" s="51"/>
      <c r="E3" s="54">
        <v>1400</v>
      </c>
      <c r="F3" s="54">
        <v>1190</v>
      </c>
      <c r="G3" s="54"/>
      <c r="H3" s="51" t="s">
        <v>1635</v>
      </c>
    </row>
    <row r="4" spans="1:8" ht="21" x14ac:dyDescent="0.3">
      <c r="B4" s="53" t="s">
        <v>1637</v>
      </c>
      <c r="C4" s="53"/>
      <c r="D4" s="53"/>
      <c r="E4" s="52">
        <v>275</v>
      </c>
      <c r="F4" s="52">
        <v>210</v>
      </c>
      <c r="G4" s="52"/>
      <c r="H4" s="53" t="s">
        <v>1635</v>
      </c>
    </row>
    <row r="5" spans="1:8" ht="21" x14ac:dyDescent="0.3">
      <c r="B5" s="51" t="s">
        <v>1638</v>
      </c>
      <c r="C5" s="51"/>
      <c r="D5" s="51"/>
      <c r="E5" s="54">
        <v>320</v>
      </c>
      <c r="F5" s="54">
        <v>177.34</v>
      </c>
      <c r="G5" s="54"/>
      <c r="H5" s="51" t="s">
        <v>1635</v>
      </c>
    </row>
    <row r="6" spans="1:8" ht="21" x14ac:dyDescent="0.3">
      <c r="B6" s="53" t="s">
        <v>1639</v>
      </c>
      <c r="C6" s="53"/>
      <c r="D6" s="53"/>
      <c r="E6" s="54">
        <v>850</v>
      </c>
      <c r="F6" s="54">
        <v>612.27</v>
      </c>
      <c r="G6" s="54"/>
      <c r="H6" s="53" t="s">
        <v>1635</v>
      </c>
    </row>
    <row r="7" spans="1:8" ht="21" x14ac:dyDescent="0.3">
      <c r="B7" s="51" t="s">
        <v>1640</v>
      </c>
      <c r="C7" s="51"/>
      <c r="D7" s="51"/>
      <c r="E7" s="54">
        <v>850</v>
      </c>
      <c r="F7" s="54">
        <v>710.29</v>
      </c>
      <c r="G7" s="54"/>
      <c r="H7" s="51" t="s">
        <v>1635</v>
      </c>
    </row>
    <row r="8" spans="1:8" ht="21" x14ac:dyDescent="0.3">
      <c r="B8" s="53" t="s">
        <v>1641</v>
      </c>
      <c r="C8" s="53"/>
      <c r="D8" s="53"/>
      <c r="E8" s="54">
        <v>140</v>
      </c>
      <c r="F8" s="54">
        <v>98.532200000000003</v>
      </c>
      <c r="G8" s="54"/>
      <c r="H8" s="53" t="s">
        <v>1635</v>
      </c>
    </row>
    <row r="9" spans="1:8" ht="21" x14ac:dyDescent="0.3">
      <c r="B9" s="51" t="s">
        <v>1642</v>
      </c>
      <c r="C9" s="51"/>
      <c r="D9" s="51"/>
      <c r="E9" s="54">
        <v>230</v>
      </c>
      <c r="F9" s="54">
        <v>160</v>
      </c>
      <c r="G9" s="54"/>
      <c r="H9" s="51" t="s">
        <v>1635</v>
      </c>
    </row>
    <row r="10" spans="1:8" ht="21" x14ac:dyDescent="0.3">
      <c r="B10" s="53" t="s">
        <v>1643</v>
      </c>
      <c r="C10" s="53"/>
      <c r="D10" s="53"/>
      <c r="E10" s="54">
        <v>850</v>
      </c>
      <c r="F10" s="54">
        <v>607</v>
      </c>
      <c r="G10" s="54"/>
      <c r="H10" s="53" t="s">
        <v>1635</v>
      </c>
    </row>
    <row r="11" spans="1:8" ht="21" x14ac:dyDescent="0.3">
      <c r="B11" s="51" t="s">
        <v>1644</v>
      </c>
      <c r="C11" s="51"/>
      <c r="D11" s="51"/>
      <c r="E11" s="52">
        <v>330</v>
      </c>
      <c r="F11" s="52">
        <v>210.42</v>
      </c>
      <c r="G11" s="52"/>
      <c r="H11" s="51" t="s">
        <v>1635</v>
      </c>
    </row>
    <row r="12" spans="1:8" ht="21" x14ac:dyDescent="0.3">
      <c r="B12" s="53" t="s">
        <v>1645</v>
      </c>
      <c r="C12" s="53"/>
      <c r="D12" s="53"/>
      <c r="E12" s="52">
        <v>275</v>
      </c>
      <c r="F12" s="52">
        <v>179.4</v>
      </c>
      <c r="G12" s="52"/>
      <c r="H12" s="53" t="s">
        <v>1635</v>
      </c>
    </row>
    <row r="13" spans="1:8" ht="21" x14ac:dyDescent="0.3">
      <c r="B13" s="51" t="s">
        <v>1646</v>
      </c>
      <c r="C13" s="51"/>
      <c r="D13" s="51"/>
      <c r="E13" s="54">
        <v>275</v>
      </c>
      <c r="F13" s="54">
        <v>179.4</v>
      </c>
      <c r="G13" s="54"/>
      <c r="H13" s="51" t="s">
        <v>1635</v>
      </c>
    </row>
    <row r="14" spans="1:8" ht="21" x14ac:dyDescent="0.3">
      <c r="B14" s="53" t="s">
        <v>1647</v>
      </c>
      <c r="C14" s="53"/>
      <c r="D14" s="53"/>
      <c r="E14" s="54">
        <v>210</v>
      </c>
      <c r="F14" s="54">
        <v>173</v>
      </c>
      <c r="G14" s="54"/>
      <c r="H14" s="53" t="s">
        <v>1635</v>
      </c>
    </row>
    <row r="15" spans="1:8" ht="21" x14ac:dyDescent="0.3">
      <c r="B15" s="51" t="s">
        <v>1648</v>
      </c>
      <c r="C15" s="51"/>
      <c r="D15" s="51"/>
      <c r="E15" s="52">
        <v>190</v>
      </c>
      <c r="F15" s="52">
        <v>179.4</v>
      </c>
      <c r="G15" s="52"/>
      <c r="H15" s="51" t="s">
        <v>1635</v>
      </c>
    </row>
    <row r="16" spans="1:8" ht="21" x14ac:dyDescent="0.3">
      <c r="B16" s="53" t="s">
        <v>1649</v>
      </c>
      <c r="C16" s="53"/>
      <c r="D16" s="53"/>
      <c r="E16" s="54">
        <v>380</v>
      </c>
      <c r="F16" s="54">
        <v>328.18720000000002</v>
      </c>
      <c r="G16" s="54"/>
      <c r="H16" s="53" t="s">
        <v>1635</v>
      </c>
    </row>
    <row r="17" spans="2:8" ht="21" x14ac:dyDescent="0.3">
      <c r="B17" s="51" t="s">
        <v>1650</v>
      </c>
      <c r="C17" s="51"/>
      <c r="D17" s="51"/>
      <c r="E17" s="52">
        <v>290</v>
      </c>
      <c r="F17" s="52">
        <v>218.3</v>
      </c>
      <c r="G17" s="52"/>
      <c r="H17" s="51" t="s">
        <v>1635</v>
      </c>
    </row>
    <row r="18" spans="2:8" ht="21" x14ac:dyDescent="0.3">
      <c r="B18" s="53" t="s">
        <v>1651</v>
      </c>
      <c r="C18" s="53"/>
      <c r="D18" s="53"/>
      <c r="E18" s="54">
        <v>185</v>
      </c>
      <c r="F18" s="54">
        <v>157.88839999999999</v>
      </c>
      <c r="G18" s="54"/>
      <c r="H18" s="53" t="s">
        <v>1635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E10DB-9F04-4459-BF8E-10DFB4FFF63D}">
  <dimension ref="A1:H6"/>
  <sheetViews>
    <sheetView workbookViewId="0">
      <selection activeCell="A7" sqref="A7:XFD304"/>
    </sheetView>
  </sheetViews>
  <sheetFormatPr defaultRowHeight="14.4" x14ac:dyDescent="0.3"/>
  <cols>
    <col min="1" max="1" width="15.44140625" style="59" customWidth="1"/>
    <col min="2" max="2" width="58.109375" style="59" customWidth="1"/>
    <col min="3" max="3" width="37.88671875" style="59" customWidth="1"/>
    <col min="4" max="4" width="32.77734375" style="59" customWidth="1"/>
    <col min="5" max="5" width="17.6640625" style="59" customWidth="1"/>
    <col min="6" max="7" width="16.6640625" style="59" customWidth="1"/>
    <col min="8" max="8" width="15.5546875" style="59" customWidth="1"/>
  </cols>
  <sheetData>
    <row r="1" spans="1:8" ht="21" x14ac:dyDescent="0.3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3">
      <c r="B2" s="51" t="s">
        <v>1628</v>
      </c>
      <c r="C2" s="51"/>
      <c r="D2" s="51"/>
      <c r="E2" s="54">
        <v>140</v>
      </c>
      <c r="F2" s="54">
        <v>57.02</v>
      </c>
      <c r="G2" s="54"/>
      <c r="H2" s="51" t="s">
        <v>1629</v>
      </c>
    </row>
    <row r="3" spans="1:8" ht="21" x14ac:dyDescent="0.3">
      <c r="B3" s="53" t="s">
        <v>1630</v>
      </c>
      <c r="C3" s="53"/>
      <c r="D3" s="53"/>
      <c r="E3" s="54">
        <v>250</v>
      </c>
      <c r="F3" s="54">
        <v>170</v>
      </c>
      <c r="G3" s="54"/>
      <c r="H3" s="53" t="s">
        <v>1629</v>
      </c>
    </row>
    <row r="4" spans="1:8" ht="21" x14ac:dyDescent="0.3">
      <c r="B4" s="51" t="s">
        <v>1631</v>
      </c>
      <c r="C4" s="51"/>
      <c r="D4" s="51"/>
      <c r="E4" s="52">
        <v>180</v>
      </c>
      <c r="F4" s="52">
        <v>99.12</v>
      </c>
      <c r="G4" s="52"/>
      <c r="H4" s="51" t="s">
        <v>1629</v>
      </c>
    </row>
    <row r="5" spans="1:8" ht="21" x14ac:dyDescent="0.3">
      <c r="B5" s="53" t="s">
        <v>1632</v>
      </c>
      <c r="C5" s="53"/>
      <c r="D5" s="53"/>
      <c r="E5" s="54">
        <v>60</v>
      </c>
      <c r="F5" s="54">
        <v>35</v>
      </c>
      <c r="G5" s="54"/>
      <c r="H5" s="53" t="s">
        <v>1629</v>
      </c>
    </row>
    <row r="6" spans="1:8" ht="21" x14ac:dyDescent="0.3">
      <c r="B6" s="51" t="s">
        <v>1633</v>
      </c>
      <c r="C6" s="51"/>
      <c r="D6" s="51"/>
      <c r="E6" s="54">
        <v>400</v>
      </c>
      <c r="F6" s="54">
        <v>220</v>
      </c>
      <c r="G6" s="54"/>
      <c r="H6" s="51" t="s">
        <v>1629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04514-0DDC-4148-9325-6BEE5821B36D}">
  <dimension ref="A1:H134"/>
  <sheetViews>
    <sheetView workbookViewId="0">
      <selection activeCell="A2" sqref="A2:XFD301"/>
    </sheetView>
  </sheetViews>
  <sheetFormatPr defaultRowHeight="14.4" x14ac:dyDescent="0.3"/>
  <cols>
    <col min="1" max="1" width="15.44140625" style="59" customWidth="1"/>
    <col min="2" max="2" width="58.109375" style="59" customWidth="1"/>
    <col min="3" max="3" width="30.6640625" style="59" customWidth="1"/>
    <col min="4" max="4" width="32.77734375" style="59" customWidth="1"/>
    <col min="5" max="5" width="17.6640625" style="59" customWidth="1"/>
    <col min="6" max="7" width="16.6640625" style="59" customWidth="1"/>
    <col min="8" max="8" width="15.5546875" style="59" customWidth="1"/>
  </cols>
  <sheetData>
    <row r="1" spans="1:8" ht="21" x14ac:dyDescent="0.3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3">
      <c r="A2" s="58"/>
      <c r="B2" s="53" t="s">
        <v>1619</v>
      </c>
      <c r="C2" s="53"/>
      <c r="D2" s="53"/>
      <c r="E2" s="54">
        <v>240</v>
      </c>
      <c r="F2" s="54">
        <v>199.14490000000001</v>
      </c>
      <c r="G2" s="54"/>
      <c r="H2" s="53" t="s">
        <v>1620</v>
      </c>
    </row>
    <row r="3" spans="1:8" ht="21" x14ac:dyDescent="0.3">
      <c r="A3" s="58"/>
      <c r="B3" s="51" t="s">
        <v>1621</v>
      </c>
      <c r="C3" s="51"/>
      <c r="D3" s="51"/>
      <c r="E3" s="52">
        <v>250</v>
      </c>
      <c r="F3" s="52">
        <v>205</v>
      </c>
      <c r="G3" s="52"/>
      <c r="H3" s="51" t="s">
        <v>1620</v>
      </c>
    </row>
    <row r="4" spans="1:8" ht="21" x14ac:dyDescent="0.3">
      <c r="A4" s="58"/>
      <c r="B4" s="53" t="s">
        <v>1622</v>
      </c>
      <c r="C4" s="53"/>
      <c r="D4" s="53"/>
      <c r="E4" s="52">
        <v>190</v>
      </c>
      <c r="F4" s="52">
        <v>144.08510000000001</v>
      </c>
      <c r="G4" s="52"/>
      <c r="H4" s="53" t="s">
        <v>1620</v>
      </c>
    </row>
    <row r="5" spans="1:8" ht="21" x14ac:dyDescent="0.3">
      <c r="A5" s="58"/>
      <c r="B5" s="51" t="s">
        <v>1623</v>
      </c>
      <c r="C5" s="51"/>
      <c r="D5" s="51"/>
      <c r="E5" s="52">
        <v>175</v>
      </c>
      <c r="F5" s="52">
        <v>110</v>
      </c>
      <c r="G5" s="52"/>
      <c r="H5" s="51" t="s">
        <v>1620</v>
      </c>
    </row>
    <row r="6" spans="1:8" ht="21" x14ac:dyDescent="0.3">
      <c r="A6" s="58"/>
      <c r="B6" s="51" t="s">
        <v>1624</v>
      </c>
      <c r="C6" s="51"/>
      <c r="D6" s="51"/>
      <c r="E6" s="52">
        <v>130</v>
      </c>
      <c r="F6" s="52">
        <v>88.210800000000006</v>
      </c>
      <c r="G6" s="52"/>
      <c r="H6" s="51" t="s">
        <v>1620</v>
      </c>
    </row>
    <row r="7" spans="1:8" ht="21" x14ac:dyDescent="0.3">
      <c r="A7" s="58"/>
      <c r="B7" s="53" t="s">
        <v>1625</v>
      </c>
      <c r="C7" s="53"/>
      <c r="D7" s="53"/>
      <c r="E7" s="52">
        <v>325</v>
      </c>
      <c r="F7" s="52">
        <v>190</v>
      </c>
      <c r="G7" s="52"/>
      <c r="H7" s="53" t="s">
        <v>1620</v>
      </c>
    </row>
    <row r="98" spans="2:8" ht="21" x14ac:dyDescent="0.3">
      <c r="B98" s="53" t="s">
        <v>1626</v>
      </c>
      <c r="C98" s="53"/>
      <c r="D98" s="53"/>
      <c r="E98" s="52">
        <v>450</v>
      </c>
      <c r="F98" s="52">
        <v>220</v>
      </c>
      <c r="G98" s="52"/>
      <c r="H98" s="53" t="s">
        <v>1616</v>
      </c>
    </row>
    <row r="99" spans="2:8" ht="21" x14ac:dyDescent="0.3">
      <c r="B99" s="51" t="s">
        <v>1627</v>
      </c>
      <c r="C99" s="51"/>
      <c r="D99" s="51"/>
      <c r="E99" s="54">
        <v>225</v>
      </c>
      <c r="F99" s="54">
        <v>172.5</v>
      </c>
      <c r="G99" s="54"/>
      <c r="H99" s="51" t="s">
        <v>1616</v>
      </c>
    </row>
    <row r="107" spans="2:8" ht="21" x14ac:dyDescent="0.3">
      <c r="B107" s="51" t="s">
        <v>1628</v>
      </c>
      <c r="C107" s="51"/>
      <c r="D107" s="51"/>
      <c r="E107" s="54">
        <v>140</v>
      </c>
      <c r="F107" s="54">
        <v>57.02</v>
      </c>
      <c r="G107" s="54"/>
      <c r="H107" s="51" t="s">
        <v>1629</v>
      </c>
    </row>
    <row r="108" spans="2:8" ht="21" x14ac:dyDescent="0.3">
      <c r="B108" s="53" t="s">
        <v>1630</v>
      </c>
      <c r="C108" s="53"/>
      <c r="D108" s="53"/>
      <c r="E108" s="54">
        <v>250</v>
      </c>
      <c r="F108" s="54">
        <v>170</v>
      </c>
      <c r="G108" s="54"/>
      <c r="H108" s="53" t="s">
        <v>1629</v>
      </c>
    </row>
    <row r="109" spans="2:8" ht="21" x14ac:dyDescent="0.3">
      <c r="B109" s="51" t="s">
        <v>1631</v>
      </c>
      <c r="C109" s="51"/>
      <c r="D109" s="51"/>
      <c r="E109" s="52">
        <v>180</v>
      </c>
      <c r="F109" s="52">
        <v>99.12</v>
      </c>
      <c r="G109" s="52"/>
      <c r="H109" s="51" t="s">
        <v>1629</v>
      </c>
    </row>
    <row r="110" spans="2:8" ht="21" x14ac:dyDescent="0.3">
      <c r="B110" s="53" t="s">
        <v>1632</v>
      </c>
      <c r="C110" s="53"/>
      <c r="D110" s="53"/>
      <c r="E110" s="54">
        <v>60</v>
      </c>
      <c r="F110" s="54">
        <v>35</v>
      </c>
      <c r="G110" s="54"/>
      <c r="H110" s="53" t="s">
        <v>1629</v>
      </c>
    </row>
    <row r="111" spans="2:8" ht="21" x14ac:dyDescent="0.3">
      <c r="B111" s="51" t="s">
        <v>1633</v>
      </c>
      <c r="C111" s="51"/>
      <c r="D111" s="51"/>
      <c r="E111" s="54">
        <v>400</v>
      </c>
      <c r="F111" s="54">
        <v>220</v>
      </c>
      <c r="G111" s="54"/>
      <c r="H111" s="51" t="s">
        <v>1629</v>
      </c>
    </row>
    <row r="112" spans="2:8" ht="21" x14ac:dyDescent="0.3">
      <c r="B112" s="53" t="s">
        <v>1634</v>
      </c>
      <c r="C112" s="53"/>
      <c r="D112" s="53"/>
      <c r="E112" s="54">
        <v>1000</v>
      </c>
      <c r="F112" s="54">
        <v>665</v>
      </c>
      <c r="G112" s="54"/>
      <c r="H112" s="53" t="s">
        <v>1635</v>
      </c>
    </row>
    <row r="113" spans="2:8" ht="21" x14ac:dyDescent="0.3">
      <c r="B113" s="51" t="s">
        <v>1636</v>
      </c>
      <c r="C113" s="51"/>
      <c r="D113" s="51"/>
      <c r="E113" s="54">
        <v>1400</v>
      </c>
      <c r="F113" s="54">
        <v>1190</v>
      </c>
      <c r="G113" s="54"/>
      <c r="H113" s="51" t="s">
        <v>1635</v>
      </c>
    </row>
    <row r="114" spans="2:8" ht="21" x14ac:dyDescent="0.3">
      <c r="B114" s="53" t="s">
        <v>1637</v>
      </c>
      <c r="C114" s="53"/>
      <c r="D114" s="53"/>
      <c r="E114" s="52">
        <v>275</v>
      </c>
      <c r="F114" s="52">
        <v>210</v>
      </c>
      <c r="G114" s="52"/>
      <c r="H114" s="53" t="s">
        <v>1635</v>
      </c>
    </row>
    <row r="115" spans="2:8" ht="21" x14ac:dyDescent="0.3">
      <c r="B115" s="51" t="s">
        <v>1638</v>
      </c>
      <c r="C115" s="51"/>
      <c r="D115" s="51"/>
      <c r="E115" s="54">
        <v>320</v>
      </c>
      <c r="F115" s="54">
        <v>177.34</v>
      </c>
      <c r="G115" s="54"/>
      <c r="H115" s="51" t="s">
        <v>1635</v>
      </c>
    </row>
    <row r="116" spans="2:8" ht="21" x14ac:dyDescent="0.3">
      <c r="B116" s="53" t="s">
        <v>1639</v>
      </c>
      <c r="C116" s="53"/>
      <c r="D116" s="53"/>
      <c r="E116" s="54">
        <v>850</v>
      </c>
      <c r="F116" s="54">
        <v>612.27</v>
      </c>
      <c r="G116" s="54"/>
      <c r="H116" s="53" t="s">
        <v>1635</v>
      </c>
    </row>
    <row r="117" spans="2:8" ht="21" x14ac:dyDescent="0.3">
      <c r="B117" s="51" t="s">
        <v>1640</v>
      </c>
      <c r="C117" s="51"/>
      <c r="D117" s="51"/>
      <c r="E117" s="54">
        <v>850</v>
      </c>
      <c r="F117" s="54">
        <v>710.29</v>
      </c>
      <c r="G117" s="54"/>
      <c r="H117" s="51" t="s">
        <v>1635</v>
      </c>
    </row>
    <row r="118" spans="2:8" ht="21" x14ac:dyDescent="0.3">
      <c r="B118" s="53" t="s">
        <v>1641</v>
      </c>
      <c r="C118" s="53"/>
      <c r="D118" s="53"/>
      <c r="E118" s="54">
        <v>140</v>
      </c>
      <c r="F118" s="54">
        <v>98.532200000000003</v>
      </c>
      <c r="G118" s="54"/>
      <c r="H118" s="53" t="s">
        <v>1635</v>
      </c>
    </row>
    <row r="119" spans="2:8" ht="21" x14ac:dyDescent="0.3">
      <c r="B119" s="51" t="s">
        <v>1642</v>
      </c>
      <c r="C119" s="51"/>
      <c r="D119" s="51"/>
      <c r="E119" s="54">
        <v>230</v>
      </c>
      <c r="F119" s="54">
        <v>160</v>
      </c>
      <c r="G119" s="54"/>
      <c r="H119" s="51" t="s">
        <v>1635</v>
      </c>
    </row>
    <row r="120" spans="2:8" ht="21" x14ac:dyDescent="0.3">
      <c r="B120" s="53" t="s">
        <v>1643</v>
      </c>
      <c r="C120" s="53"/>
      <c r="D120" s="53"/>
      <c r="E120" s="54">
        <v>850</v>
      </c>
      <c r="F120" s="54">
        <v>607</v>
      </c>
      <c r="G120" s="54"/>
      <c r="H120" s="53" t="s">
        <v>1635</v>
      </c>
    </row>
    <row r="121" spans="2:8" ht="21" x14ac:dyDescent="0.3">
      <c r="B121" s="51" t="s">
        <v>1644</v>
      </c>
      <c r="C121" s="51"/>
      <c r="D121" s="51"/>
      <c r="E121" s="52">
        <v>330</v>
      </c>
      <c r="F121" s="52">
        <v>210.42</v>
      </c>
      <c r="G121" s="52"/>
      <c r="H121" s="51" t="s">
        <v>1635</v>
      </c>
    </row>
    <row r="122" spans="2:8" ht="21" x14ac:dyDescent="0.3">
      <c r="B122" s="53" t="s">
        <v>1645</v>
      </c>
      <c r="C122" s="53"/>
      <c r="D122" s="53"/>
      <c r="E122" s="52">
        <v>275</v>
      </c>
      <c r="F122" s="52">
        <v>179.4</v>
      </c>
      <c r="G122" s="52"/>
      <c r="H122" s="53" t="s">
        <v>1635</v>
      </c>
    </row>
    <row r="123" spans="2:8" ht="21" x14ac:dyDescent="0.3">
      <c r="B123" s="51" t="s">
        <v>1646</v>
      </c>
      <c r="C123" s="51"/>
      <c r="D123" s="51"/>
      <c r="E123" s="54">
        <v>275</v>
      </c>
      <c r="F123" s="54">
        <v>179.4</v>
      </c>
      <c r="G123" s="54"/>
      <c r="H123" s="51" t="s">
        <v>1635</v>
      </c>
    </row>
    <row r="124" spans="2:8" ht="21" x14ac:dyDescent="0.3">
      <c r="B124" s="53" t="s">
        <v>1647</v>
      </c>
      <c r="C124" s="53"/>
      <c r="D124" s="53"/>
      <c r="E124" s="54">
        <v>210</v>
      </c>
      <c r="F124" s="54">
        <v>173</v>
      </c>
      <c r="G124" s="54"/>
      <c r="H124" s="53" t="s">
        <v>1635</v>
      </c>
    </row>
    <row r="125" spans="2:8" ht="21" x14ac:dyDescent="0.3">
      <c r="B125" s="51" t="s">
        <v>1648</v>
      </c>
      <c r="C125" s="51"/>
      <c r="D125" s="51"/>
      <c r="E125" s="52">
        <v>190</v>
      </c>
      <c r="F125" s="52">
        <v>179.4</v>
      </c>
      <c r="G125" s="52"/>
      <c r="H125" s="51" t="s">
        <v>1635</v>
      </c>
    </row>
    <row r="126" spans="2:8" ht="21" x14ac:dyDescent="0.3">
      <c r="B126" s="53" t="s">
        <v>1649</v>
      </c>
      <c r="C126" s="53"/>
      <c r="D126" s="53"/>
      <c r="E126" s="54">
        <v>380</v>
      </c>
      <c r="F126" s="54">
        <v>328.18720000000002</v>
      </c>
      <c r="G126" s="54"/>
      <c r="H126" s="53" t="s">
        <v>1635</v>
      </c>
    </row>
    <row r="127" spans="2:8" ht="21" x14ac:dyDescent="0.3">
      <c r="B127" s="51" t="s">
        <v>1650</v>
      </c>
      <c r="C127" s="51"/>
      <c r="D127" s="51"/>
      <c r="E127" s="52">
        <v>290</v>
      </c>
      <c r="F127" s="52">
        <v>218.3</v>
      </c>
      <c r="G127" s="52"/>
      <c r="H127" s="51" t="s">
        <v>1635</v>
      </c>
    </row>
    <row r="128" spans="2:8" ht="21" x14ac:dyDescent="0.3">
      <c r="B128" s="53" t="s">
        <v>1651</v>
      </c>
      <c r="C128" s="53"/>
      <c r="D128" s="53"/>
      <c r="E128" s="54">
        <v>185</v>
      </c>
      <c r="F128" s="54">
        <v>157.88839999999999</v>
      </c>
      <c r="G128" s="54"/>
      <c r="H128" s="53" t="s">
        <v>1635</v>
      </c>
    </row>
    <row r="129" spans="2:8" ht="21" x14ac:dyDescent="0.3">
      <c r="B129" s="51" t="s">
        <v>1652</v>
      </c>
      <c r="C129" s="51"/>
      <c r="D129" s="51"/>
      <c r="E129" s="54">
        <v>1050</v>
      </c>
      <c r="F129" s="54">
        <v>841</v>
      </c>
      <c r="G129" s="54"/>
      <c r="H129" s="51" t="s">
        <v>1653</v>
      </c>
    </row>
    <row r="130" spans="2:8" ht="21" x14ac:dyDescent="0.3">
      <c r="B130" s="53" t="s">
        <v>1654</v>
      </c>
      <c r="C130" s="53"/>
      <c r="D130" s="53"/>
      <c r="E130" s="54">
        <v>325</v>
      </c>
      <c r="F130" s="54">
        <v>250</v>
      </c>
      <c r="G130" s="54"/>
      <c r="H130" s="53" t="s">
        <v>1653</v>
      </c>
    </row>
    <row r="131" spans="2:8" ht="21" x14ac:dyDescent="0.3">
      <c r="B131" s="51" t="s">
        <v>1655</v>
      </c>
      <c r="C131" s="51"/>
      <c r="D131" s="51"/>
      <c r="E131" s="54">
        <v>215</v>
      </c>
      <c r="F131" s="54">
        <v>150.1</v>
      </c>
      <c r="G131" s="54"/>
      <c r="H131" s="51" t="s">
        <v>1653</v>
      </c>
    </row>
    <row r="132" spans="2:8" ht="21" x14ac:dyDescent="0.3">
      <c r="B132" s="53" t="s">
        <v>1656</v>
      </c>
      <c r="C132" s="53"/>
      <c r="D132" s="53"/>
      <c r="E132" s="54">
        <v>630</v>
      </c>
      <c r="F132" s="54">
        <v>627</v>
      </c>
      <c r="G132" s="54"/>
      <c r="H132" s="53" t="s">
        <v>1653</v>
      </c>
    </row>
    <row r="133" spans="2:8" ht="21" x14ac:dyDescent="0.3">
      <c r="B133" s="51" t="s">
        <v>1657</v>
      </c>
      <c r="C133" s="51"/>
      <c r="D133" s="51"/>
      <c r="E133" s="52">
        <v>190</v>
      </c>
      <c r="F133" s="52">
        <v>181</v>
      </c>
      <c r="G133" s="52"/>
      <c r="H133" s="51" t="s">
        <v>1653</v>
      </c>
    </row>
    <row r="134" spans="2:8" ht="21" x14ac:dyDescent="0.3">
      <c r="B134" s="51" t="s">
        <v>1658</v>
      </c>
      <c r="C134" s="51"/>
      <c r="D134" s="51"/>
      <c r="E134" s="52">
        <v>90</v>
      </c>
      <c r="F134" s="52">
        <v>73</v>
      </c>
      <c r="G134" s="52"/>
      <c r="H134" s="51" t="s">
        <v>1653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2DFD4-0A36-4148-B60C-E2EAAEA388DE}">
  <dimension ref="A1:H5"/>
  <sheetViews>
    <sheetView workbookViewId="0">
      <selection activeCell="A6" sqref="A6:XFD254"/>
    </sheetView>
  </sheetViews>
  <sheetFormatPr defaultRowHeight="14.4" x14ac:dyDescent="0.3"/>
  <cols>
    <col min="1" max="1" width="15.44140625" style="59" customWidth="1"/>
    <col min="2" max="2" width="58.109375" style="59" customWidth="1"/>
    <col min="3" max="3" width="41.33203125" style="59" customWidth="1"/>
    <col min="4" max="4" width="24.44140625" style="59" customWidth="1"/>
    <col min="5" max="5" width="17.6640625" style="59" customWidth="1"/>
    <col min="6" max="7" width="16.6640625" style="59" customWidth="1"/>
    <col min="8" max="8" width="15.5546875" style="59" customWidth="1"/>
  </cols>
  <sheetData>
    <row r="1" spans="1:8" ht="21" x14ac:dyDescent="0.3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3">
      <c r="A2" s="58"/>
      <c r="B2" s="53" t="s">
        <v>1615</v>
      </c>
      <c r="C2" s="53"/>
      <c r="D2" s="53"/>
      <c r="E2" s="54">
        <v>1800</v>
      </c>
      <c r="F2" s="54">
        <v>827</v>
      </c>
      <c r="G2" s="54"/>
      <c r="H2" s="53" t="s">
        <v>1616</v>
      </c>
    </row>
    <row r="3" spans="1:8" ht="21" x14ac:dyDescent="0.3">
      <c r="A3" s="58"/>
      <c r="B3" s="51" t="s">
        <v>1617</v>
      </c>
      <c r="C3" s="51"/>
      <c r="D3" s="51"/>
      <c r="E3" s="54">
        <v>1900</v>
      </c>
      <c r="F3" s="54">
        <v>790</v>
      </c>
      <c r="G3" s="54"/>
      <c r="H3" s="53" t="s">
        <v>1616</v>
      </c>
    </row>
    <row r="4" spans="1:8" ht="21" x14ac:dyDescent="0.3">
      <c r="B4" s="53" t="s">
        <v>1626</v>
      </c>
      <c r="C4" s="53"/>
      <c r="D4" s="53"/>
      <c r="E4" s="52">
        <v>450</v>
      </c>
      <c r="F4" s="52">
        <v>220</v>
      </c>
      <c r="G4" s="52"/>
      <c r="H4" s="53" t="s">
        <v>1616</v>
      </c>
    </row>
    <row r="5" spans="1:8" ht="21" x14ac:dyDescent="0.3">
      <c r="B5" s="51" t="s">
        <v>1627</v>
      </c>
      <c r="C5" s="51"/>
      <c r="D5" s="51"/>
      <c r="E5" s="54">
        <v>225</v>
      </c>
      <c r="F5" s="54">
        <v>172.5</v>
      </c>
      <c r="G5" s="54"/>
      <c r="H5" s="51" t="s">
        <v>1616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E31F3-5D83-4D64-AED3-4896A4EC1FD9}">
  <dimension ref="A1:H79"/>
  <sheetViews>
    <sheetView workbookViewId="0">
      <selection activeCell="A80" sqref="A80:XFD428"/>
    </sheetView>
  </sheetViews>
  <sheetFormatPr defaultRowHeight="14.4" x14ac:dyDescent="0.3"/>
  <cols>
    <col min="1" max="1" width="15.44140625" style="59" customWidth="1"/>
    <col min="2" max="2" width="58.109375" style="59" customWidth="1"/>
    <col min="3" max="3" width="40" style="59" customWidth="1"/>
    <col min="4" max="4" width="25.6640625" style="59" customWidth="1"/>
    <col min="5" max="5" width="17.6640625" style="59" customWidth="1"/>
    <col min="6" max="7" width="16.6640625" style="59" customWidth="1"/>
    <col min="8" max="8" width="15.5546875" style="59" customWidth="1"/>
  </cols>
  <sheetData>
    <row r="1" spans="1:8" ht="21" x14ac:dyDescent="0.3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3">
      <c r="A2" s="58"/>
      <c r="B2" s="51" t="s">
        <v>1538</v>
      </c>
      <c r="C2" s="51"/>
      <c r="D2" s="51"/>
      <c r="E2" s="52">
        <v>60</v>
      </c>
      <c r="F2" s="52">
        <v>41.231099999999998</v>
      </c>
      <c r="G2" s="52"/>
      <c r="H2" s="51" t="s">
        <v>29</v>
      </c>
    </row>
    <row r="3" spans="1:8" ht="21" x14ac:dyDescent="0.3">
      <c r="A3" s="58"/>
      <c r="B3" s="51" t="s">
        <v>1539</v>
      </c>
      <c r="C3" s="51"/>
      <c r="D3" s="51"/>
      <c r="E3" s="54">
        <v>130</v>
      </c>
      <c r="F3" s="54">
        <v>75</v>
      </c>
      <c r="G3" s="54"/>
      <c r="H3" s="51" t="s">
        <v>29</v>
      </c>
    </row>
    <row r="4" spans="1:8" ht="21" x14ac:dyDescent="0.3">
      <c r="A4" s="58"/>
      <c r="B4" s="53" t="s">
        <v>1540</v>
      </c>
      <c r="C4" s="53"/>
      <c r="D4" s="53"/>
      <c r="E4" s="54">
        <v>160</v>
      </c>
      <c r="F4" s="54">
        <v>94.293499999999995</v>
      </c>
      <c r="G4" s="54"/>
      <c r="H4" s="53" t="s">
        <v>29</v>
      </c>
    </row>
    <row r="5" spans="1:8" ht="21" x14ac:dyDescent="0.3">
      <c r="A5" s="58"/>
      <c r="B5" s="51" t="s">
        <v>1541</v>
      </c>
      <c r="C5" s="51"/>
      <c r="D5" s="51"/>
      <c r="E5" s="52">
        <v>100</v>
      </c>
      <c r="F5" s="52">
        <v>59.591200000000001</v>
      </c>
      <c r="G5" s="52"/>
      <c r="H5" s="51" t="s">
        <v>29</v>
      </c>
    </row>
    <row r="6" spans="1:8" ht="21" x14ac:dyDescent="0.3">
      <c r="A6" s="58"/>
      <c r="B6" s="53" t="s">
        <v>1542</v>
      </c>
      <c r="C6" s="53"/>
      <c r="D6" s="53"/>
      <c r="E6" s="54">
        <v>140</v>
      </c>
      <c r="F6" s="54">
        <v>85</v>
      </c>
      <c r="G6" s="54"/>
      <c r="H6" s="53" t="s">
        <v>29</v>
      </c>
    </row>
    <row r="7" spans="1:8" ht="21" x14ac:dyDescent="0.3">
      <c r="A7" s="58"/>
      <c r="B7" s="53" t="s">
        <v>1543</v>
      </c>
      <c r="C7" s="53"/>
      <c r="D7" s="53"/>
      <c r="E7" s="54">
        <v>75</v>
      </c>
      <c r="F7" s="54">
        <v>39.580399999999997</v>
      </c>
      <c r="G7" s="54"/>
      <c r="H7" s="53" t="s">
        <v>29</v>
      </c>
    </row>
    <row r="8" spans="1:8" ht="21" x14ac:dyDescent="0.3">
      <c r="A8" s="58"/>
      <c r="B8" s="51" t="s">
        <v>1544</v>
      </c>
      <c r="C8" s="51"/>
      <c r="D8" s="51"/>
      <c r="E8" s="54">
        <v>100</v>
      </c>
      <c r="F8" s="54">
        <v>54.166699999999999</v>
      </c>
      <c r="G8" s="54"/>
      <c r="H8" s="51" t="s">
        <v>29</v>
      </c>
    </row>
    <row r="9" spans="1:8" ht="21" x14ac:dyDescent="0.3">
      <c r="A9" s="58"/>
      <c r="B9" s="53" t="s">
        <v>1545</v>
      </c>
      <c r="C9" s="53"/>
      <c r="D9" s="53"/>
      <c r="E9" s="54">
        <v>10</v>
      </c>
      <c r="F9" s="54">
        <v>3.3</v>
      </c>
      <c r="G9" s="54"/>
      <c r="H9" s="53" t="s">
        <v>29</v>
      </c>
    </row>
    <row r="10" spans="1:8" ht="21" x14ac:dyDescent="0.3">
      <c r="A10" s="58"/>
      <c r="B10" s="51" t="s">
        <v>1546</v>
      </c>
      <c r="C10" s="51"/>
      <c r="D10" s="51"/>
      <c r="E10" s="52">
        <v>10</v>
      </c>
      <c r="F10" s="52">
        <v>4</v>
      </c>
      <c r="G10" s="52"/>
      <c r="H10" s="51" t="s">
        <v>29</v>
      </c>
    </row>
    <row r="11" spans="1:8" ht="21" x14ac:dyDescent="0.3">
      <c r="A11" s="58"/>
      <c r="B11" s="53" t="s">
        <v>1547</v>
      </c>
      <c r="C11" s="53"/>
      <c r="D11" s="53"/>
      <c r="E11" s="54">
        <v>10</v>
      </c>
      <c r="F11" s="54">
        <v>6.375</v>
      </c>
      <c r="G11" s="54"/>
      <c r="H11" s="53" t="s">
        <v>29</v>
      </c>
    </row>
    <row r="12" spans="1:8" ht="21" x14ac:dyDescent="0.3">
      <c r="A12" s="58"/>
      <c r="B12" s="51" t="s">
        <v>1548</v>
      </c>
      <c r="C12" s="51"/>
      <c r="D12" s="51"/>
      <c r="E12" s="54">
        <v>10</v>
      </c>
      <c r="F12" s="54">
        <v>5.9340000000000002</v>
      </c>
      <c r="G12" s="54"/>
      <c r="H12" s="51" t="s">
        <v>29</v>
      </c>
    </row>
    <row r="13" spans="1:8" ht="21" x14ac:dyDescent="0.3">
      <c r="A13" s="58"/>
      <c r="B13" s="51" t="s">
        <v>1549</v>
      </c>
      <c r="C13" s="51"/>
      <c r="D13" s="51"/>
      <c r="E13" s="52">
        <v>10</v>
      </c>
      <c r="F13" s="52">
        <v>1.8817999999999999</v>
      </c>
      <c r="G13" s="52"/>
      <c r="H13" s="51" t="s">
        <v>29</v>
      </c>
    </row>
    <row r="14" spans="1:8" ht="21" x14ac:dyDescent="0.3">
      <c r="A14" s="58"/>
      <c r="B14" s="53" t="s">
        <v>1550</v>
      </c>
      <c r="C14" s="53"/>
      <c r="D14" s="53"/>
      <c r="E14" s="52">
        <v>10</v>
      </c>
      <c r="F14" s="52">
        <v>2.6402999999999999</v>
      </c>
      <c r="G14" s="52"/>
      <c r="H14" s="53" t="s">
        <v>29</v>
      </c>
    </row>
    <row r="15" spans="1:8" ht="21" x14ac:dyDescent="0.3">
      <c r="A15" s="58"/>
      <c r="B15" s="53" t="s">
        <v>1551</v>
      </c>
      <c r="C15" s="53"/>
      <c r="D15" s="53"/>
      <c r="E15" s="54">
        <v>30</v>
      </c>
      <c r="F15" s="54">
        <v>20.007100000000001</v>
      </c>
      <c r="G15" s="54"/>
      <c r="H15" s="53" t="s">
        <v>29</v>
      </c>
    </row>
    <row r="16" spans="1:8" ht="21" x14ac:dyDescent="0.3">
      <c r="A16" s="58"/>
      <c r="B16" s="53" t="s">
        <v>1552</v>
      </c>
      <c r="C16" s="53"/>
      <c r="D16" s="53"/>
      <c r="E16" s="52">
        <v>50</v>
      </c>
      <c r="F16" s="52">
        <v>28.75</v>
      </c>
      <c r="G16" s="52"/>
      <c r="H16" s="53" t="s">
        <v>29</v>
      </c>
    </row>
    <row r="17" spans="1:8" ht="21" x14ac:dyDescent="0.3">
      <c r="A17" s="58"/>
      <c r="B17" s="51" t="s">
        <v>1553</v>
      </c>
      <c r="C17" s="51"/>
      <c r="D17" s="51"/>
      <c r="E17" s="52">
        <v>100</v>
      </c>
      <c r="F17" s="52">
        <v>95.8</v>
      </c>
      <c r="G17" s="52"/>
      <c r="H17" s="51" t="s">
        <v>29</v>
      </c>
    </row>
    <row r="18" spans="1:8" ht="21" x14ac:dyDescent="0.3">
      <c r="A18" s="58"/>
      <c r="B18" s="53" t="s">
        <v>1554</v>
      </c>
      <c r="C18" s="53"/>
      <c r="D18" s="53"/>
      <c r="E18" s="54">
        <v>75</v>
      </c>
      <c r="F18" s="54">
        <v>45</v>
      </c>
      <c r="G18" s="54"/>
      <c r="H18" s="53" t="s">
        <v>29</v>
      </c>
    </row>
    <row r="19" spans="1:8" ht="21" x14ac:dyDescent="0.3">
      <c r="A19" s="58"/>
      <c r="B19" s="51" t="s">
        <v>1555</v>
      </c>
      <c r="C19" s="51"/>
      <c r="D19" s="51"/>
      <c r="E19" s="52">
        <v>130</v>
      </c>
      <c r="F19" s="52">
        <v>85.043199999999999</v>
      </c>
      <c r="G19" s="52"/>
      <c r="H19" s="51" t="s">
        <v>29</v>
      </c>
    </row>
    <row r="20" spans="1:8" ht="21" x14ac:dyDescent="0.3">
      <c r="A20" s="58"/>
      <c r="B20" s="53" t="s">
        <v>1556</v>
      </c>
      <c r="C20" s="53"/>
      <c r="D20" s="53"/>
      <c r="E20" s="54">
        <v>35</v>
      </c>
      <c r="F20" s="54">
        <v>15.6745</v>
      </c>
      <c r="G20" s="54"/>
      <c r="H20" s="53" t="s">
        <v>29</v>
      </c>
    </row>
    <row r="21" spans="1:8" ht="21" x14ac:dyDescent="0.3">
      <c r="A21" s="58"/>
      <c r="B21" s="51" t="s">
        <v>1557</v>
      </c>
      <c r="C21" s="51"/>
      <c r="D21" s="51"/>
      <c r="E21" s="54">
        <v>35</v>
      </c>
      <c r="F21" s="54">
        <v>16.3933</v>
      </c>
      <c r="G21" s="54"/>
      <c r="H21" s="51" t="s">
        <v>29</v>
      </c>
    </row>
    <row r="22" spans="1:8" ht="21" x14ac:dyDescent="0.3">
      <c r="A22" s="58"/>
      <c r="B22" s="51" t="s">
        <v>1558</v>
      </c>
      <c r="C22" s="51"/>
      <c r="D22" s="51"/>
      <c r="E22" s="52">
        <v>35</v>
      </c>
      <c r="F22" s="52">
        <v>5</v>
      </c>
      <c r="G22" s="52"/>
      <c r="H22" s="51" t="s">
        <v>29</v>
      </c>
    </row>
    <row r="23" spans="1:8" ht="21" x14ac:dyDescent="0.3">
      <c r="A23" s="58"/>
      <c r="B23" s="51" t="s">
        <v>1559</v>
      </c>
      <c r="C23" s="51"/>
      <c r="D23" s="51"/>
      <c r="E23" s="54">
        <v>35</v>
      </c>
      <c r="F23" s="54">
        <v>22.92</v>
      </c>
      <c r="G23" s="54"/>
      <c r="H23" s="51" t="s">
        <v>29</v>
      </c>
    </row>
    <row r="24" spans="1:8" ht="21" x14ac:dyDescent="0.3">
      <c r="A24" s="58"/>
      <c r="B24" s="53" t="s">
        <v>1560</v>
      </c>
      <c r="C24" s="53"/>
      <c r="D24" s="53"/>
      <c r="E24" s="54">
        <v>95</v>
      </c>
      <c r="F24" s="54">
        <v>65.844899999999996</v>
      </c>
      <c r="G24" s="54"/>
      <c r="H24" s="53" t="s">
        <v>29</v>
      </c>
    </row>
    <row r="25" spans="1:8" ht="21" x14ac:dyDescent="0.3">
      <c r="A25" s="58"/>
      <c r="B25" s="51" t="s">
        <v>1561</v>
      </c>
      <c r="C25" s="51"/>
      <c r="D25" s="51"/>
      <c r="E25" s="52">
        <v>95</v>
      </c>
      <c r="F25" s="52">
        <v>55</v>
      </c>
      <c r="G25" s="52"/>
      <c r="H25" s="51" t="s">
        <v>29</v>
      </c>
    </row>
    <row r="26" spans="1:8" ht="21" x14ac:dyDescent="0.3">
      <c r="A26" s="58"/>
      <c r="B26" s="53" t="s">
        <v>1562</v>
      </c>
      <c r="C26" s="53"/>
      <c r="D26" s="53"/>
      <c r="E26" s="54">
        <v>135</v>
      </c>
      <c r="F26" s="54">
        <v>81.25</v>
      </c>
      <c r="G26" s="54"/>
      <c r="H26" s="53" t="s">
        <v>29</v>
      </c>
    </row>
    <row r="27" spans="1:8" ht="21" x14ac:dyDescent="0.3">
      <c r="A27" s="58"/>
      <c r="B27" s="51" t="s">
        <v>1563</v>
      </c>
      <c r="C27" s="51"/>
      <c r="D27" s="51"/>
      <c r="E27" s="54">
        <v>190</v>
      </c>
      <c r="F27" s="54">
        <v>160</v>
      </c>
      <c r="G27" s="54"/>
      <c r="H27" s="51" t="s">
        <v>29</v>
      </c>
    </row>
    <row r="28" spans="1:8" ht="21" x14ac:dyDescent="0.3">
      <c r="A28" s="58"/>
      <c r="B28" s="53" t="s">
        <v>1564</v>
      </c>
      <c r="C28" s="53"/>
      <c r="D28" s="53"/>
      <c r="E28" s="52">
        <v>150</v>
      </c>
      <c r="F28" s="52">
        <v>115.3865</v>
      </c>
      <c r="G28" s="52"/>
      <c r="H28" s="53" t="s">
        <v>29</v>
      </c>
    </row>
    <row r="29" spans="1:8" ht="21" x14ac:dyDescent="0.3">
      <c r="A29" s="58"/>
      <c r="B29" s="51" t="s">
        <v>1565</v>
      </c>
      <c r="C29" s="51"/>
      <c r="D29" s="51"/>
      <c r="E29" s="54">
        <v>360</v>
      </c>
      <c r="F29" s="54">
        <v>307.8537</v>
      </c>
      <c r="G29" s="54"/>
      <c r="H29" s="51" t="s">
        <v>29</v>
      </c>
    </row>
    <row r="30" spans="1:8" ht="21" x14ac:dyDescent="0.3">
      <c r="A30" s="58"/>
      <c r="B30" s="53" t="s">
        <v>1566</v>
      </c>
      <c r="C30" s="53"/>
      <c r="D30" s="53"/>
      <c r="E30" s="54">
        <v>1300</v>
      </c>
      <c r="F30" s="54">
        <v>1140</v>
      </c>
      <c r="G30" s="54"/>
      <c r="H30" s="53" t="s">
        <v>29</v>
      </c>
    </row>
    <row r="31" spans="1:8" ht="21" x14ac:dyDescent="0.3">
      <c r="A31" s="58"/>
      <c r="B31" s="53" t="s">
        <v>1567</v>
      </c>
      <c r="C31" s="53"/>
      <c r="D31" s="53"/>
      <c r="E31" s="54">
        <v>60</v>
      </c>
      <c r="F31" s="54">
        <v>40</v>
      </c>
      <c r="G31" s="54"/>
      <c r="H31" s="53" t="s">
        <v>29</v>
      </c>
    </row>
    <row r="32" spans="1:8" ht="21" x14ac:dyDescent="0.3">
      <c r="A32" s="58"/>
      <c r="B32" s="53" t="s">
        <v>1568</v>
      </c>
      <c r="C32" s="53"/>
      <c r="D32" s="53"/>
      <c r="E32" s="54">
        <v>160</v>
      </c>
      <c r="F32" s="54">
        <v>90</v>
      </c>
      <c r="G32" s="54"/>
      <c r="H32" s="53" t="s">
        <v>29</v>
      </c>
    </row>
    <row r="33" spans="1:8" ht="21" x14ac:dyDescent="0.3">
      <c r="A33" s="58"/>
      <c r="B33" s="51" t="s">
        <v>1569</v>
      </c>
      <c r="C33" s="51"/>
      <c r="D33" s="51"/>
      <c r="E33" s="52">
        <v>250</v>
      </c>
      <c r="F33" s="52">
        <v>110</v>
      </c>
      <c r="G33" s="52"/>
      <c r="H33" s="51" t="s">
        <v>29</v>
      </c>
    </row>
    <row r="34" spans="1:8" ht="21" x14ac:dyDescent="0.3">
      <c r="A34" s="58"/>
      <c r="B34" s="53" t="s">
        <v>1570</v>
      </c>
      <c r="C34" s="53"/>
      <c r="D34" s="53"/>
      <c r="E34" s="54">
        <v>180</v>
      </c>
      <c r="F34" s="54">
        <v>92.5</v>
      </c>
      <c r="G34" s="54"/>
      <c r="H34" s="53" t="s">
        <v>29</v>
      </c>
    </row>
    <row r="35" spans="1:8" ht="21" x14ac:dyDescent="0.3">
      <c r="A35" s="58"/>
      <c r="B35" s="53" t="s">
        <v>1571</v>
      </c>
      <c r="C35" s="53"/>
      <c r="D35" s="53"/>
      <c r="E35" s="52">
        <v>375</v>
      </c>
      <c r="F35" s="52">
        <v>265.00310000000002</v>
      </c>
      <c r="G35" s="52"/>
      <c r="H35" s="53" t="s">
        <v>29</v>
      </c>
    </row>
    <row r="36" spans="1:8" ht="21" x14ac:dyDescent="0.3">
      <c r="A36" s="58"/>
      <c r="B36" s="53" t="s">
        <v>1572</v>
      </c>
      <c r="C36" s="53"/>
      <c r="D36" s="53"/>
      <c r="E36" s="52">
        <v>100</v>
      </c>
      <c r="F36" s="52">
        <v>79</v>
      </c>
      <c r="G36" s="52"/>
      <c r="H36" s="53" t="s">
        <v>29</v>
      </c>
    </row>
    <row r="37" spans="1:8" ht="21" x14ac:dyDescent="0.3">
      <c r="A37" s="58"/>
      <c r="B37" s="51" t="s">
        <v>1573</v>
      </c>
      <c r="C37" s="51"/>
      <c r="D37" s="51"/>
      <c r="E37" s="52">
        <v>320</v>
      </c>
      <c r="F37" s="52">
        <v>286</v>
      </c>
      <c r="G37" s="52"/>
      <c r="H37" s="51" t="s">
        <v>29</v>
      </c>
    </row>
    <row r="38" spans="1:8" ht="21" x14ac:dyDescent="0.3">
      <c r="A38" s="58"/>
      <c r="B38" s="53" t="s">
        <v>1574</v>
      </c>
      <c r="C38" s="53"/>
      <c r="D38" s="53"/>
      <c r="E38" s="52">
        <v>1050</v>
      </c>
      <c r="F38" s="52">
        <v>720</v>
      </c>
      <c r="G38" s="52"/>
      <c r="H38" s="53" t="s">
        <v>29</v>
      </c>
    </row>
    <row r="39" spans="1:8" ht="21" x14ac:dyDescent="0.3">
      <c r="A39" s="58"/>
      <c r="B39" s="51" t="s">
        <v>1575</v>
      </c>
      <c r="C39" s="51"/>
      <c r="D39" s="51"/>
      <c r="E39" s="52">
        <v>10</v>
      </c>
      <c r="F39" s="52">
        <v>5.1056999999999997</v>
      </c>
      <c r="G39" s="52"/>
      <c r="H39" s="51" t="s">
        <v>29</v>
      </c>
    </row>
    <row r="40" spans="1:8" ht="21" x14ac:dyDescent="0.3">
      <c r="A40" s="58"/>
      <c r="B40" s="51" t="s">
        <v>1576</v>
      </c>
      <c r="C40" s="51"/>
      <c r="D40" s="51"/>
      <c r="E40" s="52">
        <v>70</v>
      </c>
      <c r="F40" s="52">
        <v>38.35</v>
      </c>
      <c r="G40" s="52"/>
      <c r="H40" s="51" t="s">
        <v>29</v>
      </c>
    </row>
    <row r="41" spans="1:8" ht="21" x14ac:dyDescent="0.3">
      <c r="A41" s="58"/>
      <c r="B41" s="51" t="s">
        <v>1577</v>
      </c>
      <c r="C41" s="51"/>
      <c r="D41" s="51"/>
      <c r="E41" s="52">
        <v>100</v>
      </c>
      <c r="F41" s="52">
        <v>44.714300000000001</v>
      </c>
      <c r="G41" s="52"/>
      <c r="H41" s="51" t="s">
        <v>29</v>
      </c>
    </row>
    <row r="42" spans="1:8" ht="21" x14ac:dyDescent="0.3">
      <c r="A42" s="58"/>
      <c r="B42" s="53" t="s">
        <v>1578</v>
      </c>
      <c r="C42" s="53"/>
      <c r="D42" s="53"/>
      <c r="E42" s="52">
        <v>100</v>
      </c>
      <c r="F42" s="52">
        <v>46</v>
      </c>
      <c r="G42" s="52"/>
      <c r="H42" s="53" t="s">
        <v>29</v>
      </c>
    </row>
    <row r="43" spans="1:8" ht="21" x14ac:dyDescent="0.3">
      <c r="A43" s="58"/>
      <c r="B43" s="53" t="s">
        <v>1579</v>
      </c>
      <c r="C43" s="53"/>
      <c r="D43" s="53"/>
      <c r="E43" s="54">
        <v>135</v>
      </c>
      <c r="F43" s="54">
        <v>87.87</v>
      </c>
      <c r="G43" s="54"/>
      <c r="H43" s="53" t="s">
        <v>29</v>
      </c>
    </row>
    <row r="44" spans="1:8" ht="21" x14ac:dyDescent="0.3">
      <c r="A44" s="58"/>
      <c r="B44" s="51" t="s">
        <v>1580</v>
      </c>
      <c r="C44" s="51"/>
      <c r="D44" s="51"/>
      <c r="E44" s="54">
        <v>130</v>
      </c>
      <c r="F44" s="54">
        <v>75</v>
      </c>
      <c r="G44" s="54"/>
      <c r="H44" s="51" t="s">
        <v>29</v>
      </c>
    </row>
    <row r="45" spans="1:8" ht="21" x14ac:dyDescent="0.3">
      <c r="A45" s="58"/>
      <c r="B45" s="51" t="s">
        <v>1581</v>
      </c>
      <c r="C45" s="51"/>
      <c r="D45" s="51"/>
      <c r="E45" s="54">
        <v>125</v>
      </c>
      <c r="F45" s="54">
        <v>74</v>
      </c>
      <c r="G45" s="54"/>
      <c r="H45" s="51" t="s">
        <v>29</v>
      </c>
    </row>
    <row r="46" spans="1:8" ht="21" x14ac:dyDescent="0.3">
      <c r="A46" s="58"/>
      <c r="B46" s="53" t="s">
        <v>1582</v>
      </c>
      <c r="C46" s="53"/>
      <c r="D46" s="53"/>
      <c r="E46" s="52">
        <v>80</v>
      </c>
      <c r="F46" s="52">
        <v>30</v>
      </c>
      <c r="G46" s="52"/>
      <c r="H46" s="53" t="s">
        <v>29</v>
      </c>
    </row>
    <row r="47" spans="1:8" ht="21" x14ac:dyDescent="0.3">
      <c r="A47" s="58"/>
      <c r="B47" s="51" t="s">
        <v>1583</v>
      </c>
      <c r="C47" s="51"/>
      <c r="D47" s="51"/>
      <c r="E47" s="52">
        <v>200</v>
      </c>
      <c r="F47" s="52">
        <v>64.7059</v>
      </c>
      <c r="G47" s="52"/>
      <c r="H47" s="51" t="s">
        <v>29</v>
      </c>
    </row>
    <row r="48" spans="1:8" ht="21" x14ac:dyDescent="0.3">
      <c r="A48" s="58"/>
      <c r="B48" s="51" t="s">
        <v>1584</v>
      </c>
      <c r="C48" s="51"/>
      <c r="D48" s="51"/>
      <c r="E48" s="54">
        <v>40</v>
      </c>
      <c r="F48" s="54">
        <v>24</v>
      </c>
      <c r="G48" s="54"/>
      <c r="H48" s="51" t="s">
        <v>29</v>
      </c>
    </row>
    <row r="49" spans="1:8" ht="21" x14ac:dyDescent="0.3">
      <c r="A49" s="58"/>
      <c r="B49" s="51" t="s">
        <v>1585</v>
      </c>
      <c r="C49" s="51"/>
      <c r="D49" s="51"/>
      <c r="E49" s="52">
        <v>85</v>
      </c>
      <c r="F49" s="52">
        <v>43.75</v>
      </c>
      <c r="G49" s="52"/>
      <c r="H49" s="51" t="s">
        <v>29</v>
      </c>
    </row>
    <row r="50" spans="1:8" ht="21" x14ac:dyDescent="0.3">
      <c r="A50" s="58"/>
      <c r="B50" s="53" t="s">
        <v>1586</v>
      </c>
      <c r="C50" s="53"/>
      <c r="D50" s="53"/>
      <c r="E50" s="52">
        <v>170</v>
      </c>
      <c r="F50" s="52">
        <v>112.5</v>
      </c>
      <c r="G50" s="52"/>
      <c r="H50" s="53" t="s">
        <v>29</v>
      </c>
    </row>
    <row r="51" spans="1:8" ht="21" x14ac:dyDescent="0.3">
      <c r="A51" s="58"/>
      <c r="B51" s="53" t="s">
        <v>1587</v>
      </c>
      <c r="C51" s="53"/>
      <c r="D51" s="53"/>
      <c r="E51" s="54">
        <v>270</v>
      </c>
      <c r="F51" s="54">
        <v>220</v>
      </c>
      <c r="G51" s="54"/>
      <c r="H51" s="53" t="s">
        <v>29</v>
      </c>
    </row>
    <row r="52" spans="1:8" ht="21" x14ac:dyDescent="0.3">
      <c r="A52" s="58"/>
      <c r="B52" s="53" t="s">
        <v>1588</v>
      </c>
      <c r="C52" s="53"/>
      <c r="D52" s="53"/>
      <c r="E52" s="54">
        <v>20</v>
      </c>
      <c r="F52" s="54">
        <v>15</v>
      </c>
      <c r="G52" s="54"/>
      <c r="H52" s="53" t="s">
        <v>29</v>
      </c>
    </row>
    <row r="53" spans="1:8" ht="21" x14ac:dyDescent="0.3">
      <c r="A53" s="58"/>
      <c r="B53" s="51" t="s">
        <v>1589</v>
      </c>
      <c r="C53" s="51"/>
      <c r="D53" s="51"/>
      <c r="E53" s="52">
        <v>100</v>
      </c>
      <c r="F53" s="52">
        <v>85</v>
      </c>
      <c r="G53" s="52"/>
      <c r="H53" s="51" t="s">
        <v>29</v>
      </c>
    </row>
    <row r="54" spans="1:8" ht="21" x14ac:dyDescent="0.3">
      <c r="A54" s="58"/>
      <c r="B54" s="53" t="s">
        <v>1590</v>
      </c>
      <c r="C54" s="53"/>
      <c r="D54" s="53"/>
      <c r="E54" s="52">
        <v>35</v>
      </c>
      <c r="F54" s="52">
        <v>18.5</v>
      </c>
      <c r="G54" s="52"/>
      <c r="H54" s="53" t="s">
        <v>29</v>
      </c>
    </row>
    <row r="55" spans="1:8" ht="21" x14ac:dyDescent="0.3">
      <c r="A55" s="58"/>
      <c r="B55" s="53" t="s">
        <v>1591</v>
      </c>
      <c r="C55" s="53"/>
      <c r="D55" s="53"/>
      <c r="E55" s="52">
        <v>90</v>
      </c>
      <c r="F55" s="52">
        <v>82.8</v>
      </c>
      <c r="G55" s="52"/>
      <c r="H55" s="53" t="s">
        <v>29</v>
      </c>
    </row>
    <row r="56" spans="1:8" ht="21" x14ac:dyDescent="0.3">
      <c r="A56" s="58"/>
      <c r="B56" s="51" t="s">
        <v>1592</v>
      </c>
      <c r="C56" s="51"/>
      <c r="D56" s="51"/>
      <c r="E56" s="52">
        <v>380</v>
      </c>
      <c r="F56" s="52">
        <v>325</v>
      </c>
      <c r="G56" s="52"/>
      <c r="H56" s="51" t="s">
        <v>29</v>
      </c>
    </row>
    <row r="57" spans="1:8" ht="21" x14ac:dyDescent="0.3">
      <c r="A57" s="58"/>
      <c r="B57" s="53" t="s">
        <v>1593</v>
      </c>
      <c r="C57" s="53"/>
      <c r="D57" s="53"/>
      <c r="E57" s="54">
        <v>180</v>
      </c>
      <c r="F57" s="54">
        <v>90</v>
      </c>
      <c r="G57" s="54"/>
      <c r="H57" s="53" t="s">
        <v>29</v>
      </c>
    </row>
    <row r="58" spans="1:8" ht="21" x14ac:dyDescent="0.3">
      <c r="A58" s="58"/>
      <c r="B58" s="53" t="s">
        <v>1594</v>
      </c>
      <c r="C58" s="53"/>
      <c r="D58" s="53"/>
      <c r="E58" s="52">
        <v>40</v>
      </c>
      <c r="F58" s="52">
        <v>15</v>
      </c>
      <c r="G58" s="52"/>
      <c r="H58" s="53" t="s">
        <v>29</v>
      </c>
    </row>
    <row r="59" spans="1:8" ht="21" x14ac:dyDescent="0.3">
      <c r="A59" s="58"/>
      <c r="B59" s="51" t="s">
        <v>1595</v>
      </c>
      <c r="C59" s="51"/>
      <c r="D59" s="51"/>
      <c r="E59" s="54">
        <v>250</v>
      </c>
      <c r="F59" s="54">
        <v>162.98699999999999</v>
      </c>
      <c r="G59" s="54"/>
      <c r="H59" s="51" t="s">
        <v>29</v>
      </c>
    </row>
    <row r="60" spans="1:8" ht="21" x14ac:dyDescent="0.3">
      <c r="A60" s="58"/>
      <c r="B60" s="53" t="s">
        <v>1596</v>
      </c>
      <c r="C60" s="53"/>
      <c r="D60" s="53"/>
      <c r="E60" s="54">
        <v>2700</v>
      </c>
      <c r="F60" s="54">
        <v>1250</v>
      </c>
      <c r="G60" s="54"/>
      <c r="H60" s="53" t="s">
        <v>29</v>
      </c>
    </row>
    <row r="61" spans="1:8" ht="21" x14ac:dyDescent="0.3">
      <c r="A61" s="58"/>
      <c r="B61" s="51" t="s">
        <v>1597</v>
      </c>
      <c r="C61" s="51"/>
      <c r="D61" s="51"/>
      <c r="E61" s="52">
        <v>30</v>
      </c>
      <c r="F61" s="52">
        <v>0</v>
      </c>
      <c r="G61" s="52"/>
      <c r="H61" s="51" t="s">
        <v>29</v>
      </c>
    </row>
    <row r="62" spans="1:8" ht="21" x14ac:dyDescent="0.3">
      <c r="A62" s="58"/>
      <c r="B62" s="51" t="s">
        <v>1598</v>
      </c>
      <c r="C62" s="51"/>
      <c r="D62" s="51"/>
      <c r="E62" s="54">
        <v>180</v>
      </c>
      <c r="F62" s="54">
        <v>120</v>
      </c>
      <c r="G62" s="54"/>
      <c r="H62" s="51" t="s">
        <v>29</v>
      </c>
    </row>
    <row r="63" spans="1:8" ht="21" x14ac:dyDescent="0.3">
      <c r="A63" s="58"/>
      <c r="B63" s="53" t="s">
        <v>1599</v>
      </c>
      <c r="C63" s="53"/>
      <c r="D63" s="53"/>
      <c r="E63" s="52">
        <v>250</v>
      </c>
      <c r="F63" s="52">
        <v>220</v>
      </c>
      <c r="G63" s="52"/>
      <c r="H63" s="53" t="s">
        <v>29</v>
      </c>
    </row>
    <row r="64" spans="1:8" ht="21" x14ac:dyDescent="0.3">
      <c r="A64" s="58"/>
      <c r="B64" s="53" t="s">
        <v>1600</v>
      </c>
      <c r="C64" s="53"/>
      <c r="D64" s="53"/>
      <c r="E64" s="52">
        <v>180</v>
      </c>
      <c r="F64" s="52">
        <v>115</v>
      </c>
      <c r="G64" s="52"/>
      <c r="H64" s="53" t="s">
        <v>29</v>
      </c>
    </row>
    <row r="65" spans="1:8" ht="21" x14ac:dyDescent="0.3">
      <c r="A65" s="58"/>
      <c r="B65" s="51" t="s">
        <v>1601</v>
      </c>
      <c r="C65" s="51"/>
      <c r="D65" s="51"/>
      <c r="E65" s="54">
        <v>3.5</v>
      </c>
      <c r="F65" s="54">
        <v>3.15</v>
      </c>
      <c r="G65" s="54"/>
      <c r="H65" s="51" t="s">
        <v>29</v>
      </c>
    </row>
    <row r="66" spans="1:8" ht="21" x14ac:dyDescent="0.3">
      <c r="A66" s="58"/>
      <c r="B66" s="53" t="s">
        <v>1602</v>
      </c>
      <c r="C66" s="53"/>
      <c r="D66" s="53"/>
      <c r="E66" s="52">
        <v>4.4000000000000004</v>
      </c>
      <c r="F66" s="52">
        <v>3.2</v>
      </c>
      <c r="G66" s="52"/>
      <c r="H66" s="53" t="s">
        <v>29</v>
      </c>
    </row>
    <row r="67" spans="1:8" ht="21" x14ac:dyDescent="0.3">
      <c r="A67" s="58"/>
      <c r="B67" s="53" t="s">
        <v>1603</v>
      </c>
      <c r="C67" s="53"/>
      <c r="D67" s="53"/>
      <c r="E67" s="54">
        <v>350</v>
      </c>
      <c r="F67" s="54">
        <v>310</v>
      </c>
      <c r="G67" s="54"/>
      <c r="H67" s="53" t="s">
        <v>29</v>
      </c>
    </row>
    <row r="68" spans="1:8" ht="21" x14ac:dyDescent="0.3">
      <c r="A68" s="58"/>
      <c r="B68" s="51" t="s">
        <v>1604</v>
      </c>
      <c r="C68" s="51"/>
      <c r="D68" s="51"/>
      <c r="E68" s="52">
        <v>650</v>
      </c>
      <c r="F68" s="52">
        <v>360</v>
      </c>
      <c r="G68" s="52"/>
      <c r="H68" s="51" t="s">
        <v>29</v>
      </c>
    </row>
    <row r="69" spans="1:8" ht="21" x14ac:dyDescent="0.3">
      <c r="A69" s="58"/>
      <c r="B69" s="53" t="s">
        <v>1605</v>
      </c>
      <c r="C69" s="53"/>
      <c r="D69" s="53"/>
      <c r="E69" s="54">
        <v>700</v>
      </c>
      <c r="F69" s="54">
        <v>400</v>
      </c>
      <c r="G69" s="54"/>
      <c r="H69" s="53" t="s">
        <v>29</v>
      </c>
    </row>
    <row r="70" spans="1:8" ht="21" x14ac:dyDescent="0.3">
      <c r="A70" s="58"/>
      <c r="B70" s="51" t="s">
        <v>1606</v>
      </c>
      <c r="C70" s="51"/>
      <c r="D70" s="51"/>
      <c r="E70" s="52">
        <v>400</v>
      </c>
      <c r="F70" s="52">
        <v>75.05</v>
      </c>
      <c r="G70" s="52"/>
      <c r="H70" s="51" t="s">
        <v>29</v>
      </c>
    </row>
    <row r="71" spans="1:8" ht="21" x14ac:dyDescent="0.3">
      <c r="A71" s="58"/>
      <c r="B71" s="51" t="s">
        <v>1607</v>
      </c>
      <c r="C71" s="51"/>
      <c r="D71" s="51"/>
      <c r="E71" s="54">
        <v>800</v>
      </c>
      <c r="F71" s="54">
        <v>430</v>
      </c>
      <c r="G71" s="54"/>
      <c r="H71" s="51" t="s">
        <v>29</v>
      </c>
    </row>
    <row r="72" spans="1:8" ht="21" x14ac:dyDescent="0.3">
      <c r="A72" s="58"/>
      <c r="B72" s="53" t="s">
        <v>1608</v>
      </c>
      <c r="C72" s="53"/>
      <c r="D72" s="53"/>
      <c r="E72" s="52">
        <v>295</v>
      </c>
      <c r="F72" s="52">
        <v>130</v>
      </c>
      <c r="G72" s="52"/>
      <c r="H72" s="53" t="s">
        <v>29</v>
      </c>
    </row>
    <row r="73" spans="1:8" ht="21" x14ac:dyDescent="0.3">
      <c r="A73" s="58"/>
      <c r="B73" s="53" t="s">
        <v>1609</v>
      </c>
      <c r="C73" s="53"/>
      <c r="D73" s="53"/>
      <c r="E73" s="54">
        <v>90</v>
      </c>
      <c r="F73" s="54">
        <v>60</v>
      </c>
      <c r="G73" s="54"/>
      <c r="H73" s="53" t="s">
        <v>29</v>
      </c>
    </row>
    <row r="74" spans="1:8" ht="21" x14ac:dyDescent="0.3">
      <c r="A74" s="58"/>
      <c r="B74" s="51" t="s">
        <v>1610</v>
      </c>
      <c r="C74" s="51"/>
      <c r="D74" s="51"/>
      <c r="E74" s="54">
        <v>70</v>
      </c>
      <c r="F74" s="54">
        <v>50</v>
      </c>
      <c r="G74" s="54"/>
      <c r="H74" s="51" t="s">
        <v>29</v>
      </c>
    </row>
    <row r="75" spans="1:8" ht="21" x14ac:dyDescent="0.3">
      <c r="A75" s="58"/>
      <c r="B75" s="53" t="s">
        <v>1611</v>
      </c>
      <c r="C75" s="53"/>
      <c r="D75" s="53"/>
      <c r="E75" s="54">
        <v>55</v>
      </c>
      <c r="F75" s="54">
        <v>40</v>
      </c>
      <c r="G75" s="54"/>
      <c r="H75" s="53" t="s">
        <v>29</v>
      </c>
    </row>
    <row r="76" spans="1:8" ht="21" x14ac:dyDescent="0.3">
      <c r="A76" s="58"/>
      <c r="B76" s="51" t="s">
        <v>1612</v>
      </c>
      <c r="C76" s="51"/>
      <c r="D76" s="51"/>
      <c r="E76" s="54">
        <v>180</v>
      </c>
      <c r="F76" s="54">
        <v>0</v>
      </c>
      <c r="G76" s="54"/>
      <c r="H76" s="51" t="s">
        <v>29</v>
      </c>
    </row>
    <row r="77" spans="1:8" ht="21" x14ac:dyDescent="0.3">
      <c r="A77" s="58"/>
      <c r="B77" s="53" t="s">
        <v>1613</v>
      </c>
      <c r="C77" s="53"/>
      <c r="D77" s="53"/>
      <c r="E77" s="54">
        <v>60</v>
      </c>
      <c r="F77" s="54">
        <v>20.7</v>
      </c>
      <c r="G77" s="54"/>
      <c r="H77" s="53" t="s">
        <v>29</v>
      </c>
    </row>
    <row r="78" spans="1:8" ht="21" x14ac:dyDescent="0.3">
      <c r="A78" s="58"/>
      <c r="B78" s="51" t="s">
        <v>1614</v>
      </c>
      <c r="C78" s="51"/>
      <c r="D78" s="51"/>
      <c r="E78" s="52">
        <v>3500</v>
      </c>
      <c r="F78" s="52">
        <v>2300</v>
      </c>
      <c r="G78" s="52"/>
      <c r="H78" s="51" t="s">
        <v>29</v>
      </c>
    </row>
    <row r="79" spans="1:8" ht="21" x14ac:dyDescent="0.3">
      <c r="A79" s="58"/>
      <c r="B79" s="56" t="s">
        <v>1618</v>
      </c>
      <c r="C79" s="56"/>
      <c r="D79" s="56"/>
      <c r="E79" s="56">
        <v>130</v>
      </c>
      <c r="F79" s="56">
        <v>89.942899999999995</v>
      </c>
      <c r="G79" s="56"/>
      <c r="H79" s="56" t="s">
        <v>29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0406C-E741-4F23-9D39-7DA4E91B1865}">
  <dimension ref="A1:H7"/>
  <sheetViews>
    <sheetView topLeftCell="B1" workbookViewId="0">
      <selection activeCell="B8" sqref="A8:XFD426"/>
    </sheetView>
  </sheetViews>
  <sheetFormatPr defaultRowHeight="14.4" x14ac:dyDescent="0.3"/>
  <cols>
    <col min="1" max="1" width="15.44140625" style="59" customWidth="1"/>
    <col min="2" max="3" width="58.109375" style="59" customWidth="1"/>
    <col min="4" max="4" width="32.77734375" style="59" customWidth="1"/>
    <col min="5" max="5" width="17.6640625" style="59" customWidth="1"/>
    <col min="6" max="6" width="16.6640625" style="59" customWidth="1"/>
    <col min="7" max="7" width="11.21875" style="59" customWidth="1"/>
    <col min="8" max="8" width="15.5546875" style="59" customWidth="1"/>
  </cols>
  <sheetData>
    <row r="1" spans="1:8" ht="21" x14ac:dyDescent="0.3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3">
      <c r="A2" s="58"/>
      <c r="B2" s="53" t="s">
        <v>1531</v>
      </c>
      <c r="C2" s="53"/>
      <c r="D2" s="53"/>
      <c r="E2" s="54">
        <v>50</v>
      </c>
      <c r="F2" s="54">
        <v>27</v>
      </c>
      <c r="G2" s="54"/>
      <c r="H2" s="53" t="s">
        <v>1532</v>
      </c>
    </row>
    <row r="3" spans="1:8" ht="21" x14ac:dyDescent="0.3">
      <c r="A3" s="58"/>
      <c r="B3" s="53" t="s">
        <v>1533</v>
      </c>
      <c r="C3" s="53"/>
      <c r="D3" s="53"/>
      <c r="E3" s="54">
        <v>200</v>
      </c>
      <c r="F3" s="54">
        <v>168.2</v>
      </c>
      <c r="G3" s="54"/>
      <c r="H3" s="53" t="s">
        <v>1532</v>
      </c>
    </row>
    <row r="4" spans="1:8" ht="21" x14ac:dyDescent="0.3">
      <c r="A4" s="58"/>
      <c r="B4" s="51" t="s">
        <v>1534</v>
      </c>
      <c r="C4" s="51"/>
      <c r="D4" s="51"/>
      <c r="E4" s="54">
        <v>275</v>
      </c>
      <c r="F4" s="54">
        <v>250</v>
      </c>
      <c r="G4" s="54"/>
      <c r="H4" s="51" t="s">
        <v>1532</v>
      </c>
    </row>
    <row r="5" spans="1:8" ht="21" x14ac:dyDescent="0.3">
      <c r="A5" s="58"/>
      <c r="B5" s="51" t="s">
        <v>1535</v>
      </c>
      <c r="C5" s="51"/>
      <c r="D5" s="51"/>
      <c r="E5" s="52">
        <v>440</v>
      </c>
      <c r="F5" s="52">
        <v>405.05</v>
      </c>
      <c r="G5" s="52"/>
      <c r="H5" s="51" t="s">
        <v>1532</v>
      </c>
    </row>
    <row r="6" spans="1:8" ht="21" x14ac:dyDescent="0.3">
      <c r="A6" s="58"/>
      <c r="B6" s="53" t="s">
        <v>1536</v>
      </c>
      <c r="C6" s="53"/>
      <c r="D6" s="53"/>
      <c r="E6" s="54">
        <v>625</v>
      </c>
      <c r="F6" s="54">
        <v>499</v>
      </c>
      <c r="G6" s="54"/>
      <c r="H6" s="53" t="s">
        <v>1532</v>
      </c>
    </row>
    <row r="7" spans="1:8" ht="21" x14ac:dyDescent="0.3">
      <c r="A7" s="58"/>
      <c r="B7" s="53" t="s">
        <v>1537</v>
      </c>
      <c r="C7" s="53"/>
      <c r="D7" s="53"/>
      <c r="E7" s="52">
        <v>250</v>
      </c>
      <c r="F7" s="52">
        <v>220</v>
      </c>
      <c r="G7" s="52"/>
      <c r="H7" s="53" t="s">
        <v>1532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E6090-B5BD-4AA7-B0C6-331A504BFDA4}">
  <dimension ref="A1:H14"/>
  <sheetViews>
    <sheetView topLeftCell="B1" workbookViewId="0">
      <selection activeCell="B15" sqref="A15:XFD432"/>
    </sheetView>
  </sheetViews>
  <sheetFormatPr defaultRowHeight="14.4" x14ac:dyDescent="0.3"/>
  <cols>
    <col min="1" max="1" width="15.44140625" style="59" customWidth="1"/>
    <col min="2" max="3" width="58.109375" style="59" customWidth="1"/>
    <col min="4" max="4" width="32.77734375" style="59" customWidth="1"/>
    <col min="5" max="5" width="17.6640625" style="59" customWidth="1"/>
    <col min="6" max="7" width="16.6640625" style="59" customWidth="1"/>
    <col min="8" max="8" width="15.5546875" style="59" customWidth="1"/>
  </cols>
  <sheetData>
    <row r="1" spans="1:8" ht="21" x14ac:dyDescent="0.3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3">
      <c r="A2" s="58"/>
      <c r="B2" s="53" t="s">
        <v>1517</v>
      </c>
      <c r="C2" s="53"/>
      <c r="D2" s="53"/>
      <c r="E2" s="54">
        <v>350</v>
      </c>
      <c r="F2" s="54">
        <v>305</v>
      </c>
      <c r="G2" s="54"/>
      <c r="H2" s="53" t="s">
        <v>1518</v>
      </c>
    </row>
    <row r="3" spans="1:8" ht="21" x14ac:dyDescent="0.3">
      <c r="A3" s="58"/>
      <c r="B3" s="51" t="s">
        <v>1519</v>
      </c>
      <c r="C3" s="51"/>
      <c r="D3" s="51"/>
      <c r="E3" s="54">
        <v>1080</v>
      </c>
      <c r="F3" s="54">
        <v>937</v>
      </c>
      <c r="G3" s="54"/>
      <c r="H3" s="51" t="s">
        <v>1518</v>
      </c>
    </row>
    <row r="4" spans="1:8" ht="21" x14ac:dyDescent="0.3">
      <c r="A4" s="58"/>
      <c r="B4" s="51" t="s">
        <v>1520</v>
      </c>
      <c r="C4" s="51"/>
      <c r="D4" s="51"/>
      <c r="E4" s="52">
        <v>6400</v>
      </c>
      <c r="F4" s="52">
        <v>5950</v>
      </c>
      <c r="G4" s="52"/>
      <c r="H4" s="51" t="s">
        <v>1518</v>
      </c>
    </row>
    <row r="5" spans="1:8" ht="21" x14ac:dyDescent="0.3">
      <c r="A5" s="58"/>
      <c r="B5" s="53" t="s">
        <v>1521</v>
      </c>
      <c r="C5" s="53"/>
      <c r="D5" s="53"/>
      <c r="E5" s="52">
        <v>1050</v>
      </c>
      <c r="F5" s="52">
        <v>954</v>
      </c>
      <c r="G5" s="52"/>
      <c r="H5" s="53" t="s">
        <v>1518</v>
      </c>
    </row>
    <row r="6" spans="1:8" ht="21" x14ac:dyDescent="0.3">
      <c r="A6" s="58"/>
      <c r="B6" s="53" t="s">
        <v>1522</v>
      </c>
      <c r="C6" s="53"/>
      <c r="D6" s="53"/>
      <c r="E6" s="52">
        <v>470</v>
      </c>
      <c r="F6" s="52">
        <v>433</v>
      </c>
      <c r="G6" s="52"/>
      <c r="H6" s="53" t="s">
        <v>1518</v>
      </c>
    </row>
    <row r="7" spans="1:8" ht="21" x14ac:dyDescent="0.3">
      <c r="A7" s="58"/>
      <c r="B7" s="53" t="s">
        <v>1523</v>
      </c>
      <c r="C7" s="53"/>
      <c r="D7" s="53"/>
      <c r="E7" s="54">
        <v>335</v>
      </c>
      <c r="F7" s="54">
        <v>305</v>
      </c>
      <c r="G7" s="54"/>
      <c r="H7" s="53" t="s">
        <v>1518</v>
      </c>
    </row>
    <row r="8" spans="1:8" ht="21" x14ac:dyDescent="0.3">
      <c r="A8" s="58"/>
      <c r="B8" s="51" t="s">
        <v>1524</v>
      </c>
      <c r="C8" s="51"/>
      <c r="D8" s="51"/>
      <c r="E8" s="52">
        <v>600</v>
      </c>
      <c r="F8" s="52">
        <v>520</v>
      </c>
      <c r="G8" s="52"/>
      <c r="H8" s="51" t="s">
        <v>1518</v>
      </c>
    </row>
    <row r="9" spans="1:8" ht="21" x14ac:dyDescent="0.3">
      <c r="A9" s="58"/>
      <c r="B9" s="53" t="s">
        <v>1525</v>
      </c>
      <c r="C9" s="53"/>
      <c r="D9" s="53"/>
      <c r="E9" s="54">
        <v>2275</v>
      </c>
      <c r="F9" s="54">
        <v>2010</v>
      </c>
      <c r="G9" s="54"/>
      <c r="H9" s="53" t="s">
        <v>1518</v>
      </c>
    </row>
    <row r="10" spans="1:8" ht="21" x14ac:dyDescent="0.3">
      <c r="A10" s="58"/>
      <c r="B10" s="53" t="s">
        <v>1526</v>
      </c>
      <c r="C10" s="53"/>
      <c r="D10" s="53"/>
      <c r="E10" s="52">
        <v>2700</v>
      </c>
      <c r="F10" s="52">
        <v>2431</v>
      </c>
      <c r="G10" s="52"/>
      <c r="H10" s="53" t="s">
        <v>1518</v>
      </c>
    </row>
    <row r="11" spans="1:8" ht="21" x14ac:dyDescent="0.3">
      <c r="A11" s="58"/>
      <c r="B11" s="51" t="s">
        <v>1527</v>
      </c>
      <c r="C11" s="51"/>
      <c r="D11" s="51"/>
      <c r="E11" s="54">
        <v>750</v>
      </c>
      <c r="F11" s="54">
        <v>675</v>
      </c>
      <c r="G11" s="54"/>
      <c r="H11" s="51" t="s">
        <v>1518</v>
      </c>
    </row>
    <row r="12" spans="1:8" ht="21" x14ac:dyDescent="0.3">
      <c r="A12" s="58"/>
      <c r="B12" s="53" t="s">
        <v>1528</v>
      </c>
      <c r="C12" s="53"/>
      <c r="D12" s="53"/>
      <c r="E12" s="52">
        <v>400</v>
      </c>
      <c r="F12" s="52">
        <v>384</v>
      </c>
      <c r="G12" s="52"/>
      <c r="H12" s="53" t="s">
        <v>1518</v>
      </c>
    </row>
    <row r="13" spans="1:8" ht="21" x14ac:dyDescent="0.3">
      <c r="A13" s="58"/>
      <c r="B13" s="51" t="s">
        <v>1529</v>
      </c>
      <c r="C13" s="51"/>
      <c r="D13" s="51"/>
      <c r="E13" s="54">
        <v>1400</v>
      </c>
      <c r="F13" s="54">
        <v>1318</v>
      </c>
      <c r="G13" s="54"/>
      <c r="H13" s="51" t="s">
        <v>1518</v>
      </c>
    </row>
    <row r="14" spans="1:8" ht="21" x14ac:dyDescent="0.3">
      <c r="A14" s="58"/>
      <c r="B14" s="51" t="s">
        <v>1530</v>
      </c>
      <c r="C14" s="51"/>
      <c r="D14" s="51"/>
      <c r="E14" s="54">
        <v>0</v>
      </c>
      <c r="F14" s="54">
        <v>0</v>
      </c>
      <c r="G14" s="54"/>
      <c r="H14" s="51" t="s">
        <v>1518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BBA4D-FFB4-4604-8672-7308B78CE3CF}">
  <dimension ref="A1:H16"/>
  <sheetViews>
    <sheetView topLeftCell="B1" workbookViewId="0">
      <selection activeCell="G2" sqref="G2"/>
    </sheetView>
  </sheetViews>
  <sheetFormatPr defaultRowHeight="14.4" x14ac:dyDescent="0.3"/>
  <cols>
    <col min="1" max="1" width="13.6640625" style="59" customWidth="1"/>
    <col min="2" max="3" width="58.109375" style="59" customWidth="1"/>
    <col min="4" max="4" width="26.77734375" style="59" customWidth="1"/>
    <col min="5" max="5" width="17.6640625" style="59" customWidth="1"/>
    <col min="6" max="7" width="16.6640625" style="59" customWidth="1"/>
    <col min="8" max="8" width="15.5546875" style="59" customWidth="1"/>
  </cols>
  <sheetData>
    <row r="1" spans="1:8" ht="21" x14ac:dyDescent="0.3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3">
      <c r="A2" s="58"/>
      <c r="B2" s="51" t="s">
        <v>1501</v>
      </c>
      <c r="C2" s="51"/>
      <c r="D2" s="51"/>
      <c r="E2" s="54">
        <v>150</v>
      </c>
      <c r="F2" s="54">
        <v>116.1</v>
      </c>
      <c r="G2" s="54"/>
      <c r="H2" s="51" t="s">
        <v>1502</v>
      </c>
    </row>
    <row r="3" spans="1:8" ht="21" x14ac:dyDescent="0.3">
      <c r="A3" s="58"/>
      <c r="B3" s="53" t="s">
        <v>1503</v>
      </c>
      <c r="C3" s="53"/>
      <c r="D3" s="53"/>
      <c r="E3" s="54">
        <v>410</v>
      </c>
      <c r="F3" s="54">
        <v>340.9</v>
      </c>
      <c r="G3" s="54"/>
      <c r="H3" s="53" t="s">
        <v>1502</v>
      </c>
    </row>
    <row r="4" spans="1:8" ht="21" x14ac:dyDescent="0.3">
      <c r="A4" s="58"/>
      <c r="B4" s="51" t="s">
        <v>1504</v>
      </c>
      <c r="C4" s="51"/>
      <c r="D4" s="51"/>
      <c r="E4" s="52">
        <v>1200</v>
      </c>
      <c r="F4" s="52">
        <v>1117.0999999999999</v>
      </c>
      <c r="G4" s="52"/>
      <c r="H4" s="51" t="s">
        <v>1502</v>
      </c>
    </row>
    <row r="5" spans="1:8" ht="21" x14ac:dyDescent="0.3">
      <c r="A5" s="58"/>
      <c r="B5" s="51" t="s">
        <v>1505</v>
      </c>
      <c r="C5" s="51"/>
      <c r="D5" s="51"/>
      <c r="E5" s="52">
        <v>470</v>
      </c>
      <c r="F5" s="52">
        <v>412.2</v>
      </c>
      <c r="G5" s="52"/>
      <c r="H5" s="51" t="s">
        <v>1502</v>
      </c>
    </row>
    <row r="6" spans="1:8" ht="21" x14ac:dyDescent="0.3">
      <c r="A6" s="58"/>
      <c r="B6" s="51" t="s">
        <v>1506</v>
      </c>
      <c r="C6" s="51"/>
      <c r="D6" s="51"/>
      <c r="E6" s="52">
        <v>70</v>
      </c>
      <c r="F6" s="52">
        <v>46.8</v>
      </c>
      <c r="G6" s="52"/>
      <c r="H6" s="51" t="s">
        <v>1502</v>
      </c>
    </row>
    <row r="7" spans="1:8" ht="21" x14ac:dyDescent="0.3">
      <c r="A7" s="58"/>
      <c r="B7" s="51" t="s">
        <v>1507</v>
      </c>
      <c r="C7" s="51"/>
      <c r="D7" s="51"/>
      <c r="E7" s="54">
        <v>170</v>
      </c>
      <c r="F7" s="54">
        <v>139.6</v>
      </c>
      <c r="G7" s="54"/>
      <c r="H7" s="51" t="s">
        <v>1502</v>
      </c>
    </row>
    <row r="8" spans="1:8" ht="21" x14ac:dyDescent="0.3">
      <c r="A8" s="58"/>
      <c r="B8" s="53" t="s">
        <v>1508</v>
      </c>
      <c r="C8" s="53"/>
      <c r="D8" s="53"/>
      <c r="E8" s="52">
        <v>440</v>
      </c>
      <c r="F8" s="52">
        <v>397.1</v>
      </c>
      <c r="G8" s="52"/>
      <c r="H8" s="53" t="s">
        <v>1502</v>
      </c>
    </row>
    <row r="9" spans="1:8" ht="21" x14ac:dyDescent="0.3">
      <c r="A9" s="58"/>
      <c r="B9" s="53" t="s">
        <v>1509</v>
      </c>
      <c r="C9" s="53"/>
      <c r="D9" s="53"/>
      <c r="E9" s="52">
        <v>330</v>
      </c>
      <c r="F9" s="52">
        <v>273.60000000000002</v>
      </c>
      <c r="G9" s="52"/>
      <c r="H9" s="53" t="s">
        <v>1502</v>
      </c>
    </row>
    <row r="10" spans="1:8" ht="21" x14ac:dyDescent="0.3">
      <c r="A10" s="58"/>
      <c r="B10" s="53" t="s">
        <v>1510</v>
      </c>
      <c r="C10" s="53"/>
      <c r="D10" s="53"/>
      <c r="E10" s="52">
        <v>180</v>
      </c>
      <c r="F10" s="52">
        <v>145.6</v>
      </c>
      <c r="G10" s="52"/>
      <c r="H10" s="53" t="s">
        <v>1502</v>
      </c>
    </row>
    <row r="11" spans="1:8" ht="21" x14ac:dyDescent="0.3">
      <c r="A11" s="58"/>
      <c r="B11" s="51" t="s">
        <v>1511</v>
      </c>
      <c r="C11" s="51"/>
      <c r="D11" s="51"/>
      <c r="E11" s="52">
        <v>1625</v>
      </c>
      <c r="F11" s="52">
        <v>1526</v>
      </c>
      <c r="G11" s="52"/>
      <c r="H11" s="51" t="s">
        <v>1502</v>
      </c>
    </row>
    <row r="12" spans="1:8" ht="21" x14ac:dyDescent="0.3">
      <c r="A12" s="58"/>
      <c r="B12" s="53" t="s">
        <v>1512</v>
      </c>
      <c r="C12" s="53"/>
      <c r="D12" s="53"/>
      <c r="E12" s="54">
        <v>615</v>
      </c>
      <c r="F12" s="54">
        <v>513.6</v>
      </c>
      <c r="G12" s="54"/>
      <c r="H12" s="53" t="s">
        <v>1502</v>
      </c>
    </row>
    <row r="13" spans="1:8" ht="21" x14ac:dyDescent="0.3">
      <c r="A13" s="58"/>
      <c r="B13" s="51" t="s">
        <v>1513</v>
      </c>
      <c r="C13" s="51"/>
      <c r="D13" s="51"/>
      <c r="E13" s="54">
        <v>650</v>
      </c>
      <c r="F13" s="54">
        <v>577</v>
      </c>
      <c r="G13" s="54"/>
      <c r="H13" s="51" t="s">
        <v>1502</v>
      </c>
    </row>
    <row r="14" spans="1:8" ht="21" x14ac:dyDescent="0.3">
      <c r="A14" s="58"/>
      <c r="B14" s="53" t="s">
        <v>1514</v>
      </c>
      <c r="C14" s="53"/>
      <c r="D14" s="53"/>
      <c r="E14" s="54">
        <v>220</v>
      </c>
      <c r="F14" s="54">
        <v>182.5</v>
      </c>
      <c r="G14" s="54"/>
      <c r="H14" s="53" t="s">
        <v>1502</v>
      </c>
    </row>
    <row r="15" spans="1:8" ht="21" x14ac:dyDescent="0.3">
      <c r="A15" s="58"/>
      <c r="B15" s="51" t="s">
        <v>1515</v>
      </c>
      <c r="C15" s="51"/>
      <c r="D15" s="51"/>
      <c r="E15" s="52">
        <v>577</v>
      </c>
      <c r="F15" s="52">
        <v>509.4</v>
      </c>
      <c r="G15" s="52"/>
      <c r="H15" s="51" t="s">
        <v>1502</v>
      </c>
    </row>
    <row r="16" spans="1:8" ht="21" x14ac:dyDescent="0.3">
      <c r="A16" s="58"/>
      <c r="B16" s="55" t="s">
        <v>1516</v>
      </c>
      <c r="C16" s="55"/>
      <c r="D16" s="55"/>
      <c r="E16" s="56">
        <v>1050</v>
      </c>
      <c r="F16" s="56">
        <v>887</v>
      </c>
      <c r="G16" s="56"/>
      <c r="H16" s="55" t="s">
        <v>1502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D0719-281E-4231-88CF-CDDBF150222D}">
  <dimension ref="A1:H60"/>
  <sheetViews>
    <sheetView topLeftCell="B1" workbookViewId="0">
      <selection activeCell="G2" sqref="G2"/>
    </sheetView>
  </sheetViews>
  <sheetFormatPr defaultRowHeight="14.4" x14ac:dyDescent="0.3"/>
  <cols>
    <col min="1" max="1" width="12" style="59" customWidth="1"/>
    <col min="2" max="3" width="58.109375" style="59" customWidth="1"/>
    <col min="4" max="4" width="27.5546875" style="59" customWidth="1"/>
    <col min="5" max="5" width="17.6640625" style="59" customWidth="1"/>
    <col min="6" max="7" width="16.6640625" style="59" customWidth="1"/>
    <col min="8" max="8" width="15.5546875" style="59" customWidth="1"/>
  </cols>
  <sheetData>
    <row r="1" spans="1:8" ht="21" x14ac:dyDescent="0.3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3">
      <c r="A2" s="58"/>
      <c r="B2" s="51" t="s">
        <v>1441</v>
      </c>
      <c r="C2" s="51"/>
      <c r="D2" s="51"/>
      <c r="E2" s="54">
        <v>75</v>
      </c>
      <c r="F2" s="54">
        <v>45.6</v>
      </c>
      <c r="G2" s="54"/>
      <c r="H2" s="51" t="s">
        <v>1442</v>
      </c>
    </row>
    <row r="3" spans="1:8" ht="21" x14ac:dyDescent="0.3">
      <c r="A3" s="58"/>
      <c r="B3" s="53" t="s">
        <v>1443</v>
      </c>
      <c r="C3" s="53"/>
      <c r="D3" s="53"/>
      <c r="E3" s="52">
        <v>70</v>
      </c>
      <c r="F3" s="52">
        <v>37.700000000000003</v>
      </c>
      <c r="G3" s="52"/>
      <c r="H3" s="53" t="s">
        <v>1442</v>
      </c>
    </row>
    <row r="4" spans="1:8" ht="21" x14ac:dyDescent="0.3">
      <c r="A4" s="58"/>
      <c r="B4" s="51" t="s">
        <v>1444</v>
      </c>
      <c r="C4" s="51"/>
      <c r="D4" s="51"/>
      <c r="E4" s="54">
        <v>100</v>
      </c>
      <c r="F4" s="54">
        <v>80</v>
      </c>
      <c r="G4" s="54"/>
      <c r="H4" s="51" t="s">
        <v>1442</v>
      </c>
    </row>
    <row r="5" spans="1:8" ht="21" x14ac:dyDescent="0.3">
      <c r="A5" s="58"/>
      <c r="B5" s="53" t="s">
        <v>1445</v>
      </c>
      <c r="C5" s="53"/>
      <c r="D5" s="53"/>
      <c r="E5" s="54">
        <v>90</v>
      </c>
      <c r="F5" s="54">
        <v>66.2</v>
      </c>
      <c r="G5" s="54"/>
      <c r="H5" s="53" t="s">
        <v>1442</v>
      </c>
    </row>
    <row r="6" spans="1:8" ht="21" x14ac:dyDescent="0.3">
      <c r="A6" s="58"/>
      <c r="B6" s="53" t="s">
        <v>1446</v>
      </c>
      <c r="C6" s="53"/>
      <c r="D6" s="53"/>
      <c r="E6" s="54">
        <v>180</v>
      </c>
      <c r="F6" s="54">
        <v>130</v>
      </c>
      <c r="G6" s="54"/>
      <c r="H6" s="53" t="s">
        <v>1442</v>
      </c>
    </row>
    <row r="7" spans="1:8" ht="21" x14ac:dyDescent="0.3">
      <c r="A7" s="58"/>
      <c r="B7" s="53" t="s">
        <v>1447</v>
      </c>
      <c r="C7" s="53"/>
      <c r="D7" s="53"/>
      <c r="E7" s="54">
        <v>150</v>
      </c>
      <c r="F7" s="54">
        <v>99.2</v>
      </c>
      <c r="G7" s="54"/>
      <c r="H7" s="53" t="s">
        <v>1442</v>
      </c>
    </row>
    <row r="8" spans="1:8" ht="21" x14ac:dyDescent="0.3">
      <c r="A8" s="58"/>
      <c r="B8" s="51" t="s">
        <v>1448</v>
      </c>
      <c r="C8" s="51"/>
      <c r="D8" s="51"/>
      <c r="E8" s="52">
        <v>400</v>
      </c>
      <c r="F8" s="52">
        <v>356.9</v>
      </c>
      <c r="G8" s="52"/>
      <c r="H8" s="51" t="s">
        <v>1442</v>
      </c>
    </row>
    <row r="9" spans="1:8" ht="21" x14ac:dyDescent="0.3">
      <c r="A9" s="58"/>
      <c r="B9" s="51" t="s">
        <v>1449</v>
      </c>
      <c r="C9" s="51"/>
      <c r="D9" s="51"/>
      <c r="E9" s="52">
        <v>350</v>
      </c>
      <c r="F9" s="52">
        <v>283.89999999999998</v>
      </c>
      <c r="G9" s="52"/>
      <c r="H9" s="51" t="s">
        <v>1442</v>
      </c>
    </row>
    <row r="10" spans="1:8" ht="21" x14ac:dyDescent="0.3">
      <c r="A10" s="58"/>
      <c r="B10" s="51" t="s">
        <v>1450</v>
      </c>
      <c r="C10" s="51"/>
      <c r="D10" s="51"/>
      <c r="E10" s="54">
        <v>800</v>
      </c>
      <c r="F10" s="54">
        <v>643</v>
      </c>
      <c r="G10" s="54"/>
      <c r="H10" s="51" t="s">
        <v>1442</v>
      </c>
    </row>
    <row r="11" spans="1:8" ht="21" x14ac:dyDescent="0.3">
      <c r="A11" s="58"/>
      <c r="B11" s="53" t="s">
        <v>1451</v>
      </c>
      <c r="C11" s="53"/>
      <c r="D11" s="53"/>
      <c r="E11" s="52">
        <v>700</v>
      </c>
      <c r="F11" s="52">
        <v>570</v>
      </c>
      <c r="G11" s="52"/>
      <c r="H11" s="53" t="s">
        <v>1442</v>
      </c>
    </row>
    <row r="12" spans="1:8" ht="21" x14ac:dyDescent="0.3">
      <c r="A12" s="58"/>
      <c r="B12" s="53" t="s">
        <v>1452</v>
      </c>
      <c r="C12" s="53"/>
      <c r="D12" s="53"/>
      <c r="E12" s="52">
        <v>100</v>
      </c>
      <c r="F12" s="52">
        <v>87.8</v>
      </c>
      <c r="G12" s="52"/>
      <c r="H12" s="53" t="s">
        <v>1442</v>
      </c>
    </row>
    <row r="13" spans="1:8" ht="21" x14ac:dyDescent="0.3">
      <c r="A13" s="58"/>
      <c r="B13" s="51" t="s">
        <v>1453</v>
      </c>
      <c r="C13" s="51"/>
      <c r="D13" s="51"/>
      <c r="E13" s="52">
        <v>90</v>
      </c>
      <c r="F13" s="52">
        <v>71.900000000000006</v>
      </c>
      <c r="G13" s="52"/>
      <c r="H13" s="51" t="s">
        <v>1442</v>
      </c>
    </row>
    <row r="14" spans="1:8" ht="21" x14ac:dyDescent="0.3">
      <c r="A14" s="58"/>
      <c r="B14" s="53" t="s">
        <v>1454</v>
      </c>
      <c r="C14" s="53"/>
      <c r="D14" s="53"/>
      <c r="E14" s="54">
        <v>190</v>
      </c>
      <c r="F14" s="54">
        <v>171</v>
      </c>
      <c r="G14" s="54"/>
      <c r="H14" s="53" t="s">
        <v>1442</v>
      </c>
    </row>
    <row r="15" spans="1:8" ht="21" x14ac:dyDescent="0.3">
      <c r="A15" s="58"/>
      <c r="B15" s="53" t="s">
        <v>1455</v>
      </c>
      <c r="C15" s="53"/>
      <c r="D15" s="53"/>
      <c r="E15" s="54">
        <v>150</v>
      </c>
      <c r="F15" s="54">
        <v>114</v>
      </c>
      <c r="G15" s="54"/>
      <c r="H15" s="53" t="s">
        <v>1442</v>
      </c>
    </row>
    <row r="16" spans="1:8" ht="21" x14ac:dyDescent="0.3">
      <c r="A16" s="58"/>
      <c r="B16" s="51" t="s">
        <v>1456</v>
      </c>
      <c r="C16" s="51"/>
      <c r="D16" s="51"/>
      <c r="E16" s="52">
        <v>540</v>
      </c>
      <c r="F16" s="52">
        <v>476.6</v>
      </c>
      <c r="G16" s="52"/>
      <c r="H16" s="51" t="s">
        <v>1442</v>
      </c>
    </row>
    <row r="17" spans="1:8" ht="21" x14ac:dyDescent="0.3">
      <c r="A17" s="58"/>
      <c r="B17" s="51" t="s">
        <v>1457</v>
      </c>
      <c r="C17" s="51"/>
      <c r="D17" s="51"/>
      <c r="E17" s="52">
        <v>385</v>
      </c>
      <c r="F17" s="52">
        <v>314.7</v>
      </c>
      <c r="G17" s="52"/>
      <c r="H17" s="51" t="s">
        <v>1442</v>
      </c>
    </row>
    <row r="18" spans="1:8" ht="21" x14ac:dyDescent="0.3">
      <c r="A18" s="58"/>
      <c r="B18" s="51" t="s">
        <v>1458</v>
      </c>
      <c r="C18" s="51"/>
      <c r="D18" s="51"/>
      <c r="E18" s="52">
        <v>930</v>
      </c>
      <c r="F18" s="52">
        <v>820.8</v>
      </c>
      <c r="G18" s="52"/>
      <c r="H18" s="51" t="s">
        <v>1442</v>
      </c>
    </row>
    <row r="19" spans="1:8" ht="21" x14ac:dyDescent="0.3">
      <c r="A19" s="58"/>
      <c r="B19" s="53" t="s">
        <v>1459</v>
      </c>
      <c r="C19" s="53"/>
      <c r="D19" s="53"/>
      <c r="E19" s="52">
        <v>120</v>
      </c>
      <c r="F19" s="52">
        <v>109.44</v>
      </c>
      <c r="G19" s="52"/>
      <c r="H19" s="53" t="s">
        <v>1442</v>
      </c>
    </row>
    <row r="20" spans="1:8" ht="21" x14ac:dyDescent="0.3">
      <c r="A20" s="58"/>
      <c r="B20" s="51" t="s">
        <v>1460</v>
      </c>
      <c r="C20" s="51"/>
      <c r="D20" s="51"/>
      <c r="E20" s="52">
        <v>120</v>
      </c>
      <c r="F20" s="52">
        <v>82.1</v>
      </c>
      <c r="G20" s="52"/>
      <c r="H20" s="51" t="s">
        <v>1442</v>
      </c>
    </row>
    <row r="21" spans="1:8" ht="21" x14ac:dyDescent="0.3">
      <c r="A21" s="58"/>
      <c r="B21" s="53" t="s">
        <v>1461</v>
      </c>
      <c r="C21" s="53"/>
      <c r="D21" s="53"/>
      <c r="E21" s="54">
        <v>220</v>
      </c>
      <c r="F21" s="54">
        <v>205.2</v>
      </c>
      <c r="G21" s="54"/>
      <c r="H21" s="53" t="s">
        <v>1442</v>
      </c>
    </row>
    <row r="22" spans="1:8" ht="21" x14ac:dyDescent="0.3">
      <c r="A22" s="58"/>
      <c r="B22" s="53" t="s">
        <v>1462</v>
      </c>
      <c r="C22" s="53"/>
      <c r="D22" s="53"/>
      <c r="E22" s="54">
        <v>180</v>
      </c>
      <c r="F22" s="54">
        <v>138</v>
      </c>
      <c r="G22" s="54"/>
      <c r="H22" s="53" t="s">
        <v>1442</v>
      </c>
    </row>
    <row r="23" spans="1:8" ht="21" x14ac:dyDescent="0.3">
      <c r="A23" s="58"/>
      <c r="B23" s="51" t="s">
        <v>1463</v>
      </c>
      <c r="C23" s="51"/>
      <c r="D23" s="51"/>
      <c r="E23" s="52">
        <v>650</v>
      </c>
      <c r="F23" s="52">
        <v>540.4</v>
      </c>
      <c r="G23" s="52"/>
      <c r="H23" s="51" t="s">
        <v>1442</v>
      </c>
    </row>
    <row r="24" spans="1:8" ht="21" x14ac:dyDescent="0.3">
      <c r="A24" s="58"/>
      <c r="B24" s="51" t="s">
        <v>1464</v>
      </c>
      <c r="C24" s="51"/>
      <c r="D24" s="51"/>
      <c r="E24" s="52">
        <v>400</v>
      </c>
      <c r="F24" s="52">
        <v>355.7</v>
      </c>
      <c r="G24" s="52"/>
      <c r="H24" s="51" t="s">
        <v>1442</v>
      </c>
    </row>
    <row r="25" spans="1:8" ht="21" x14ac:dyDescent="0.3">
      <c r="A25" s="58"/>
      <c r="B25" s="51" t="s">
        <v>1465</v>
      </c>
      <c r="C25" s="51"/>
      <c r="D25" s="51"/>
      <c r="E25" s="52">
        <v>1100</v>
      </c>
      <c r="F25" s="52">
        <v>969</v>
      </c>
      <c r="G25" s="52"/>
      <c r="H25" s="51" t="s">
        <v>1442</v>
      </c>
    </row>
    <row r="26" spans="1:8" ht="21" x14ac:dyDescent="0.3">
      <c r="A26" s="58"/>
      <c r="B26" s="53" t="s">
        <v>1466</v>
      </c>
      <c r="C26" s="53"/>
      <c r="D26" s="53"/>
      <c r="E26" s="54">
        <v>140</v>
      </c>
      <c r="F26" s="54">
        <v>116.3</v>
      </c>
      <c r="G26" s="54"/>
      <c r="H26" s="53" t="s">
        <v>1442</v>
      </c>
    </row>
    <row r="27" spans="1:8" ht="21" x14ac:dyDescent="0.3">
      <c r="A27" s="58"/>
      <c r="B27" s="51" t="s">
        <v>1467</v>
      </c>
      <c r="C27" s="51"/>
      <c r="D27" s="51"/>
      <c r="E27" s="52">
        <v>130</v>
      </c>
      <c r="F27" s="52">
        <v>98.1</v>
      </c>
      <c r="G27" s="52"/>
      <c r="H27" s="51" t="s">
        <v>1442</v>
      </c>
    </row>
    <row r="28" spans="1:8" ht="21" x14ac:dyDescent="0.3">
      <c r="A28" s="58"/>
      <c r="B28" s="53" t="s">
        <v>1468</v>
      </c>
      <c r="C28" s="53"/>
      <c r="D28" s="53"/>
      <c r="E28" s="52">
        <v>375</v>
      </c>
      <c r="F28" s="52">
        <v>340.9</v>
      </c>
      <c r="G28" s="52"/>
      <c r="H28" s="53" t="s">
        <v>1442</v>
      </c>
    </row>
    <row r="29" spans="1:8" ht="21" x14ac:dyDescent="0.3">
      <c r="A29" s="58"/>
      <c r="B29" s="51" t="s">
        <v>1469</v>
      </c>
      <c r="C29" s="51"/>
      <c r="D29" s="51"/>
      <c r="E29" s="54">
        <v>300</v>
      </c>
      <c r="F29" s="54">
        <v>282.8</v>
      </c>
      <c r="G29" s="54"/>
      <c r="H29" s="51" t="s">
        <v>1442</v>
      </c>
    </row>
    <row r="30" spans="1:8" ht="21" x14ac:dyDescent="0.3">
      <c r="A30" s="58"/>
      <c r="B30" s="53" t="s">
        <v>1470</v>
      </c>
      <c r="C30" s="53"/>
      <c r="D30" s="53"/>
      <c r="E30" s="54">
        <v>650</v>
      </c>
      <c r="F30" s="54">
        <v>578</v>
      </c>
      <c r="G30" s="54"/>
      <c r="H30" s="53" t="s">
        <v>1442</v>
      </c>
    </row>
    <row r="31" spans="1:8" ht="21" x14ac:dyDescent="0.3">
      <c r="A31" s="58"/>
      <c r="B31" s="53" t="s">
        <v>1471</v>
      </c>
      <c r="C31" s="53"/>
      <c r="D31" s="53"/>
      <c r="E31" s="54">
        <v>125</v>
      </c>
      <c r="F31" s="54">
        <v>93.5</v>
      </c>
      <c r="G31" s="54"/>
      <c r="H31" s="53" t="s">
        <v>1442</v>
      </c>
    </row>
    <row r="32" spans="1:8" ht="21" x14ac:dyDescent="0.3">
      <c r="A32" s="58"/>
      <c r="B32" s="51" t="s">
        <v>1472</v>
      </c>
      <c r="C32" s="51"/>
      <c r="D32" s="51"/>
      <c r="E32" s="52">
        <v>300</v>
      </c>
      <c r="F32" s="52">
        <v>284</v>
      </c>
      <c r="G32" s="52"/>
      <c r="H32" s="51" t="s">
        <v>1442</v>
      </c>
    </row>
    <row r="33" spans="1:8" ht="21" x14ac:dyDescent="0.3">
      <c r="A33" s="58"/>
      <c r="B33" s="51" t="s">
        <v>1473</v>
      </c>
      <c r="C33" s="51"/>
      <c r="D33" s="51"/>
      <c r="E33" s="52">
        <v>600</v>
      </c>
      <c r="F33" s="52">
        <v>477.7</v>
      </c>
      <c r="G33" s="52"/>
      <c r="H33" s="51" t="s">
        <v>1442</v>
      </c>
    </row>
    <row r="34" spans="1:8" ht="21" x14ac:dyDescent="0.3">
      <c r="A34" s="58"/>
      <c r="B34" s="53" t="s">
        <v>1474</v>
      </c>
      <c r="C34" s="53"/>
      <c r="D34" s="53"/>
      <c r="E34" s="52">
        <v>74</v>
      </c>
      <c r="F34" s="52">
        <v>67.5</v>
      </c>
      <c r="G34" s="52"/>
      <c r="H34" s="53" t="s">
        <v>1442</v>
      </c>
    </row>
    <row r="35" spans="1:8" ht="21" x14ac:dyDescent="0.3">
      <c r="A35" s="58"/>
      <c r="B35" s="51" t="s">
        <v>1475</v>
      </c>
      <c r="C35" s="51"/>
      <c r="D35" s="51"/>
      <c r="E35" s="54">
        <v>200</v>
      </c>
      <c r="F35" s="54">
        <v>134.6</v>
      </c>
      <c r="G35" s="54"/>
      <c r="H35" s="51" t="s">
        <v>1442</v>
      </c>
    </row>
    <row r="36" spans="1:8" ht="21" x14ac:dyDescent="0.3">
      <c r="A36" s="58"/>
      <c r="B36" s="53" t="s">
        <v>1476</v>
      </c>
      <c r="C36" s="53"/>
      <c r="D36" s="53"/>
      <c r="E36" s="52">
        <v>575</v>
      </c>
      <c r="F36" s="52">
        <v>489</v>
      </c>
      <c r="G36" s="52"/>
      <c r="H36" s="53" t="s">
        <v>1442</v>
      </c>
    </row>
    <row r="37" spans="1:8" ht="21" x14ac:dyDescent="0.3">
      <c r="A37" s="58"/>
      <c r="B37" s="51" t="s">
        <v>1477</v>
      </c>
      <c r="C37" s="51"/>
      <c r="D37" s="51"/>
      <c r="E37" s="54">
        <v>175</v>
      </c>
      <c r="F37" s="54">
        <v>117.5</v>
      </c>
      <c r="G37" s="54"/>
      <c r="H37" s="51" t="s">
        <v>1442</v>
      </c>
    </row>
    <row r="38" spans="1:8" ht="21" x14ac:dyDescent="0.3">
      <c r="A38" s="58"/>
      <c r="B38" s="53" t="s">
        <v>1478</v>
      </c>
      <c r="C38" s="53"/>
      <c r="D38" s="53"/>
      <c r="E38" s="52">
        <v>500</v>
      </c>
      <c r="F38" s="52">
        <v>403.6</v>
      </c>
      <c r="G38" s="52"/>
      <c r="H38" s="53" t="s">
        <v>1442</v>
      </c>
    </row>
    <row r="39" spans="1:8" ht="21" x14ac:dyDescent="0.3">
      <c r="A39" s="58"/>
      <c r="B39" s="51" t="s">
        <v>1479</v>
      </c>
      <c r="C39" s="51"/>
      <c r="D39" s="51"/>
      <c r="E39" s="52">
        <v>230</v>
      </c>
      <c r="F39" s="52">
        <v>175</v>
      </c>
      <c r="G39" s="52"/>
      <c r="H39" s="51" t="s">
        <v>1442</v>
      </c>
    </row>
    <row r="40" spans="1:8" ht="21" x14ac:dyDescent="0.3">
      <c r="A40" s="58"/>
      <c r="B40" s="53" t="s">
        <v>1480</v>
      </c>
      <c r="C40" s="53"/>
      <c r="D40" s="53"/>
      <c r="E40" s="54">
        <v>700</v>
      </c>
      <c r="F40" s="54">
        <v>585</v>
      </c>
      <c r="G40" s="54"/>
      <c r="H40" s="53" t="s">
        <v>1442</v>
      </c>
    </row>
    <row r="41" spans="1:8" ht="21" x14ac:dyDescent="0.3">
      <c r="A41" s="58"/>
      <c r="B41" s="51" t="s">
        <v>1481</v>
      </c>
      <c r="C41" s="51"/>
      <c r="D41" s="51"/>
      <c r="E41" s="54">
        <v>110</v>
      </c>
      <c r="F41" s="54">
        <v>59.3</v>
      </c>
      <c r="G41" s="54"/>
      <c r="H41" s="51" t="s">
        <v>1442</v>
      </c>
    </row>
    <row r="42" spans="1:8" ht="21" x14ac:dyDescent="0.3">
      <c r="A42" s="58"/>
      <c r="B42" s="53" t="s">
        <v>1482</v>
      </c>
      <c r="C42" s="53"/>
      <c r="D42" s="53"/>
      <c r="E42" s="52">
        <v>350</v>
      </c>
      <c r="F42" s="52">
        <v>180.6</v>
      </c>
      <c r="G42" s="52"/>
      <c r="H42" s="53" t="s">
        <v>1442</v>
      </c>
    </row>
    <row r="43" spans="1:8" ht="21" x14ac:dyDescent="0.3">
      <c r="A43" s="58"/>
      <c r="B43" s="53" t="s">
        <v>1483</v>
      </c>
      <c r="C43" s="53"/>
      <c r="D43" s="53"/>
      <c r="E43" s="52">
        <v>2500</v>
      </c>
      <c r="F43" s="52">
        <v>1449</v>
      </c>
      <c r="G43" s="52"/>
      <c r="H43" s="53" t="s">
        <v>1442</v>
      </c>
    </row>
    <row r="44" spans="1:8" ht="21" x14ac:dyDescent="0.3">
      <c r="A44" s="58"/>
      <c r="B44" s="53" t="s">
        <v>1484</v>
      </c>
      <c r="C44" s="53"/>
      <c r="D44" s="53"/>
      <c r="E44" s="54">
        <v>150</v>
      </c>
      <c r="F44" s="54">
        <v>65.8</v>
      </c>
      <c r="G44" s="54"/>
      <c r="H44" s="53" t="s">
        <v>1442</v>
      </c>
    </row>
    <row r="45" spans="1:8" ht="21" x14ac:dyDescent="0.3">
      <c r="A45" s="58"/>
      <c r="B45" s="51" t="s">
        <v>1485</v>
      </c>
      <c r="C45" s="51"/>
      <c r="D45" s="51"/>
      <c r="E45" s="52">
        <v>350</v>
      </c>
      <c r="F45" s="52">
        <v>293</v>
      </c>
      <c r="G45" s="52"/>
      <c r="H45" s="51" t="s">
        <v>1442</v>
      </c>
    </row>
    <row r="46" spans="1:8" ht="21" x14ac:dyDescent="0.3">
      <c r="A46" s="58"/>
      <c r="B46" s="51" t="s">
        <v>1486</v>
      </c>
      <c r="C46" s="51"/>
      <c r="D46" s="51"/>
      <c r="E46" s="54">
        <v>215</v>
      </c>
      <c r="F46" s="54">
        <v>154</v>
      </c>
      <c r="G46" s="54"/>
      <c r="H46" s="51" t="s">
        <v>1442</v>
      </c>
    </row>
    <row r="47" spans="1:8" ht="21" x14ac:dyDescent="0.3">
      <c r="A47" s="58"/>
      <c r="B47" s="53" t="s">
        <v>1487</v>
      </c>
      <c r="C47" s="53"/>
      <c r="D47" s="53"/>
      <c r="E47" s="52">
        <v>880</v>
      </c>
      <c r="F47" s="52">
        <v>726</v>
      </c>
      <c r="G47" s="52"/>
      <c r="H47" s="53" t="s">
        <v>1442</v>
      </c>
    </row>
    <row r="48" spans="1:8" ht="21" x14ac:dyDescent="0.3">
      <c r="A48" s="58"/>
      <c r="B48" s="51" t="s">
        <v>1488</v>
      </c>
      <c r="C48" s="51"/>
      <c r="D48" s="51"/>
      <c r="E48" s="54">
        <v>190</v>
      </c>
      <c r="F48" s="54">
        <v>148.30000000000001</v>
      </c>
      <c r="G48" s="54"/>
      <c r="H48" s="51" t="s">
        <v>1442</v>
      </c>
    </row>
    <row r="49" spans="1:8" ht="21" x14ac:dyDescent="0.3">
      <c r="A49" s="58"/>
      <c r="B49" s="53" t="s">
        <v>1489</v>
      </c>
      <c r="C49" s="53"/>
      <c r="D49" s="53"/>
      <c r="E49" s="52">
        <v>600</v>
      </c>
      <c r="F49" s="52">
        <v>545</v>
      </c>
      <c r="G49" s="52"/>
      <c r="H49" s="53" t="s">
        <v>1442</v>
      </c>
    </row>
    <row r="50" spans="1:8" ht="21" x14ac:dyDescent="0.3">
      <c r="A50" s="58"/>
      <c r="B50" s="53" t="s">
        <v>1490</v>
      </c>
      <c r="C50" s="53"/>
      <c r="D50" s="53"/>
      <c r="E50" s="52">
        <v>140</v>
      </c>
      <c r="F50" s="52">
        <v>97.7</v>
      </c>
      <c r="G50" s="52"/>
      <c r="H50" s="53" t="s">
        <v>1442</v>
      </c>
    </row>
    <row r="51" spans="1:8" ht="21" x14ac:dyDescent="0.3">
      <c r="A51" s="58"/>
      <c r="B51" s="53" t="s">
        <v>1491</v>
      </c>
      <c r="C51" s="53"/>
      <c r="D51" s="53"/>
      <c r="E51" s="52">
        <v>110</v>
      </c>
      <c r="F51" s="52">
        <v>74.099999999999994</v>
      </c>
      <c r="G51" s="52"/>
      <c r="H51" s="53" t="s">
        <v>1442</v>
      </c>
    </row>
    <row r="52" spans="1:8" ht="21" x14ac:dyDescent="0.3">
      <c r="A52" s="58"/>
      <c r="B52" s="51" t="s">
        <v>1492</v>
      </c>
      <c r="C52" s="51"/>
      <c r="D52" s="51"/>
      <c r="E52" s="54">
        <v>370</v>
      </c>
      <c r="F52" s="54">
        <v>330.1</v>
      </c>
      <c r="G52" s="54"/>
      <c r="H52" s="51" t="s">
        <v>1442</v>
      </c>
    </row>
    <row r="53" spans="1:8" ht="21" x14ac:dyDescent="0.3">
      <c r="A53" s="58"/>
      <c r="B53" s="51" t="s">
        <v>1493</v>
      </c>
      <c r="C53" s="51"/>
      <c r="D53" s="51"/>
      <c r="E53" s="54">
        <v>340</v>
      </c>
      <c r="F53" s="54">
        <v>250.8</v>
      </c>
      <c r="G53" s="54"/>
      <c r="H53" s="51" t="s">
        <v>1442</v>
      </c>
    </row>
    <row r="54" spans="1:8" ht="21" x14ac:dyDescent="0.3">
      <c r="A54" s="58"/>
      <c r="B54" s="51" t="s">
        <v>1494</v>
      </c>
      <c r="C54" s="51"/>
      <c r="D54" s="51"/>
      <c r="E54" s="54">
        <v>1150</v>
      </c>
      <c r="F54" s="54">
        <v>1068</v>
      </c>
      <c r="G54" s="54"/>
      <c r="H54" s="51" t="s">
        <v>1442</v>
      </c>
    </row>
    <row r="55" spans="1:8" ht="21" x14ac:dyDescent="0.3">
      <c r="A55" s="58"/>
      <c r="B55" s="51" t="s">
        <v>1495</v>
      </c>
      <c r="C55" s="51"/>
      <c r="D55" s="51"/>
      <c r="E55" s="52">
        <v>600</v>
      </c>
      <c r="F55" s="52">
        <v>455</v>
      </c>
      <c r="G55" s="52"/>
      <c r="H55" s="51" t="s">
        <v>1442</v>
      </c>
    </row>
    <row r="56" spans="1:8" ht="21" x14ac:dyDescent="0.3">
      <c r="A56" s="58"/>
      <c r="B56" s="53" t="s">
        <v>1496</v>
      </c>
      <c r="C56" s="53"/>
      <c r="D56" s="53"/>
      <c r="E56" s="52">
        <v>1600</v>
      </c>
      <c r="F56" s="52">
        <v>1482</v>
      </c>
      <c r="G56" s="52"/>
      <c r="H56" s="53" t="s">
        <v>1442</v>
      </c>
    </row>
    <row r="57" spans="1:8" ht="21" x14ac:dyDescent="0.3">
      <c r="A57" s="58"/>
      <c r="B57" s="53" t="s">
        <v>1497</v>
      </c>
      <c r="C57" s="53"/>
      <c r="D57" s="53"/>
      <c r="E57" s="54">
        <v>450</v>
      </c>
      <c r="F57" s="54">
        <v>336.3</v>
      </c>
      <c r="G57" s="54"/>
      <c r="H57" s="53" t="s">
        <v>1442</v>
      </c>
    </row>
    <row r="58" spans="1:8" ht="21" x14ac:dyDescent="0.3">
      <c r="A58" s="58"/>
      <c r="B58" s="53" t="s">
        <v>1498</v>
      </c>
      <c r="C58" s="53"/>
      <c r="D58" s="53"/>
      <c r="E58" s="54">
        <v>4200</v>
      </c>
      <c r="F58" s="54">
        <v>2152.2399999999998</v>
      </c>
      <c r="G58" s="54"/>
      <c r="H58" s="53" t="s">
        <v>1442</v>
      </c>
    </row>
    <row r="59" spans="1:8" ht="21" x14ac:dyDescent="0.3">
      <c r="A59" s="58"/>
      <c r="B59" s="51" t="s">
        <v>1499</v>
      </c>
      <c r="C59" s="51"/>
      <c r="D59" s="51"/>
      <c r="E59" s="54">
        <v>95</v>
      </c>
      <c r="F59" s="54">
        <v>0</v>
      </c>
      <c r="G59" s="54"/>
      <c r="H59" s="51" t="s">
        <v>1442</v>
      </c>
    </row>
    <row r="60" spans="1:8" ht="21" x14ac:dyDescent="0.3">
      <c r="A60" s="58"/>
      <c r="B60" s="53" t="s">
        <v>1500</v>
      </c>
      <c r="C60" s="53"/>
      <c r="D60" s="53"/>
      <c r="E60" s="52">
        <v>270</v>
      </c>
      <c r="F60" s="52">
        <v>114.59</v>
      </c>
      <c r="G60" s="52"/>
      <c r="H60" s="53" t="s">
        <v>1442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5C38C-D71A-4A15-8E85-E2B35F134727}">
  <dimension ref="A1:H20"/>
  <sheetViews>
    <sheetView topLeftCell="B1" workbookViewId="0">
      <selection activeCell="G2" sqref="G2"/>
    </sheetView>
  </sheetViews>
  <sheetFormatPr defaultRowHeight="14.4" x14ac:dyDescent="0.3"/>
  <cols>
    <col min="1" max="1" width="21.5546875" style="59" customWidth="1"/>
    <col min="2" max="3" width="58.109375" style="59" customWidth="1"/>
    <col min="4" max="4" width="33.88671875" style="59" customWidth="1"/>
    <col min="5" max="5" width="17.6640625" style="59" customWidth="1"/>
    <col min="6" max="7" width="16.6640625" style="59" customWidth="1"/>
    <col min="8" max="8" width="15.5546875" style="59" customWidth="1"/>
  </cols>
  <sheetData>
    <row r="1" spans="1:8" ht="21" x14ac:dyDescent="0.3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3">
      <c r="A2" s="58"/>
      <c r="B2" s="51" t="s">
        <v>1421</v>
      </c>
      <c r="C2" s="51"/>
      <c r="D2" s="51"/>
      <c r="E2" s="52">
        <v>395</v>
      </c>
      <c r="F2" s="52">
        <v>355</v>
      </c>
      <c r="G2" s="52"/>
      <c r="H2" s="51" t="s">
        <v>1422</v>
      </c>
    </row>
    <row r="3" spans="1:8" ht="21" x14ac:dyDescent="0.3">
      <c r="A3" s="58"/>
      <c r="B3" s="51" t="s">
        <v>1423</v>
      </c>
      <c r="C3" s="51"/>
      <c r="D3" s="51"/>
      <c r="E3" s="54">
        <v>350</v>
      </c>
      <c r="F3" s="54">
        <v>250</v>
      </c>
      <c r="G3" s="54"/>
      <c r="H3" s="51" t="s">
        <v>1422</v>
      </c>
    </row>
    <row r="4" spans="1:8" ht="21" x14ac:dyDescent="0.3">
      <c r="A4" s="58"/>
      <c r="B4" s="53" t="s">
        <v>1424</v>
      </c>
      <c r="C4" s="53"/>
      <c r="D4" s="53"/>
      <c r="E4" s="52">
        <v>185</v>
      </c>
      <c r="F4" s="52">
        <v>157.55250000000001</v>
      </c>
      <c r="G4" s="52"/>
      <c r="H4" s="53" t="s">
        <v>1422</v>
      </c>
    </row>
    <row r="5" spans="1:8" ht="21" x14ac:dyDescent="0.3">
      <c r="A5" s="58"/>
      <c r="B5" s="51" t="s">
        <v>1425</v>
      </c>
      <c r="C5" s="51"/>
      <c r="D5" s="51"/>
      <c r="E5" s="54">
        <v>890</v>
      </c>
      <c r="F5" s="54">
        <v>752.84900000000005</v>
      </c>
      <c r="G5" s="54"/>
      <c r="H5" s="51" t="s">
        <v>1422</v>
      </c>
    </row>
    <row r="6" spans="1:8" ht="21" x14ac:dyDescent="0.3">
      <c r="A6" s="58"/>
      <c r="B6" s="53" t="s">
        <v>1426</v>
      </c>
      <c r="C6" s="53"/>
      <c r="D6" s="53"/>
      <c r="E6" s="54">
        <v>3300</v>
      </c>
      <c r="F6" s="54">
        <v>2900</v>
      </c>
      <c r="G6" s="54"/>
      <c r="H6" s="53" t="s">
        <v>1422</v>
      </c>
    </row>
    <row r="7" spans="1:8" ht="21" x14ac:dyDescent="0.3">
      <c r="A7" s="58"/>
      <c r="B7" s="51" t="s">
        <v>1427</v>
      </c>
      <c r="C7" s="51"/>
      <c r="D7" s="51"/>
      <c r="E7" s="54">
        <v>120</v>
      </c>
      <c r="F7" s="54">
        <v>70</v>
      </c>
      <c r="G7" s="54"/>
      <c r="H7" s="51" t="s">
        <v>1422</v>
      </c>
    </row>
    <row r="8" spans="1:8" ht="21" x14ac:dyDescent="0.3">
      <c r="A8" s="58"/>
      <c r="B8" s="53" t="s">
        <v>1428</v>
      </c>
      <c r="C8" s="53"/>
      <c r="D8" s="53"/>
      <c r="E8" s="52">
        <v>330</v>
      </c>
      <c r="F8" s="52">
        <v>250</v>
      </c>
      <c r="G8" s="52"/>
      <c r="H8" s="53" t="s">
        <v>1422</v>
      </c>
    </row>
    <row r="9" spans="1:8" ht="21" x14ac:dyDescent="0.3">
      <c r="A9" s="58"/>
      <c r="B9" s="53" t="s">
        <v>1429</v>
      </c>
      <c r="C9" s="53"/>
      <c r="D9" s="53"/>
      <c r="E9" s="52">
        <v>330</v>
      </c>
      <c r="F9" s="52">
        <v>290</v>
      </c>
      <c r="G9" s="52"/>
      <c r="H9" s="53" t="s">
        <v>1422</v>
      </c>
    </row>
    <row r="10" spans="1:8" ht="21" x14ac:dyDescent="0.3">
      <c r="A10" s="58"/>
      <c r="B10" s="51" t="s">
        <v>1430</v>
      </c>
      <c r="C10" s="51"/>
      <c r="D10" s="51"/>
      <c r="E10" s="52">
        <v>150</v>
      </c>
      <c r="F10" s="52">
        <v>80</v>
      </c>
      <c r="G10" s="52"/>
      <c r="H10" s="51" t="s">
        <v>1422</v>
      </c>
    </row>
    <row r="11" spans="1:8" ht="21" x14ac:dyDescent="0.3">
      <c r="A11" s="58"/>
      <c r="B11" s="53" t="s">
        <v>1431</v>
      </c>
      <c r="C11" s="53"/>
      <c r="D11" s="53"/>
      <c r="E11" s="54">
        <v>500</v>
      </c>
      <c r="F11" s="54">
        <v>360</v>
      </c>
      <c r="G11" s="54"/>
      <c r="H11" s="53" t="s">
        <v>1422</v>
      </c>
    </row>
    <row r="12" spans="1:8" ht="21" x14ac:dyDescent="0.3">
      <c r="A12" s="58"/>
      <c r="B12" s="51" t="s">
        <v>1432</v>
      </c>
      <c r="C12" s="51"/>
      <c r="D12" s="51"/>
      <c r="E12" s="54">
        <v>1350</v>
      </c>
      <c r="F12" s="54">
        <v>1050</v>
      </c>
      <c r="G12" s="54"/>
      <c r="H12" s="51" t="s">
        <v>1422</v>
      </c>
    </row>
    <row r="13" spans="1:8" ht="21" x14ac:dyDescent="0.3">
      <c r="A13" s="58"/>
      <c r="B13" s="51" t="s">
        <v>1433</v>
      </c>
      <c r="C13" s="51"/>
      <c r="D13" s="51"/>
      <c r="E13" s="52">
        <v>220</v>
      </c>
      <c r="F13" s="52">
        <v>169</v>
      </c>
      <c r="G13" s="52"/>
      <c r="H13" s="51" t="s">
        <v>1422</v>
      </c>
    </row>
    <row r="14" spans="1:8" ht="21" x14ac:dyDescent="0.3">
      <c r="A14" s="58"/>
      <c r="B14" s="51" t="s">
        <v>1434</v>
      </c>
      <c r="C14" s="51"/>
      <c r="D14" s="51"/>
      <c r="E14" s="54">
        <v>240</v>
      </c>
      <c r="F14" s="54">
        <v>190</v>
      </c>
      <c r="G14" s="54"/>
      <c r="H14" s="51" t="s">
        <v>1422</v>
      </c>
    </row>
    <row r="15" spans="1:8" ht="21" x14ac:dyDescent="0.3">
      <c r="A15" s="58"/>
      <c r="B15" s="51" t="s">
        <v>1435</v>
      </c>
      <c r="C15" s="51"/>
      <c r="D15" s="51"/>
      <c r="E15" s="52">
        <v>260</v>
      </c>
      <c r="F15" s="52">
        <v>185</v>
      </c>
      <c r="G15" s="52"/>
      <c r="H15" s="51" t="s">
        <v>1422</v>
      </c>
    </row>
    <row r="16" spans="1:8" ht="21" x14ac:dyDescent="0.3">
      <c r="A16" s="58"/>
      <c r="B16" s="51" t="s">
        <v>1436</v>
      </c>
      <c r="C16" s="51"/>
      <c r="D16" s="51"/>
      <c r="E16" s="52">
        <v>250</v>
      </c>
      <c r="F16" s="52">
        <v>195</v>
      </c>
      <c r="G16" s="52"/>
      <c r="H16" s="51" t="s">
        <v>1422</v>
      </c>
    </row>
    <row r="17" spans="1:8" ht="21" x14ac:dyDescent="0.3">
      <c r="A17" s="58"/>
      <c r="B17" s="53" t="s">
        <v>1437</v>
      </c>
      <c r="C17" s="53"/>
      <c r="D17" s="53"/>
      <c r="E17" s="52">
        <v>550</v>
      </c>
      <c r="F17" s="52">
        <v>260</v>
      </c>
      <c r="G17" s="52"/>
      <c r="H17" s="53" t="s">
        <v>1422</v>
      </c>
    </row>
    <row r="18" spans="1:8" ht="21" x14ac:dyDescent="0.3">
      <c r="A18" s="58"/>
      <c r="B18" s="53" t="s">
        <v>1438</v>
      </c>
      <c r="C18" s="53"/>
      <c r="D18" s="53"/>
      <c r="E18" s="54">
        <v>750</v>
      </c>
      <c r="F18" s="54">
        <v>400</v>
      </c>
      <c r="G18" s="54"/>
      <c r="H18" s="53" t="s">
        <v>1422</v>
      </c>
    </row>
    <row r="19" spans="1:8" ht="21" x14ac:dyDescent="0.3">
      <c r="A19" s="58"/>
      <c r="B19" s="53" t="s">
        <v>1439</v>
      </c>
      <c r="C19" s="53"/>
      <c r="D19" s="53"/>
      <c r="E19" s="54">
        <v>750</v>
      </c>
      <c r="F19" s="54">
        <v>630</v>
      </c>
      <c r="G19" s="54"/>
      <c r="H19" s="53" t="s">
        <v>1422</v>
      </c>
    </row>
    <row r="20" spans="1:8" ht="21" x14ac:dyDescent="0.3">
      <c r="A20" s="58"/>
      <c r="B20" s="53" t="s">
        <v>1440</v>
      </c>
      <c r="C20" s="53"/>
      <c r="D20" s="53"/>
      <c r="E20" s="54">
        <v>600</v>
      </c>
      <c r="F20" s="54">
        <v>390</v>
      </c>
      <c r="G20" s="54"/>
      <c r="H20" s="53" t="s">
        <v>1422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A7243-A59B-4EE1-A61F-F605DB57BAE9}">
  <dimension ref="A1:H84"/>
  <sheetViews>
    <sheetView topLeftCell="B1" workbookViewId="0">
      <selection activeCell="G1" sqref="G1:G1048576"/>
    </sheetView>
  </sheetViews>
  <sheetFormatPr defaultRowHeight="14.4" x14ac:dyDescent="0.3"/>
  <cols>
    <col min="1" max="1" width="18.5546875" customWidth="1"/>
    <col min="2" max="3" width="58.109375" customWidth="1"/>
    <col min="4" max="4" width="25.21875" customWidth="1"/>
    <col min="5" max="5" width="17.6640625" customWidth="1"/>
    <col min="6" max="7" width="16.6640625" customWidth="1"/>
    <col min="8" max="8" width="15.5546875" customWidth="1"/>
  </cols>
  <sheetData>
    <row r="1" spans="1:8" ht="21" x14ac:dyDescent="0.3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4">
      <c r="A2" s="50"/>
      <c r="B2" s="51" t="s">
        <v>1337</v>
      </c>
      <c r="C2" s="51"/>
      <c r="D2" s="51"/>
      <c r="E2" s="52">
        <v>15</v>
      </c>
      <c r="F2" s="52">
        <v>10.66</v>
      </c>
      <c r="G2" s="52"/>
      <c r="H2" s="51" t="s">
        <v>1338</v>
      </c>
    </row>
    <row r="3" spans="1:8" ht="21" x14ac:dyDescent="0.4">
      <c r="A3" s="50"/>
      <c r="B3" s="53" t="s">
        <v>1339</v>
      </c>
      <c r="C3" s="53"/>
      <c r="D3" s="53"/>
      <c r="E3" s="52">
        <v>95</v>
      </c>
      <c r="F3" s="52">
        <v>61.56</v>
      </c>
      <c r="G3" s="52"/>
      <c r="H3" s="53" t="s">
        <v>1338</v>
      </c>
    </row>
    <row r="4" spans="1:8" ht="21" x14ac:dyDescent="0.4">
      <c r="A4" s="50"/>
      <c r="B4" s="51" t="s">
        <v>1340</v>
      </c>
      <c r="C4" s="51"/>
      <c r="D4" s="51"/>
      <c r="E4" s="54">
        <v>230</v>
      </c>
      <c r="F4" s="54">
        <v>195</v>
      </c>
      <c r="G4" s="54"/>
      <c r="H4" s="51" t="s">
        <v>1338</v>
      </c>
    </row>
    <row r="5" spans="1:8" ht="21" x14ac:dyDescent="0.4">
      <c r="A5" s="50"/>
      <c r="B5" s="53" t="s">
        <v>1341</v>
      </c>
      <c r="C5" s="53"/>
      <c r="D5" s="53"/>
      <c r="E5" s="52">
        <v>630</v>
      </c>
      <c r="F5" s="52">
        <v>570</v>
      </c>
      <c r="G5" s="52"/>
      <c r="H5" s="53" t="s">
        <v>1338</v>
      </c>
    </row>
    <row r="6" spans="1:8" ht="21" x14ac:dyDescent="0.4">
      <c r="A6" s="50"/>
      <c r="B6" s="51" t="s">
        <v>1342</v>
      </c>
      <c r="C6" s="51"/>
      <c r="D6" s="51"/>
      <c r="E6" s="54">
        <v>1100</v>
      </c>
      <c r="F6" s="54">
        <v>989.52</v>
      </c>
      <c r="G6" s="54"/>
      <c r="H6" s="51" t="s">
        <v>1338</v>
      </c>
    </row>
    <row r="7" spans="1:8" ht="21" x14ac:dyDescent="0.4">
      <c r="A7" s="50"/>
      <c r="B7" s="51" t="s">
        <v>1343</v>
      </c>
      <c r="C7" s="51"/>
      <c r="D7" s="51"/>
      <c r="E7" s="52">
        <v>130</v>
      </c>
      <c r="F7" s="52">
        <v>107.16</v>
      </c>
      <c r="G7" s="52"/>
      <c r="H7" s="51" t="s">
        <v>1338</v>
      </c>
    </row>
    <row r="8" spans="1:8" ht="21" x14ac:dyDescent="0.4">
      <c r="A8" s="50"/>
      <c r="B8" s="53" t="s">
        <v>1344</v>
      </c>
      <c r="C8" s="53"/>
      <c r="D8" s="53"/>
      <c r="E8" s="52">
        <v>120</v>
      </c>
      <c r="F8" s="52">
        <v>82.1</v>
      </c>
      <c r="G8" s="52"/>
      <c r="H8" s="53" t="s">
        <v>1338</v>
      </c>
    </row>
    <row r="9" spans="1:8" ht="21" x14ac:dyDescent="0.4">
      <c r="A9" s="50"/>
      <c r="B9" s="51" t="s">
        <v>1345</v>
      </c>
      <c r="C9" s="51"/>
      <c r="D9" s="51"/>
      <c r="E9" s="54">
        <v>425</v>
      </c>
      <c r="F9" s="54">
        <v>342</v>
      </c>
      <c r="G9" s="54"/>
      <c r="H9" s="51" t="s">
        <v>1338</v>
      </c>
    </row>
    <row r="10" spans="1:8" ht="21" x14ac:dyDescent="0.4">
      <c r="A10" s="50"/>
      <c r="B10" s="53" t="s">
        <v>1346</v>
      </c>
      <c r="C10" s="53"/>
      <c r="D10" s="53"/>
      <c r="E10" s="54">
        <v>400</v>
      </c>
      <c r="F10" s="54">
        <v>253.1</v>
      </c>
      <c r="G10" s="54"/>
      <c r="H10" s="53" t="s">
        <v>1338</v>
      </c>
    </row>
    <row r="11" spans="1:8" ht="21" x14ac:dyDescent="0.4">
      <c r="A11" s="50"/>
      <c r="B11" s="53" t="s">
        <v>1347</v>
      </c>
      <c r="C11" s="53"/>
      <c r="D11" s="53"/>
      <c r="E11" s="54">
        <v>1200</v>
      </c>
      <c r="F11" s="54">
        <v>1122.9000000000001</v>
      </c>
      <c r="G11" s="54"/>
      <c r="H11" s="53" t="s">
        <v>1338</v>
      </c>
    </row>
    <row r="12" spans="1:8" ht="21" x14ac:dyDescent="0.4">
      <c r="A12" s="50"/>
      <c r="B12" s="51" t="s">
        <v>1348</v>
      </c>
      <c r="C12" s="51"/>
      <c r="D12" s="51"/>
      <c r="E12" s="52">
        <v>1100</v>
      </c>
      <c r="F12" s="52">
        <v>906.3</v>
      </c>
      <c r="G12" s="52"/>
      <c r="H12" s="51" t="s">
        <v>1338</v>
      </c>
    </row>
    <row r="13" spans="1:8" ht="21" x14ac:dyDescent="0.4">
      <c r="A13" s="50"/>
      <c r="B13" s="51" t="s">
        <v>1349</v>
      </c>
      <c r="C13" s="51"/>
      <c r="D13" s="51"/>
      <c r="E13" s="52">
        <v>70</v>
      </c>
      <c r="F13" s="52">
        <v>51.3</v>
      </c>
      <c r="G13" s="52"/>
      <c r="H13" s="51" t="s">
        <v>1338</v>
      </c>
    </row>
    <row r="14" spans="1:8" ht="21" x14ac:dyDescent="0.4">
      <c r="A14" s="50"/>
      <c r="B14" s="51" t="s">
        <v>1350</v>
      </c>
      <c r="C14" s="51"/>
      <c r="D14" s="51"/>
      <c r="E14" s="52">
        <v>180</v>
      </c>
      <c r="F14" s="52">
        <v>156.19999999999999</v>
      </c>
      <c r="G14" s="52"/>
      <c r="H14" s="51" t="s">
        <v>1338</v>
      </c>
    </row>
    <row r="15" spans="1:8" ht="21" x14ac:dyDescent="0.4">
      <c r="A15" s="50"/>
      <c r="B15" s="53" t="s">
        <v>1351</v>
      </c>
      <c r="C15" s="53"/>
      <c r="D15" s="53"/>
      <c r="E15" s="52">
        <v>450</v>
      </c>
      <c r="F15" s="52">
        <v>414</v>
      </c>
      <c r="G15" s="52"/>
      <c r="H15" s="53" t="s">
        <v>1338</v>
      </c>
    </row>
    <row r="16" spans="1:8" ht="21" x14ac:dyDescent="0.4">
      <c r="A16" s="50"/>
      <c r="B16" s="53" t="s">
        <v>1352</v>
      </c>
      <c r="C16" s="53"/>
      <c r="D16" s="53"/>
      <c r="E16" s="52">
        <v>50</v>
      </c>
      <c r="F16" s="52">
        <v>33.1</v>
      </c>
      <c r="G16" s="52"/>
      <c r="H16" s="53" t="s">
        <v>1338</v>
      </c>
    </row>
    <row r="17" spans="1:8" ht="21" x14ac:dyDescent="0.4">
      <c r="A17" s="50"/>
      <c r="B17" s="51" t="s">
        <v>1353</v>
      </c>
      <c r="C17" s="51"/>
      <c r="D17" s="51"/>
      <c r="E17" s="52">
        <v>130</v>
      </c>
      <c r="F17" s="52">
        <v>107.2</v>
      </c>
      <c r="G17" s="52"/>
      <c r="H17" s="51" t="s">
        <v>1338</v>
      </c>
    </row>
    <row r="18" spans="1:8" ht="21" x14ac:dyDescent="0.4">
      <c r="A18" s="50"/>
      <c r="B18" s="53" t="s">
        <v>1354</v>
      </c>
      <c r="C18" s="53"/>
      <c r="D18" s="53"/>
      <c r="E18" s="52">
        <v>210</v>
      </c>
      <c r="F18" s="52">
        <v>192.7</v>
      </c>
      <c r="G18" s="52"/>
      <c r="H18" s="53" t="s">
        <v>1338</v>
      </c>
    </row>
    <row r="19" spans="1:8" ht="21" x14ac:dyDescent="0.4">
      <c r="A19" s="50"/>
      <c r="B19" s="53" t="s">
        <v>1355</v>
      </c>
      <c r="C19" s="53"/>
      <c r="D19" s="53"/>
      <c r="E19" s="54">
        <v>275</v>
      </c>
      <c r="F19" s="54">
        <v>250.8</v>
      </c>
      <c r="G19" s="54"/>
      <c r="H19" s="53" t="s">
        <v>1338</v>
      </c>
    </row>
    <row r="20" spans="1:8" ht="21" x14ac:dyDescent="0.4">
      <c r="A20" s="50"/>
      <c r="B20" s="51" t="s">
        <v>1356</v>
      </c>
      <c r="C20" s="51"/>
      <c r="D20" s="51"/>
      <c r="E20" s="54">
        <v>300</v>
      </c>
      <c r="F20" s="54">
        <v>224.6</v>
      </c>
      <c r="G20" s="54"/>
      <c r="H20" s="51" t="s">
        <v>1338</v>
      </c>
    </row>
    <row r="21" spans="1:8" ht="21" x14ac:dyDescent="0.4">
      <c r="A21" s="50"/>
      <c r="B21" s="53" t="s">
        <v>1357</v>
      </c>
      <c r="C21" s="53"/>
      <c r="D21" s="53"/>
      <c r="E21" s="52">
        <v>560</v>
      </c>
      <c r="F21" s="52">
        <v>493.62</v>
      </c>
      <c r="G21" s="52"/>
      <c r="H21" s="53" t="s">
        <v>1338</v>
      </c>
    </row>
    <row r="22" spans="1:8" ht="21" x14ac:dyDescent="0.4">
      <c r="A22" s="50"/>
      <c r="B22" s="51" t="s">
        <v>1358</v>
      </c>
      <c r="C22" s="51"/>
      <c r="D22" s="51"/>
      <c r="E22" s="54">
        <v>440</v>
      </c>
      <c r="F22" s="54">
        <v>411.6</v>
      </c>
      <c r="G22" s="54"/>
      <c r="H22" s="51" t="s">
        <v>1338</v>
      </c>
    </row>
    <row r="23" spans="1:8" ht="21" x14ac:dyDescent="0.4">
      <c r="A23" s="50"/>
      <c r="B23" s="51" t="s">
        <v>1359</v>
      </c>
      <c r="C23" s="51"/>
      <c r="D23" s="51"/>
      <c r="E23" s="54">
        <v>210</v>
      </c>
      <c r="F23" s="54">
        <v>165.2</v>
      </c>
      <c r="G23" s="54"/>
      <c r="H23" s="51" t="s">
        <v>1338</v>
      </c>
    </row>
    <row r="24" spans="1:8" ht="21" x14ac:dyDescent="0.4">
      <c r="A24" s="50"/>
      <c r="B24" s="53" t="s">
        <v>1360</v>
      </c>
      <c r="C24" s="53"/>
      <c r="D24" s="53"/>
      <c r="E24" s="54">
        <v>200</v>
      </c>
      <c r="F24" s="54">
        <v>140.30000000000001</v>
      </c>
      <c r="G24" s="54"/>
      <c r="H24" s="53" t="s">
        <v>1338</v>
      </c>
    </row>
    <row r="25" spans="1:8" ht="21" x14ac:dyDescent="0.4">
      <c r="A25" s="50"/>
      <c r="B25" s="51" t="s">
        <v>1361</v>
      </c>
      <c r="C25" s="51"/>
      <c r="D25" s="51"/>
      <c r="E25" s="52">
        <v>600</v>
      </c>
      <c r="F25" s="52">
        <v>484.5</v>
      </c>
      <c r="G25" s="52"/>
      <c r="H25" s="51" t="s">
        <v>1338</v>
      </c>
    </row>
    <row r="26" spans="1:8" ht="21" x14ac:dyDescent="0.4">
      <c r="A26" s="50"/>
      <c r="B26" s="51" t="s">
        <v>1362</v>
      </c>
      <c r="C26" s="51"/>
      <c r="D26" s="51"/>
      <c r="E26" s="52">
        <v>1650</v>
      </c>
      <c r="F26" s="52">
        <v>1553.9</v>
      </c>
      <c r="G26" s="52"/>
      <c r="H26" s="51" t="s">
        <v>1338</v>
      </c>
    </row>
    <row r="27" spans="1:8" ht="21" x14ac:dyDescent="0.4">
      <c r="A27" s="50"/>
      <c r="B27" s="53" t="s">
        <v>1363</v>
      </c>
      <c r="C27" s="53"/>
      <c r="D27" s="53"/>
      <c r="E27" s="52">
        <v>550</v>
      </c>
      <c r="F27" s="52">
        <v>446.2</v>
      </c>
      <c r="G27" s="52"/>
      <c r="H27" s="53" t="s">
        <v>1338</v>
      </c>
    </row>
    <row r="28" spans="1:8" ht="21" x14ac:dyDescent="0.4">
      <c r="A28" s="50"/>
      <c r="B28" s="51" t="s">
        <v>1364</v>
      </c>
      <c r="C28" s="51"/>
      <c r="D28" s="51"/>
      <c r="E28" s="54">
        <v>1550</v>
      </c>
      <c r="F28" s="54">
        <v>1427.5</v>
      </c>
      <c r="G28" s="54"/>
      <c r="H28" s="51" t="s">
        <v>1338</v>
      </c>
    </row>
    <row r="29" spans="1:8" ht="21" x14ac:dyDescent="0.4">
      <c r="A29" s="50"/>
      <c r="B29" s="53" t="s">
        <v>1365</v>
      </c>
      <c r="C29" s="53"/>
      <c r="D29" s="53"/>
      <c r="E29" s="52">
        <v>560</v>
      </c>
      <c r="F29" s="52">
        <v>526.70000000000005</v>
      </c>
      <c r="G29" s="52"/>
      <c r="H29" s="53" t="s">
        <v>1338</v>
      </c>
    </row>
    <row r="30" spans="1:8" ht="21" x14ac:dyDescent="0.4">
      <c r="A30" s="50"/>
      <c r="B30" s="51" t="s">
        <v>1366</v>
      </c>
      <c r="C30" s="51"/>
      <c r="D30" s="51"/>
      <c r="E30" s="52">
        <v>1820</v>
      </c>
      <c r="F30" s="52">
        <v>1725.9</v>
      </c>
      <c r="G30" s="52"/>
      <c r="H30" s="51" t="s">
        <v>1338</v>
      </c>
    </row>
    <row r="31" spans="1:8" ht="21" x14ac:dyDescent="0.4">
      <c r="A31" s="50"/>
      <c r="B31" s="53" t="s">
        <v>1367</v>
      </c>
      <c r="C31" s="53"/>
      <c r="D31" s="53"/>
      <c r="E31" s="54">
        <v>400</v>
      </c>
      <c r="F31" s="54">
        <v>377.5</v>
      </c>
      <c r="G31" s="54"/>
      <c r="H31" s="53" t="s">
        <v>1338</v>
      </c>
    </row>
    <row r="32" spans="1:8" ht="21" x14ac:dyDescent="0.4">
      <c r="A32" s="50"/>
      <c r="B32" s="53" t="s">
        <v>1368</v>
      </c>
      <c r="C32" s="53"/>
      <c r="D32" s="53"/>
      <c r="E32" s="52">
        <v>350</v>
      </c>
      <c r="F32" s="52">
        <v>319.2</v>
      </c>
      <c r="G32" s="52"/>
      <c r="H32" s="53" t="s">
        <v>1338</v>
      </c>
    </row>
    <row r="33" spans="1:8" ht="21" x14ac:dyDescent="0.4">
      <c r="A33" s="50"/>
      <c r="B33" s="51" t="s">
        <v>1369</v>
      </c>
      <c r="C33" s="51"/>
      <c r="D33" s="51"/>
      <c r="E33" s="54">
        <v>620</v>
      </c>
      <c r="F33" s="54">
        <v>570</v>
      </c>
      <c r="G33" s="54"/>
      <c r="H33" s="51" t="s">
        <v>1338</v>
      </c>
    </row>
    <row r="34" spans="1:8" ht="21" x14ac:dyDescent="0.4">
      <c r="A34" s="50"/>
      <c r="B34" s="53" t="s">
        <v>1370</v>
      </c>
      <c r="C34" s="53"/>
      <c r="D34" s="53"/>
      <c r="E34" s="52">
        <v>550</v>
      </c>
      <c r="F34" s="52">
        <v>538.1</v>
      </c>
      <c r="G34" s="52"/>
      <c r="H34" s="53" t="s">
        <v>1338</v>
      </c>
    </row>
    <row r="35" spans="1:8" ht="21" x14ac:dyDescent="0.4">
      <c r="A35" s="50"/>
      <c r="B35" s="53" t="s">
        <v>1371</v>
      </c>
      <c r="C35" s="53"/>
      <c r="D35" s="53"/>
      <c r="E35" s="52">
        <v>120</v>
      </c>
      <c r="F35" s="52">
        <v>87</v>
      </c>
      <c r="G35" s="52"/>
      <c r="H35" s="53" t="s">
        <v>1338</v>
      </c>
    </row>
    <row r="36" spans="1:8" ht="21" x14ac:dyDescent="0.4">
      <c r="A36" s="50"/>
      <c r="B36" s="51" t="s">
        <v>1372</v>
      </c>
      <c r="C36" s="51"/>
      <c r="D36" s="51"/>
      <c r="E36" s="54">
        <v>275</v>
      </c>
      <c r="F36" s="54">
        <v>220</v>
      </c>
      <c r="G36" s="54"/>
      <c r="H36" s="51" t="s">
        <v>1338</v>
      </c>
    </row>
    <row r="37" spans="1:8" ht="21" x14ac:dyDescent="0.4">
      <c r="A37" s="50"/>
      <c r="B37" s="53" t="s">
        <v>1373</v>
      </c>
      <c r="C37" s="53"/>
      <c r="D37" s="53"/>
      <c r="E37" s="52">
        <v>900</v>
      </c>
      <c r="F37" s="52">
        <v>770.92</v>
      </c>
      <c r="G37" s="52"/>
      <c r="H37" s="53" t="s">
        <v>1338</v>
      </c>
    </row>
    <row r="38" spans="1:8" ht="21" x14ac:dyDescent="0.4">
      <c r="A38" s="50"/>
      <c r="B38" s="51" t="s">
        <v>1374</v>
      </c>
      <c r="C38" s="51"/>
      <c r="D38" s="51"/>
      <c r="E38" s="54">
        <v>300</v>
      </c>
      <c r="F38" s="54">
        <v>262.2</v>
      </c>
      <c r="G38" s="54"/>
      <c r="H38" s="51" t="s">
        <v>1338</v>
      </c>
    </row>
    <row r="39" spans="1:8" ht="21" x14ac:dyDescent="0.4">
      <c r="A39" s="50"/>
      <c r="B39" s="53" t="s">
        <v>1375</v>
      </c>
      <c r="C39" s="53"/>
      <c r="D39" s="53"/>
      <c r="E39" s="52">
        <v>950</v>
      </c>
      <c r="F39" s="52">
        <v>852.1</v>
      </c>
      <c r="G39" s="52"/>
      <c r="H39" s="53" t="s">
        <v>1338</v>
      </c>
    </row>
    <row r="40" spans="1:8" ht="21" x14ac:dyDescent="0.4">
      <c r="A40" s="50"/>
      <c r="B40" s="53" t="s">
        <v>1376</v>
      </c>
      <c r="C40" s="53"/>
      <c r="D40" s="53"/>
      <c r="E40" s="52">
        <v>6100</v>
      </c>
      <c r="F40" s="52">
        <v>5368</v>
      </c>
      <c r="G40" s="52"/>
      <c r="H40" s="53" t="s">
        <v>1338</v>
      </c>
    </row>
    <row r="41" spans="1:8" ht="21" x14ac:dyDescent="0.4">
      <c r="A41" s="50"/>
      <c r="B41" s="53" t="s">
        <v>1377</v>
      </c>
      <c r="C41" s="53"/>
      <c r="D41" s="53"/>
      <c r="E41" s="52">
        <v>180</v>
      </c>
      <c r="F41" s="52">
        <v>146.6</v>
      </c>
      <c r="G41" s="52"/>
      <c r="H41" s="53" t="s">
        <v>1338</v>
      </c>
    </row>
    <row r="42" spans="1:8" ht="21" x14ac:dyDescent="0.4">
      <c r="A42" s="50"/>
      <c r="B42" s="53" t="s">
        <v>1378</v>
      </c>
      <c r="C42" s="53"/>
      <c r="D42" s="53"/>
      <c r="E42" s="54">
        <v>230</v>
      </c>
      <c r="F42" s="54">
        <v>186.3</v>
      </c>
      <c r="G42" s="54"/>
      <c r="H42" s="53" t="s">
        <v>1338</v>
      </c>
    </row>
    <row r="43" spans="1:8" ht="21" x14ac:dyDescent="0.4">
      <c r="A43" s="50"/>
      <c r="B43" s="53" t="s">
        <v>1379</v>
      </c>
      <c r="C43" s="53"/>
      <c r="D43" s="53"/>
      <c r="E43" s="54">
        <v>120</v>
      </c>
      <c r="F43" s="54">
        <v>92.34</v>
      </c>
      <c r="G43" s="54"/>
      <c r="H43" s="53" t="s">
        <v>1338</v>
      </c>
    </row>
    <row r="44" spans="1:8" ht="21" x14ac:dyDescent="0.4">
      <c r="A44" s="50"/>
      <c r="B44" s="51" t="s">
        <v>1380</v>
      </c>
      <c r="C44" s="51"/>
      <c r="D44" s="51"/>
      <c r="E44" s="52">
        <v>100</v>
      </c>
      <c r="F44" s="52">
        <v>72.959999999999994</v>
      </c>
      <c r="G44" s="52"/>
      <c r="H44" s="51" t="s">
        <v>1338</v>
      </c>
    </row>
    <row r="45" spans="1:8" ht="21" x14ac:dyDescent="0.4">
      <c r="A45" s="50"/>
      <c r="B45" s="51" t="s">
        <v>1381</v>
      </c>
      <c r="C45" s="51"/>
      <c r="D45" s="51"/>
      <c r="E45" s="52">
        <v>220</v>
      </c>
      <c r="F45" s="52">
        <v>180.12</v>
      </c>
      <c r="G45" s="52"/>
      <c r="H45" s="51" t="s">
        <v>1338</v>
      </c>
    </row>
    <row r="46" spans="1:8" ht="21" x14ac:dyDescent="0.4">
      <c r="A46" s="50"/>
      <c r="B46" s="51" t="s">
        <v>1382</v>
      </c>
      <c r="C46" s="51"/>
      <c r="D46" s="51"/>
      <c r="E46" s="52">
        <v>150</v>
      </c>
      <c r="F46" s="52">
        <v>116.23</v>
      </c>
      <c r="G46" s="52"/>
      <c r="H46" s="51" t="s">
        <v>1338</v>
      </c>
    </row>
    <row r="47" spans="1:8" ht="21" x14ac:dyDescent="0.4">
      <c r="A47" s="50"/>
      <c r="B47" s="53" t="s">
        <v>1383</v>
      </c>
      <c r="C47" s="53"/>
      <c r="D47" s="53"/>
      <c r="E47" s="52">
        <v>600</v>
      </c>
      <c r="F47" s="52">
        <v>501.6</v>
      </c>
      <c r="G47" s="52"/>
      <c r="H47" s="53" t="s">
        <v>1338</v>
      </c>
    </row>
    <row r="48" spans="1:8" ht="21" x14ac:dyDescent="0.4">
      <c r="A48" s="50"/>
      <c r="B48" s="53" t="s">
        <v>1384</v>
      </c>
      <c r="C48" s="53"/>
      <c r="D48" s="53"/>
      <c r="E48" s="54">
        <v>375</v>
      </c>
      <c r="F48" s="54">
        <v>325</v>
      </c>
      <c r="G48" s="54"/>
      <c r="H48" s="53" t="s">
        <v>1338</v>
      </c>
    </row>
    <row r="49" spans="1:8" ht="21" x14ac:dyDescent="0.4">
      <c r="A49" s="50"/>
      <c r="B49" s="51" t="s">
        <v>1385</v>
      </c>
      <c r="C49" s="51"/>
      <c r="D49" s="51"/>
      <c r="E49" s="52">
        <v>1050</v>
      </c>
      <c r="F49" s="52">
        <v>864.2</v>
      </c>
      <c r="G49" s="52"/>
      <c r="H49" s="51" t="s">
        <v>1338</v>
      </c>
    </row>
    <row r="50" spans="1:8" ht="21" x14ac:dyDescent="0.4">
      <c r="A50" s="50"/>
      <c r="B50" s="51" t="s">
        <v>1386</v>
      </c>
      <c r="C50" s="51"/>
      <c r="D50" s="51"/>
      <c r="E50" s="54">
        <v>220</v>
      </c>
      <c r="F50" s="54">
        <v>201.8</v>
      </c>
      <c r="G50" s="54"/>
      <c r="H50" s="51" t="s">
        <v>1338</v>
      </c>
    </row>
    <row r="51" spans="1:8" ht="21" x14ac:dyDescent="0.4">
      <c r="A51" s="50"/>
      <c r="B51" s="53" t="s">
        <v>1387</v>
      </c>
      <c r="C51" s="53"/>
      <c r="D51" s="53"/>
      <c r="E51" s="54">
        <v>600</v>
      </c>
      <c r="F51" s="54">
        <v>534.66</v>
      </c>
      <c r="G51" s="54"/>
      <c r="H51" s="53" t="s">
        <v>1338</v>
      </c>
    </row>
    <row r="52" spans="1:8" ht="21" x14ac:dyDescent="0.4">
      <c r="A52" s="50"/>
      <c r="B52" s="53" t="s">
        <v>1388</v>
      </c>
      <c r="C52" s="53"/>
      <c r="D52" s="53"/>
      <c r="E52" s="52">
        <v>1000</v>
      </c>
      <c r="F52" s="52">
        <v>893.1</v>
      </c>
      <c r="G52" s="52"/>
      <c r="H52" s="53" t="s">
        <v>1338</v>
      </c>
    </row>
    <row r="53" spans="1:8" ht="21" x14ac:dyDescent="0.4">
      <c r="A53" s="50"/>
      <c r="B53" s="51" t="s">
        <v>1389</v>
      </c>
      <c r="C53" s="51"/>
      <c r="D53" s="51"/>
      <c r="E53" s="52">
        <v>150</v>
      </c>
      <c r="F53" s="52">
        <v>110.7</v>
      </c>
      <c r="G53" s="52"/>
      <c r="H53" s="51" t="s">
        <v>1338</v>
      </c>
    </row>
    <row r="54" spans="1:8" ht="21" x14ac:dyDescent="0.4">
      <c r="A54" s="50"/>
      <c r="B54" s="53" t="s">
        <v>1390</v>
      </c>
      <c r="C54" s="53"/>
      <c r="D54" s="53"/>
      <c r="E54" s="54">
        <v>475</v>
      </c>
      <c r="F54" s="54">
        <v>407.7</v>
      </c>
      <c r="G54" s="54"/>
      <c r="H54" s="53" t="s">
        <v>1338</v>
      </c>
    </row>
    <row r="55" spans="1:8" ht="21" x14ac:dyDescent="0.4">
      <c r="A55" s="50"/>
      <c r="B55" s="51" t="s">
        <v>1391</v>
      </c>
      <c r="C55" s="51"/>
      <c r="D55" s="51"/>
      <c r="E55" s="52">
        <v>2900</v>
      </c>
      <c r="F55" s="52">
        <v>2442</v>
      </c>
      <c r="G55" s="52"/>
      <c r="H55" s="51" t="s">
        <v>1338</v>
      </c>
    </row>
    <row r="56" spans="1:8" ht="21" x14ac:dyDescent="0.4">
      <c r="A56" s="50"/>
      <c r="B56" s="53" t="s">
        <v>1392</v>
      </c>
      <c r="C56" s="53"/>
      <c r="D56" s="53"/>
      <c r="E56" s="54">
        <v>60</v>
      </c>
      <c r="F56" s="54">
        <v>46.8</v>
      </c>
      <c r="G56" s="54"/>
      <c r="H56" s="53" t="s">
        <v>1338</v>
      </c>
    </row>
    <row r="57" spans="1:8" ht="21" x14ac:dyDescent="0.4">
      <c r="A57" s="50"/>
      <c r="B57" s="53" t="s">
        <v>1393</v>
      </c>
      <c r="C57" s="53"/>
      <c r="D57" s="53"/>
      <c r="E57" s="52">
        <v>100</v>
      </c>
      <c r="F57" s="52">
        <v>87</v>
      </c>
      <c r="G57" s="52"/>
      <c r="H57" s="53" t="s">
        <v>1338</v>
      </c>
    </row>
    <row r="58" spans="1:8" ht="21" x14ac:dyDescent="0.4">
      <c r="A58" s="50"/>
      <c r="B58" s="51" t="s">
        <v>1394</v>
      </c>
      <c r="C58" s="51"/>
      <c r="D58" s="51"/>
      <c r="E58" s="52">
        <v>100</v>
      </c>
      <c r="F58" s="52">
        <v>70</v>
      </c>
      <c r="G58" s="52"/>
      <c r="H58" s="51" t="s">
        <v>1338</v>
      </c>
    </row>
    <row r="59" spans="1:8" ht="21" x14ac:dyDescent="0.4">
      <c r="A59" s="50"/>
      <c r="B59" s="53" t="s">
        <v>1395</v>
      </c>
      <c r="C59" s="53"/>
      <c r="D59" s="53"/>
      <c r="E59" s="52">
        <v>150</v>
      </c>
      <c r="F59" s="52">
        <v>133.4</v>
      </c>
      <c r="G59" s="52"/>
      <c r="H59" s="53" t="s">
        <v>1338</v>
      </c>
    </row>
    <row r="60" spans="1:8" ht="21" x14ac:dyDescent="0.4">
      <c r="A60" s="50"/>
      <c r="B60" s="51" t="s">
        <v>1396</v>
      </c>
      <c r="C60" s="51"/>
      <c r="D60" s="51"/>
      <c r="E60" s="54">
        <v>150</v>
      </c>
      <c r="F60" s="54">
        <v>103.8</v>
      </c>
      <c r="G60" s="54"/>
      <c r="H60" s="51" t="s">
        <v>1338</v>
      </c>
    </row>
    <row r="61" spans="1:8" ht="21" x14ac:dyDescent="0.4">
      <c r="A61" s="50"/>
      <c r="B61" s="53" t="s">
        <v>1397</v>
      </c>
      <c r="C61" s="53"/>
      <c r="D61" s="53"/>
      <c r="E61" s="52">
        <v>475</v>
      </c>
      <c r="F61" s="52">
        <v>359.1</v>
      </c>
      <c r="G61" s="52"/>
      <c r="H61" s="53" t="s">
        <v>1338</v>
      </c>
    </row>
    <row r="62" spans="1:8" ht="21" x14ac:dyDescent="0.4">
      <c r="A62" s="50"/>
      <c r="B62" s="51" t="s">
        <v>1398</v>
      </c>
      <c r="C62" s="51"/>
      <c r="D62" s="51"/>
      <c r="E62" s="52">
        <v>350</v>
      </c>
      <c r="F62" s="52">
        <v>297.60000000000002</v>
      </c>
      <c r="G62" s="52"/>
      <c r="H62" s="51" t="s">
        <v>1338</v>
      </c>
    </row>
    <row r="63" spans="1:8" ht="21" x14ac:dyDescent="0.4">
      <c r="A63" s="50"/>
      <c r="B63" s="51" t="s">
        <v>1399</v>
      </c>
      <c r="C63" s="51"/>
      <c r="D63" s="51"/>
      <c r="E63" s="54">
        <v>800</v>
      </c>
      <c r="F63" s="54">
        <v>673.8</v>
      </c>
      <c r="G63" s="54"/>
      <c r="H63" s="51" t="s">
        <v>1338</v>
      </c>
    </row>
    <row r="64" spans="1:8" ht="21" x14ac:dyDescent="0.4">
      <c r="A64" s="50"/>
      <c r="B64" s="53" t="s">
        <v>1400</v>
      </c>
      <c r="C64" s="53"/>
      <c r="D64" s="53"/>
      <c r="E64" s="52">
        <v>135</v>
      </c>
      <c r="F64" s="52">
        <v>106.1</v>
      </c>
      <c r="G64" s="52"/>
      <c r="H64" s="53" t="s">
        <v>1338</v>
      </c>
    </row>
    <row r="65" spans="1:8" ht="21" x14ac:dyDescent="0.4">
      <c r="A65" s="50"/>
      <c r="B65" s="51" t="s">
        <v>1401</v>
      </c>
      <c r="C65" s="51"/>
      <c r="D65" s="51"/>
      <c r="E65" s="54">
        <v>130</v>
      </c>
      <c r="F65" s="54">
        <v>77.3</v>
      </c>
      <c r="G65" s="54"/>
      <c r="H65" s="51" t="s">
        <v>1338</v>
      </c>
    </row>
    <row r="66" spans="1:8" ht="21" x14ac:dyDescent="0.4">
      <c r="A66" s="50"/>
      <c r="B66" s="53" t="s">
        <v>1402</v>
      </c>
      <c r="C66" s="53"/>
      <c r="D66" s="53"/>
      <c r="E66" s="52">
        <v>350</v>
      </c>
      <c r="F66" s="52">
        <v>311.3</v>
      </c>
      <c r="G66" s="52"/>
      <c r="H66" s="53" t="s">
        <v>1338</v>
      </c>
    </row>
    <row r="67" spans="1:8" ht="21" x14ac:dyDescent="0.4">
      <c r="A67" s="50"/>
      <c r="B67" s="51" t="s">
        <v>1403</v>
      </c>
      <c r="C67" s="51"/>
      <c r="D67" s="51"/>
      <c r="E67" s="54">
        <v>325</v>
      </c>
      <c r="F67" s="54">
        <v>276.39999999999998</v>
      </c>
      <c r="G67" s="54"/>
      <c r="H67" s="51" t="s">
        <v>1338</v>
      </c>
    </row>
    <row r="68" spans="1:8" ht="21" x14ac:dyDescent="0.4">
      <c r="A68" s="50"/>
      <c r="B68" s="51" t="s">
        <v>1404</v>
      </c>
      <c r="C68" s="51"/>
      <c r="D68" s="51"/>
      <c r="E68" s="52">
        <v>650</v>
      </c>
      <c r="F68" s="52">
        <v>519.84</v>
      </c>
      <c r="G68" s="52"/>
      <c r="H68" s="51" t="s">
        <v>1338</v>
      </c>
    </row>
    <row r="69" spans="1:8" ht="21" x14ac:dyDescent="0.4">
      <c r="A69" s="50"/>
      <c r="B69" s="51" t="s">
        <v>1405</v>
      </c>
      <c r="C69" s="51"/>
      <c r="D69" s="51"/>
      <c r="E69" s="54">
        <v>180</v>
      </c>
      <c r="F69" s="54">
        <v>117.5</v>
      </c>
      <c r="G69" s="54"/>
      <c r="H69" s="51" t="s">
        <v>1338</v>
      </c>
    </row>
    <row r="70" spans="1:8" ht="21" x14ac:dyDescent="0.4">
      <c r="A70" s="50"/>
      <c r="B70" s="53" t="s">
        <v>1406</v>
      </c>
      <c r="C70" s="53"/>
      <c r="D70" s="53"/>
      <c r="E70" s="52">
        <v>275</v>
      </c>
      <c r="F70" s="52">
        <v>221.8</v>
      </c>
      <c r="G70" s="52"/>
      <c r="H70" s="53" t="s">
        <v>1338</v>
      </c>
    </row>
    <row r="71" spans="1:8" ht="21" x14ac:dyDescent="0.4">
      <c r="A71" s="50"/>
      <c r="B71" s="51" t="s">
        <v>1407</v>
      </c>
      <c r="C71" s="51"/>
      <c r="D71" s="51"/>
      <c r="E71" s="54">
        <v>200</v>
      </c>
      <c r="F71" s="54">
        <v>163.1</v>
      </c>
      <c r="G71" s="54"/>
      <c r="H71" s="51" t="s">
        <v>1338</v>
      </c>
    </row>
    <row r="72" spans="1:8" ht="21" x14ac:dyDescent="0.4">
      <c r="A72" s="50"/>
      <c r="B72" s="51" t="s">
        <v>1408</v>
      </c>
      <c r="C72" s="51"/>
      <c r="D72" s="51"/>
      <c r="E72" s="52">
        <v>240</v>
      </c>
      <c r="F72" s="52">
        <v>197.22</v>
      </c>
      <c r="G72" s="52"/>
      <c r="H72" s="51" t="s">
        <v>1338</v>
      </c>
    </row>
    <row r="73" spans="1:8" ht="21" x14ac:dyDescent="0.4">
      <c r="A73" s="50"/>
      <c r="B73" s="53" t="s">
        <v>1409</v>
      </c>
      <c r="C73" s="53"/>
      <c r="D73" s="53"/>
      <c r="E73" s="54">
        <v>625</v>
      </c>
      <c r="F73" s="54">
        <v>525.6</v>
      </c>
      <c r="G73" s="54"/>
      <c r="H73" s="53" t="s">
        <v>1338</v>
      </c>
    </row>
    <row r="74" spans="1:8" ht="21" x14ac:dyDescent="0.4">
      <c r="A74" s="50"/>
      <c r="B74" s="53" t="s">
        <v>1410</v>
      </c>
      <c r="C74" s="53"/>
      <c r="D74" s="53"/>
      <c r="E74" s="54">
        <v>650</v>
      </c>
      <c r="F74" s="54">
        <v>564.29999999999995</v>
      </c>
      <c r="G74" s="54"/>
      <c r="H74" s="53" t="s">
        <v>1338</v>
      </c>
    </row>
    <row r="75" spans="1:8" ht="21" x14ac:dyDescent="0.4">
      <c r="A75" s="50"/>
      <c r="B75" s="51" t="s">
        <v>1411</v>
      </c>
      <c r="C75" s="51"/>
      <c r="D75" s="51"/>
      <c r="E75" s="52">
        <v>100</v>
      </c>
      <c r="F75" s="52">
        <v>82.1</v>
      </c>
      <c r="G75" s="52"/>
      <c r="H75" s="51" t="s">
        <v>1338</v>
      </c>
    </row>
    <row r="76" spans="1:8" ht="21" x14ac:dyDescent="0.4">
      <c r="A76" s="50"/>
      <c r="B76" s="51" t="s">
        <v>1412</v>
      </c>
      <c r="C76" s="51"/>
      <c r="D76" s="51"/>
      <c r="E76" s="54">
        <v>200</v>
      </c>
      <c r="F76" s="54">
        <v>133.4</v>
      </c>
      <c r="G76" s="54"/>
      <c r="H76" s="51" t="s">
        <v>1338</v>
      </c>
    </row>
    <row r="77" spans="1:8" ht="21" x14ac:dyDescent="0.4">
      <c r="A77" s="50"/>
      <c r="B77" s="53" t="s">
        <v>1413</v>
      </c>
      <c r="C77" s="53"/>
      <c r="D77" s="53"/>
      <c r="E77" s="54">
        <v>550</v>
      </c>
      <c r="F77" s="54">
        <v>456</v>
      </c>
      <c r="G77" s="54"/>
      <c r="H77" s="53" t="s">
        <v>1338</v>
      </c>
    </row>
    <row r="78" spans="1:8" ht="21" x14ac:dyDescent="0.4">
      <c r="A78" s="50"/>
      <c r="B78" s="51" t="s">
        <v>1414</v>
      </c>
      <c r="C78" s="51"/>
      <c r="D78" s="51"/>
      <c r="E78" s="54">
        <v>275</v>
      </c>
      <c r="F78" s="54">
        <v>214</v>
      </c>
      <c r="G78" s="54"/>
      <c r="H78" s="51" t="s">
        <v>1338</v>
      </c>
    </row>
    <row r="79" spans="1:8" ht="21" x14ac:dyDescent="0.4">
      <c r="A79" s="50"/>
      <c r="B79" s="53" t="s">
        <v>1415</v>
      </c>
      <c r="C79" s="53"/>
      <c r="D79" s="53"/>
      <c r="E79" s="52">
        <v>800</v>
      </c>
      <c r="F79" s="52">
        <v>655</v>
      </c>
      <c r="G79" s="52"/>
      <c r="H79" s="53" t="s">
        <v>1338</v>
      </c>
    </row>
    <row r="80" spans="1:8" ht="21" x14ac:dyDescent="0.4">
      <c r="A80" s="50"/>
      <c r="B80" s="51" t="s">
        <v>1416</v>
      </c>
      <c r="C80" s="51"/>
      <c r="D80" s="51"/>
      <c r="E80" s="52">
        <v>75</v>
      </c>
      <c r="F80" s="52">
        <v>48.2</v>
      </c>
      <c r="G80" s="52"/>
      <c r="H80" s="51" t="s">
        <v>1338</v>
      </c>
    </row>
    <row r="81" spans="1:8" ht="21" x14ac:dyDescent="0.4">
      <c r="A81" s="50"/>
      <c r="B81" s="53" t="s">
        <v>1417</v>
      </c>
      <c r="C81" s="53"/>
      <c r="D81" s="53"/>
      <c r="E81" s="52">
        <v>150</v>
      </c>
      <c r="F81" s="52">
        <v>83.8</v>
      </c>
      <c r="G81" s="52"/>
      <c r="H81" s="53" t="s">
        <v>1338</v>
      </c>
    </row>
    <row r="82" spans="1:8" ht="21" x14ac:dyDescent="0.4">
      <c r="A82" s="50"/>
      <c r="B82" s="53" t="s">
        <v>1418</v>
      </c>
      <c r="C82" s="53"/>
      <c r="D82" s="53"/>
      <c r="E82" s="52">
        <v>250</v>
      </c>
      <c r="F82" s="52">
        <v>158</v>
      </c>
      <c r="G82" s="52"/>
      <c r="H82" s="53" t="s">
        <v>1338</v>
      </c>
    </row>
    <row r="83" spans="1:8" ht="21" x14ac:dyDescent="0.4">
      <c r="A83" s="50"/>
      <c r="B83" s="51" t="s">
        <v>1419</v>
      </c>
      <c r="C83" s="51"/>
      <c r="D83" s="51"/>
      <c r="E83" s="54">
        <v>1500</v>
      </c>
      <c r="F83" s="54">
        <v>950</v>
      </c>
      <c r="G83" s="54"/>
      <c r="H83" s="51" t="s">
        <v>1338</v>
      </c>
    </row>
    <row r="84" spans="1:8" ht="21" x14ac:dyDescent="0.4">
      <c r="A84" s="50"/>
      <c r="B84" s="53" t="s">
        <v>1420</v>
      </c>
      <c r="C84" s="53"/>
      <c r="D84" s="53"/>
      <c r="E84" s="52">
        <v>700</v>
      </c>
      <c r="F84" s="52">
        <v>579.12</v>
      </c>
      <c r="G84" s="52"/>
      <c r="H84" s="53" t="s">
        <v>1338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8B8D7-F4C9-4E84-8B97-6CF4246D10D6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ورقة1</vt:lpstr>
      <vt:lpstr>نواكل</vt:lpstr>
      <vt:lpstr>br نهائي</vt:lpstr>
      <vt:lpstr>دوت بلاس</vt:lpstr>
      <vt:lpstr>كيسيل نهائي</vt:lpstr>
      <vt:lpstr>سمارت نهائي</vt:lpstr>
      <vt:lpstr>Sheet1</vt:lpstr>
      <vt:lpstr>كهرباء</vt:lpstr>
      <vt:lpstr>هاجر</vt:lpstr>
      <vt:lpstr>نور</vt:lpstr>
      <vt:lpstr>ماجنتك</vt:lpstr>
      <vt:lpstr>كونايس</vt:lpstr>
      <vt:lpstr>فينوس</vt:lpstr>
      <vt:lpstr>عام كهرباء</vt:lpstr>
      <vt:lpstr>شنايدر</vt:lpstr>
      <vt:lpstr>سانشي</vt:lpstr>
      <vt:lpstr>دش</vt:lpstr>
      <vt:lpstr>بريق</vt:lpstr>
      <vt:lpstr>بتشينو</vt:lpstr>
      <vt:lpstr>ايليوس</vt:lpstr>
      <vt:lpstr>السويدي</vt:lpstr>
      <vt:lpstr>البيت الهندسي</vt:lpstr>
      <vt:lpstr>ILOCK</vt:lpstr>
      <vt:lpstr>دهانات</vt:lpstr>
      <vt:lpstr>ميدو</vt:lpstr>
      <vt:lpstr>كابسي</vt:lpstr>
      <vt:lpstr>تيراكو</vt:lpstr>
      <vt:lpstr>سافيتو</vt:lpstr>
      <vt:lpstr>ايرلاك</vt:lpstr>
      <vt:lpstr>عام دهانات</vt:lpstr>
      <vt:lpstr>سكيب</vt:lpstr>
      <vt:lpstr>جوتن</vt:lpstr>
      <vt:lpstr>سايبس</vt:lpstr>
      <vt:lpstr>باكين</vt:lpstr>
      <vt:lpstr>CMB</vt:lpstr>
      <vt:lpstr>نهائي GLC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Mennatullah Khalid Hosny</cp:lastModifiedBy>
  <cp:lastPrinted>2026-09-28T13:47:32Z</cp:lastPrinted>
  <dcterms:modified xsi:type="dcterms:W3CDTF">2026-09-28T14:50:36Z</dcterms:modified>
</cp:coreProperties>
</file>